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Custom\Data analysis\Super 30 project\Week 2\"/>
    </mc:Choice>
  </mc:AlternateContent>
  <xr:revisionPtr revIDLastSave="0" documentId="8_{F6906C3C-1760-4299-83A0-C4C5B646D1EF}" xr6:coauthVersionLast="47" xr6:coauthVersionMax="47" xr10:uidLastSave="{00000000-0000-0000-0000-000000000000}"/>
  <bookViews>
    <workbookView xWindow="28680" yWindow="-120" windowWidth="29040" windowHeight="15720" firstSheet="14" activeTab="14" xr2:uid="{25E3524A-CB6D-48E9-9D31-60EAC67E12C3}"/>
  </bookViews>
  <sheets>
    <sheet name="Name pool" sheetId="2" r:id="rId1"/>
    <sheet name="Branch_Master" sheetId="8" r:id="rId2"/>
    <sheet name="Raw_Data" sheetId="1" r:id="rId3"/>
    <sheet name="Cleaned_Data" sheetId="3" r:id="rId4"/>
    <sheet name="Fact_Membership" sheetId="4" r:id="rId5"/>
    <sheet name="Dim_Member" sheetId="5" r:id="rId6"/>
    <sheet name="Dim_Branch" sheetId="6" r:id="rId7"/>
    <sheet name="Dim_Membership" sheetId="7" r:id="rId8"/>
    <sheet name="KPI_Engine" sheetId="9" r:id="rId9"/>
    <sheet name="Cohort Analysis" sheetId="10" r:id="rId10"/>
    <sheet name="RFM Analysis" sheetId="11" r:id="rId11"/>
    <sheet name="Top-Bottom Product Analysis" sheetId="12" r:id="rId12"/>
    <sheet name="Region-wise performance" sheetId="13" r:id="rId13"/>
    <sheet name="Forecasting Model" sheetId="14" r:id="rId14"/>
    <sheet name="Dashboard" sheetId="15" r:id="rId15"/>
  </sheets>
  <definedNames>
    <definedName name="Slicer_Branch_ID">#N/A</definedName>
    <definedName name="Slicer_Customer_Ranking">#N/A</definedName>
    <definedName name="Slicer_Membership_Type">#N/A</definedName>
  </definedNames>
  <calcPr calcId="191028"/>
  <pivotCaches>
    <pivotCache cacheId="1115" r:id="rId16"/>
    <pivotCache cacheId="1116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5" l="1"/>
  <c r="AE2" i="15"/>
  <c r="U2" i="15"/>
  <c r="U4" i="15"/>
  <c r="U3" i="15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2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E3" i="13"/>
  <c r="E4" i="13"/>
  <c r="E5" i="13"/>
  <c r="E6" i="13"/>
  <c r="E7" i="13"/>
  <c r="E8" i="13"/>
  <c r="E9" i="13"/>
  <c r="E2" i="13"/>
  <c r="D3" i="12"/>
  <c r="D4" i="12"/>
  <c r="D5" i="12"/>
  <c r="D2" i="12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2" i="4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A803" i="3"/>
  <c r="N803" i="3"/>
  <c r="A804" i="3"/>
  <c r="N804" i="3"/>
  <c r="A805" i="3"/>
  <c r="N805" i="3"/>
  <c r="A806" i="3"/>
  <c r="N806" i="3"/>
  <c r="A807" i="3"/>
  <c r="N807" i="3"/>
  <c r="A808" i="3"/>
  <c r="N808" i="3"/>
  <c r="A809" i="3"/>
  <c r="N809" i="3"/>
  <c r="A810" i="3"/>
  <c r="N810" i="3"/>
  <c r="A811" i="3"/>
  <c r="N811" i="3"/>
  <c r="A812" i="3"/>
  <c r="N812" i="3"/>
  <c r="A813" i="3"/>
  <c r="N813" i="3"/>
  <c r="A814" i="3"/>
  <c r="N814" i="3"/>
  <c r="A815" i="3"/>
  <c r="N815" i="3"/>
  <c r="A816" i="3"/>
  <c r="N816" i="3"/>
  <c r="A817" i="3"/>
  <c r="N817" i="3"/>
  <c r="A818" i="3"/>
  <c r="N818" i="3"/>
  <c r="A819" i="3"/>
  <c r="N819" i="3"/>
  <c r="N802" i="3"/>
  <c r="A802" i="3"/>
  <c r="T2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B802" i="1"/>
  <c r="B802" i="3" s="1"/>
  <c r="B803" i="1"/>
  <c r="B803" i="3" s="1"/>
  <c r="B804" i="1"/>
  <c r="B804" i="3" s="1"/>
  <c r="B805" i="1"/>
  <c r="B805" i="3" s="1"/>
  <c r="B806" i="1"/>
  <c r="B806" i="3" s="1"/>
  <c r="B807" i="1"/>
  <c r="B807" i="3" s="1"/>
  <c r="B808" i="1"/>
  <c r="B808" i="3" s="1"/>
  <c r="B809" i="1"/>
  <c r="B809" i="3" s="1"/>
  <c r="B810" i="1"/>
  <c r="B810" i="3" s="1"/>
  <c r="B811" i="1"/>
  <c r="B811" i="3" s="1"/>
  <c r="B812" i="1"/>
  <c r="B812" i="3" s="1"/>
  <c r="B813" i="1"/>
  <c r="B813" i="3" s="1"/>
  <c r="B814" i="1"/>
  <c r="B814" i="3" s="1"/>
  <c r="B815" i="1"/>
  <c r="B815" i="3" s="1"/>
  <c r="B816" i="1"/>
  <c r="B816" i="3" s="1"/>
  <c r="B817" i="1"/>
  <c r="B817" i="3" s="1"/>
  <c r="B818" i="1"/>
  <c r="B818" i="3" s="1"/>
  <c r="B819" i="1"/>
  <c r="B819" i="3" s="1"/>
  <c r="D802" i="1"/>
  <c r="D802" i="3" s="1"/>
  <c r="C802" i="3" s="1"/>
  <c r="D803" i="1"/>
  <c r="D803" i="3" s="1"/>
  <c r="C803" i="3" s="1"/>
  <c r="D804" i="1"/>
  <c r="D804" i="3" s="1"/>
  <c r="C804" i="3" s="1"/>
  <c r="D805" i="1"/>
  <c r="D805" i="3" s="1"/>
  <c r="C805" i="3" s="1"/>
  <c r="D806" i="1"/>
  <c r="D806" i="3" s="1"/>
  <c r="C806" i="3" s="1"/>
  <c r="D807" i="1"/>
  <c r="D807" i="3" s="1"/>
  <c r="C807" i="3" s="1"/>
  <c r="D808" i="1"/>
  <c r="D808" i="3" s="1"/>
  <c r="C808" i="3" s="1"/>
  <c r="D809" i="1"/>
  <c r="D809" i="3" s="1"/>
  <c r="C809" i="3" s="1"/>
  <c r="D810" i="1"/>
  <c r="D810" i="3" s="1"/>
  <c r="C810" i="3" s="1"/>
  <c r="D811" i="1"/>
  <c r="D811" i="3" s="1"/>
  <c r="C811" i="3" s="1"/>
  <c r="D812" i="1"/>
  <c r="D812" i="3" s="1"/>
  <c r="C812" i="3" s="1"/>
  <c r="D813" i="1"/>
  <c r="D813" i="3" s="1"/>
  <c r="C813" i="3" s="1"/>
  <c r="D814" i="1"/>
  <c r="D814" i="3" s="1"/>
  <c r="C814" i="3" s="1"/>
  <c r="D815" i="1"/>
  <c r="D815" i="3" s="1"/>
  <c r="C815" i="3" s="1"/>
  <c r="D816" i="1"/>
  <c r="D816" i="3" s="1"/>
  <c r="C816" i="3" s="1"/>
  <c r="D817" i="1"/>
  <c r="D817" i="3" s="1"/>
  <c r="C817" i="3" s="1"/>
  <c r="D818" i="1"/>
  <c r="D818" i="3" s="1"/>
  <c r="C818" i="3" s="1"/>
  <c r="D819" i="1"/>
  <c r="D819" i="3" s="1"/>
  <c r="C819" i="3" s="1"/>
  <c r="E802" i="1"/>
  <c r="E802" i="3" s="1"/>
  <c r="E803" i="1"/>
  <c r="E803" i="3" s="1"/>
  <c r="E804" i="1"/>
  <c r="E804" i="3" s="1"/>
  <c r="E805" i="1"/>
  <c r="E805" i="3" s="1"/>
  <c r="E806" i="1"/>
  <c r="E806" i="3" s="1"/>
  <c r="E807" i="1"/>
  <c r="E807" i="3" s="1"/>
  <c r="E808" i="1"/>
  <c r="E808" i="3" s="1"/>
  <c r="E809" i="1"/>
  <c r="E809" i="3" s="1"/>
  <c r="E810" i="1"/>
  <c r="E810" i="3" s="1"/>
  <c r="E811" i="1"/>
  <c r="E811" i="3" s="1"/>
  <c r="E812" i="1"/>
  <c r="E812" i="3" s="1"/>
  <c r="E813" i="1"/>
  <c r="E813" i="3" s="1"/>
  <c r="E814" i="1"/>
  <c r="E814" i="3" s="1"/>
  <c r="E815" i="1"/>
  <c r="E815" i="3" s="1"/>
  <c r="E816" i="1"/>
  <c r="E816" i="3" s="1"/>
  <c r="E817" i="1"/>
  <c r="E817" i="3" s="1"/>
  <c r="E818" i="1"/>
  <c r="E818" i="3" s="1"/>
  <c r="E819" i="1"/>
  <c r="E819" i="3" s="1"/>
  <c r="I802" i="1"/>
  <c r="I802" i="3" s="1"/>
  <c r="I803" i="1"/>
  <c r="I803" i="3" s="1"/>
  <c r="I804" i="1"/>
  <c r="I804" i="3" s="1"/>
  <c r="I805" i="1"/>
  <c r="I805" i="3" s="1"/>
  <c r="I806" i="1"/>
  <c r="I806" i="3" s="1"/>
  <c r="I807" i="1"/>
  <c r="I807" i="3" s="1"/>
  <c r="I808" i="1"/>
  <c r="I808" i="3" s="1"/>
  <c r="I809" i="1"/>
  <c r="I809" i="3" s="1"/>
  <c r="I810" i="1"/>
  <c r="I810" i="3" s="1"/>
  <c r="I811" i="1"/>
  <c r="I811" i="3" s="1"/>
  <c r="I812" i="1"/>
  <c r="I812" i="3" s="1"/>
  <c r="I813" i="1"/>
  <c r="I813" i="3" s="1"/>
  <c r="I814" i="1"/>
  <c r="I814" i="3" s="1"/>
  <c r="I815" i="1"/>
  <c r="I815" i="3" s="1"/>
  <c r="I816" i="1"/>
  <c r="I816" i="3" s="1"/>
  <c r="I817" i="1"/>
  <c r="I817" i="3" s="1"/>
  <c r="I818" i="1"/>
  <c r="I818" i="3" s="1"/>
  <c r="I819" i="1"/>
  <c r="I819" i="3" s="1"/>
  <c r="K802" i="1"/>
  <c r="K802" i="3" s="1"/>
  <c r="K803" i="1"/>
  <c r="K803" i="3" s="1"/>
  <c r="K804" i="1"/>
  <c r="K804" i="3" s="1"/>
  <c r="K805" i="1"/>
  <c r="K805" i="3" s="1"/>
  <c r="K806" i="1"/>
  <c r="K806" i="3" s="1"/>
  <c r="K807" i="1"/>
  <c r="K807" i="3" s="1"/>
  <c r="K808" i="1"/>
  <c r="K808" i="3" s="1"/>
  <c r="K809" i="1"/>
  <c r="K809" i="3" s="1"/>
  <c r="K810" i="1"/>
  <c r="K810" i="3" s="1"/>
  <c r="K811" i="1"/>
  <c r="K811" i="3" s="1"/>
  <c r="K812" i="1"/>
  <c r="K812" i="3" s="1"/>
  <c r="K813" i="1"/>
  <c r="K813" i="3" s="1"/>
  <c r="K814" i="1"/>
  <c r="K814" i="3" s="1"/>
  <c r="K815" i="1"/>
  <c r="K815" i="3" s="1"/>
  <c r="K816" i="1"/>
  <c r="K816" i="3" s="1"/>
  <c r="K817" i="1"/>
  <c r="K817" i="3" s="1"/>
  <c r="K818" i="1"/>
  <c r="K818" i="3" s="1"/>
  <c r="K819" i="1"/>
  <c r="K819" i="3" s="1"/>
  <c r="L802" i="1"/>
  <c r="L802" i="3" s="1"/>
  <c r="L803" i="1"/>
  <c r="L803" i="3" s="1"/>
  <c r="L804" i="1"/>
  <c r="L804" i="3" s="1"/>
  <c r="L805" i="1"/>
  <c r="L805" i="3" s="1"/>
  <c r="L806" i="1"/>
  <c r="L806" i="3" s="1"/>
  <c r="L807" i="1"/>
  <c r="L807" i="3" s="1"/>
  <c r="L808" i="1"/>
  <c r="L808" i="3" s="1"/>
  <c r="L809" i="1"/>
  <c r="L809" i="3" s="1"/>
  <c r="L810" i="1"/>
  <c r="L810" i="3" s="1"/>
  <c r="L811" i="1"/>
  <c r="L811" i="3" s="1"/>
  <c r="L812" i="1"/>
  <c r="L812" i="3" s="1"/>
  <c r="L813" i="1"/>
  <c r="L813" i="3" s="1"/>
  <c r="L814" i="1"/>
  <c r="L814" i="3" s="1"/>
  <c r="L815" i="1"/>
  <c r="L815" i="3" s="1"/>
  <c r="L816" i="1"/>
  <c r="L816" i="3" s="1"/>
  <c r="L817" i="1"/>
  <c r="L817" i="3" s="1"/>
  <c r="L818" i="1"/>
  <c r="L818" i="3" s="1"/>
  <c r="L819" i="1"/>
  <c r="L819" i="3" s="1"/>
  <c r="M802" i="1"/>
  <c r="M802" i="3" s="1"/>
  <c r="M803" i="1"/>
  <c r="M803" i="3" s="1"/>
  <c r="M804" i="1"/>
  <c r="M804" i="3" s="1"/>
  <c r="M805" i="1"/>
  <c r="M805" i="3" s="1"/>
  <c r="M806" i="1"/>
  <c r="M806" i="3" s="1"/>
  <c r="M807" i="1"/>
  <c r="M807" i="3" s="1"/>
  <c r="M808" i="1"/>
  <c r="M808" i="3" s="1"/>
  <c r="M809" i="1"/>
  <c r="M809" i="3" s="1"/>
  <c r="M810" i="1"/>
  <c r="M810" i="3" s="1"/>
  <c r="M811" i="1"/>
  <c r="M811" i="3" s="1"/>
  <c r="M812" i="1"/>
  <c r="M812" i="3" s="1"/>
  <c r="M813" i="1"/>
  <c r="M813" i="3" s="1"/>
  <c r="M814" i="1"/>
  <c r="M814" i="3" s="1"/>
  <c r="M815" i="1"/>
  <c r="M815" i="3" s="1"/>
  <c r="M816" i="1"/>
  <c r="M816" i="3" s="1"/>
  <c r="M817" i="1"/>
  <c r="M817" i="3" s="1"/>
  <c r="M818" i="1"/>
  <c r="M818" i="3" s="1"/>
  <c r="M819" i="1"/>
  <c r="M819" i="3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A802" i="4"/>
  <c r="A805" i="4"/>
  <c r="A806" i="4"/>
  <c r="A808" i="4"/>
  <c r="A811" i="4"/>
  <c r="A812" i="4"/>
  <c r="A814" i="4"/>
  <c r="A817" i="4"/>
  <c r="A818" i="4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4" i="3" s="1"/>
  <c r="D35" i="1"/>
  <c r="D36" i="1"/>
  <c r="D37" i="1"/>
  <c r="D38" i="1"/>
  <c r="D38" i="3" s="1"/>
  <c r="D39" i="1"/>
  <c r="D40" i="1"/>
  <c r="D41" i="1"/>
  <c r="D42" i="1"/>
  <c r="D43" i="1"/>
  <c r="D44" i="1"/>
  <c r="D45" i="1"/>
  <c r="D46" i="1"/>
  <c r="D46" i="3" s="1"/>
  <c r="D47" i="1"/>
  <c r="D48" i="1"/>
  <c r="D49" i="1"/>
  <c r="D50" i="1"/>
  <c r="D50" i="3" s="1"/>
  <c r="D51" i="1"/>
  <c r="D52" i="1"/>
  <c r="D53" i="1"/>
  <c r="D54" i="1"/>
  <c r="D55" i="1"/>
  <c r="D56" i="1"/>
  <c r="D57" i="1"/>
  <c r="D58" i="1"/>
  <c r="D58" i="3" s="1"/>
  <c r="D59" i="1"/>
  <c r="D60" i="1"/>
  <c r="D61" i="1"/>
  <c r="D62" i="1"/>
  <c r="D62" i="3" s="1"/>
  <c r="D63" i="1"/>
  <c r="D64" i="1"/>
  <c r="D65" i="1"/>
  <c r="D66" i="1"/>
  <c r="D67" i="1"/>
  <c r="D68" i="1"/>
  <c r="D69" i="1"/>
  <c r="D70" i="1"/>
  <c r="D70" i="3" s="1"/>
  <c r="D71" i="1"/>
  <c r="D72" i="1"/>
  <c r="D73" i="1"/>
  <c r="D74" i="1"/>
  <c r="D74" i="3" s="1"/>
  <c r="D75" i="1"/>
  <c r="D76" i="1"/>
  <c r="D77" i="1"/>
  <c r="D78" i="1"/>
  <c r="D79" i="1"/>
  <c r="D80" i="1"/>
  <c r="D81" i="1"/>
  <c r="D82" i="1"/>
  <c r="D82" i="3" s="1"/>
  <c r="D83" i="1"/>
  <c r="D84" i="1"/>
  <c r="D85" i="1"/>
  <c r="D86" i="1"/>
  <c r="D86" i="3" s="1"/>
  <c r="D87" i="1"/>
  <c r="D88" i="1"/>
  <c r="D89" i="1"/>
  <c r="D90" i="1"/>
  <c r="D91" i="1"/>
  <c r="D92" i="1"/>
  <c r="D93" i="1"/>
  <c r="D94" i="1"/>
  <c r="D94" i="3" s="1"/>
  <c r="D95" i="1"/>
  <c r="D96" i="1"/>
  <c r="D97" i="1"/>
  <c r="D98" i="1"/>
  <c r="D98" i="3" s="1"/>
  <c r="D99" i="1"/>
  <c r="D100" i="1"/>
  <c r="D101" i="1"/>
  <c r="D102" i="1"/>
  <c r="D103" i="1"/>
  <c r="D104" i="1"/>
  <c r="D105" i="1"/>
  <c r="D106" i="1"/>
  <c r="D106" i="3" s="1"/>
  <c r="D107" i="1"/>
  <c r="D108" i="1"/>
  <c r="D109" i="1"/>
  <c r="D110" i="1"/>
  <c r="D110" i="3" s="1"/>
  <c r="D111" i="1"/>
  <c r="D112" i="1"/>
  <c r="D113" i="1"/>
  <c r="D114" i="1"/>
  <c r="D115" i="1"/>
  <c r="D116" i="1"/>
  <c r="D117" i="1"/>
  <c r="D118" i="1"/>
  <c r="D118" i="3" s="1"/>
  <c r="D119" i="1"/>
  <c r="D120" i="1"/>
  <c r="D121" i="1"/>
  <c r="D122" i="1"/>
  <c r="D122" i="3" s="1"/>
  <c r="D123" i="1"/>
  <c r="D124" i="1"/>
  <c r="D125" i="1"/>
  <c r="D126" i="1"/>
  <c r="D127" i="1"/>
  <c r="D128" i="1"/>
  <c r="D129" i="1"/>
  <c r="D130" i="1"/>
  <c r="D130" i="3" s="1"/>
  <c r="D131" i="1"/>
  <c r="D132" i="1"/>
  <c r="D133" i="1"/>
  <c r="D134" i="1"/>
  <c r="D134" i="3" s="1"/>
  <c r="D135" i="1"/>
  <c r="D136" i="1"/>
  <c r="D137" i="1"/>
  <c r="D138" i="1"/>
  <c r="D139" i="1"/>
  <c r="D140" i="1"/>
  <c r="D141" i="1"/>
  <c r="D142" i="1"/>
  <c r="D142" i="3" s="1"/>
  <c r="D143" i="1"/>
  <c r="D144" i="1"/>
  <c r="D145" i="1"/>
  <c r="D146" i="1"/>
  <c r="D146" i="3" s="1"/>
  <c r="D147" i="1"/>
  <c r="D148" i="1"/>
  <c r="D149" i="1"/>
  <c r="D150" i="1"/>
  <c r="D151" i="1"/>
  <c r="D152" i="1"/>
  <c r="D153" i="1"/>
  <c r="D154" i="1"/>
  <c r="D154" i="3" s="1"/>
  <c r="D155" i="1"/>
  <c r="D156" i="1"/>
  <c r="D157" i="1"/>
  <c r="D158" i="1"/>
  <c r="D158" i="3" s="1"/>
  <c r="D159" i="1"/>
  <c r="D160" i="1"/>
  <c r="D161" i="1"/>
  <c r="D162" i="1"/>
  <c r="D163" i="1"/>
  <c r="D164" i="1"/>
  <c r="D165" i="1"/>
  <c r="D166" i="1"/>
  <c r="D166" i="3" s="1"/>
  <c r="D167" i="1"/>
  <c r="D168" i="1"/>
  <c r="D169" i="1"/>
  <c r="D170" i="1"/>
  <c r="D170" i="3" s="1"/>
  <c r="D171" i="1"/>
  <c r="D172" i="1"/>
  <c r="D173" i="1"/>
  <c r="D174" i="1"/>
  <c r="D175" i="1"/>
  <c r="D176" i="1"/>
  <c r="D177" i="1"/>
  <c r="D178" i="1"/>
  <c r="D178" i="3" s="1"/>
  <c r="D179" i="1"/>
  <c r="D180" i="1"/>
  <c r="D181" i="1"/>
  <c r="D182" i="1"/>
  <c r="D182" i="3" s="1"/>
  <c r="D183" i="1"/>
  <c r="D184" i="1"/>
  <c r="D185" i="1"/>
  <c r="D186" i="1"/>
  <c r="D187" i="1"/>
  <c r="D188" i="1"/>
  <c r="D189" i="1"/>
  <c r="D190" i="1"/>
  <c r="D190" i="3" s="1"/>
  <c r="D191" i="1"/>
  <c r="D192" i="1"/>
  <c r="D193" i="1"/>
  <c r="D194" i="1"/>
  <c r="D194" i="3" s="1"/>
  <c r="D195" i="1"/>
  <c r="D196" i="1"/>
  <c r="D197" i="1"/>
  <c r="D198" i="1"/>
  <c r="D199" i="1"/>
  <c r="D200" i="1"/>
  <c r="D201" i="1"/>
  <c r="D202" i="1"/>
  <c r="D202" i="3" s="1"/>
  <c r="D203" i="1"/>
  <c r="D204" i="1"/>
  <c r="D205" i="1"/>
  <c r="D206" i="1"/>
  <c r="D206" i="3" s="1"/>
  <c r="D207" i="1"/>
  <c r="D208" i="1"/>
  <c r="D209" i="1"/>
  <c r="D210" i="1"/>
  <c r="D211" i="1"/>
  <c r="D212" i="1"/>
  <c r="D213" i="1"/>
  <c r="D214" i="1"/>
  <c r="D214" i="3" s="1"/>
  <c r="D215" i="1"/>
  <c r="D216" i="1"/>
  <c r="D217" i="1"/>
  <c r="D218" i="1"/>
  <c r="D218" i="3" s="1"/>
  <c r="D219" i="1"/>
  <c r="D220" i="1"/>
  <c r="D221" i="1"/>
  <c r="D222" i="1"/>
  <c r="D223" i="1"/>
  <c r="D224" i="1"/>
  <c r="D225" i="1"/>
  <c r="D226" i="1"/>
  <c r="D226" i="3" s="1"/>
  <c r="D227" i="1"/>
  <c r="D228" i="1"/>
  <c r="D229" i="1"/>
  <c r="D230" i="1"/>
  <c r="D230" i="3" s="1"/>
  <c r="D231" i="1"/>
  <c r="D232" i="1"/>
  <c r="D233" i="1"/>
  <c r="D234" i="1"/>
  <c r="D235" i="1"/>
  <c r="D236" i="1"/>
  <c r="D237" i="1"/>
  <c r="D238" i="1"/>
  <c r="D238" i="3" s="1"/>
  <c r="D239" i="1"/>
  <c r="D240" i="1"/>
  <c r="D241" i="1"/>
  <c r="D242" i="1"/>
  <c r="D242" i="3" s="1"/>
  <c r="D243" i="1"/>
  <c r="D244" i="1"/>
  <c r="D245" i="1"/>
  <c r="D246" i="1"/>
  <c r="D247" i="1"/>
  <c r="D248" i="1"/>
  <c r="D249" i="1"/>
  <c r="D250" i="1"/>
  <c r="D250" i="3" s="1"/>
  <c r="D251" i="1"/>
  <c r="D252" i="1"/>
  <c r="D253" i="1"/>
  <c r="D254" i="1"/>
  <c r="D254" i="3" s="1"/>
  <c r="D255" i="1"/>
  <c r="D256" i="1"/>
  <c r="D257" i="1"/>
  <c r="D258" i="1"/>
  <c r="D259" i="1"/>
  <c r="D260" i="1"/>
  <c r="D261" i="1"/>
  <c r="D262" i="1"/>
  <c r="D262" i="3" s="1"/>
  <c r="D263" i="1"/>
  <c r="D264" i="1"/>
  <c r="D265" i="1"/>
  <c r="D266" i="1"/>
  <c r="D266" i="3" s="1"/>
  <c r="D267" i="1"/>
  <c r="D268" i="1"/>
  <c r="D269" i="1"/>
  <c r="D270" i="1"/>
  <c r="D271" i="1"/>
  <c r="D272" i="1"/>
  <c r="D273" i="1"/>
  <c r="D274" i="1"/>
  <c r="D274" i="3" s="1"/>
  <c r="D275" i="1"/>
  <c r="D276" i="1"/>
  <c r="D277" i="1"/>
  <c r="D278" i="1"/>
  <c r="D278" i="3" s="1"/>
  <c r="D279" i="1"/>
  <c r="D280" i="1"/>
  <c r="D281" i="1"/>
  <c r="D282" i="1"/>
  <c r="D283" i="1"/>
  <c r="D284" i="1"/>
  <c r="D285" i="1"/>
  <c r="D286" i="1"/>
  <c r="D286" i="3" s="1"/>
  <c r="D287" i="1"/>
  <c r="D288" i="1"/>
  <c r="D289" i="1"/>
  <c r="D290" i="1"/>
  <c r="D290" i="3" s="1"/>
  <c r="D291" i="1"/>
  <c r="D292" i="1"/>
  <c r="D293" i="1"/>
  <c r="D294" i="1"/>
  <c r="D295" i="1"/>
  <c r="D296" i="1"/>
  <c r="D297" i="1"/>
  <c r="D298" i="1"/>
  <c r="D298" i="3" s="1"/>
  <c r="D299" i="1"/>
  <c r="D300" i="1"/>
  <c r="D301" i="1"/>
  <c r="D302" i="1"/>
  <c r="D302" i="3" s="1"/>
  <c r="D303" i="1"/>
  <c r="D304" i="1"/>
  <c r="D305" i="1"/>
  <c r="D306" i="1"/>
  <c r="D307" i="1"/>
  <c r="D308" i="1"/>
  <c r="D309" i="1"/>
  <c r="D310" i="1"/>
  <c r="D310" i="3" s="1"/>
  <c r="D311" i="1"/>
  <c r="D312" i="1"/>
  <c r="D313" i="1"/>
  <c r="D314" i="1"/>
  <c r="D314" i="3" s="1"/>
  <c r="D315" i="1"/>
  <c r="D316" i="1"/>
  <c r="D317" i="1"/>
  <c r="D318" i="1"/>
  <c r="D319" i="1"/>
  <c r="D320" i="1"/>
  <c r="D321" i="1"/>
  <c r="D322" i="1"/>
  <c r="D322" i="3" s="1"/>
  <c r="D323" i="1"/>
  <c r="D324" i="1"/>
  <c r="D325" i="1"/>
  <c r="D326" i="1"/>
  <c r="D326" i="3" s="1"/>
  <c r="D327" i="1"/>
  <c r="D328" i="1"/>
  <c r="D329" i="1"/>
  <c r="D330" i="1"/>
  <c r="D331" i="1"/>
  <c r="D332" i="1"/>
  <c r="D333" i="1"/>
  <c r="D334" i="1"/>
  <c r="D334" i="3" s="1"/>
  <c r="D335" i="1"/>
  <c r="D336" i="1"/>
  <c r="D337" i="1"/>
  <c r="D338" i="1"/>
  <c r="D338" i="3" s="1"/>
  <c r="D339" i="1"/>
  <c r="D340" i="1"/>
  <c r="D341" i="1"/>
  <c r="D342" i="1"/>
  <c r="D343" i="1"/>
  <c r="D344" i="1"/>
  <c r="D345" i="1"/>
  <c r="D346" i="1"/>
  <c r="D346" i="3" s="1"/>
  <c r="D347" i="1"/>
  <c r="D348" i="1"/>
  <c r="D349" i="1"/>
  <c r="D350" i="1"/>
  <c r="D350" i="3" s="1"/>
  <c r="D351" i="1"/>
  <c r="D352" i="1"/>
  <c r="D353" i="1"/>
  <c r="D354" i="1"/>
  <c r="D355" i="1"/>
  <c r="D356" i="1"/>
  <c r="D357" i="1"/>
  <c r="D358" i="1"/>
  <c r="D358" i="3" s="1"/>
  <c r="D359" i="1"/>
  <c r="D360" i="1"/>
  <c r="D361" i="1"/>
  <c r="D362" i="1"/>
  <c r="D362" i="3" s="1"/>
  <c r="D363" i="1"/>
  <c r="D364" i="1"/>
  <c r="D365" i="1"/>
  <c r="D366" i="1"/>
  <c r="D367" i="1"/>
  <c r="D368" i="1"/>
  <c r="D369" i="1"/>
  <c r="D370" i="1"/>
  <c r="D370" i="3" s="1"/>
  <c r="D371" i="1"/>
  <c r="D372" i="1"/>
  <c r="D373" i="1"/>
  <c r="D374" i="1"/>
  <c r="D374" i="3" s="1"/>
  <c r="D375" i="1"/>
  <c r="D376" i="1"/>
  <c r="D377" i="1"/>
  <c r="D378" i="1"/>
  <c r="D379" i="1"/>
  <c r="D380" i="1"/>
  <c r="D381" i="1"/>
  <c r="D382" i="1"/>
  <c r="D382" i="3" s="1"/>
  <c r="D383" i="1"/>
  <c r="D384" i="1"/>
  <c r="D385" i="1"/>
  <c r="D386" i="1"/>
  <c r="D386" i="3" s="1"/>
  <c r="D387" i="1"/>
  <c r="D388" i="1"/>
  <c r="D389" i="1"/>
  <c r="D390" i="1"/>
  <c r="D391" i="1"/>
  <c r="D392" i="1"/>
  <c r="D393" i="1"/>
  <c r="D394" i="1"/>
  <c r="D394" i="3" s="1"/>
  <c r="D395" i="1"/>
  <c r="D396" i="1"/>
  <c r="D397" i="1"/>
  <c r="D398" i="1"/>
  <c r="D398" i="3" s="1"/>
  <c r="D399" i="1"/>
  <c r="D400" i="1"/>
  <c r="D401" i="1"/>
  <c r="D402" i="1"/>
  <c r="D403" i="1"/>
  <c r="D404" i="1"/>
  <c r="D405" i="1"/>
  <c r="D406" i="1"/>
  <c r="D406" i="3" s="1"/>
  <c r="D407" i="1"/>
  <c r="D408" i="1"/>
  <c r="D409" i="1"/>
  <c r="D410" i="1"/>
  <c r="D410" i="3" s="1"/>
  <c r="D411" i="1"/>
  <c r="D412" i="1"/>
  <c r="D413" i="1"/>
  <c r="D414" i="1"/>
  <c r="D415" i="1"/>
  <c r="D416" i="1"/>
  <c r="D417" i="1"/>
  <c r="D418" i="1"/>
  <c r="D418" i="3" s="1"/>
  <c r="D419" i="1"/>
  <c r="D420" i="1"/>
  <c r="D421" i="1"/>
  <c r="D422" i="1"/>
  <c r="D422" i="3" s="1"/>
  <c r="D423" i="1"/>
  <c r="D424" i="1"/>
  <c r="D425" i="1"/>
  <c r="D426" i="1"/>
  <c r="D427" i="1"/>
  <c r="D428" i="1"/>
  <c r="D429" i="1"/>
  <c r="D430" i="1"/>
  <c r="D430" i="3" s="1"/>
  <c r="D431" i="1"/>
  <c r="D432" i="1"/>
  <c r="D433" i="1"/>
  <c r="D434" i="1"/>
  <c r="D434" i="3" s="1"/>
  <c r="D435" i="1"/>
  <c r="D436" i="1"/>
  <c r="D437" i="1"/>
  <c r="D438" i="1"/>
  <c r="D439" i="1"/>
  <c r="D440" i="1"/>
  <c r="D441" i="1"/>
  <c r="D442" i="1"/>
  <c r="D442" i="3" s="1"/>
  <c r="D443" i="1"/>
  <c r="D444" i="1"/>
  <c r="D445" i="1"/>
  <c r="D446" i="1"/>
  <c r="D446" i="3" s="1"/>
  <c r="D447" i="1"/>
  <c r="D448" i="1"/>
  <c r="D449" i="1"/>
  <c r="D450" i="1"/>
  <c r="D451" i="1"/>
  <c r="D452" i="1"/>
  <c r="D453" i="1"/>
  <c r="D454" i="1"/>
  <c r="D454" i="3" s="1"/>
  <c r="D455" i="1"/>
  <c r="D456" i="1"/>
  <c r="D457" i="1"/>
  <c r="D458" i="1"/>
  <c r="D458" i="3" s="1"/>
  <c r="D459" i="1"/>
  <c r="D460" i="1"/>
  <c r="D461" i="1"/>
  <c r="D462" i="1"/>
  <c r="D463" i="1"/>
  <c r="D464" i="1"/>
  <c r="D465" i="1"/>
  <c r="D466" i="1"/>
  <c r="D466" i="3" s="1"/>
  <c r="D467" i="1"/>
  <c r="D468" i="1"/>
  <c r="D469" i="1"/>
  <c r="D470" i="1"/>
  <c r="D470" i="3" s="1"/>
  <c r="D471" i="1"/>
  <c r="D472" i="1"/>
  <c r="D473" i="1"/>
  <c r="D474" i="1"/>
  <c r="D475" i="1"/>
  <c r="D476" i="1"/>
  <c r="D477" i="1"/>
  <c r="D478" i="1"/>
  <c r="D478" i="3" s="1"/>
  <c r="D479" i="1"/>
  <c r="D480" i="1"/>
  <c r="D481" i="1"/>
  <c r="D482" i="1"/>
  <c r="D482" i="3" s="1"/>
  <c r="D483" i="1"/>
  <c r="D484" i="1"/>
  <c r="D485" i="1"/>
  <c r="D486" i="1"/>
  <c r="D487" i="1"/>
  <c r="D488" i="1"/>
  <c r="D489" i="1"/>
  <c r="D490" i="1"/>
  <c r="D490" i="3" s="1"/>
  <c r="D491" i="1"/>
  <c r="D492" i="1"/>
  <c r="D493" i="1"/>
  <c r="D494" i="1"/>
  <c r="D494" i="3" s="1"/>
  <c r="D495" i="1"/>
  <c r="D496" i="1"/>
  <c r="D497" i="1"/>
  <c r="D498" i="1"/>
  <c r="D499" i="1"/>
  <c r="D500" i="1"/>
  <c r="D501" i="1"/>
  <c r="D502" i="1"/>
  <c r="D502" i="3" s="1"/>
  <c r="D503" i="1"/>
  <c r="D504" i="1"/>
  <c r="D505" i="1"/>
  <c r="D506" i="1"/>
  <c r="D506" i="3" s="1"/>
  <c r="D507" i="1"/>
  <c r="D508" i="1"/>
  <c r="D509" i="1"/>
  <c r="D510" i="1"/>
  <c r="D511" i="1"/>
  <c r="D512" i="1"/>
  <c r="D513" i="1"/>
  <c r="D514" i="1"/>
  <c r="D514" i="3" s="1"/>
  <c r="D515" i="1"/>
  <c r="D516" i="1"/>
  <c r="D517" i="1"/>
  <c r="D518" i="1"/>
  <c r="D518" i="3" s="1"/>
  <c r="D519" i="1"/>
  <c r="D520" i="1"/>
  <c r="D521" i="1"/>
  <c r="D522" i="1"/>
  <c r="D523" i="1"/>
  <c r="D524" i="1"/>
  <c r="D525" i="1"/>
  <c r="D526" i="1"/>
  <c r="D526" i="3" s="1"/>
  <c r="D527" i="1"/>
  <c r="D528" i="1"/>
  <c r="D529" i="1"/>
  <c r="D530" i="1"/>
  <c r="D530" i="3" s="1"/>
  <c r="D531" i="1"/>
  <c r="D532" i="1"/>
  <c r="D533" i="1"/>
  <c r="D534" i="1"/>
  <c r="D535" i="1"/>
  <c r="D536" i="1"/>
  <c r="D537" i="1"/>
  <c r="D538" i="1"/>
  <c r="D538" i="3" s="1"/>
  <c r="D539" i="1"/>
  <c r="D540" i="1"/>
  <c r="D541" i="1"/>
  <c r="D542" i="1"/>
  <c r="D542" i="3" s="1"/>
  <c r="D543" i="1"/>
  <c r="D544" i="1"/>
  <c r="D545" i="1"/>
  <c r="D546" i="1"/>
  <c r="D547" i="1"/>
  <c r="D548" i="1"/>
  <c r="D549" i="1"/>
  <c r="D550" i="1"/>
  <c r="D550" i="3" s="1"/>
  <c r="D551" i="1"/>
  <c r="D552" i="1"/>
  <c r="D553" i="1"/>
  <c r="D554" i="1"/>
  <c r="D554" i="3" s="1"/>
  <c r="D555" i="1"/>
  <c r="D556" i="1"/>
  <c r="D557" i="1"/>
  <c r="D558" i="1"/>
  <c r="D559" i="1"/>
  <c r="D560" i="1"/>
  <c r="D561" i="1"/>
  <c r="D562" i="1"/>
  <c r="D562" i="3" s="1"/>
  <c r="D563" i="1"/>
  <c r="D564" i="1"/>
  <c r="D565" i="1"/>
  <c r="D566" i="1"/>
  <c r="D566" i="3" s="1"/>
  <c r="D567" i="1"/>
  <c r="D568" i="1"/>
  <c r="D569" i="1"/>
  <c r="D570" i="1"/>
  <c r="D571" i="1"/>
  <c r="D572" i="1"/>
  <c r="D573" i="1"/>
  <c r="D574" i="1"/>
  <c r="D574" i="3" s="1"/>
  <c r="D575" i="1"/>
  <c r="D576" i="1"/>
  <c r="D577" i="1"/>
  <c r="D578" i="1"/>
  <c r="D578" i="3" s="1"/>
  <c r="D579" i="1"/>
  <c r="D580" i="1"/>
  <c r="D581" i="1"/>
  <c r="D582" i="1"/>
  <c r="D583" i="1"/>
  <c r="D584" i="1"/>
  <c r="D585" i="1"/>
  <c r="D586" i="1"/>
  <c r="D586" i="3" s="1"/>
  <c r="D587" i="1"/>
  <c r="D588" i="1"/>
  <c r="D589" i="1"/>
  <c r="D590" i="1"/>
  <c r="D590" i="3" s="1"/>
  <c r="D591" i="1"/>
  <c r="D592" i="1"/>
  <c r="D593" i="1"/>
  <c r="D594" i="1"/>
  <c r="D595" i="1"/>
  <c r="D596" i="1"/>
  <c r="D597" i="1"/>
  <c r="D598" i="1"/>
  <c r="D598" i="3" s="1"/>
  <c r="D599" i="1"/>
  <c r="D600" i="1"/>
  <c r="D601" i="1"/>
  <c r="D602" i="1"/>
  <c r="D602" i="3" s="1"/>
  <c r="D603" i="1"/>
  <c r="D604" i="1"/>
  <c r="D605" i="1"/>
  <c r="D606" i="1"/>
  <c r="D607" i="1"/>
  <c r="D608" i="1"/>
  <c r="D609" i="1"/>
  <c r="D610" i="1"/>
  <c r="D610" i="3" s="1"/>
  <c r="D611" i="1"/>
  <c r="D612" i="1"/>
  <c r="D613" i="1"/>
  <c r="D614" i="1"/>
  <c r="D614" i="3" s="1"/>
  <c r="D615" i="1"/>
  <c r="D616" i="1"/>
  <c r="D617" i="1"/>
  <c r="D618" i="1"/>
  <c r="D619" i="1"/>
  <c r="D620" i="1"/>
  <c r="D621" i="1"/>
  <c r="D622" i="1"/>
  <c r="D622" i="3" s="1"/>
  <c r="D623" i="1"/>
  <c r="D624" i="1"/>
  <c r="D625" i="1"/>
  <c r="D626" i="1"/>
  <c r="D626" i="3" s="1"/>
  <c r="D627" i="1"/>
  <c r="D628" i="1"/>
  <c r="D629" i="1"/>
  <c r="D630" i="1"/>
  <c r="D631" i="1"/>
  <c r="D632" i="1"/>
  <c r="D633" i="1"/>
  <c r="D634" i="1"/>
  <c r="D634" i="3" s="1"/>
  <c r="D635" i="1"/>
  <c r="D636" i="1"/>
  <c r="D637" i="1"/>
  <c r="D638" i="1"/>
  <c r="D638" i="3" s="1"/>
  <c r="D639" i="1"/>
  <c r="D640" i="1"/>
  <c r="D641" i="1"/>
  <c r="D642" i="1"/>
  <c r="D643" i="1"/>
  <c r="D644" i="1"/>
  <c r="D645" i="1"/>
  <c r="D646" i="1"/>
  <c r="D646" i="3" s="1"/>
  <c r="D647" i="1"/>
  <c r="D648" i="1"/>
  <c r="D649" i="1"/>
  <c r="D650" i="1"/>
  <c r="D650" i="3" s="1"/>
  <c r="D651" i="1"/>
  <c r="D652" i="1"/>
  <c r="D653" i="1"/>
  <c r="D654" i="1"/>
  <c r="D655" i="1"/>
  <c r="D656" i="1"/>
  <c r="D657" i="1"/>
  <c r="D658" i="1"/>
  <c r="D658" i="3" s="1"/>
  <c r="D659" i="1"/>
  <c r="D660" i="1"/>
  <c r="D661" i="1"/>
  <c r="D662" i="1"/>
  <c r="D662" i="3" s="1"/>
  <c r="D663" i="1"/>
  <c r="D664" i="1"/>
  <c r="D665" i="1"/>
  <c r="D666" i="1"/>
  <c r="D667" i="1"/>
  <c r="D668" i="1"/>
  <c r="D669" i="1"/>
  <c r="D670" i="1"/>
  <c r="D670" i="3" s="1"/>
  <c r="D671" i="1"/>
  <c r="D672" i="1"/>
  <c r="D673" i="1"/>
  <c r="D674" i="1"/>
  <c r="D674" i="3" s="1"/>
  <c r="D675" i="1"/>
  <c r="D676" i="1"/>
  <c r="D677" i="1"/>
  <c r="D678" i="1"/>
  <c r="D679" i="1"/>
  <c r="D680" i="1"/>
  <c r="D681" i="1"/>
  <c r="D682" i="1"/>
  <c r="D682" i="3" s="1"/>
  <c r="D683" i="1"/>
  <c r="D684" i="1"/>
  <c r="D685" i="1"/>
  <c r="D686" i="1"/>
  <c r="D686" i="3" s="1"/>
  <c r="D687" i="1"/>
  <c r="D688" i="1"/>
  <c r="D689" i="1"/>
  <c r="D690" i="1"/>
  <c r="D691" i="1"/>
  <c r="D692" i="1"/>
  <c r="D693" i="1"/>
  <c r="D694" i="1"/>
  <c r="D694" i="3" s="1"/>
  <c r="D695" i="1"/>
  <c r="D696" i="1"/>
  <c r="D697" i="1"/>
  <c r="D698" i="1"/>
  <c r="D698" i="3" s="1"/>
  <c r="D699" i="1"/>
  <c r="D700" i="1"/>
  <c r="D701" i="1"/>
  <c r="D702" i="1"/>
  <c r="D703" i="1"/>
  <c r="D704" i="1"/>
  <c r="D705" i="1"/>
  <c r="D706" i="1"/>
  <c r="D706" i="3" s="1"/>
  <c r="D707" i="1"/>
  <c r="D708" i="1"/>
  <c r="D709" i="1"/>
  <c r="D710" i="1"/>
  <c r="D710" i="3" s="1"/>
  <c r="D711" i="1"/>
  <c r="D712" i="1"/>
  <c r="D713" i="1"/>
  <c r="D714" i="1"/>
  <c r="D715" i="1"/>
  <c r="D716" i="1"/>
  <c r="D717" i="1"/>
  <c r="D718" i="1"/>
  <c r="D718" i="3" s="1"/>
  <c r="D719" i="1"/>
  <c r="D720" i="1"/>
  <c r="D721" i="1"/>
  <c r="D722" i="1"/>
  <c r="D722" i="3" s="1"/>
  <c r="D723" i="1"/>
  <c r="D724" i="1"/>
  <c r="D725" i="1"/>
  <c r="D726" i="1"/>
  <c r="D727" i="1"/>
  <c r="D728" i="1"/>
  <c r="D729" i="1"/>
  <c r="D730" i="1"/>
  <c r="D730" i="3" s="1"/>
  <c r="D731" i="1"/>
  <c r="D732" i="1"/>
  <c r="D733" i="1"/>
  <c r="D734" i="1"/>
  <c r="D734" i="3" s="1"/>
  <c r="D735" i="1"/>
  <c r="D736" i="1"/>
  <c r="D737" i="1"/>
  <c r="D738" i="1"/>
  <c r="D739" i="1"/>
  <c r="D740" i="1"/>
  <c r="D741" i="1"/>
  <c r="D742" i="1"/>
  <c r="D742" i="3" s="1"/>
  <c r="D743" i="1"/>
  <c r="D744" i="1"/>
  <c r="D745" i="1"/>
  <c r="D746" i="1"/>
  <c r="D746" i="3" s="1"/>
  <c r="D747" i="1"/>
  <c r="D748" i="1"/>
  <c r="D749" i="1"/>
  <c r="D750" i="1"/>
  <c r="D751" i="1"/>
  <c r="D752" i="1"/>
  <c r="D753" i="1"/>
  <c r="D754" i="1"/>
  <c r="D754" i="3" s="1"/>
  <c r="D755" i="1"/>
  <c r="D756" i="1"/>
  <c r="D757" i="1"/>
  <c r="D758" i="1"/>
  <c r="D758" i="3" s="1"/>
  <c r="D759" i="1"/>
  <c r="D760" i="1"/>
  <c r="D761" i="1"/>
  <c r="D762" i="1"/>
  <c r="D763" i="1"/>
  <c r="D764" i="1"/>
  <c r="D765" i="1"/>
  <c r="D766" i="1"/>
  <c r="D766" i="3" s="1"/>
  <c r="D767" i="1"/>
  <c r="D768" i="1"/>
  <c r="D769" i="1"/>
  <c r="D770" i="1"/>
  <c r="D770" i="3" s="1"/>
  <c r="D771" i="1"/>
  <c r="D772" i="1"/>
  <c r="D773" i="1"/>
  <c r="D774" i="1"/>
  <c r="D775" i="1"/>
  <c r="D776" i="1"/>
  <c r="D777" i="1"/>
  <c r="D778" i="1"/>
  <c r="D778" i="3" s="1"/>
  <c r="D779" i="1"/>
  <c r="D780" i="1"/>
  <c r="D781" i="1"/>
  <c r="D782" i="1"/>
  <c r="D782" i="3" s="1"/>
  <c r="D783" i="1"/>
  <c r="D784" i="1"/>
  <c r="D785" i="1"/>
  <c r="D786" i="1"/>
  <c r="D787" i="1"/>
  <c r="D788" i="1"/>
  <c r="D789" i="1"/>
  <c r="D790" i="1"/>
  <c r="D790" i="3" s="1"/>
  <c r="D791" i="1"/>
  <c r="D792" i="1"/>
  <c r="D793" i="1"/>
  <c r="D794" i="1"/>
  <c r="D794" i="3" s="1"/>
  <c r="D795" i="1"/>
  <c r="D796" i="1"/>
  <c r="D797" i="1"/>
  <c r="D798" i="1"/>
  <c r="D799" i="1"/>
  <c r="D800" i="1"/>
  <c r="D801" i="1"/>
  <c r="Q3" i="1"/>
  <c r="Q2" i="1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G802" i="4"/>
  <c r="S802" i="4" s="1"/>
  <c r="G803" i="4"/>
  <c r="S803" i="4" s="1"/>
  <c r="G804" i="4"/>
  <c r="S804" i="4" s="1"/>
  <c r="G805" i="4"/>
  <c r="S805" i="4" s="1"/>
  <c r="G806" i="4"/>
  <c r="S806" i="4" s="1"/>
  <c r="G807" i="4"/>
  <c r="S807" i="4" s="1"/>
  <c r="G808" i="4"/>
  <c r="S808" i="4" s="1"/>
  <c r="G809" i="4"/>
  <c r="S809" i="4" s="1"/>
  <c r="G810" i="4"/>
  <c r="S810" i="4" s="1"/>
  <c r="G811" i="4"/>
  <c r="S811" i="4" s="1"/>
  <c r="G812" i="4"/>
  <c r="S812" i="4" s="1"/>
  <c r="G813" i="4"/>
  <c r="S813" i="4" s="1"/>
  <c r="G814" i="4"/>
  <c r="S814" i="4" s="1"/>
  <c r="G815" i="4"/>
  <c r="S815" i="4" s="1"/>
  <c r="G816" i="4"/>
  <c r="S816" i="4" s="1"/>
  <c r="G817" i="4"/>
  <c r="S817" i="4" s="1"/>
  <c r="G818" i="4"/>
  <c r="S818" i="4" s="1"/>
  <c r="G819" i="4"/>
  <c r="S819" i="4" s="1"/>
  <c r="H803" i="4"/>
  <c r="K803" i="4" s="1"/>
  <c r="H805" i="4"/>
  <c r="K805" i="4" s="1"/>
  <c r="H807" i="4"/>
  <c r="K807" i="4" s="1"/>
  <c r="H809" i="4"/>
  <c r="K809" i="4" s="1"/>
  <c r="H811" i="4"/>
  <c r="K811" i="4" s="1"/>
  <c r="H813" i="4"/>
  <c r="K813" i="4" s="1"/>
  <c r="H817" i="4"/>
  <c r="K817" i="4" s="1"/>
  <c r="H819" i="4"/>
  <c r="K819" i="4" s="1"/>
  <c r="I803" i="4"/>
  <c r="I805" i="4"/>
  <c r="I807" i="4"/>
  <c r="I809" i="4"/>
  <c r="I811" i="4"/>
  <c r="I813" i="4"/>
  <c r="I817" i="4"/>
  <c r="I819" i="4"/>
  <c r="A803" i="4"/>
  <c r="A804" i="4"/>
  <c r="A807" i="4"/>
  <c r="A809" i="4"/>
  <c r="A810" i="4"/>
  <c r="A813" i="4"/>
  <c r="A815" i="4"/>
  <c r="A816" i="4"/>
  <c r="A819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H2" i="3"/>
  <c r="F2" i="4" s="1"/>
  <c r="H3" i="3"/>
  <c r="F3" i="4" s="1"/>
  <c r="H4" i="3"/>
  <c r="F4" i="4" s="1"/>
  <c r="H5" i="3"/>
  <c r="F5" i="4" s="1"/>
  <c r="H6" i="3"/>
  <c r="F6" i="4" s="1"/>
  <c r="H7" i="3"/>
  <c r="F7" i="4" s="1"/>
  <c r="H8" i="3"/>
  <c r="F8" i="4" s="1"/>
  <c r="H9" i="3"/>
  <c r="F9" i="4" s="1"/>
  <c r="H10" i="3"/>
  <c r="F10" i="4" s="1"/>
  <c r="H11" i="3"/>
  <c r="F11" i="4" s="1"/>
  <c r="H12" i="3"/>
  <c r="F12" i="4" s="1"/>
  <c r="H13" i="3"/>
  <c r="F13" i="4" s="1"/>
  <c r="H14" i="3"/>
  <c r="F14" i="4" s="1"/>
  <c r="H15" i="3"/>
  <c r="F15" i="4" s="1"/>
  <c r="H16" i="3"/>
  <c r="F16" i="4" s="1"/>
  <c r="H17" i="3"/>
  <c r="F17" i="4" s="1"/>
  <c r="H18" i="3"/>
  <c r="F18" i="4" s="1"/>
  <c r="H19" i="3"/>
  <c r="F19" i="4" s="1"/>
  <c r="H20" i="3"/>
  <c r="F20" i="4" s="1"/>
  <c r="H21" i="3"/>
  <c r="F21" i="4" s="1"/>
  <c r="H22" i="3"/>
  <c r="F22" i="4" s="1"/>
  <c r="H23" i="3"/>
  <c r="F23" i="4" s="1"/>
  <c r="H24" i="3"/>
  <c r="F24" i="4" s="1"/>
  <c r="H25" i="3"/>
  <c r="F25" i="4" s="1"/>
  <c r="H26" i="3"/>
  <c r="F26" i="4" s="1"/>
  <c r="H27" i="3"/>
  <c r="F27" i="4" s="1"/>
  <c r="H28" i="3"/>
  <c r="F28" i="4" s="1"/>
  <c r="H29" i="3"/>
  <c r="F29" i="4" s="1"/>
  <c r="H30" i="3"/>
  <c r="F30" i="4" s="1"/>
  <c r="H31" i="3"/>
  <c r="F31" i="4" s="1"/>
  <c r="H32" i="3"/>
  <c r="F32" i="4" s="1"/>
  <c r="H33" i="3"/>
  <c r="F33" i="4" s="1"/>
  <c r="H34" i="3"/>
  <c r="F34" i="4" s="1"/>
  <c r="H35" i="3"/>
  <c r="F35" i="4" s="1"/>
  <c r="H36" i="3"/>
  <c r="F36" i="4" s="1"/>
  <c r="H37" i="3"/>
  <c r="F37" i="4" s="1"/>
  <c r="H38" i="3"/>
  <c r="F38" i="4" s="1"/>
  <c r="H39" i="3"/>
  <c r="F39" i="4" s="1"/>
  <c r="H40" i="3"/>
  <c r="F40" i="4" s="1"/>
  <c r="H41" i="3"/>
  <c r="F41" i="4" s="1"/>
  <c r="H42" i="3"/>
  <c r="F42" i="4" s="1"/>
  <c r="H43" i="3"/>
  <c r="F43" i="4" s="1"/>
  <c r="H44" i="3"/>
  <c r="F44" i="4" s="1"/>
  <c r="H45" i="3"/>
  <c r="F45" i="4" s="1"/>
  <c r="H46" i="3"/>
  <c r="F46" i="4" s="1"/>
  <c r="H47" i="3"/>
  <c r="F47" i="4" s="1"/>
  <c r="H48" i="3"/>
  <c r="F48" i="4" s="1"/>
  <c r="H49" i="3"/>
  <c r="F49" i="4" s="1"/>
  <c r="H50" i="3"/>
  <c r="F50" i="4" s="1"/>
  <c r="H51" i="3"/>
  <c r="F51" i="4" s="1"/>
  <c r="H52" i="3"/>
  <c r="F52" i="4" s="1"/>
  <c r="H53" i="3"/>
  <c r="F53" i="4" s="1"/>
  <c r="H54" i="3"/>
  <c r="F54" i="4" s="1"/>
  <c r="H55" i="3"/>
  <c r="F55" i="4" s="1"/>
  <c r="H56" i="3"/>
  <c r="F56" i="4" s="1"/>
  <c r="H57" i="3"/>
  <c r="F57" i="4" s="1"/>
  <c r="H58" i="3"/>
  <c r="F58" i="4" s="1"/>
  <c r="H59" i="3"/>
  <c r="F59" i="4" s="1"/>
  <c r="H60" i="3"/>
  <c r="F60" i="4" s="1"/>
  <c r="H61" i="3"/>
  <c r="F61" i="4" s="1"/>
  <c r="H62" i="3"/>
  <c r="F62" i="4" s="1"/>
  <c r="H63" i="3"/>
  <c r="F63" i="4" s="1"/>
  <c r="H64" i="3"/>
  <c r="F64" i="4" s="1"/>
  <c r="H65" i="3"/>
  <c r="F65" i="4" s="1"/>
  <c r="H66" i="3"/>
  <c r="F66" i="4" s="1"/>
  <c r="H67" i="3"/>
  <c r="F67" i="4" s="1"/>
  <c r="H68" i="3"/>
  <c r="F68" i="4" s="1"/>
  <c r="H69" i="3"/>
  <c r="F69" i="4" s="1"/>
  <c r="H70" i="3"/>
  <c r="F70" i="4" s="1"/>
  <c r="H71" i="3"/>
  <c r="F71" i="4" s="1"/>
  <c r="H72" i="3"/>
  <c r="F72" i="4" s="1"/>
  <c r="H73" i="3"/>
  <c r="F73" i="4" s="1"/>
  <c r="H74" i="3"/>
  <c r="F74" i="4" s="1"/>
  <c r="H75" i="3"/>
  <c r="F75" i="4" s="1"/>
  <c r="H76" i="3"/>
  <c r="F76" i="4" s="1"/>
  <c r="H77" i="3"/>
  <c r="F77" i="4" s="1"/>
  <c r="H78" i="3"/>
  <c r="F78" i="4" s="1"/>
  <c r="H79" i="3"/>
  <c r="F79" i="4" s="1"/>
  <c r="H80" i="3"/>
  <c r="F80" i="4" s="1"/>
  <c r="H81" i="3"/>
  <c r="F81" i="4" s="1"/>
  <c r="H82" i="3"/>
  <c r="F82" i="4" s="1"/>
  <c r="H83" i="3"/>
  <c r="F83" i="4" s="1"/>
  <c r="H84" i="3"/>
  <c r="F84" i="4" s="1"/>
  <c r="H85" i="3"/>
  <c r="F85" i="4" s="1"/>
  <c r="H86" i="3"/>
  <c r="F86" i="4" s="1"/>
  <c r="H87" i="3"/>
  <c r="F87" i="4" s="1"/>
  <c r="H88" i="3"/>
  <c r="F88" i="4" s="1"/>
  <c r="H89" i="3"/>
  <c r="F89" i="4" s="1"/>
  <c r="H90" i="3"/>
  <c r="F90" i="4" s="1"/>
  <c r="H91" i="3"/>
  <c r="F91" i="4" s="1"/>
  <c r="H92" i="3"/>
  <c r="F92" i="4" s="1"/>
  <c r="H93" i="3"/>
  <c r="F93" i="4" s="1"/>
  <c r="H94" i="3"/>
  <c r="F94" i="4" s="1"/>
  <c r="H95" i="3"/>
  <c r="F95" i="4" s="1"/>
  <c r="H96" i="3"/>
  <c r="F96" i="4" s="1"/>
  <c r="H97" i="3"/>
  <c r="F97" i="4" s="1"/>
  <c r="H98" i="3"/>
  <c r="F98" i="4" s="1"/>
  <c r="H99" i="3"/>
  <c r="F99" i="4" s="1"/>
  <c r="H100" i="3"/>
  <c r="F100" i="4" s="1"/>
  <c r="H101" i="3"/>
  <c r="F101" i="4" s="1"/>
  <c r="H102" i="3"/>
  <c r="F102" i="4" s="1"/>
  <c r="H103" i="3"/>
  <c r="F103" i="4" s="1"/>
  <c r="H104" i="3"/>
  <c r="F104" i="4" s="1"/>
  <c r="H105" i="3"/>
  <c r="F105" i="4" s="1"/>
  <c r="H106" i="3"/>
  <c r="F106" i="4" s="1"/>
  <c r="H107" i="3"/>
  <c r="F107" i="4" s="1"/>
  <c r="H108" i="3"/>
  <c r="F108" i="4" s="1"/>
  <c r="H109" i="3"/>
  <c r="F109" i="4" s="1"/>
  <c r="H110" i="3"/>
  <c r="F110" i="4" s="1"/>
  <c r="H111" i="3"/>
  <c r="F111" i="4" s="1"/>
  <c r="H112" i="3"/>
  <c r="F112" i="4" s="1"/>
  <c r="H113" i="3"/>
  <c r="F113" i="4" s="1"/>
  <c r="H114" i="3"/>
  <c r="F114" i="4" s="1"/>
  <c r="H115" i="3"/>
  <c r="F115" i="4" s="1"/>
  <c r="H116" i="3"/>
  <c r="F116" i="4" s="1"/>
  <c r="H117" i="3"/>
  <c r="F117" i="4" s="1"/>
  <c r="H118" i="3"/>
  <c r="F118" i="4" s="1"/>
  <c r="H119" i="3"/>
  <c r="F119" i="4" s="1"/>
  <c r="H120" i="3"/>
  <c r="F120" i="4" s="1"/>
  <c r="H121" i="3"/>
  <c r="F121" i="4" s="1"/>
  <c r="H122" i="3"/>
  <c r="F122" i="4" s="1"/>
  <c r="H123" i="3"/>
  <c r="F123" i="4" s="1"/>
  <c r="H124" i="3"/>
  <c r="F124" i="4" s="1"/>
  <c r="H125" i="3"/>
  <c r="F125" i="4" s="1"/>
  <c r="H126" i="3"/>
  <c r="F126" i="4" s="1"/>
  <c r="H127" i="3"/>
  <c r="F127" i="4" s="1"/>
  <c r="H128" i="3"/>
  <c r="F128" i="4" s="1"/>
  <c r="H129" i="3"/>
  <c r="F129" i="4" s="1"/>
  <c r="H130" i="3"/>
  <c r="F130" i="4" s="1"/>
  <c r="H131" i="3"/>
  <c r="F131" i="4" s="1"/>
  <c r="H132" i="3"/>
  <c r="F132" i="4" s="1"/>
  <c r="H133" i="3"/>
  <c r="F133" i="4" s="1"/>
  <c r="H134" i="3"/>
  <c r="F134" i="4" s="1"/>
  <c r="H135" i="3"/>
  <c r="F135" i="4" s="1"/>
  <c r="H136" i="3"/>
  <c r="F136" i="4" s="1"/>
  <c r="H137" i="3"/>
  <c r="F137" i="4" s="1"/>
  <c r="H138" i="3"/>
  <c r="F138" i="4" s="1"/>
  <c r="H139" i="3"/>
  <c r="F139" i="4" s="1"/>
  <c r="H140" i="3"/>
  <c r="F140" i="4" s="1"/>
  <c r="H141" i="3"/>
  <c r="F141" i="4" s="1"/>
  <c r="H142" i="3"/>
  <c r="F142" i="4" s="1"/>
  <c r="H143" i="3"/>
  <c r="F143" i="4" s="1"/>
  <c r="H144" i="3"/>
  <c r="F144" i="4" s="1"/>
  <c r="H145" i="3"/>
  <c r="F145" i="4" s="1"/>
  <c r="H146" i="3"/>
  <c r="F146" i="4" s="1"/>
  <c r="H147" i="3"/>
  <c r="F147" i="4" s="1"/>
  <c r="H148" i="3"/>
  <c r="F148" i="4" s="1"/>
  <c r="H149" i="3"/>
  <c r="F149" i="4" s="1"/>
  <c r="H150" i="3"/>
  <c r="F150" i="4" s="1"/>
  <c r="H151" i="3"/>
  <c r="F151" i="4" s="1"/>
  <c r="H152" i="3"/>
  <c r="F152" i="4" s="1"/>
  <c r="H153" i="3"/>
  <c r="F153" i="4" s="1"/>
  <c r="H154" i="3"/>
  <c r="F154" i="4" s="1"/>
  <c r="H155" i="3"/>
  <c r="F155" i="4" s="1"/>
  <c r="H156" i="3"/>
  <c r="F156" i="4" s="1"/>
  <c r="H157" i="3"/>
  <c r="F157" i="4" s="1"/>
  <c r="H158" i="3"/>
  <c r="F158" i="4" s="1"/>
  <c r="H159" i="3"/>
  <c r="F159" i="4" s="1"/>
  <c r="H160" i="3"/>
  <c r="F160" i="4" s="1"/>
  <c r="H161" i="3"/>
  <c r="F161" i="4" s="1"/>
  <c r="H162" i="3"/>
  <c r="F162" i="4" s="1"/>
  <c r="H163" i="3"/>
  <c r="F163" i="4" s="1"/>
  <c r="H164" i="3"/>
  <c r="F164" i="4" s="1"/>
  <c r="H165" i="3"/>
  <c r="F165" i="4" s="1"/>
  <c r="H166" i="3"/>
  <c r="F166" i="4" s="1"/>
  <c r="H167" i="3"/>
  <c r="F167" i="4" s="1"/>
  <c r="H168" i="3"/>
  <c r="F168" i="4" s="1"/>
  <c r="H169" i="3"/>
  <c r="F169" i="4" s="1"/>
  <c r="H170" i="3"/>
  <c r="F170" i="4" s="1"/>
  <c r="H171" i="3"/>
  <c r="F171" i="4" s="1"/>
  <c r="H172" i="3"/>
  <c r="F172" i="4" s="1"/>
  <c r="H173" i="3"/>
  <c r="F173" i="4" s="1"/>
  <c r="H174" i="3"/>
  <c r="F174" i="4" s="1"/>
  <c r="H175" i="3"/>
  <c r="F175" i="4" s="1"/>
  <c r="H176" i="3"/>
  <c r="F176" i="4" s="1"/>
  <c r="H177" i="3"/>
  <c r="F177" i="4" s="1"/>
  <c r="H178" i="3"/>
  <c r="F178" i="4" s="1"/>
  <c r="H179" i="3"/>
  <c r="F179" i="4" s="1"/>
  <c r="H180" i="3"/>
  <c r="F180" i="4" s="1"/>
  <c r="H181" i="3"/>
  <c r="F181" i="4" s="1"/>
  <c r="H182" i="3"/>
  <c r="F182" i="4" s="1"/>
  <c r="H183" i="3"/>
  <c r="F183" i="4" s="1"/>
  <c r="H184" i="3"/>
  <c r="F184" i="4" s="1"/>
  <c r="H185" i="3"/>
  <c r="F185" i="4" s="1"/>
  <c r="H186" i="3"/>
  <c r="F186" i="4" s="1"/>
  <c r="H187" i="3"/>
  <c r="F187" i="4" s="1"/>
  <c r="H188" i="3"/>
  <c r="F188" i="4" s="1"/>
  <c r="H189" i="3"/>
  <c r="F189" i="4" s="1"/>
  <c r="H190" i="3"/>
  <c r="F190" i="4" s="1"/>
  <c r="H191" i="3"/>
  <c r="F191" i="4" s="1"/>
  <c r="H192" i="3"/>
  <c r="F192" i="4" s="1"/>
  <c r="H193" i="3"/>
  <c r="F193" i="4" s="1"/>
  <c r="H194" i="3"/>
  <c r="F194" i="4" s="1"/>
  <c r="H195" i="3"/>
  <c r="F195" i="4" s="1"/>
  <c r="H196" i="3"/>
  <c r="F196" i="4" s="1"/>
  <c r="H197" i="3"/>
  <c r="F197" i="4" s="1"/>
  <c r="H198" i="3"/>
  <c r="F198" i="4" s="1"/>
  <c r="H199" i="3"/>
  <c r="F199" i="4" s="1"/>
  <c r="H200" i="3"/>
  <c r="F200" i="4" s="1"/>
  <c r="H201" i="3"/>
  <c r="F201" i="4" s="1"/>
  <c r="H202" i="3"/>
  <c r="F202" i="4" s="1"/>
  <c r="H203" i="3"/>
  <c r="F203" i="4" s="1"/>
  <c r="H204" i="3"/>
  <c r="F204" i="4" s="1"/>
  <c r="H205" i="3"/>
  <c r="F205" i="4" s="1"/>
  <c r="H206" i="3"/>
  <c r="F206" i="4" s="1"/>
  <c r="H207" i="3"/>
  <c r="F207" i="4" s="1"/>
  <c r="H208" i="3"/>
  <c r="F208" i="4" s="1"/>
  <c r="H209" i="3"/>
  <c r="F209" i="4" s="1"/>
  <c r="H210" i="3"/>
  <c r="F210" i="4" s="1"/>
  <c r="H211" i="3"/>
  <c r="F211" i="4" s="1"/>
  <c r="H212" i="3"/>
  <c r="F212" i="4" s="1"/>
  <c r="H213" i="3"/>
  <c r="F213" i="4" s="1"/>
  <c r="H214" i="3"/>
  <c r="F214" i="4" s="1"/>
  <c r="H215" i="3"/>
  <c r="F215" i="4" s="1"/>
  <c r="H216" i="3"/>
  <c r="F216" i="4" s="1"/>
  <c r="H217" i="3"/>
  <c r="F217" i="4" s="1"/>
  <c r="H218" i="3"/>
  <c r="F218" i="4" s="1"/>
  <c r="H219" i="3"/>
  <c r="F219" i="4" s="1"/>
  <c r="H220" i="3"/>
  <c r="F220" i="4" s="1"/>
  <c r="H221" i="3"/>
  <c r="F221" i="4" s="1"/>
  <c r="H222" i="3"/>
  <c r="F222" i="4" s="1"/>
  <c r="H223" i="3"/>
  <c r="F223" i="4" s="1"/>
  <c r="H224" i="3"/>
  <c r="F224" i="4" s="1"/>
  <c r="H225" i="3"/>
  <c r="F225" i="4" s="1"/>
  <c r="H226" i="3"/>
  <c r="F226" i="4" s="1"/>
  <c r="H227" i="3"/>
  <c r="F227" i="4" s="1"/>
  <c r="H228" i="3"/>
  <c r="F228" i="4" s="1"/>
  <c r="H229" i="3"/>
  <c r="F229" i="4" s="1"/>
  <c r="H230" i="3"/>
  <c r="F230" i="4" s="1"/>
  <c r="H231" i="3"/>
  <c r="F231" i="4" s="1"/>
  <c r="H232" i="3"/>
  <c r="F232" i="4" s="1"/>
  <c r="H233" i="3"/>
  <c r="F233" i="4" s="1"/>
  <c r="H234" i="3"/>
  <c r="F234" i="4" s="1"/>
  <c r="H235" i="3"/>
  <c r="F235" i="4" s="1"/>
  <c r="H236" i="3"/>
  <c r="F236" i="4" s="1"/>
  <c r="H237" i="3"/>
  <c r="F237" i="4" s="1"/>
  <c r="H238" i="3"/>
  <c r="F238" i="4" s="1"/>
  <c r="H239" i="3"/>
  <c r="F239" i="4" s="1"/>
  <c r="H240" i="3"/>
  <c r="F240" i="4" s="1"/>
  <c r="H241" i="3"/>
  <c r="F241" i="4" s="1"/>
  <c r="H242" i="3"/>
  <c r="F242" i="4" s="1"/>
  <c r="H243" i="3"/>
  <c r="F243" i="4" s="1"/>
  <c r="H244" i="3"/>
  <c r="F244" i="4" s="1"/>
  <c r="H245" i="3"/>
  <c r="F245" i="4" s="1"/>
  <c r="H246" i="3"/>
  <c r="F246" i="4" s="1"/>
  <c r="H247" i="3"/>
  <c r="F247" i="4" s="1"/>
  <c r="H248" i="3"/>
  <c r="F248" i="4" s="1"/>
  <c r="H249" i="3"/>
  <c r="F249" i="4" s="1"/>
  <c r="H250" i="3"/>
  <c r="F250" i="4" s="1"/>
  <c r="H251" i="3"/>
  <c r="F251" i="4" s="1"/>
  <c r="H252" i="3"/>
  <c r="F252" i="4" s="1"/>
  <c r="H253" i="3"/>
  <c r="F253" i="4" s="1"/>
  <c r="H254" i="3"/>
  <c r="F254" i="4" s="1"/>
  <c r="H255" i="3"/>
  <c r="F255" i="4" s="1"/>
  <c r="H256" i="3"/>
  <c r="F256" i="4" s="1"/>
  <c r="H257" i="3"/>
  <c r="F257" i="4" s="1"/>
  <c r="H258" i="3"/>
  <c r="F258" i="4" s="1"/>
  <c r="H259" i="3"/>
  <c r="F259" i="4" s="1"/>
  <c r="H260" i="3"/>
  <c r="F260" i="4" s="1"/>
  <c r="H261" i="3"/>
  <c r="F261" i="4" s="1"/>
  <c r="H262" i="3"/>
  <c r="F262" i="4" s="1"/>
  <c r="H263" i="3"/>
  <c r="F263" i="4" s="1"/>
  <c r="H264" i="3"/>
  <c r="F264" i="4" s="1"/>
  <c r="H265" i="3"/>
  <c r="F265" i="4" s="1"/>
  <c r="H266" i="3"/>
  <c r="F266" i="4" s="1"/>
  <c r="H267" i="3"/>
  <c r="F267" i="4" s="1"/>
  <c r="H268" i="3"/>
  <c r="F268" i="4" s="1"/>
  <c r="H269" i="3"/>
  <c r="F269" i="4" s="1"/>
  <c r="H270" i="3"/>
  <c r="F270" i="4" s="1"/>
  <c r="H271" i="3"/>
  <c r="F271" i="4" s="1"/>
  <c r="H272" i="3"/>
  <c r="F272" i="4" s="1"/>
  <c r="H273" i="3"/>
  <c r="F273" i="4" s="1"/>
  <c r="H274" i="3"/>
  <c r="F274" i="4" s="1"/>
  <c r="H275" i="3"/>
  <c r="F275" i="4" s="1"/>
  <c r="H276" i="3"/>
  <c r="F276" i="4" s="1"/>
  <c r="H277" i="3"/>
  <c r="F277" i="4" s="1"/>
  <c r="H278" i="3"/>
  <c r="F278" i="4" s="1"/>
  <c r="H279" i="3"/>
  <c r="F279" i="4" s="1"/>
  <c r="H280" i="3"/>
  <c r="F280" i="4" s="1"/>
  <c r="H281" i="3"/>
  <c r="F281" i="4" s="1"/>
  <c r="H282" i="3"/>
  <c r="F282" i="4" s="1"/>
  <c r="H283" i="3"/>
  <c r="F283" i="4" s="1"/>
  <c r="H284" i="3"/>
  <c r="F284" i="4" s="1"/>
  <c r="H285" i="3"/>
  <c r="F285" i="4" s="1"/>
  <c r="H286" i="3"/>
  <c r="F286" i="4" s="1"/>
  <c r="H287" i="3"/>
  <c r="F287" i="4" s="1"/>
  <c r="H288" i="3"/>
  <c r="F288" i="4" s="1"/>
  <c r="H289" i="3"/>
  <c r="F289" i="4" s="1"/>
  <c r="H290" i="3"/>
  <c r="F290" i="4" s="1"/>
  <c r="H291" i="3"/>
  <c r="F291" i="4" s="1"/>
  <c r="H292" i="3"/>
  <c r="F292" i="4" s="1"/>
  <c r="H293" i="3"/>
  <c r="F293" i="4" s="1"/>
  <c r="H294" i="3"/>
  <c r="F294" i="4" s="1"/>
  <c r="H295" i="3"/>
  <c r="F295" i="4" s="1"/>
  <c r="H296" i="3"/>
  <c r="F296" i="4" s="1"/>
  <c r="H297" i="3"/>
  <c r="F297" i="4" s="1"/>
  <c r="H298" i="3"/>
  <c r="F298" i="4" s="1"/>
  <c r="H299" i="3"/>
  <c r="F299" i="4" s="1"/>
  <c r="H300" i="3"/>
  <c r="F300" i="4" s="1"/>
  <c r="H301" i="3"/>
  <c r="F301" i="4" s="1"/>
  <c r="H302" i="3"/>
  <c r="F302" i="4" s="1"/>
  <c r="H303" i="3"/>
  <c r="F303" i="4" s="1"/>
  <c r="H304" i="3"/>
  <c r="F304" i="4" s="1"/>
  <c r="H305" i="3"/>
  <c r="F305" i="4" s="1"/>
  <c r="H306" i="3"/>
  <c r="F306" i="4" s="1"/>
  <c r="H307" i="3"/>
  <c r="F307" i="4" s="1"/>
  <c r="H308" i="3"/>
  <c r="F308" i="4" s="1"/>
  <c r="H309" i="3"/>
  <c r="F309" i="4" s="1"/>
  <c r="H310" i="3"/>
  <c r="F310" i="4" s="1"/>
  <c r="H311" i="3"/>
  <c r="F311" i="4" s="1"/>
  <c r="H312" i="3"/>
  <c r="F312" i="4" s="1"/>
  <c r="H313" i="3"/>
  <c r="F313" i="4" s="1"/>
  <c r="H314" i="3"/>
  <c r="F314" i="4" s="1"/>
  <c r="H315" i="3"/>
  <c r="F315" i="4" s="1"/>
  <c r="H316" i="3"/>
  <c r="F316" i="4" s="1"/>
  <c r="H317" i="3"/>
  <c r="F317" i="4" s="1"/>
  <c r="H318" i="3"/>
  <c r="F318" i="4" s="1"/>
  <c r="H319" i="3"/>
  <c r="F319" i="4" s="1"/>
  <c r="H320" i="3"/>
  <c r="F320" i="4" s="1"/>
  <c r="H321" i="3"/>
  <c r="F321" i="4" s="1"/>
  <c r="H322" i="3"/>
  <c r="F322" i="4" s="1"/>
  <c r="H323" i="3"/>
  <c r="F323" i="4" s="1"/>
  <c r="H324" i="3"/>
  <c r="F324" i="4" s="1"/>
  <c r="H325" i="3"/>
  <c r="F325" i="4" s="1"/>
  <c r="H326" i="3"/>
  <c r="F326" i="4" s="1"/>
  <c r="H327" i="3"/>
  <c r="F327" i="4" s="1"/>
  <c r="H328" i="3"/>
  <c r="F328" i="4" s="1"/>
  <c r="H329" i="3"/>
  <c r="F329" i="4" s="1"/>
  <c r="H330" i="3"/>
  <c r="F330" i="4" s="1"/>
  <c r="H331" i="3"/>
  <c r="F331" i="4" s="1"/>
  <c r="H332" i="3"/>
  <c r="F332" i="4" s="1"/>
  <c r="H333" i="3"/>
  <c r="F333" i="4" s="1"/>
  <c r="H334" i="3"/>
  <c r="F334" i="4" s="1"/>
  <c r="H335" i="3"/>
  <c r="F335" i="4" s="1"/>
  <c r="H336" i="3"/>
  <c r="F336" i="4" s="1"/>
  <c r="H337" i="3"/>
  <c r="F337" i="4" s="1"/>
  <c r="H338" i="3"/>
  <c r="F338" i="4" s="1"/>
  <c r="H339" i="3"/>
  <c r="F339" i="4" s="1"/>
  <c r="H340" i="3"/>
  <c r="F340" i="4" s="1"/>
  <c r="H341" i="3"/>
  <c r="F341" i="4" s="1"/>
  <c r="H342" i="3"/>
  <c r="F342" i="4" s="1"/>
  <c r="H343" i="3"/>
  <c r="F343" i="4" s="1"/>
  <c r="H344" i="3"/>
  <c r="F344" i="4" s="1"/>
  <c r="H345" i="3"/>
  <c r="F345" i="4" s="1"/>
  <c r="H346" i="3"/>
  <c r="F346" i="4" s="1"/>
  <c r="H347" i="3"/>
  <c r="F347" i="4" s="1"/>
  <c r="H348" i="3"/>
  <c r="F348" i="4" s="1"/>
  <c r="H349" i="3"/>
  <c r="F349" i="4" s="1"/>
  <c r="H350" i="3"/>
  <c r="F350" i="4" s="1"/>
  <c r="H351" i="3"/>
  <c r="F351" i="4" s="1"/>
  <c r="H352" i="3"/>
  <c r="F352" i="4" s="1"/>
  <c r="H353" i="3"/>
  <c r="F353" i="4" s="1"/>
  <c r="H354" i="3"/>
  <c r="F354" i="4" s="1"/>
  <c r="H355" i="3"/>
  <c r="F355" i="4" s="1"/>
  <c r="H356" i="3"/>
  <c r="F356" i="4" s="1"/>
  <c r="H357" i="3"/>
  <c r="F357" i="4" s="1"/>
  <c r="H358" i="3"/>
  <c r="F358" i="4" s="1"/>
  <c r="H359" i="3"/>
  <c r="F359" i="4" s="1"/>
  <c r="H360" i="3"/>
  <c r="F360" i="4" s="1"/>
  <c r="H361" i="3"/>
  <c r="F361" i="4" s="1"/>
  <c r="H362" i="3"/>
  <c r="F362" i="4" s="1"/>
  <c r="H363" i="3"/>
  <c r="F363" i="4" s="1"/>
  <c r="H364" i="3"/>
  <c r="F364" i="4" s="1"/>
  <c r="H365" i="3"/>
  <c r="F365" i="4" s="1"/>
  <c r="H366" i="3"/>
  <c r="F366" i="4" s="1"/>
  <c r="H367" i="3"/>
  <c r="F367" i="4" s="1"/>
  <c r="H368" i="3"/>
  <c r="F368" i="4" s="1"/>
  <c r="H369" i="3"/>
  <c r="F369" i="4" s="1"/>
  <c r="H370" i="3"/>
  <c r="F370" i="4" s="1"/>
  <c r="H371" i="3"/>
  <c r="F371" i="4" s="1"/>
  <c r="H372" i="3"/>
  <c r="F372" i="4" s="1"/>
  <c r="H373" i="3"/>
  <c r="F373" i="4" s="1"/>
  <c r="H374" i="3"/>
  <c r="F374" i="4" s="1"/>
  <c r="H375" i="3"/>
  <c r="F375" i="4" s="1"/>
  <c r="H376" i="3"/>
  <c r="F376" i="4" s="1"/>
  <c r="H377" i="3"/>
  <c r="F377" i="4" s="1"/>
  <c r="H378" i="3"/>
  <c r="F378" i="4" s="1"/>
  <c r="H379" i="3"/>
  <c r="F379" i="4" s="1"/>
  <c r="H380" i="3"/>
  <c r="F380" i="4" s="1"/>
  <c r="H381" i="3"/>
  <c r="F381" i="4" s="1"/>
  <c r="H382" i="3"/>
  <c r="F382" i="4" s="1"/>
  <c r="H383" i="3"/>
  <c r="F383" i="4" s="1"/>
  <c r="H384" i="3"/>
  <c r="F384" i="4" s="1"/>
  <c r="H385" i="3"/>
  <c r="F385" i="4" s="1"/>
  <c r="H386" i="3"/>
  <c r="F386" i="4" s="1"/>
  <c r="H387" i="3"/>
  <c r="F387" i="4" s="1"/>
  <c r="H388" i="3"/>
  <c r="F388" i="4" s="1"/>
  <c r="H389" i="3"/>
  <c r="F389" i="4" s="1"/>
  <c r="H390" i="3"/>
  <c r="F390" i="4" s="1"/>
  <c r="H391" i="3"/>
  <c r="F391" i="4" s="1"/>
  <c r="H392" i="3"/>
  <c r="F392" i="4" s="1"/>
  <c r="H393" i="3"/>
  <c r="F393" i="4" s="1"/>
  <c r="H394" i="3"/>
  <c r="F394" i="4" s="1"/>
  <c r="H395" i="3"/>
  <c r="F395" i="4" s="1"/>
  <c r="H396" i="3"/>
  <c r="F396" i="4" s="1"/>
  <c r="H397" i="3"/>
  <c r="F397" i="4" s="1"/>
  <c r="H398" i="3"/>
  <c r="F398" i="4" s="1"/>
  <c r="H399" i="3"/>
  <c r="F399" i="4" s="1"/>
  <c r="H400" i="3"/>
  <c r="F400" i="4" s="1"/>
  <c r="H401" i="3"/>
  <c r="F401" i="4" s="1"/>
  <c r="H402" i="3"/>
  <c r="F402" i="4" s="1"/>
  <c r="H403" i="3"/>
  <c r="F403" i="4" s="1"/>
  <c r="H404" i="3"/>
  <c r="F404" i="4" s="1"/>
  <c r="H405" i="3"/>
  <c r="F405" i="4" s="1"/>
  <c r="H406" i="3"/>
  <c r="F406" i="4" s="1"/>
  <c r="H407" i="3"/>
  <c r="F407" i="4" s="1"/>
  <c r="H408" i="3"/>
  <c r="F408" i="4" s="1"/>
  <c r="H409" i="3"/>
  <c r="F409" i="4" s="1"/>
  <c r="H410" i="3"/>
  <c r="F410" i="4" s="1"/>
  <c r="H411" i="3"/>
  <c r="F411" i="4" s="1"/>
  <c r="H412" i="3"/>
  <c r="F412" i="4" s="1"/>
  <c r="H413" i="3"/>
  <c r="F413" i="4" s="1"/>
  <c r="H414" i="3"/>
  <c r="F414" i="4" s="1"/>
  <c r="H415" i="3"/>
  <c r="F415" i="4" s="1"/>
  <c r="H416" i="3"/>
  <c r="F416" i="4" s="1"/>
  <c r="H417" i="3"/>
  <c r="F417" i="4" s="1"/>
  <c r="H418" i="3"/>
  <c r="F418" i="4" s="1"/>
  <c r="H419" i="3"/>
  <c r="F419" i="4" s="1"/>
  <c r="H420" i="3"/>
  <c r="F420" i="4" s="1"/>
  <c r="H421" i="3"/>
  <c r="F421" i="4" s="1"/>
  <c r="H422" i="3"/>
  <c r="F422" i="4" s="1"/>
  <c r="H423" i="3"/>
  <c r="F423" i="4" s="1"/>
  <c r="H424" i="3"/>
  <c r="F424" i="4" s="1"/>
  <c r="H425" i="3"/>
  <c r="F425" i="4" s="1"/>
  <c r="H426" i="3"/>
  <c r="F426" i="4" s="1"/>
  <c r="H427" i="3"/>
  <c r="F427" i="4" s="1"/>
  <c r="H428" i="3"/>
  <c r="F428" i="4" s="1"/>
  <c r="H429" i="3"/>
  <c r="F429" i="4" s="1"/>
  <c r="H430" i="3"/>
  <c r="F430" i="4" s="1"/>
  <c r="H431" i="3"/>
  <c r="F431" i="4" s="1"/>
  <c r="H432" i="3"/>
  <c r="F432" i="4" s="1"/>
  <c r="H433" i="3"/>
  <c r="F433" i="4" s="1"/>
  <c r="H434" i="3"/>
  <c r="F434" i="4" s="1"/>
  <c r="H435" i="3"/>
  <c r="F435" i="4" s="1"/>
  <c r="H436" i="3"/>
  <c r="F436" i="4" s="1"/>
  <c r="H437" i="3"/>
  <c r="F437" i="4" s="1"/>
  <c r="H438" i="3"/>
  <c r="F438" i="4" s="1"/>
  <c r="H439" i="3"/>
  <c r="F439" i="4" s="1"/>
  <c r="H440" i="3"/>
  <c r="F440" i="4" s="1"/>
  <c r="H441" i="3"/>
  <c r="F441" i="4" s="1"/>
  <c r="H442" i="3"/>
  <c r="F442" i="4" s="1"/>
  <c r="H443" i="3"/>
  <c r="F443" i="4" s="1"/>
  <c r="H444" i="3"/>
  <c r="F444" i="4" s="1"/>
  <c r="H445" i="3"/>
  <c r="F445" i="4" s="1"/>
  <c r="H446" i="3"/>
  <c r="F446" i="4" s="1"/>
  <c r="H447" i="3"/>
  <c r="F447" i="4" s="1"/>
  <c r="H448" i="3"/>
  <c r="F448" i="4" s="1"/>
  <c r="H449" i="3"/>
  <c r="F449" i="4" s="1"/>
  <c r="H450" i="3"/>
  <c r="F450" i="4" s="1"/>
  <c r="H451" i="3"/>
  <c r="F451" i="4" s="1"/>
  <c r="H452" i="3"/>
  <c r="F452" i="4" s="1"/>
  <c r="H453" i="3"/>
  <c r="F453" i="4" s="1"/>
  <c r="H454" i="3"/>
  <c r="F454" i="4" s="1"/>
  <c r="H455" i="3"/>
  <c r="F455" i="4" s="1"/>
  <c r="H456" i="3"/>
  <c r="F456" i="4" s="1"/>
  <c r="H457" i="3"/>
  <c r="F457" i="4" s="1"/>
  <c r="H458" i="3"/>
  <c r="F458" i="4" s="1"/>
  <c r="H459" i="3"/>
  <c r="F459" i="4" s="1"/>
  <c r="H460" i="3"/>
  <c r="F460" i="4" s="1"/>
  <c r="H461" i="3"/>
  <c r="F461" i="4" s="1"/>
  <c r="H462" i="3"/>
  <c r="F462" i="4" s="1"/>
  <c r="H463" i="3"/>
  <c r="F463" i="4" s="1"/>
  <c r="H464" i="3"/>
  <c r="F464" i="4" s="1"/>
  <c r="H465" i="3"/>
  <c r="F465" i="4" s="1"/>
  <c r="H466" i="3"/>
  <c r="F466" i="4" s="1"/>
  <c r="H467" i="3"/>
  <c r="F467" i="4" s="1"/>
  <c r="H468" i="3"/>
  <c r="F468" i="4" s="1"/>
  <c r="H469" i="3"/>
  <c r="F469" i="4" s="1"/>
  <c r="H470" i="3"/>
  <c r="F470" i="4" s="1"/>
  <c r="H471" i="3"/>
  <c r="F471" i="4" s="1"/>
  <c r="H472" i="3"/>
  <c r="F472" i="4" s="1"/>
  <c r="H473" i="3"/>
  <c r="F473" i="4" s="1"/>
  <c r="H474" i="3"/>
  <c r="F474" i="4" s="1"/>
  <c r="H475" i="3"/>
  <c r="F475" i="4" s="1"/>
  <c r="H476" i="3"/>
  <c r="F476" i="4" s="1"/>
  <c r="H477" i="3"/>
  <c r="F477" i="4" s="1"/>
  <c r="H478" i="3"/>
  <c r="F478" i="4" s="1"/>
  <c r="H479" i="3"/>
  <c r="F479" i="4" s="1"/>
  <c r="H480" i="3"/>
  <c r="F480" i="4" s="1"/>
  <c r="H481" i="3"/>
  <c r="F481" i="4" s="1"/>
  <c r="H482" i="3"/>
  <c r="F482" i="4" s="1"/>
  <c r="H483" i="3"/>
  <c r="F483" i="4" s="1"/>
  <c r="H484" i="3"/>
  <c r="F484" i="4" s="1"/>
  <c r="H485" i="3"/>
  <c r="F485" i="4" s="1"/>
  <c r="H486" i="3"/>
  <c r="F486" i="4" s="1"/>
  <c r="H487" i="3"/>
  <c r="F487" i="4" s="1"/>
  <c r="H488" i="3"/>
  <c r="F488" i="4" s="1"/>
  <c r="H489" i="3"/>
  <c r="F489" i="4" s="1"/>
  <c r="H490" i="3"/>
  <c r="F490" i="4" s="1"/>
  <c r="H491" i="3"/>
  <c r="F491" i="4" s="1"/>
  <c r="H492" i="3"/>
  <c r="F492" i="4" s="1"/>
  <c r="H493" i="3"/>
  <c r="F493" i="4" s="1"/>
  <c r="H494" i="3"/>
  <c r="F494" i="4" s="1"/>
  <c r="H495" i="3"/>
  <c r="F495" i="4" s="1"/>
  <c r="H496" i="3"/>
  <c r="F496" i="4" s="1"/>
  <c r="H497" i="3"/>
  <c r="F497" i="4" s="1"/>
  <c r="H498" i="3"/>
  <c r="F498" i="4" s="1"/>
  <c r="H499" i="3"/>
  <c r="F499" i="4" s="1"/>
  <c r="H500" i="3"/>
  <c r="F500" i="4" s="1"/>
  <c r="H501" i="3"/>
  <c r="F501" i="4" s="1"/>
  <c r="H502" i="3"/>
  <c r="F502" i="4" s="1"/>
  <c r="H503" i="3"/>
  <c r="F503" i="4" s="1"/>
  <c r="H504" i="3"/>
  <c r="F504" i="4" s="1"/>
  <c r="H505" i="3"/>
  <c r="F505" i="4" s="1"/>
  <c r="H506" i="3"/>
  <c r="F506" i="4" s="1"/>
  <c r="H507" i="3"/>
  <c r="F507" i="4" s="1"/>
  <c r="H508" i="3"/>
  <c r="F508" i="4" s="1"/>
  <c r="H509" i="3"/>
  <c r="F509" i="4" s="1"/>
  <c r="H510" i="3"/>
  <c r="F510" i="4" s="1"/>
  <c r="H511" i="3"/>
  <c r="F511" i="4" s="1"/>
  <c r="H512" i="3"/>
  <c r="F512" i="4" s="1"/>
  <c r="H513" i="3"/>
  <c r="F513" i="4" s="1"/>
  <c r="H514" i="3"/>
  <c r="F514" i="4" s="1"/>
  <c r="H515" i="3"/>
  <c r="F515" i="4" s="1"/>
  <c r="H516" i="3"/>
  <c r="F516" i="4" s="1"/>
  <c r="H517" i="3"/>
  <c r="F517" i="4" s="1"/>
  <c r="H518" i="3"/>
  <c r="F518" i="4" s="1"/>
  <c r="H519" i="3"/>
  <c r="F519" i="4" s="1"/>
  <c r="H520" i="3"/>
  <c r="F520" i="4" s="1"/>
  <c r="H521" i="3"/>
  <c r="F521" i="4" s="1"/>
  <c r="H522" i="3"/>
  <c r="F522" i="4" s="1"/>
  <c r="H523" i="3"/>
  <c r="F523" i="4" s="1"/>
  <c r="H524" i="3"/>
  <c r="F524" i="4" s="1"/>
  <c r="H525" i="3"/>
  <c r="F525" i="4" s="1"/>
  <c r="H526" i="3"/>
  <c r="F526" i="4" s="1"/>
  <c r="H527" i="3"/>
  <c r="F527" i="4" s="1"/>
  <c r="H528" i="3"/>
  <c r="F528" i="4" s="1"/>
  <c r="H529" i="3"/>
  <c r="F529" i="4" s="1"/>
  <c r="H530" i="3"/>
  <c r="F530" i="4" s="1"/>
  <c r="H531" i="3"/>
  <c r="F531" i="4" s="1"/>
  <c r="H532" i="3"/>
  <c r="F532" i="4" s="1"/>
  <c r="H533" i="3"/>
  <c r="F533" i="4" s="1"/>
  <c r="H534" i="3"/>
  <c r="F534" i="4" s="1"/>
  <c r="H535" i="3"/>
  <c r="F535" i="4" s="1"/>
  <c r="H536" i="3"/>
  <c r="F536" i="4" s="1"/>
  <c r="H537" i="3"/>
  <c r="F537" i="4" s="1"/>
  <c r="H538" i="3"/>
  <c r="F538" i="4" s="1"/>
  <c r="H539" i="3"/>
  <c r="F539" i="4" s="1"/>
  <c r="H540" i="3"/>
  <c r="F540" i="4" s="1"/>
  <c r="H541" i="3"/>
  <c r="F541" i="4" s="1"/>
  <c r="H542" i="3"/>
  <c r="F542" i="4" s="1"/>
  <c r="H543" i="3"/>
  <c r="F543" i="4" s="1"/>
  <c r="H544" i="3"/>
  <c r="F544" i="4" s="1"/>
  <c r="H545" i="3"/>
  <c r="F545" i="4" s="1"/>
  <c r="H546" i="3"/>
  <c r="F546" i="4" s="1"/>
  <c r="H547" i="3"/>
  <c r="F547" i="4" s="1"/>
  <c r="H548" i="3"/>
  <c r="F548" i="4" s="1"/>
  <c r="H549" i="3"/>
  <c r="F549" i="4" s="1"/>
  <c r="H550" i="3"/>
  <c r="F550" i="4" s="1"/>
  <c r="H551" i="3"/>
  <c r="F551" i="4" s="1"/>
  <c r="H552" i="3"/>
  <c r="F552" i="4" s="1"/>
  <c r="H553" i="3"/>
  <c r="F553" i="4" s="1"/>
  <c r="H554" i="3"/>
  <c r="F554" i="4" s="1"/>
  <c r="H555" i="3"/>
  <c r="F555" i="4" s="1"/>
  <c r="H556" i="3"/>
  <c r="F556" i="4" s="1"/>
  <c r="H557" i="3"/>
  <c r="F557" i="4" s="1"/>
  <c r="H558" i="3"/>
  <c r="F558" i="4" s="1"/>
  <c r="H559" i="3"/>
  <c r="F559" i="4" s="1"/>
  <c r="H560" i="3"/>
  <c r="F560" i="4" s="1"/>
  <c r="H561" i="3"/>
  <c r="F561" i="4" s="1"/>
  <c r="H562" i="3"/>
  <c r="F562" i="4" s="1"/>
  <c r="H563" i="3"/>
  <c r="F563" i="4" s="1"/>
  <c r="H564" i="3"/>
  <c r="F564" i="4" s="1"/>
  <c r="H565" i="3"/>
  <c r="F565" i="4" s="1"/>
  <c r="H566" i="3"/>
  <c r="F566" i="4" s="1"/>
  <c r="H567" i="3"/>
  <c r="F567" i="4" s="1"/>
  <c r="H568" i="3"/>
  <c r="F568" i="4" s="1"/>
  <c r="H569" i="3"/>
  <c r="F569" i="4" s="1"/>
  <c r="H570" i="3"/>
  <c r="F570" i="4" s="1"/>
  <c r="H571" i="3"/>
  <c r="F571" i="4" s="1"/>
  <c r="H572" i="3"/>
  <c r="F572" i="4" s="1"/>
  <c r="H573" i="3"/>
  <c r="F573" i="4" s="1"/>
  <c r="H574" i="3"/>
  <c r="F574" i="4" s="1"/>
  <c r="H575" i="3"/>
  <c r="F575" i="4" s="1"/>
  <c r="H576" i="3"/>
  <c r="F576" i="4" s="1"/>
  <c r="H577" i="3"/>
  <c r="F577" i="4" s="1"/>
  <c r="H578" i="3"/>
  <c r="F578" i="4" s="1"/>
  <c r="H579" i="3"/>
  <c r="F579" i="4" s="1"/>
  <c r="H580" i="3"/>
  <c r="F580" i="4" s="1"/>
  <c r="H581" i="3"/>
  <c r="F581" i="4" s="1"/>
  <c r="H582" i="3"/>
  <c r="F582" i="4" s="1"/>
  <c r="H583" i="3"/>
  <c r="F583" i="4" s="1"/>
  <c r="H584" i="3"/>
  <c r="F584" i="4" s="1"/>
  <c r="H585" i="3"/>
  <c r="F585" i="4" s="1"/>
  <c r="H586" i="3"/>
  <c r="F586" i="4" s="1"/>
  <c r="H587" i="3"/>
  <c r="F587" i="4" s="1"/>
  <c r="H588" i="3"/>
  <c r="F588" i="4" s="1"/>
  <c r="H589" i="3"/>
  <c r="F589" i="4" s="1"/>
  <c r="H590" i="3"/>
  <c r="F590" i="4" s="1"/>
  <c r="H591" i="3"/>
  <c r="F591" i="4" s="1"/>
  <c r="H592" i="3"/>
  <c r="F592" i="4" s="1"/>
  <c r="H593" i="3"/>
  <c r="F593" i="4" s="1"/>
  <c r="H594" i="3"/>
  <c r="F594" i="4" s="1"/>
  <c r="H595" i="3"/>
  <c r="F595" i="4" s="1"/>
  <c r="H596" i="3"/>
  <c r="F596" i="4" s="1"/>
  <c r="H597" i="3"/>
  <c r="F597" i="4" s="1"/>
  <c r="H598" i="3"/>
  <c r="F598" i="4" s="1"/>
  <c r="H599" i="3"/>
  <c r="F599" i="4" s="1"/>
  <c r="H600" i="3"/>
  <c r="F600" i="4" s="1"/>
  <c r="H601" i="3"/>
  <c r="F601" i="4" s="1"/>
  <c r="H602" i="3"/>
  <c r="F602" i="4" s="1"/>
  <c r="H603" i="3"/>
  <c r="F603" i="4" s="1"/>
  <c r="H604" i="3"/>
  <c r="F604" i="4" s="1"/>
  <c r="H605" i="3"/>
  <c r="F605" i="4" s="1"/>
  <c r="H606" i="3"/>
  <c r="F606" i="4" s="1"/>
  <c r="H607" i="3"/>
  <c r="F607" i="4" s="1"/>
  <c r="H608" i="3"/>
  <c r="F608" i="4" s="1"/>
  <c r="H609" i="3"/>
  <c r="F609" i="4" s="1"/>
  <c r="H610" i="3"/>
  <c r="F610" i="4" s="1"/>
  <c r="H611" i="3"/>
  <c r="F611" i="4" s="1"/>
  <c r="H612" i="3"/>
  <c r="F612" i="4" s="1"/>
  <c r="H613" i="3"/>
  <c r="F613" i="4" s="1"/>
  <c r="H614" i="3"/>
  <c r="F614" i="4" s="1"/>
  <c r="H615" i="3"/>
  <c r="F615" i="4" s="1"/>
  <c r="H616" i="3"/>
  <c r="F616" i="4" s="1"/>
  <c r="H617" i="3"/>
  <c r="F617" i="4" s="1"/>
  <c r="H618" i="3"/>
  <c r="F618" i="4" s="1"/>
  <c r="H619" i="3"/>
  <c r="F619" i="4" s="1"/>
  <c r="H620" i="3"/>
  <c r="F620" i="4" s="1"/>
  <c r="H621" i="3"/>
  <c r="F621" i="4" s="1"/>
  <c r="H622" i="3"/>
  <c r="F622" i="4" s="1"/>
  <c r="H623" i="3"/>
  <c r="F623" i="4" s="1"/>
  <c r="H624" i="3"/>
  <c r="F624" i="4" s="1"/>
  <c r="H625" i="3"/>
  <c r="F625" i="4" s="1"/>
  <c r="H626" i="3"/>
  <c r="F626" i="4" s="1"/>
  <c r="H627" i="3"/>
  <c r="F627" i="4" s="1"/>
  <c r="H628" i="3"/>
  <c r="F628" i="4" s="1"/>
  <c r="H629" i="3"/>
  <c r="F629" i="4" s="1"/>
  <c r="H630" i="3"/>
  <c r="F630" i="4" s="1"/>
  <c r="H631" i="3"/>
  <c r="F631" i="4" s="1"/>
  <c r="H632" i="3"/>
  <c r="F632" i="4" s="1"/>
  <c r="H633" i="3"/>
  <c r="F633" i="4" s="1"/>
  <c r="H634" i="3"/>
  <c r="F634" i="4" s="1"/>
  <c r="H635" i="3"/>
  <c r="F635" i="4" s="1"/>
  <c r="H636" i="3"/>
  <c r="F636" i="4" s="1"/>
  <c r="H637" i="3"/>
  <c r="F637" i="4" s="1"/>
  <c r="H638" i="3"/>
  <c r="F638" i="4" s="1"/>
  <c r="H639" i="3"/>
  <c r="F639" i="4" s="1"/>
  <c r="H640" i="3"/>
  <c r="F640" i="4" s="1"/>
  <c r="H641" i="3"/>
  <c r="F641" i="4" s="1"/>
  <c r="H642" i="3"/>
  <c r="F642" i="4" s="1"/>
  <c r="H643" i="3"/>
  <c r="F643" i="4" s="1"/>
  <c r="H644" i="3"/>
  <c r="F644" i="4" s="1"/>
  <c r="H645" i="3"/>
  <c r="F645" i="4" s="1"/>
  <c r="H646" i="3"/>
  <c r="F646" i="4" s="1"/>
  <c r="H647" i="3"/>
  <c r="F647" i="4" s="1"/>
  <c r="H648" i="3"/>
  <c r="F648" i="4" s="1"/>
  <c r="H649" i="3"/>
  <c r="F649" i="4" s="1"/>
  <c r="H650" i="3"/>
  <c r="F650" i="4" s="1"/>
  <c r="H651" i="3"/>
  <c r="F651" i="4" s="1"/>
  <c r="H652" i="3"/>
  <c r="F652" i="4" s="1"/>
  <c r="H653" i="3"/>
  <c r="F653" i="4" s="1"/>
  <c r="H654" i="3"/>
  <c r="F654" i="4" s="1"/>
  <c r="H655" i="3"/>
  <c r="F655" i="4" s="1"/>
  <c r="H656" i="3"/>
  <c r="F656" i="4" s="1"/>
  <c r="H657" i="3"/>
  <c r="F657" i="4" s="1"/>
  <c r="H658" i="3"/>
  <c r="F658" i="4" s="1"/>
  <c r="H659" i="3"/>
  <c r="F659" i="4" s="1"/>
  <c r="H660" i="3"/>
  <c r="F660" i="4" s="1"/>
  <c r="H661" i="3"/>
  <c r="F661" i="4" s="1"/>
  <c r="H662" i="3"/>
  <c r="F662" i="4" s="1"/>
  <c r="H663" i="3"/>
  <c r="F663" i="4" s="1"/>
  <c r="H664" i="3"/>
  <c r="F664" i="4" s="1"/>
  <c r="H665" i="3"/>
  <c r="F665" i="4" s="1"/>
  <c r="H666" i="3"/>
  <c r="F666" i="4" s="1"/>
  <c r="H667" i="3"/>
  <c r="F667" i="4" s="1"/>
  <c r="H668" i="3"/>
  <c r="F668" i="4" s="1"/>
  <c r="H669" i="3"/>
  <c r="F669" i="4" s="1"/>
  <c r="H670" i="3"/>
  <c r="F670" i="4" s="1"/>
  <c r="H671" i="3"/>
  <c r="F671" i="4" s="1"/>
  <c r="H672" i="3"/>
  <c r="F672" i="4" s="1"/>
  <c r="H673" i="3"/>
  <c r="F673" i="4" s="1"/>
  <c r="H674" i="3"/>
  <c r="F674" i="4" s="1"/>
  <c r="H675" i="3"/>
  <c r="F675" i="4" s="1"/>
  <c r="H676" i="3"/>
  <c r="F676" i="4" s="1"/>
  <c r="H677" i="3"/>
  <c r="F677" i="4" s="1"/>
  <c r="H678" i="3"/>
  <c r="F678" i="4" s="1"/>
  <c r="H679" i="3"/>
  <c r="F679" i="4" s="1"/>
  <c r="H680" i="3"/>
  <c r="F680" i="4" s="1"/>
  <c r="H681" i="3"/>
  <c r="F681" i="4" s="1"/>
  <c r="H682" i="3"/>
  <c r="F682" i="4" s="1"/>
  <c r="H683" i="3"/>
  <c r="F683" i="4" s="1"/>
  <c r="H684" i="3"/>
  <c r="F684" i="4" s="1"/>
  <c r="H685" i="3"/>
  <c r="F685" i="4" s="1"/>
  <c r="H686" i="3"/>
  <c r="F686" i="4" s="1"/>
  <c r="H687" i="3"/>
  <c r="F687" i="4" s="1"/>
  <c r="H688" i="3"/>
  <c r="F688" i="4" s="1"/>
  <c r="H689" i="3"/>
  <c r="F689" i="4" s="1"/>
  <c r="H690" i="3"/>
  <c r="F690" i="4" s="1"/>
  <c r="H691" i="3"/>
  <c r="F691" i="4" s="1"/>
  <c r="H692" i="3"/>
  <c r="F692" i="4" s="1"/>
  <c r="H693" i="3"/>
  <c r="F693" i="4" s="1"/>
  <c r="H694" i="3"/>
  <c r="F694" i="4" s="1"/>
  <c r="H695" i="3"/>
  <c r="F695" i="4" s="1"/>
  <c r="H696" i="3"/>
  <c r="F696" i="4" s="1"/>
  <c r="H697" i="3"/>
  <c r="F697" i="4" s="1"/>
  <c r="H698" i="3"/>
  <c r="F698" i="4" s="1"/>
  <c r="H699" i="3"/>
  <c r="F699" i="4" s="1"/>
  <c r="H700" i="3"/>
  <c r="F700" i="4" s="1"/>
  <c r="H701" i="3"/>
  <c r="F701" i="4" s="1"/>
  <c r="H702" i="3"/>
  <c r="F702" i="4" s="1"/>
  <c r="H703" i="3"/>
  <c r="F703" i="4" s="1"/>
  <c r="H704" i="3"/>
  <c r="F704" i="4" s="1"/>
  <c r="H705" i="3"/>
  <c r="F705" i="4" s="1"/>
  <c r="H706" i="3"/>
  <c r="F706" i="4" s="1"/>
  <c r="H707" i="3"/>
  <c r="F707" i="4" s="1"/>
  <c r="H708" i="3"/>
  <c r="F708" i="4" s="1"/>
  <c r="H709" i="3"/>
  <c r="F709" i="4" s="1"/>
  <c r="H710" i="3"/>
  <c r="F710" i="4" s="1"/>
  <c r="H711" i="3"/>
  <c r="F711" i="4" s="1"/>
  <c r="H712" i="3"/>
  <c r="F712" i="4" s="1"/>
  <c r="H713" i="3"/>
  <c r="F713" i="4" s="1"/>
  <c r="H714" i="3"/>
  <c r="F714" i="4" s="1"/>
  <c r="H715" i="3"/>
  <c r="F715" i="4" s="1"/>
  <c r="H716" i="3"/>
  <c r="F716" i="4" s="1"/>
  <c r="H717" i="3"/>
  <c r="F717" i="4" s="1"/>
  <c r="H718" i="3"/>
  <c r="F718" i="4" s="1"/>
  <c r="H719" i="3"/>
  <c r="F719" i="4" s="1"/>
  <c r="H720" i="3"/>
  <c r="F720" i="4" s="1"/>
  <c r="H721" i="3"/>
  <c r="F721" i="4" s="1"/>
  <c r="H722" i="3"/>
  <c r="F722" i="4" s="1"/>
  <c r="H723" i="3"/>
  <c r="F723" i="4" s="1"/>
  <c r="H724" i="3"/>
  <c r="F724" i="4" s="1"/>
  <c r="H725" i="3"/>
  <c r="F725" i="4" s="1"/>
  <c r="H726" i="3"/>
  <c r="F726" i="4" s="1"/>
  <c r="H727" i="3"/>
  <c r="F727" i="4" s="1"/>
  <c r="H728" i="3"/>
  <c r="F728" i="4" s="1"/>
  <c r="H729" i="3"/>
  <c r="F729" i="4" s="1"/>
  <c r="H730" i="3"/>
  <c r="F730" i="4" s="1"/>
  <c r="H731" i="3"/>
  <c r="F731" i="4" s="1"/>
  <c r="H732" i="3"/>
  <c r="F732" i="4" s="1"/>
  <c r="H733" i="3"/>
  <c r="F733" i="4" s="1"/>
  <c r="H734" i="3"/>
  <c r="F734" i="4" s="1"/>
  <c r="H735" i="3"/>
  <c r="F735" i="4" s="1"/>
  <c r="H736" i="3"/>
  <c r="F736" i="4" s="1"/>
  <c r="H737" i="3"/>
  <c r="F737" i="4" s="1"/>
  <c r="H738" i="3"/>
  <c r="F738" i="4" s="1"/>
  <c r="H739" i="3"/>
  <c r="F739" i="4" s="1"/>
  <c r="H740" i="3"/>
  <c r="F740" i="4" s="1"/>
  <c r="H741" i="3"/>
  <c r="F741" i="4" s="1"/>
  <c r="H742" i="3"/>
  <c r="F742" i="4" s="1"/>
  <c r="H743" i="3"/>
  <c r="F743" i="4" s="1"/>
  <c r="H744" i="3"/>
  <c r="F744" i="4" s="1"/>
  <c r="H745" i="3"/>
  <c r="F745" i="4" s="1"/>
  <c r="H746" i="3"/>
  <c r="F746" i="4" s="1"/>
  <c r="H747" i="3"/>
  <c r="F747" i="4" s="1"/>
  <c r="H748" i="3"/>
  <c r="F748" i="4" s="1"/>
  <c r="H749" i="3"/>
  <c r="F749" i="4" s="1"/>
  <c r="H750" i="3"/>
  <c r="F750" i="4" s="1"/>
  <c r="H751" i="3"/>
  <c r="F751" i="4" s="1"/>
  <c r="H752" i="3"/>
  <c r="F752" i="4" s="1"/>
  <c r="H753" i="3"/>
  <c r="F753" i="4" s="1"/>
  <c r="H754" i="3"/>
  <c r="F754" i="4" s="1"/>
  <c r="H755" i="3"/>
  <c r="F755" i="4" s="1"/>
  <c r="H756" i="3"/>
  <c r="F756" i="4" s="1"/>
  <c r="H757" i="3"/>
  <c r="F757" i="4" s="1"/>
  <c r="H758" i="3"/>
  <c r="F758" i="4" s="1"/>
  <c r="H759" i="3"/>
  <c r="F759" i="4" s="1"/>
  <c r="H760" i="3"/>
  <c r="F760" i="4" s="1"/>
  <c r="H761" i="3"/>
  <c r="F761" i="4" s="1"/>
  <c r="H762" i="3"/>
  <c r="F762" i="4" s="1"/>
  <c r="H763" i="3"/>
  <c r="F763" i="4" s="1"/>
  <c r="H764" i="3"/>
  <c r="F764" i="4" s="1"/>
  <c r="H765" i="3"/>
  <c r="F765" i="4" s="1"/>
  <c r="H766" i="3"/>
  <c r="F766" i="4" s="1"/>
  <c r="H767" i="3"/>
  <c r="F767" i="4" s="1"/>
  <c r="H768" i="3"/>
  <c r="F768" i="4" s="1"/>
  <c r="H769" i="3"/>
  <c r="F769" i="4" s="1"/>
  <c r="H770" i="3"/>
  <c r="F770" i="4" s="1"/>
  <c r="H771" i="3"/>
  <c r="F771" i="4" s="1"/>
  <c r="H772" i="3"/>
  <c r="F772" i="4" s="1"/>
  <c r="H773" i="3"/>
  <c r="F773" i="4" s="1"/>
  <c r="H774" i="3"/>
  <c r="F774" i="4" s="1"/>
  <c r="H775" i="3"/>
  <c r="F775" i="4" s="1"/>
  <c r="H776" i="3"/>
  <c r="F776" i="4" s="1"/>
  <c r="H777" i="3"/>
  <c r="F777" i="4" s="1"/>
  <c r="H778" i="3"/>
  <c r="F778" i="4" s="1"/>
  <c r="H779" i="3"/>
  <c r="F779" i="4" s="1"/>
  <c r="H780" i="3"/>
  <c r="F780" i="4" s="1"/>
  <c r="H781" i="3"/>
  <c r="F781" i="4" s="1"/>
  <c r="H782" i="3"/>
  <c r="F782" i="4" s="1"/>
  <c r="H783" i="3"/>
  <c r="F783" i="4" s="1"/>
  <c r="H784" i="3"/>
  <c r="F784" i="4" s="1"/>
  <c r="H785" i="3"/>
  <c r="F785" i="4" s="1"/>
  <c r="H786" i="3"/>
  <c r="F786" i="4" s="1"/>
  <c r="H787" i="3"/>
  <c r="F787" i="4" s="1"/>
  <c r="H788" i="3"/>
  <c r="F788" i="4" s="1"/>
  <c r="H789" i="3"/>
  <c r="F789" i="4" s="1"/>
  <c r="H790" i="3"/>
  <c r="F790" i="4" s="1"/>
  <c r="H791" i="3"/>
  <c r="F791" i="4" s="1"/>
  <c r="H792" i="3"/>
  <c r="F792" i="4" s="1"/>
  <c r="H793" i="3"/>
  <c r="F793" i="4" s="1"/>
  <c r="H794" i="3"/>
  <c r="F794" i="4" s="1"/>
  <c r="H795" i="3"/>
  <c r="F795" i="4" s="1"/>
  <c r="H796" i="3"/>
  <c r="F796" i="4" s="1"/>
  <c r="H797" i="3"/>
  <c r="F797" i="4" s="1"/>
  <c r="H798" i="3"/>
  <c r="F798" i="4" s="1"/>
  <c r="H799" i="3"/>
  <c r="F799" i="4" s="1"/>
  <c r="H800" i="3"/>
  <c r="F800" i="4" s="1"/>
  <c r="H801" i="3"/>
  <c r="F801" i="4" s="1"/>
  <c r="F2" i="3"/>
  <c r="D2" i="4" s="1"/>
  <c r="F3" i="3"/>
  <c r="D3" i="4" s="1"/>
  <c r="F4" i="3"/>
  <c r="D4" i="4" s="1"/>
  <c r="F5" i="3"/>
  <c r="D5" i="4" s="1"/>
  <c r="F6" i="3"/>
  <c r="D6" i="4" s="1"/>
  <c r="F7" i="3"/>
  <c r="D7" i="4" s="1"/>
  <c r="F8" i="3"/>
  <c r="D8" i="4" s="1"/>
  <c r="F9" i="3"/>
  <c r="D9" i="4" s="1"/>
  <c r="F10" i="3"/>
  <c r="D10" i="4" s="1"/>
  <c r="F11" i="3"/>
  <c r="D11" i="4" s="1"/>
  <c r="F12" i="3"/>
  <c r="D12" i="4" s="1"/>
  <c r="F13" i="3"/>
  <c r="D13" i="4" s="1"/>
  <c r="F14" i="3"/>
  <c r="D14" i="4" s="1"/>
  <c r="F15" i="3"/>
  <c r="D15" i="4" s="1"/>
  <c r="F16" i="3"/>
  <c r="D16" i="4" s="1"/>
  <c r="F17" i="3"/>
  <c r="D17" i="4" s="1"/>
  <c r="F18" i="3"/>
  <c r="D18" i="4" s="1"/>
  <c r="F19" i="3"/>
  <c r="D19" i="4" s="1"/>
  <c r="F20" i="3"/>
  <c r="D20" i="4" s="1"/>
  <c r="F21" i="3"/>
  <c r="D21" i="4" s="1"/>
  <c r="F22" i="3"/>
  <c r="D22" i="4" s="1"/>
  <c r="F23" i="3"/>
  <c r="D23" i="4" s="1"/>
  <c r="F24" i="3"/>
  <c r="D24" i="4" s="1"/>
  <c r="F25" i="3"/>
  <c r="D25" i="4" s="1"/>
  <c r="F26" i="3"/>
  <c r="D26" i="4" s="1"/>
  <c r="F27" i="3"/>
  <c r="D27" i="4" s="1"/>
  <c r="F28" i="3"/>
  <c r="D28" i="4" s="1"/>
  <c r="F29" i="3"/>
  <c r="D29" i="4" s="1"/>
  <c r="F30" i="3"/>
  <c r="D30" i="4" s="1"/>
  <c r="F31" i="3"/>
  <c r="D31" i="4" s="1"/>
  <c r="F32" i="3"/>
  <c r="D32" i="4" s="1"/>
  <c r="F33" i="3"/>
  <c r="D33" i="4" s="1"/>
  <c r="F34" i="3"/>
  <c r="D34" i="4" s="1"/>
  <c r="F35" i="3"/>
  <c r="D35" i="4" s="1"/>
  <c r="F36" i="3"/>
  <c r="D36" i="4" s="1"/>
  <c r="F37" i="3"/>
  <c r="D37" i="4" s="1"/>
  <c r="F38" i="3"/>
  <c r="D38" i="4" s="1"/>
  <c r="F39" i="3"/>
  <c r="D39" i="4" s="1"/>
  <c r="F40" i="3"/>
  <c r="D40" i="4" s="1"/>
  <c r="F41" i="3"/>
  <c r="D41" i="4" s="1"/>
  <c r="F42" i="3"/>
  <c r="D42" i="4" s="1"/>
  <c r="F43" i="3"/>
  <c r="D43" i="4" s="1"/>
  <c r="F44" i="3"/>
  <c r="D44" i="4" s="1"/>
  <c r="F45" i="3"/>
  <c r="D45" i="4" s="1"/>
  <c r="F46" i="3"/>
  <c r="D46" i="4" s="1"/>
  <c r="F47" i="3"/>
  <c r="D47" i="4" s="1"/>
  <c r="F48" i="3"/>
  <c r="D48" i="4" s="1"/>
  <c r="F49" i="3"/>
  <c r="D49" i="4" s="1"/>
  <c r="F50" i="3"/>
  <c r="D50" i="4" s="1"/>
  <c r="F51" i="3"/>
  <c r="D51" i="4" s="1"/>
  <c r="F52" i="3"/>
  <c r="D52" i="4" s="1"/>
  <c r="F53" i="3"/>
  <c r="D53" i="4" s="1"/>
  <c r="F54" i="3"/>
  <c r="D54" i="4" s="1"/>
  <c r="F55" i="3"/>
  <c r="D55" i="4" s="1"/>
  <c r="F56" i="3"/>
  <c r="D56" i="4" s="1"/>
  <c r="F57" i="3"/>
  <c r="D57" i="4" s="1"/>
  <c r="F58" i="3"/>
  <c r="D58" i="4" s="1"/>
  <c r="F59" i="3"/>
  <c r="D59" i="4" s="1"/>
  <c r="F60" i="3"/>
  <c r="D60" i="4" s="1"/>
  <c r="F61" i="3"/>
  <c r="D61" i="4" s="1"/>
  <c r="F62" i="3"/>
  <c r="D62" i="4" s="1"/>
  <c r="F63" i="3"/>
  <c r="D63" i="4" s="1"/>
  <c r="F64" i="3"/>
  <c r="D64" i="4" s="1"/>
  <c r="F65" i="3"/>
  <c r="D65" i="4" s="1"/>
  <c r="F66" i="3"/>
  <c r="D66" i="4" s="1"/>
  <c r="F67" i="3"/>
  <c r="D67" i="4" s="1"/>
  <c r="F68" i="3"/>
  <c r="D68" i="4" s="1"/>
  <c r="F69" i="3"/>
  <c r="D69" i="4" s="1"/>
  <c r="F70" i="3"/>
  <c r="D70" i="4" s="1"/>
  <c r="F71" i="3"/>
  <c r="D71" i="4" s="1"/>
  <c r="F72" i="3"/>
  <c r="D72" i="4" s="1"/>
  <c r="F73" i="3"/>
  <c r="D73" i="4" s="1"/>
  <c r="F74" i="3"/>
  <c r="D74" i="4" s="1"/>
  <c r="F75" i="3"/>
  <c r="D75" i="4" s="1"/>
  <c r="F76" i="3"/>
  <c r="D76" i="4" s="1"/>
  <c r="F77" i="3"/>
  <c r="D77" i="4" s="1"/>
  <c r="F78" i="3"/>
  <c r="D78" i="4" s="1"/>
  <c r="F79" i="3"/>
  <c r="D79" i="4" s="1"/>
  <c r="F80" i="3"/>
  <c r="D80" i="4" s="1"/>
  <c r="F81" i="3"/>
  <c r="D81" i="4" s="1"/>
  <c r="F82" i="3"/>
  <c r="D82" i="4" s="1"/>
  <c r="F83" i="3"/>
  <c r="D83" i="4" s="1"/>
  <c r="F84" i="3"/>
  <c r="D84" i="4" s="1"/>
  <c r="F85" i="3"/>
  <c r="D85" i="4" s="1"/>
  <c r="F86" i="3"/>
  <c r="D86" i="4" s="1"/>
  <c r="F87" i="3"/>
  <c r="D87" i="4" s="1"/>
  <c r="F88" i="3"/>
  <c r="D88" i="4" s="1"/>
  <c r="F89" i="3"/>
  <c r="D89" i="4" s="1"/>
  <c r="F90" i="3"/>
  <c r="D90" i="4" s="1"/>
  <c r="F91" i="3"/>
  <c r="D91" i="4" s="1"/>
  <c r="F92" i="3"/>
  <c r="D92" i="4" s="1"/>
  <c r="F93" i="3"/>
  <c r="D93" i="4" s="1"/>
  <c r="F94" i="3"/>
  <c r="D94" i="4" s="1"/>
  <c r="F95" i="3"/>
  <c r="D95" i="4" s="1"/>
  <c r="F96" i="3"/>
  <c r="D96" i="4" s="1"/>
  <c r="F97" i="3"/>
  <c r="D97" i="4" s="1"/>
  <c r="F98" i="3"/>
  <c r="D98" i="4" s="1"/>
  <c r="F99" i="3"/>
  <c r="D99" i="4" s="1"/>
  <c r="F100" i="3"/>
  <c r="D100" i="4" s="1"/>
  <c r="F101" i="3"/>
  <c r="D101" i="4" s="1"/>
  <c r="F102" i="3"/>
  <c r="D102" i="4" s="1"/>
  <c r="F103" i="3"/>
  <c r="D103" i="4" s="1"/>
  <c r="F104" i="3"/>
  <c r="D104" i="4" s="1"/>
  <c r="F105" i="3"/>
  <c r="D105" i="4" s="1"/>
  <c r="F106" i="3"/>
  <c r="D106" i="4" s="1"/>
  <c r="F107" i="3"/>
  <c r="D107" i="4" s="1"/>
  <c r="F108" i="3"/>
  <c r="D108" i="4" s="1"/>
  <c r="F109" i="3"/>
  <c r="D109" i="4" s="1"/>
  <c r="F110" i="3"/>
  <c r="D110" i="4" s="1"/>
  <c r="F111" i="3"/>
  <c r="D111" i="4" s="1"/>
  <c r="F112" i="3"/>
  <c r="D112" i="4" s="1"/>
  <c r="F113" i="3"/>
  <c r="D113" i="4" s="1"/>
  <c r="F114" i="3"/>
  <c r="D114" i="4" s="1"/>
  <c r="F115" i="3"/>
  <c r="D115" i="4" s="1"/>
  <c r="F116" i="3"/>
  <c r="D116" i="4" s="1"/>
  <c r="F117" i="3"/>
  <c r="D117" i="4" s="1"/>
  <c r="F118" i="3"/>
  <c r="D118" i="4" s="1"/>
  <c r="F119" i="3"/>
  <c r="D119" i="4" s="1"/>
  <c r="F120" i="3"/>
  <c r="D120" i="4" s="1"/>
  <c r="F121" i="3"/>
  <c r="D121" i="4" s="1"/>
  <c r="F122" i="3"/>
  <c r="D122" i="4" s="1"/>
  <c r="F123" i="3"/>
  <c r="D123" i="4" s="1"/>
  <c r="F124" i="3"/>
  <c r="D124" i="4" s="1"/>
  <c r="F125" i="3"/>
  <c r="D125" i="4" s="1"/>
  <c r="F126" i="3"/>
  <c r="D126" i="4" s="1"/>
  <c r="F127" i="3"/>
  <c r="D127" i="4" s="1"/>
  <c r="F128" i="3"/>
  <c r="D128" i="4" s="1"/>
  <c r="F129" i="3"/>
  <c r="D129" i="4" s="1"/>
  <c r="F130" i="3"/>
  <c r="D130" i="4" s="1"/>
  <c r="F131" i="3"/>
  <c r="D131" i="4" s="1"/>
  <c r="F132" i="3"/>
  <c r="D132" i="4" s="1"/>
  <c r="F133" i="3"/>
  <c r="D133" i="4" s="1"/>
  <c r="F134" i="3"/>
  <c r="D134" i="4" s="1"/>
  <c r="F135" i="3"/>
  <c r="D135" i="4" s="1"/>
  <c r="F136" i="3"/>
  <c r="D136" i="4" s="1"/>
  <c r="F137" i="3"/>
  <c r="D137" i="4" s="1"/>
  <c r="F138" i="3"/>
  <c r="D138" i="4" s="1"/>
  <c r="F139" i="3"/>
  <c r="D139" i="4" s="1"/>
  <c r="F140" i="3"/>
  <c r="D140" i="4" s="1"/>
  <c r="F141" i="3"/>
  <c r="D141" i="4" s="1"/>
  <c r="F142" i="3"/>
  <c r="D142" i="4" s="1"/>
  <c r="F143" i="3"/>
  <c r="D143" i="4" s="1"/>
  <c r="F144" i="3"/>
  <c r="D144" i="4" s="1"/>
  <c r="F145" i="3"/>
  <c r="D145" i="4" s="1"/>
  <c r="F146" i="3"/>
  <c r="D146" i="4" s="1"/>
  <c r="F147" i="3"/>
  <c r="D147" i="4" s="1"/>
  <c r="F148" i="3"/>
  <c r="D148" i="4" s="1"/>
  <c r="F149" i="3"/>
  <c r="D149" i="4" s="1"/>
  <c r="F150" i="3"/>
  <c r="D150" i="4" s="1"/>
  <c r="F151" i="3"/>
  <c r="D151" i="4" s="1"/>
  <c r="F152" i="3"/>
  <c r="D152" i="4" s="1"/>
  <c r="F153" i="3"/>
  <c r="D153" i="4" s="1"/>
  <c r="F154" i="3"/>
  <c r="D154" i="4" s="1"/>
  <c r="F155" i="3"/>
  <c r="D155" i="4" s="1"/>
  <c r="F156" i="3"/>
  <c r="D156" i="4" s="1"/>
  <c r="F157" i="3"/>
  <c r="D157" i="4" s="1"/>
  <c r="F158" i="3"/>
  <c r="D158" i="4" s="1"/>
  <c r="F159" i="3"/>
  <c r="D159" i="4" s="1"/>
  <c r="F160" i="3"/>
  <c r="D160" i="4" s="1"/>
  <c r="F161" i="3"/>
  <c r="D161" i="4" s="1"/>
  <c r="F162" i="3"/>
  <c r="D162" i="4" s="1"/>
  <c r="F163" i="3"/>
  <c r="D163" i="4" s="1"/>
  <c r="F164" i="3"/>
  <c r="D164" i="4" s="1"/>
  <c r="F165" i="3"/>
  <c r="D165" i="4" s="1"/>
  <c r="F166" i="3"/>
  <c r="D166" i="4" s="1"/>
  <c r="F167" i="3"/>
  <c r="D167" i="4" s="1"/>
  <c r="F168" i="3"/>
  <c r="D168" i="4" s="1"/>
  <c r="F169" i="3"/>
  <c r="D169" i="4" s="1"/>
  <c r="F170" i="3"/>
  <c r="D170" i="4" s="1"/>
  <c r="F171" i="3"/>
  <c r="D171" i="4" s="1"/>
  <c r="F172" i="3"/>
  <c r="D172" i="4" s="1"/>
  <c r="F173" i="3"/>
  <c r="D173" i="4" s="1"/>
  <c r="F174" i="3"/>
  <c r="D174" i="4" s="1"/>
  <c r="F175" i="3"/>
  <c r="D175" i="4" s="1"/>
  <c r="F176" i="3"/>
  <c r="D176" i="4" s="1"/>
  <c r="F177" i="3"/>
  <c r="D177" i="4" s="1"/>
  <c r="F178" i="3"/>
  <c r="D178" i="4" s="1"/>
  <c r="F179" i="3"/>
  <c r="D179" i="4" s="1"/>
  <c r="F180" i="3"/>
  <c r="D180" i="4" s="1"/>
  <c r="F181" i="3"/>
  <c r="D181" i="4" s="1"/>
  <c r="F182" i="3"/>
  <c r="D182" i="4" s="1"/>
  <c r="F183" i="3"/>
  <c r="D183" i="4" s="1"/>
  <c r="F184" i="3"/>
  <c r="D184" i="4" s="1"/>
  <c r="F185" i="3"/>
  <c r="D185" i="4" s="1"/>
  <c r="F186" i="3"/>
  <c r="D186" i="4" s="1"/>
  <c r="F187" i="3"/>
  <c r="D187" i="4" s="1"/>
  <c r="F188" i="3"/>
  <c r="D188" i="4" s="1"/>
  <c r="F189" i="3"/>
  <c r="D189" i="4" s="1"/>
  <c r="F190" i="3"/>
  <c r="D190" i="4" s="1"/>
  <c r="F191" i="3"/>
  <c r="D191" i="4" s="1"/>
  <c r="F192" i="3"/>
  <c r="D192" i="4" s="1"/>
  <c r="F193" i="3"/>
  <c r="D193" i="4" s="1"/>
  <c r="F194" i="3"/>
  <c r="D194" i="4" s="1"/>
  <c r="F195" i="3"/>
  <c r="D195" i="4" s="1"/>
  <c r="F196" i="3"/>
  <c r="D196" i="4" s="1"/>
  <c r="F197" i="3"/>
  <c r="D197" i="4" s="1"/>
  <c r="F198" i="3"/>
  <c r="D198" i="4" s="1"/>
  <c r="F199" i="3"/>
  <c r="D199" i="4" s="1"/>
  <c r="F200" i="3"/>
  <c r="D200" i="4" s="1"/>
  <c r="F201" i="3"/>
  <c r="D201" i="4" s="1"/>
  <c r="F202" i="3"/>
  <c r="D202" i="4" s="1"/>
  <c r="F203" i="3"/>
  <c r="D203" i="4" s="1"/>
  <c r="F204" i="3"/>
  <c r="D204" i="4" s="1"/>
  <c r="F205" i="3"/>
  <c r="D205" i="4" s="1"/>
  <c r="F206" i="3"/>
  <c r="D206" i="4" s="1"/>
  <c r="F207" i="3"/>
  <c r="D207" i="4" s="1"/>
  <c r="F208" i="3"/>
  <c r="D208" i="4" s="1"/>
  <c r="F209" i="3"/>
  <c r="D209" i="4" s="1"/>
  <c r="F210" i="3"/>
  <c r="D210" i="4" s="1"/>
  <c r="F211" i="3"/>
  <c r="D211" i="4" s="1"/>
  <c r="F212" i="3"/>
  <c r="D212" i="4" s="1"/>
  <c r="F213" i="3"/>
  <c r="D213" i="4" s="1"/>
  <c r="F214" i="3"/>
  <c r="D214" i="4" s="1"/>
  <c r="F215" i="3"/>
  <c r="D215" i="4" s="1"/>
  <c r="F216" i="3"/>
  <c r="D216" i="4" s="1"/>
  <c r="F217" i="3"/>
  <c r="D217" i="4" s="1"/>
  <c r="F218" i="3"/>
  <c r="D218" i="4" s="1"/>
  <c r="F219" i="3"/>
  <c r="D219" i="4" s="1"/>
  <c r="F220" i="3"/>
  <c r="D220" i="4" s="1"/>
  <c r="F221" i="3"/>
  <c r="D221" i="4" s="1"/>
  <c r="F222" i="3"/>
  <c r="D222" i="4" s="1"/>
  <c r="F223" i="3"/>
  <c r="D223" i="4" s="1"/>
  <c r="F224" i="3"/>
  <c r="D224" i="4" s="1"/>
  <c r="F225" i="3"/>
  <c r="D225" i="4" s="1"/>
  <c r="F226" i="3"/>
  <c r="D226" i="4" s="1"/>
  <c r="F227" i="3"/>
  <c r="D227" i="4" s="1"/>
  <c r="F228" i="3"/>
  <c r="D228" i="4" s="1"/>
  <c r="F229" i="3"/>
  <c r="D229" i="4" s="1"/>
  <c r="F230" i="3"/>
  <c r="D230" i="4" s="1"/>
  <c r="F231" i="3"/>
  <c r="D231" i="4" s="1"/>
  <c r="F232" i="3"/>
  <c r="D232" i="4" s="1"/>
  <c r="F233" i="3"/>
  <c r="D233" i="4" s="1"/>
  <c r="F234" i="3"/>
  <c r="D234" i="4" s="1"/>
  <c r="F235" i="3"/>
  <c r="D235" i="4" s="1"/>
  <c r="F236" i="3"/>
  <c r="D236" i="4" s="1"/>
  <c r="F237" i="3"/>
  <c r="D237" i="4" s="1"/>
  <c r="F238" i="3"/>
  <c r="D238" i="4" s="1"/>
  <c r="F239" i="3"/>
  <c r="D239" i="4" s="1"/>
  <c r="F240" i="3"/>
  <c r="D240" i="4" s="1"/>
  <c r="F241" i="3"/>
  <c r="D241" i="4" s="1"/>
  <c r="F242" i="3"/>
  <c r="D242" i="4" s="1"/>
  <c r="F243" i="3"/>
  <c r="D243" i="4" s="1"/>
  <c r="F244" i="3"/>
  <c r="D244" i="4" s="1"/>
  <c r="F245" i="3"/>
  <c r="D245" i="4" s="1"/>
  <c r="F246" i="3"/>
  <c r="D246" i="4" s="1"/>
  <c r="F247" i="3"/>
  <c r="D247" i="4" s="1"/>
  <c r="F248" i="3"/>
  <c r="D248" i="4" s="1"/>
  <c r="F249" i="3"/>
  <c r="D249" i="4" s="1"/>
  <c r="F250" i="3"/>
  <c r="D250" i="4" s="1"/>
  <c r="F251" i="3"/>
  <c r="D251" i="4" s="1"/>
  <c r="F252" i="3"/>
  <c r="D252" i="4" s="1"/>
  <c r="F253" i="3"/>
  <c r="D253" i="4" s="1"/>
  <c r="F254" i="3"/>
  <c r="D254" i="4" s="1"/>
  <c r="F255" i="3"/>
  <c r="D255" i="4" s="1"/>
  <c r="F256" i="3"/>
  <c r="D256" i="4" s="1"/>
  <c r="F257" i="3"/>
  <c r="D257" i="4" s="1"/>
  <c r="F258" i="3"/>
  <c r="D258" i="4" s="1"/>
  <c r="F259" i="3"/>
  <c r="D259" i="4" s="1"/>
  <c r="F260" i="3"/>
  <c r="D260" i="4" s="1"/>
  <c r="F261" i="3"/>
  <c r="D261" i="4" s="1"/>
  <c r="F262" i="3"/>
  <c r="D262" i="4" s="1"/>
  <c r="F263" i="3"/>
  <c r="D263" i="4" s="1"/>
  <c r="F264" i="3"/>
  <c r="D264" i="4" s="1"/>
  <c r="F265" i="3"/>
  <c r="D265" i="4" s="1"/>
  <c r="F266" i="3"/>
  <c r="D266" i="4" s="1"/>
  <c r="F267" i="3"/>
  <c r="D267" i="4" s="1"/>
  <c r="F268" i="3"/>
  <c r="D268" i="4" s="1"/>
  <c r="F269" i="3"/>
  <c r="D269" i="4" s="1"/>
  <c r="F270" i="3"/>
  <c r="D270" i="4" s="1"/>
  <c r="F271" i="3"/>
  <c r="D271" i="4" s="1"/>
  <c r="F272" i="3"/>
  <c r="D272" i="4" s="1"/>
  <c r="F273" i="3"/>
  <c r="D273" i="4" s="1"/>
  <c r="F274" i="3"/>
  <c r="D274" i="4" s="1"/>
  <c r="F275" i="3"/>
  <c r="D275" i="4" s="1"/>
  <c r="F276" i="3"/>
  <c r="D276" i="4" s="1"/>
  <c r="F277" i="3"/>
  <c r="D277" i="4" s="1"/>
  <c r="F278" i="3"/>
  <c r="D278" i="4" s="1"/>
  <c r="F279" i="3"/>
  <c r="D279" i="4" s="1"/>
  <c r="F280" i="3"/>
  <c r="D280" i="4" s="1"/>
  <c r="F281" i="3"/>
  <c r="D281" i="4" s="1"/>
  <c r="F282" i="3"/>
  <c r="D282" i="4" s="1"/>
  <c r="F283" i="3"/>
  <c r="D283" i="4" s="1"/>
  <c r="F284" i="3"/>
  <c r="D284" i="4" s="1"/>
  <c r="F285" i="3"/>
  <c r="D285" i="4" s="1"/>
  <c r="F286" i="3"/>
  <c r="D286" i="4" s="1"/>
  <c r="F287" i="3"/>
  <c r="D287" i="4" s="1"/>
  <c r="F288" i="3"/>
  <c r="D288" i="4" s="1"/>
  <c r="F289" i="3"/>
  <c r="D289" i="4" s="1"/>
  <c r="F290" i="3"/>
  <c r="D290" i="4" s="1"/>
  <c r="F291" i="3"/>
  <c r="D291" i="4" s="1"/>
  <c r="F292" i="3"/>
  <c r="D292" i="4" s="1"/>
  <c r="F293" i="3"/>
  <c r="D293" i="4" s="1"/>
  <c r="F294" i="3"/>
  <c r="D294" i="4" s="1"/>
  <c r="F295" i="3"/>
  <c r="D295" i="4" s="1"/>
  <c r="F296" i="3"/>
  <c r="D296" i="4" s="1"/>
  <c r="F297" i="3"/>
  <c r="D297" i="4" s="1"/>
  <c r="F298" i="3"/>
  <c r="D298" i="4" s="1"/>
  <c r="F299" i="3"/>
  <c r="D299" i="4" s="1"/>
  <c r="F300" i="3"/>
  <c r="D300" i="4" s="1"/>
  <c r="F301" i="3"/>
  <c r="D301" i="4" s="1"/>
  <c r="F302" i="3"/>
  <c r="D302" i="4" s="1"/>
  <c r="F303" i="3"/>
  <c r="D303" i="4" s="1"/>
  <c r="F304" i="3"/>
  <c r="D304" i="4" s="1"/>
  <c r="F305" i="3"/>
  <c r="D305" i="4" s="1"/>
  <c r="F306" i="3"/>
  <c r="D306" i="4" s="1"/>
  <c r="F307" i="3"/>
  <c r="D307" i="4" s="1"/>
  <c r="F308" i="3"/>
  <c r="D308" i="4" s="1"/>
  <c r="F309" i="3"/>
  <c r="D309" i="4" s="1"/>
  <c r="F310" i="3"/>
  <c r="D310" i="4" s="1"/>
  <c r="F311" i="3"/>
  <c r="D311" i="4" s="1"/>
  <c r="F312" i="3"/>
  <c r="D312" i="4" s="1"/>
  <c r="F313" i="3"/>
  <c r="D313" i="4" s="1"/>
  <c r="F314" i="3"/>
  <c r="D314" i="4" s="1"/>
  <c r="F315" i="3"/>
  <c r="D315" i="4" s="1"/>
  <c r="F316" i="3"/>
  <c r="D316" i="4" s="1"/>
  <c r="F317" i="3"/>
  <c r="D317" i="4" s="1"/>
  <c r="F318" i="3"/>
  <c r="D318" i="4" s="1"/>
  <c r="F319" i="3"/>
  <c r="D319" i="4" s="1"/>
  <c r="F320" i="3"/>
  <c r="D320" i="4" s="1"/>
  <c r="F321" i="3"/>
  <c r="D321" i="4" s="1"/>
  <c r="F322" i="3"/>
  <c r="D322" i="4" s="1"/>
  <c r="F323" i="3"/>
  <c r="D323" i="4" s="1"/>
  <c r="F324" i="3"/>
  <c r="D324" i="4" s="1"/>
  <c r="F325" i="3"/>
  <c r="D325" i="4" s="1"/>
  <c r="F326" i="3"/>
  <c r="D326" i="4" s="1"/>
  <c r="F327" i="3"/>
  <c r="D327" i="4" s="1"/>
  <c r="F328" i="3"/>
  <c r="D328" i="4" s="1"/>
  <c r="F329" i="3"/>
  <c r="D329" i="4" s="1"/>
  <c r="F330" i="3"/>
  <c r="D330" i="4" s="1"/>
  <c r="F331" i="3"/>
  <c r="D331" i="4" s="1"/>
  <c r="F332" i="3"/>
  <c r="D332" i="4" s="1"/>
  <c r="F333" i="3"/>
  <c r="D333" i="4" s="1"/>
  <c r="F334" i="3"/>
  <c r="D334" i="4" s="1"/>
  <c r="F335" i="3"/>
  <c r="D335" i="4" s="1"/>
  <c r="F336" i="3"/>
  <c r="D336" i="4" s="1"/>
  <c r="F337" i="3"/>
  <c r="D337" i="4" s="1"/>
  <c r="F338" i="3"/>
  <c r="D338" i="4" s="1"/>
  <c r="F339" i="3"/>
  <c r="D339" i="4" s="1"/>
  <c r="F340" i="3"/>
  <c r="D340" i="4" s="1"/>
  <c r="F341" i="3"/>
  <c r="D341" i="4" s="1"/>
  <c r="F342" i="3"/>
  <c r="D342" i="4" s="1"/>
  <c r="F343" i="3"/>
  <c r="D343" i="4" s="1"/>
  <c r="F344" i="3"/>
  <c r="D344" i="4" s="1"/>
  <c r="F345" i="3"/>
  <c r="D345" i="4" s="1"/>
  <c r="F346" i="3"/>
  <c r="D346" i="4" s="1"/>
  <c r="F347" i="3"/>
  <c r="D347" i="4" s="1"/>
  <c r="F348" i="3"/>
  <c r="D348" i="4" s="1"/>
  <c r="F349" i="3"/>
  <c r="D349" i="4" s="1"/>
  <c r="F350" i="3"/>
  <c r="D350" i="4" s="1"/>
  <c r="F351" i="3"/>
  <c r="D351" i="4" s="1"/>
  <c r="F352" i="3"/>
  <c r="D352" i="4" s="1"/>
  <c r="F353" i="3"/>
  <c r="D353" i="4" s="1"/>
  <c r="F354" i="3"/>
  <c r="D354" i="4" s="1"/>
  <c r="F355" i="3"/>
  <c r="D355" i="4" s="1"/>
  <c r="F356" i="3"/>
  <c r="D356" i="4" s="1"/>
  <c r="F357" i="3"/>
  <c r="D357" i="4" s="1"/>
  <c r="F358" i="3"/>
  <c r="D358" i="4" s="1"/>
  <c r="F359" i="3"/>
  <c r="D359" i="4" s="1"/>
  <c r="F360" i="3"/>
  <c r="D360" i="4" s="1"/>
  <c r="F361" i="3"/>
  <c r="D361" i="4" s="1"/>
  <c r="F362" i="3"/>
  <c r="D362" i="4" s="1"/>
  <c r="F363" i="3"/>
  <c r="D363" i="4" s="1"/>
  <c r="F364" i="3"/>
  <c r="D364" i="4" s="1"/>
  <c r="F365" i="3"/>
  <c r="D365" i="4" s="1"/>
  <c r="F366" i="3"/>
  <c r="D366" i="4" s="1"/>
  <c r="F367" i="3"/>
  <c r="D367" i="4" s="1"/>
  <c r="F368" i="3"/>
  <c r="D368" i="4" s="1"/>
  <c r="F369" i="3"/>
  <c r="D369" i="4" s="1"/>
  <c r="F370" i="3"/>
  <c r="D370" i="4" s="1"/>
  <c r="F371" i="3"/>
  <c r="D371" i="4" s="1"/>
  <c r="F372" i="3"/>
  <c r="D372" i="4" s="1"/>
  <c r="F373" i="3"/>
  <c r="D373" i="4" s="1"/>
  <c r="F374" i="3"/>
  <c r="D374" i="4" s="1"/>
  <c r="F375" i="3"/>
  <c r="D375" i="4" s="1"/>
  <c r="F376" i="3"/>
  <c r="D376" i="4" s="1"/>
  <c r="F377" i="3"/>
  <c r="D377" i="4" s="1"/>
  <c r="F378" i="3"/>
  <c r="D378" i="4" s="1"/>
  <c r="F379" i="3"/>
  <c r="D379" i="4" s="1"/>
  <c r="F380" i="3"/>
  <c r="D380" i="4" s="1"/>
  <c r="F381" i="3"/>
  <c r="D381" i="4" s="1"/>
  <c r="F382" i="3"/>
  <c r="D382" i="4" s="1"/>
  <c r="F383" i="3"/>
  <c r="D383" i="4" s="1"/>
  <c r="F384" i="3"/>
  <c r="D384" i="4" s="1"/>
  <c r="F385" i="3"/>
  <c r="D385" i="4" s="1"/>
  <c r="F386" i="3"/>
  <c r="D386" i="4" s="1"/>
  <c r="F387" i="3"/>
  <c r="D387" i="4" s="1"/>
  <c r="F388" i="3"/>
  <c r="D388" i="4" s="1"/>
  <c r="F389" i="3"/>
  <c r="D389" i="4" s="1"/>
  <c r="F390" i="3"/>
  <c r="D390" i="4" s="1"/>
  <c r="F391" i="3"/>
  <c r="D391" i="4" s="1"/>
  <c r="F392" i="3"/>
  <c r="D392" i="4" s="1"/>
  <c r="F393" i="3"/>
  <c r="D393" i="4" s="1"/>
  <c r="F394" i="3"/>
  <c r="D394" i="4" s="1"/>
  <c r="F395" i="3"/>
  <c r="D395" i="4" s="1"/>
  <c r="F396" i="3"/>
  <c r="D396" i="4" s="1"/>
  <c r="F397" i="3"/>
  <c r="D397" i="4" s="1"/>
  <c r="F398" i="3"/>
  <c r="D398" i="4" s="1"/>
  <c r="F399" i="3"/>
  <c r="D399" i="4" s="1"/>
  <c r="F400" i="3"/>
  <c r="D400" i="4" s="1"/>
  <c r="F401" i="3"/>
  <c r="D401" i="4" s="1"/>
  <c r="F402" i="3"/>
  <c r="D402" i="4" s="1"/>
  <c r="F403" i="3"/>
  <c r="D403" i="4" s="1"/>
  <c r="F404" i="3"/>
  <c r="D404" i="4" s="1"/>
  <c r="F405" i="3"/>
  <c r="D405" i="4" s="1"/>
  <c r="F406" i="3"/>
  <c r="D406" i="4" s="1"/>
  <c r="F407" i="3"/>
  <c r="D407" i="4" s="1"/>
  <c r="F408" i="3"/>
  <c r="D408" i="4" s="1"/>
  <c r="F409" i="3"/>
  <c r="D409" i="4" s="1"/>
  <c r="F410" i="3"/>
  <c r="D410" i="4" s="1"/>
  <c r="F411" i="3"/>
  <c r="D411" i="4" s="1"/>
  <c r="F412" i="3"/>
  <c r="D412" i="4" s="1"/>
  <c r="F413" i="3"/>
  <c r="D413" i="4" s="1"/>
  <c r="F414" i="3"/>
  <c r="D414" i="4" s="1"/>
  <c r="F415" i="3"/>
  <c r="D415" i="4" s="1"/>
  <c r="F416" i="3"/>
  <c r="D416" i="4" s="1"/>
  <c r="F417" i="3"/>
  <c r="D417" i="4" s="1"/>
  <c r="F418" i="3"/>
  <c r="D418" i="4" s="1"/>
  <c r="F419" i="3"/>
  <c r="D419" i="4" s="1"/>
  <c r="F420" i="3"/>
  <c r="D420" i="4" s="1"/>
  <c r="F421" i="3"/>
  <c r="D421" i="4" s="1"/>
  <c r="F422" i="3"/>
  <c r="D422" i="4" s="1"/>
  <c r="F423" i="3"/>
  <c r="D423" i="4" s="1"/>
  <c r="F424" i="3"/>
  <c r="D424" i="4" s="1"/>
  <c r="F425" i="3"/>
  <c r="D425" i="4" s="1"/>
  <c r="F426" i="3"/>
  <c r="D426" i="4" s="1"/>
  <c r="F427" i="3"/>
  <c r="D427" i="4" s="1"/>
  <c r="F428" i="3"/>
  <c r="D428" i="4" s="1"/>
  <c r="F429" i="3"/>
  <c r="D429" i="4" s="1"/>
  <c r="F430" i="3"/>
  <c r="D430" i="4" s="1"/>
  <c r="F431" i="3"/>
  <c r="D431" i="4" s="1"/>
  <c r="F432" i="3"/>
  <c r="D432" i="4" s="1"/>
  <c r="F433" i="3"/>
  <c r="D433" i="4" s="1"/>
  <c r="F434" i="3"/>
  <c r="D434" i="4" s="1"/>
  <c r="F435" i="3"/>
  <c r="D435" i="4" s="1"/>
  <c r="F436" i="3"/>
  <c r="D436" i="4" s="1"/>
  <c r="F437" i="3"/>
  <c r="D437" i="4" s="1"/>
  <c r="F438" i="3"/>
  <c r="D438" i="4" s="1"/>
  <c r="F439" i="3"/>
  <c r="D439" i="4" s="1"/>
  <c r="F440" i="3"/>
  <c r="D440" i="4" s="1"/>
  <c r="F441" i="3"/>
  <c r="D441" i="4" s="1"/>
  <c r="F442" i="3"/>
  <c r="D442" i="4" s="1"/>
  <c r="F443" i="3"/>
  <c r="D443" i="4" s="1"/>
  <c r="F444" i="3"/>
  <c r="D444" i="4" s="1"/>
  <c r="F445" i="3"/>
  <c r="D445" i="4" s="1"/>
  <c r="F446" i="3"/>
  <c r="D446" i="4" s="1"/>
  <c r="F447" i="3"/>
  <c r="D447" i="4" s="1"/>
  <c r="F448" i="3"/>
  <c r="D448" i="4" s="1"/>
  <c r="F449" i="3"/>
  <c r="D449" i="4" s="1"/>
  <c r="F450" i="3"/>
  <c r="D450" i="4" s="1"/>
  <c r="F451" i="3"/>
  <c r="D451" i="4" s="1"/>
  <c r="F452" i="3"/>
  <c r="D452" i="4" s="1"/>
  <c r="F453" i="3"/>
  <c r="D453" i="4" s="1"/>
  <c r="F454" i="3"/>
  <c r="D454" i="4" s="1"/>
  <c r="F455" i="3"/>
  <c r="D455" i="4" s="1"/>
  <c r="F456" i="3"/>
  <c r="D456" i="4" s="1"/>
  <c r="F457" i="3"/>
  <c r="D457" i="4" s="1"/>
  <c r="F458" i="3"/>
  <c r="D458" i="4" s="1"/>
  <c r="F459" i="3"/>
  <c r="D459" i="4" s="1"/>
  <c r="F460" i="3"/>
  <c r="D460" i="4" s="1"/>
  <c r="F461" i="3"/>
  <c r="D461" i="4" s="1"/>
  <c r="F462" i="3"/>
  <c r="D462" i="4" s="1"/>
  <c r="F463" i="3"/>
  <c r="D463" i="4" s="1"/>
  <c r="F464" i="3"/>
  <c r="D464" i="4" s="1"/>
  <c r="F465" i="3"/>
  <c r="D465" i="4" s="1"/>
  <c r="F466" i="3"/>
  <c r="D466" i="4" s="1"/>
  <c r="F467" i="3"/>
  <c r="D467" i="4" s="1"/>
  <c r="F468" i="3"/>
  <c r="D468" i="4" s="1"/>
  <c r="F469" i="3"/>
  <c r="D469" i="4" s="1"/>
  <c r="F470" i="3"/>
  <c r="D470" i="4" s="1"/>
  <c r="F471" i="3"/>
  <c r="D471" i="4" s="1"/>
  <c r="F472" i="3"/>
  <c r="D472" i="4" s="1"/>
  <c r="F473" i="3"/>
  <c r="D473" i="4" s="1"/>
  <c r="F474" i="3"/>
  <c r="D474" i="4" s="1"/>
  <c r="F475" i="3"/>
  <c r="D475" i="4" s="1"/>
  <c r="F476" i="3"/>
  <c r="D476" i="4" s="1"/>
  <c r="F477" i="3"/>
  <c r="D477" i="4" s="1"/>
  <c r="F478" i="3"/>
  <c r="D478" i="4" s="1"/>
  <c r="F479" i="3"/>
  <c r="D479" i="4" s="1"/>
  <c r="F480" i="3"/>
  <c r="D480" i="4" s="1"/>
  <c r="F481" i="3"/>
  <c r="D481" i="4" s="1"/>
  <c r="F482" i="3"/>
  <c r="D482" i="4" s="1"/>
  <c r="F483" i="3"/>
  <c r="D483" i="4" s="1"/>
  <c r="F484" i="3"/>
  <c r="D484" i="4" s="1"/>
  <c r="F485" i="3"/>
  <c r="D485" i="4" s="1"/>
  <c r="F486" i="3"/>
  <c r="D486" i="4" s="1"/>
  <c r="F487" i="3"/>
  <c r="D487" i="4" s="1"/>
  <c r="F488" i="3"/>
  <c r="D488" i="4" s="1"/>
  <c r="F489" i="3"/>
  <c r="D489" i="4" s="1"/>
  <c r="F490" i="3"/>
  <c r="D490" i="4" s="1"/>
  <c r="F491" i="3"/>
  <c r="D491" i="4" s="1"/>
  <c r="F492" i="3"/>
  <c r="D492" i="4" s="1"/>
  <c r="F493" i="3"/>
  <c r="D493" i="4" s="1"/>
  <c r="F494" i="3"/>
  <c r="D494" i="4" s="1"/>
  <c r="F495" i="3"/>
  <c r="D495" i="4" s="1"/>
  <c r="F496" i="3"/>
  <c r="D496" i="4" s="1"/>
  <c r="F497" i="3"/>
  <c r="D497" i="4" s="1"/>
  <c r="F498" i="3"/>
  <c r="D498" i="4" s="1"/>
  <c r="F499" i="3"/>
  <c r="D499" i="4" s="1"/>
  <c r="F500" i="3"/>
  <c r="D500" i="4" s="1"/>
  <c r="F501" i="3"/>
  <c r="D501" i="4" s="1"/>
  <c r="F502" i="3"/>
  <c r="D502" i="4" s="1"/>
  <c r="F503" i="3"/>
  <c r="D503" i="4" s="1"/>
  <c r="F504" i="3"/>
  <c r="D504" i="4" s="1"/>
  <c r="F505" i="3"/>
  <c r="D505" i="4" s="1"/>
  <c r="F506" i="3"/>
  <c r="D506" i="4" s="1"/>
  <c r="F507" i="3"/>
  <c r="D507" i="4" s="1"/>
  <c r="F508" i="3"/>
  <c r="D508" i="4" s="1"/>
  <c r="F509" i="3"/>
  <c r="D509" i="4" s="1"/>
  <c r="F510" i="3"/>
  <c r="D510" i="4" s="1"/>
  <c r="F511" i="3"/>
  <c r="D511" i="4" s="1"/>
  <c r="F512" i="3"/>
  <c r="D512" i="4" s="1"/>
  <c r="F513" i="3"/>
  <c r="D513" i="4" s="1"/>
  <c r="F514" i="3"/>
  <c r="D514" i="4" s="1"/>
  <c r="F515" i="3"/>
  <c r="D515" i="4" s="1"/>
  <c r="F516" i="3"/>
  <c r="D516" i="4" s="1"/>
  <c r="F517" i="3"/>
  <c r="D517" i="4" s="1"/>
  <c r="F518" i="3"/>
  <c r="D518" i="4" s="1"/>
  <c r="F519" i="3"/>
  <c r="D519" i="4" s="1"/>
  <c r="F520" i="3"/>
  <c r="D520" i="4" s="1"/>
  <c r="F521" i="3"/>
  <c r="D521" i="4" s="1"/>
  <c r="F522" i="3"/>
  <c r="D522" i="4" s="1"/>
  <c r="F523" i="3"/>
  <c r="D523" i="4" s="1"/>
  <c r="F524" i="3"/>
  <c r="D524" i="4" s="1"/>
  <c r="F525" i="3"/>
  <c r="D525" i="4" s="1"/>
  <c r="F526" i="3"/>
  <c r="D526" i="4" s="1"/>
  <c r="F527" i="3"/>
  <c r="D527" i="4" s="1"/>
  <c r="F528" i="3"/>
  <c r="D528" i="4" s="1"/>
  <c r="F529" i="3"/>
  <c r="D529" i="4" s="1"/>
  <c r="F530" i="3"/>
  <c r="D530" i="4" s="1"/>
  <c r="F531" i="3"/>
  <c r="D531" i="4" s="1"/>
  <c r="F532" i="3"/>
  <c r="D532" i="4" s="1"/>
  <c r="F533" i="3"/>
  <c r="D533" i="4" s="1"/>
  <c r="F534" i="3"/>
  <c r="D534" i="4" s="1"/>
  <c r="F535" i="3"/>
  <c r="D535" i="4" s="1"/>
  <c r="F536" i="3"/>
  <c r="D536" i="4" s="1"/>
  <c r="F537" i="3"/>
  <c r="D537" i="4" s="1"/>
  <c r="F538" i="3"/>
  <c r="D538" i="4" s="1"/>
  <c r="F539" i="3"/>
  <c r="D539" i="4" s="1"/>
  <c r="F540" i="3"/>
  <c r="D540" i="4" s="1"/>
  <c r="F541" i="3"/>
  <c r="D541" i="4" s="1"/>
  <c r="F542" i="3"/>
  <c r="D542" i="4" s="1"/>
  <c r="F543" i="3"/>
  <c r="D543" i="4" s="1"/>
  <c r="F544" i="3"/>
  <c r="D544" i="4" s="1"/>
  <c r="F545" i="3"/>
  <c r="D545" i="4" s="1"/>
  <c r="F546" i="3"/>
  <c r="D546" i="4" s="1"/>
  <c r="F547" i="3"/>
  <c r="D547" i="4" s="1"/>
  <c r="F548" i="3"/>
  <c r="D548" i="4" s="1"/>
  <c r="F549" i="3"/>
  <c r="D549" i="4" s="1"/>
  <c r="F550" i="3"/>
  <c r="D550" i="4" s="1"/>
  <c r="F551" i="3"/>
  <c r="D551" i="4" s="1"/>
  <c r="F552" i="3"/>
  <c r="D552" i="4" s="1"/>
  <c r="F553" i="3"/>
  <c r="D553" i="4" s="1"/>
  <c r="F554" i="3"/>
  <c r="D554" i="4" s="1"/>
  <c r="F555" i="3"/>
  <c r="D555" i="4" s="1"/>
  <c r="F556" i="3"/>
  <c r="D556" i="4" s="1"/>
  <c r="F557" i="3"/>
  <c r="D557" i="4" s="1"/>
  <c r="F558" i="3"/>
  <c r="D558" i="4" s="1"/>
  <c r="F559" i="3"/>
  <c r="D559" i="4" s="1"/>
  <c r="F560" i="3"/>
  <c r="D560" i="4" s="1"/>
  <c r="F561" i="3"/>
  <c r="D561" i="4" s="1"/>
  <c r="F562" i="3"/>
  <c r="D562" i="4" s="1"/>
  <c r="F563" i="3"/>
  <c r="D563" i="4" s="1"/>
  <c r="F564" i="3"/>
  <c r="D564" i="4" s="1"/>
  <c r="F565" i="3"/>
  <c r="D565" i="4" s="1"/>
  <c r="F566" i="3"/>
  <c r="D566" i="4" s="1"/>
  <c r="F567" i="3"/>
  <c r="D567" i="4" s="1"/>
  <c r="F568" i="3"/>
  <c r="D568" i="4" s="1"/>
  <c r="F569" i="3"/>
  <c r="D569" i="4" s="1"/>
  <c r="F570" i="3"/>
  <c r="D570" i="4" s="1"/>
  <c r="F571" i="3"/>
  <c r="D571" i="4" s="1"/>
  <c r="F572" i="3"/>
  <c r="D572" i="4" s="1"/>
  <c r="F573" i="3"/>
  <c r="D573" i="4" s="1"/>
  <c r="F574" i="3"/>
  <c r="D574" i="4" s="1"/>
  <c r="F575" i="3"/>
  <c r="D575" i="4" s="1"/>
  <c r="F576" i="3"/>
  <c r="D576" i="4" s="1"/>
  <c r="F577" i="3"/>
  <c r="D577" i="4" s="1"/>
  <c r="F578" i="3"/>
  <c r="D578" i="4" s="1"/>
  <c r="F579" i="3"/>
  <c r="D579" i="4" s="1"/>
  <c r="F580" i="3"/>
  <c r="D580" i="4" s="1"/>
  <c r="F581" i="3"/>
  <c r="D581" i="4" s="1"/>
  <c r="F582" i="3"/>
  <c r="D582" i="4" s="1"/>
  <c r="F583" i="3"/>
  <c r="D583" i="4" s="1"/>
  <c r="F584" i="3"/>
  <c r="D584" i="4" s="1"/>
  <c r="F585" i="3"/>
  <c r="D585" i="4" s="1"/>
  <c r="F586" i="3"/>
  <c r="D586" i="4" s="1"/>
  <c r="F587" i="3"/>
  <c r="D587" i="4" s="1"/>
  <c r="F588" i="3"/>
  <c r="D588" i="4" s="1"/>
  <c r="F589" i="3"/>
  <c r="D589" i="4" s="1"/>
  <c r="F590" i="3"/>
  <c r="D590" i="4" s="1"/>
  <c r="F591" i="3"/>
  <c r="D591" i="4" s="1"/>
  <c r="F592" i="3"/>
  <c r="D592" i="4" s="1"/>
  <c r="F593" i="3"/>
  <c r="D593" i="4" s="1"/>
  <c r="F594" i="3"/>
  <c r="D594" i="4" s="1"/>
  <c r="F595" i="3"/>
  <c r="D595" i="4" s="1"/>
  <c r="F596" i="3"/>
  <c r="D596" i="4" s="1"/>
  <c r="F597" i="3"/>
  <c r="D597" i="4" s="1"/>
  <c r="F598" i="3"/>
  <c r="D598" i="4" s="1"/>
  <c r="F599" i="3"/>
  <c r="D599" i="4" s="1"/>
  <c r="F600" i="3"/>
  <c r="D600" i="4" s="1"/>
  <c r="F601" i="3"/>
  <c r="D601" i="4" s="1"/>
  <c r="F602" i="3"/>
  <c r="D602" i="4" s="1"/>
  <c r="F603" i="3"/>
  <c r="D603" i="4" s="1"/>
  <c r="F604" i="3"/>
  <c r="D604" i="4" s="1"/>
  <c r="F605" i="3"/>
  <c r="D605" i="4" s="1"/>
  <c r="F606" i="3"/>
  <c r="D606" i="4" s="1"/>
  <c r="F607" i="3"/>
  <c r="D607" i="4" s="1"/>
  <c r="F608" i="3"/>
  <c r="D608" i="4" s="1"/>
  <c r="F609" i="3"/>
  <c r="D609" i="4" s="1"/>
  <c r="F610" i="3"/>
  <c r="D610" i="4" s="1"/>
  <c r="F611" i="3"/>
  <c r="D611" i="4" s="1"/>
  <c r="F612" i="3"/>
  <c r="D612" i="4" s="1"/>
  <c r="F613" i="3"/>
  <c r="D613" i="4" s="1"/>
  <c r="F614" i="3"/>
  <c r="D614" i="4" s="1"/>
  <c r="F615" i="3"/>
  <c r="D615" i="4" s="1"/>
  <c r="F616" i="3"/>
  <c r="D616" i="4" s="1"/>
  <c r="F617" i="3"/>
  <c r="D617" i="4" s="1"/>
  <c r="F618" i="3"/>
  <c r="D618" i="4" s="1"/>
  <c r="F619" i="3"/>
  <c r="D619" i="4" s="1"/>
  <c r="F620" i="3"/>
  <c r="D620" i="4" s="1"/>
  <c r="F621" i="3"/>
  <c r="D621" i="4" s="1"/>
  <c r="F622" i="3"/>
  <c r="D622" i="4" s="1"/>
  <c r="F623" i="3"/>
  <c r="D623" i="4" s="1"/>
  <c r="F624" i="3"/>
  <c r="D624" i="4" s="1"/>
  <c r="F625" i="3"/>
  <c r="D625" i="4" s="1"/>
  <c r="F626" i="3"/>
  <c r="D626" i="4" s="1"/>
  <c r="F627" i="3"/>
  <c r="D627" i="4" s="1"/>
  <c r="F628" i="3"/>
  <c r="D628" i="4" s="1"/>
  <c r="F629" i="3"/>
  <c r="D629" i="4" s="1"/>
  <c r="F630" i="3"/>
  <c r="D630" i="4" s="1"/>
  <c r="F631" i="3"/>
  <c r="D631" i="4" s="1"/>
  <c r="F632" i="3"/>
  <c r="D632" i="4" s="1"/>
  <c r="F633" i="3"/>
  <c r="D633" i="4" s="1"/>
  <c r="F634" i="3"/>
  <c r="D634" i="4" s="1"/>
  <c r="F635" i="3"/>
  <c r="D635" i="4" s="1"/>
  <c r="F636" i="3"/>
  <c r="D636" i="4" s="1"/>
  <c r="F637" i="3"/>
  <c r="D637" i="4" s="1"/>
  <c r="F638" i="3"/>
  <c r="D638" i="4" s="1"/>
  <c r="F639" i="3"/>
  <c r="D639" i="4" s="1"/>
  <c r="F640" i="3"/>
  <c r="D640" i="4" s="1"/>
  <c r="F641" i="3"/>
  <c r="D641" i="4" s="1"/>
  <c r="F642" i="3"/>
  <c r="D642" i="4" s="1"/>
  <c r="F643" i="3"/>
  <c r="D643" i="4" s="1"/>
  <c r="F644" i="3"/>
  <c r="D644" i="4" s="1"/>
  <c r="F645" i="3"/>
  <c r="D645" i="4" s="1"/>
  <c r="F646" i="3"/>
  <c r="D646" i="4" s="1"/>
  <c r="F647" i="3"/>
  <c r="D647" i="4" s="1"/>
  <c r="F648" i="3"/>
  <c r="D648" i="4" s="1"/>
  <c r="F649" i="3"/>
  <c r="D649" i="4" s="1"/>
  <c r="F650" i="3"/>
  <c r="D650" i="4" s="1"/>
  <c r="F651" i="3"/>
  <c r="D651" i="4" s="1"/>
  <c r="F652" i="3"/>
  <c r="D652" i="4" s="1"/>
  <c r="F653" i="3"/>
  <c r="D653" i="4" s="1"/>
  <c r="F654" i="3"/>
  <c r="D654" i="4" s="1"/>
  <c r="F655" i="3"/>
  <c r="D655" i="4" s="1"/>
  <c r="F656" i="3"/>
  <c r="D656" i="4" s="1"/>
  <c r="F657" i="3"/>
  <c r="D657" i="4" s="1"/>
  <c r="F658" i="3"/>
  <c r="D658" i="4" s="1"/>
  <c r="F659" i="3"/>
  <c r="D659" i="4" s="1"/>
  <c r="F660" i="3"/>
  <c r="D660" i="4" s="1"/>
  <c r="F661" i="3"/>
  <c r="D661" i="4" s="1"/>
  <c r="F662" i="3"/>
  <c r="D662" i="4" s="1"/>
  <c r="F663" i="3"/>
  <c r="D663" i="4" s="1"/>
  <c r="F664" i="3"/>
  <c r="D664" i="4" s="1"/>
  <c r="F665" i="3"/>
  <c r="D665" i="4" s="1"/>
  <c r="F666" i="3"/>
  <c r="D666" i="4" s="1"/>
  <c r="F667" i="3"/>
  <c r="D667" i="4" s="1"/>
  <c r="F668" i="3"/>
  <c r="D668" i="4" s="1"/>
  <c r="F669" i="3"/>
  <c r="D669" i="4" s="1"/>
  <c r="F670" i="3"/>
  <c r="D670" i="4" s="1"/>
  <c r="F671" i="3"/>
  <c r="D671" i="4" s="1"/>
  <c r="F672" i="3"/>
  <c r="D672" i="4" s="1"/>
  <c r="F673" i="3"/>
  <c r="D673" i="4" s="1"/>
  <c r="F674" i="3"/>
  <c r="D674" i="4" s="1"/>
  <c r="F675" i="3"/>
  <c r="D675" i="4" s="1"/>
  <c r="F676" i="3"/>
  <c r="D676" i="4" s="1"/>
  <c r="F677" i="3"/>
  <c r="D677" i="4" s="1"/>
  <c r="F678" i="3"/>
  <c r="D678" i="4" s="1"/>
  <c r="F679" i="3"/>
  <c r="D679" i="4" s="1"/>
  <c r="F680" i="3"/>
  <c r="D680" i="4" s="1"/>
  <c r="F681" i="3"/>
  <c r="D681" i="4" s="1"/>
  <c r="F682" i="3"/>
  <c r="D682" i="4" s="1"/>
  <c r="F683" i="3"/>
  <c r="D683" i="4" s="1"/>
  <c r="F684" i="3"/>
  <c r="D684" i="4" s="1"/>
  <c r="F685" i="3"/>
  <c r="D685" i="4" s="1"/>
  <c r="F686" i="3"/>
  <c r="D686" i="4" s="1"/>
  <c r="F687" i="3"/>
  <c r="D687" i="4" s="1"/>
  <c r="F688" i="3"/>
  <c r="D688" i="4" s="1"/>
  <c r="F689" i="3"/>
  <c r="D689" i="4" s="1"/>
  <c r="F690" i="3"/>
  <c r="D690" i="4" s="1"/>
  <c r="F691" i="3"/>
  <c r="D691" i="4" s="1"/>
  <c r="F692" i="3"/>
  <c r="D692" i="4" s="1"/>
  <c r="F693" i="3"/>
  <c r="D693" i="4" s="1"/>
  <c r="F694" i="3"/>
  <c r="D694" i="4" s="1"/>
  <c r="F695" i="3"/>
  <c r="D695" i="4" s="1"/>
  <c r="F696" i="3"/>
  <c r="D696" i="4" s="1"/>
  <c r="F697" i="3"/>
  <c r="D697" i="4" s="1"/>
  <c r="F698" i="3"/>
  <c r="D698" i="4" s="1"/>
  <c r="F699" i="3"/>
  <c r="D699" i="4" s="1"/>
  <c r="F700" i="3"/>
  <c r="D700" i="4" s="1"/>
  <c r="F701" i="3"/>
  <c r="D701" i="4" s="1"/>
  <c r="F702" i="3"/>
  <c r="D702" i="4" s="1"/>
  <c r="F703" i="3"/>
  <c r="D703" i="4" s="1"/>
  <c r="F704" i="3"/>
  <c r="D704" i="4" s="1"/>
  <c r="F705" i="3"/>
  <c r="D705" i="4" s="1"/>
  <c r="F706" i="3"/>
  <c r="D706" i="4" s="1"/>
  <c r="F707" i="3"/>
  <c r="D707" i="4" s="1"/>
  <c r="F708" i="3"/>
  <c r="D708" i="4" s="1"/>
  <c r="F709" i="3"/>
  <c r="D709" i="4" s="1"/>
  <c r="F710" i="3"/>
  <c r="D710" i="4" s="1"/>
  <c r="F711" i="3"/>
  <c r="D711" i="4" s="1"/>
  <c r="F712" i="3"/>
  <c r="D712" i="4" s="1"/>
  <c r="F713" i="3"/>
  <c r="D713" i="4" s="1"/>
  <c r="F714" i="3"/>
  <c r="D714" i="4" s="1"/>
  <c r="F715" i="3"/>
  <c r="D715" i="4" s="1"/>
  <c r="F716" i="3"/>
  <c r="D716" i="4" s="1"/>
  <c r="F717" i="3"/>
  <c r="D717" i="4" s="1"/>
  <c r="F718" i="3"/>
  <c r="D718" i="4" s="1"/>
  <c r="F719" i="3"/>
  <c r="D719" i="4" s="1"/>
  <c r="F720" i="3"/>
  <c r="D720" i="4" s="1"/>
  <c r="F721" i="3"/>
  <c r="D721" i="4" s="1"/>
  <c r="F722" i="3"/>
  <c r="D722" i="4" s="1"/>
  <c r="F723" i="3"/>
  <c r="D723" i="4" s="1"/>
  <c r="F724" i="3"/>
  <c r="D724" i="4" s="1"/>
  <c r="F725" i="3"/>
  <c r="D725" i="4" s="1"/>
  <c r="F726" i="3"/>
  <c r="D726" i="4" s="1"/>
  <c r="F727" i="3"/>
  <c r="D727" i="4" s="1"/>
  <c r="F728" i="3"/>
  <c r="D728" i="4" s="1"/>
  <c r="F729" i="3"/>
  <c r="D729" i="4" s="1"/>
  <c r="F730" i="3"/>
  <c r="D730" i="4" s="1"/>
  <c r="F731" i="3"/>
  <c r="D731" i="4" s="1"/>
  <c r="F732" i="3"/>
  <c r="D732" i="4" s="1"/>
  <c r="F733" i="3"/>
  <c r="D733" i="4" s="1"/>
  <c r="F734" i="3"/>
  <c r="D734" i="4" s="1"/>
  <c r="F735" i="3"/>
  <c r="D735" i="4" s="1"/>
  <c r="F736" i="3"/>
  <c r="D736" i="4" s="1"/>
  <c r="F737" i="3"/>
  <c r="D737" i="4" s="1"/>
  <c r="F738" i="3"/>
  <c r="D738" i="4" s="1"/>
  <c r="F739" i="3"/>
  <c r="D739" i="4" s="1"/>
  <c r="F740" i="3"/>
  <c r="D740" i="4" s="1"/>
  <c r="F741" i="3"/>
  <c r="D741" i="4" s="1"/>
  <c r="F742" i="3"/>
  <c r="D742" i="4" s="1"/>
  <c r="F743" i="3"/>
  <c r="D743" i="4" s="1"/>
  <c r="F744" i="3"/>
  <c r="D744" i="4" s="1"/>
  <c r="F745" i="3"/>
  <c r="D745" i="4" s="1"/>
  <c r="F746" i="3"/>
  <c r="D746" i="4" s="1"/>
  <c r="F747" i="3"/>
  <c r="D747" i="4" s="1"/>
  <c r="F748" i="3"/>
  <c r="D748" i="4" s="1"/>
  <c r="F749" i="3"/>
  <c r="D749" i="4" s="1"/>
  <c r="F750" i="3"/>
  <c r="D750" i="4" s="1"/>
  <c r="F751" i="3"/>
  <c r="D751" i="4" s="1"/>
  <c r="F752" i="3"/>
  <c r="D752" i="4" s="1"/>
  <c r="F753" i="3"/>
  <c r="D753" i="4" s="1"/>
  <c r="F754" i="3"/>
  <c r="D754" i="4" s="1"/>
  <c r="F755" i="3"/>
  <c r="D755" i="4" s="1"/>
  <c r="F756" i="3"/>
  <c r="D756" i="4" s="1"/>
  <c r="F757" i="3"/>
  <c r="D757" i="4" s="1"/>
  <c r="F758" i="3"/>
  <c r="D758" i="4" s="1"/>
  <c r="F759" i="3"/>
  <c r="D759" i="4" s="1"/>
  <c r="F760" i="3"/>
  <c r="D760" i="4" s="1"/>
  <c r="F761" i="3"/>
  <c r="D761" i="4" s="1"/>
  <c r="F762" i="3"/>
  <c r="D762" i="4" s="1"/>
  <c r="F763" i="3"/>
  <c r="D763" i="4" s="1"/>
  <c r="F764" i="3"/>
  <c r="D764" i="4" s="1"/>
  <c r="F765" i="3"/>
  <c r="D765" i="4" s="1"/>
  <c r="F766" i="3"/>
  <c r="D766" i="4" s="1"/>
  <c r="F767" i="3"/>
  <c r="D767" i="4" s="1"/>
  <c r="F768" i="3"/>
  <c r="D768" i="4" s="1"/>
  <c r="F769" i="3"/>
  <c r="D769" i="4" s="1"/>
  <c r="F770" i="3"/>
  <c r="D770" i="4" s="1"/>
  <c r="F771" i="3"/>
  <c r="D771" i="4" s="1"/>
  <c r="F772" i="3"/>
  <c r="D772" i="4" s="1"/>
  <c r="F773" i="3"/>
  <c r="D773" i="4" s="1"/>
  <c r="F774" i="3"/>
  <c r="D774" i="4" s="1"/>
  <c r="F775" i="3"/>
  <c r="D775" i="4" s="1"/>
  <c r="F776" i="3"/>
  <c r="D776" i="4" s="1"/>
  <c r="F777" i="3"/>
  <c r="D777" i="4" s="1"/>
  <c r="F778" i="3"/>
  <c r="D778" i="4" s="1"/>
  <c r="F779" i="3"/>
  <c r="D779" i="4" s="1"/>
  <c r="F780" i="3"/>
  <c r="D780" i="4" s="1"/>
  <c r="F781" i="3"/>
  <c r="D781" i="4" s="1"/>
  <c r="F782" i="3"/>
  <c r="D782" i="4" s="1"/>
  <c r="F783" i="3"/>
  <c r="D783" i="4" s="1"/>
  <c r="F784" i="3"/>
  <c r="D784" i="4" s="1"/>
  <c r="F785" i="3"/>
  <c r="D785" i="4" s="1"/>
  <c r="F786" i="3"/>
  <c r="D786" i="4" s="1"/>
  <c r="F787" i="3"/>
  <c r="D787" i="4" s="1"/>
  <c r="F788" i="3"/>
  <c r="D788" i="4" s="1"/>
  <c r="F789" i="3"/>
  <c r="D789" i="4" s="1"/>
  <c r="F790" i="3"/>
  <c r="D790" i="4" s="1"/>
  <c r="F791" i="3"/>
  <c r="D791" i="4" s="1"/>
  <c r="F792" i="3"/>
  <c r="D792" i="4" s="1"/>
  <c r="F793" i="3"/>
  <c r="D793" i="4" s="1"/>
  <c r="F794" i="3"/>
  <c r="D794" i="4" s="1"/>
  <c r="F795" i="3"/>
  <c r="D795" i="4" s="1"/>
  <c r="F796" i="3"/>
  <c r="D796" i="4" s="1"/>
  <c r="F797" i="3"/>
  <c r="D797" i="4" s="1"/>
  <c r="F798" i="3"/>
  <c r="D798" i="4" s="1"/>
  <c r="F799" i="3"/>
  <c r="D799" i="4" s="1"/>
  <c r="F800" i="3"/>
  <c r="D800" i="4" s="1"/>
  <c r="F801" i="3"/>
  <c r="D801" i="4" s="1"/>
  <c r="E800" i="1"/>
  <c r="E800" i="3" s="1"/>
  <c r="C800" i="4" s="1"/>
  <c r="B799" i="1"/>
  <c r="B799" i="3" s="1"/>
  <c r="G688" i="3"/>
  <c r="E688" i="4" s="1"/>
  <c r="G696" i="3"/>
  <c r="E696" i="4" s="1"/>
  <c r="G704" i="3"/>
  <c r="E704" i="4" s="1"/>
  <c r="G712" i="3"/>
  <c r="E712" i="4" s="1"/>
  <c r="G720" i="3"/>
  <c r="E720" i="4" s="1"/>
  <c r="G728" i="3"/>
  <c r="E728" i="4" s="1"/>
  <c r="G736" i="3"/>
  <c r="E736" i="4" s="1"/>
  <c r="G744" i="3"/>
  <c r="E744" i="4" s="1"/>
  <c r="G752" i="3"/>
  <c r="E752" i="4" s="1"/>
  <c r="G760" i="3"/>
  <c r="E760" i="4" s="1"/>
  <c r="G768" i="3"/>
  <c r="E768" i="4" s="1"/>
  <c r="G776" i="3"/>
  <c r="E776" i="4" s="1"/>
  <c r="G784" i="3"/>
  <c r="E784" i="4" s="1"/>
  <c r="G792" i="3"/>
  <c r="E792" i="4" s="1"/>
  <c r="G800" i="3"/>
  <c r="E800" i="4" s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Q7" i="1"/>
  <c r="Q8" i="1"/>
  <c r="Q9" i="1"/>
  <c r="Q15" i="1"/>
  <c r="Q16" i="1"/>
  <c r="Q17" i="1"/>
  <c r="Q24" i="1"/>
  <c r="Q25" i="1"/>
  <c r="Q32" i="1"/>
  <c r="Q33" i="1"/>
  <c r="Q38" i="1"/>
  <c r="Q39" i="1"/>
  <c r="Q40" i="1"/>
  <c r="Q41" i="1"/>
  <c r="Q46" i="1"/>
  <c r="Q47" i="1"/>
  <c r="Q48" i="1"/>
  <c r="Q49" i="1"/>
  <c r="Q55" i="1"/>
  <c r="Q56" i="1"/>
  <c r="Q57" i="1"/>
  <c r="Q64" i="1"/>
  <c r="Q65" i="1"/>
  <c r="Q70" i="1"/>
  <c r="Q71" i="1"/>
  <c r="Q72" i="1"/>
  <c r="Q73" i="1"/>
  <c r="Q79" i="1"/>
  <c r="Q80" i="1"/>
  <c r="Q81" i="1"/>
  <c r="Q87" i="1"/>
  <c r="Q88" i="1"/>
  <c r="Q89" i="1"/>
  <c r="Q96" i="1"/>
  <c r="Q97" i="1"/>
  <c r="Q104" i="1"/>
  <c r="Q105" i="1"/>
  <c r="Q111" i="1"/>
  <c r="Q112" i="1"/>
  <c r="Q113" i="1"/>
  <c r="Q118" i="1"/>
  <c r="Q119" i="1"/>
  <c r="Q120" i="1"/>
  <c r="Q121" i="1"/>
  <c r="Q127" i="1"/>
  <c r="Q128" i="1"/>
  <c r="Q129" i="1"/>
  <c r="Q134" i="1"/>
  <c r="Q136" i="1"/>
  <c r="Q137" i="1"/>
  <c r="Q142" i="1"/>
  <c r="Q143" i="1"/>
  <c r="Q144" i="1"/>
  <c r="Q145" i="1"/>
  <c r="Q151" i="1"/>
  <c r="Q152" i="1"/>
  <c r="Q153" i="1"/>
  <c r="Q158" i="1"/>
  <c r="Q159" i="1"/>
  <c r="Q160" i="1"/>
  <c r="Q161" i="1"/>
  <c r="Q166" i="1"/>
  <c r="Q168" i="1"/>
  <c r="Q169" i="1"/>
  <c r="Q175" i="1"/>
  <c r="Q176" i="1"/>
  <c r="Q177" i="1"/>
  <c r="Q183" i="1"/>
  <c r="Q184" i="1"/>
  <c r="Q185" i="1"/>
  <c r="Q190" i="1"/>
  <c r="Q191" i="1"/>
  <c r="Q192" i="1"/>
  <c r="Q193" i="1"/>
  <c r="Q200" i="1"/>
  <c r="Q201" i="1"/>
  <c r="Q207" i="1"/>
  <c r="Q208" i="1"/>
  <c r="Q209" i="1"/>
  <c r="Q214" i="1"/>
  <c r="Q215" i="1"/>
  <c r="Q216" i="1"/>
  <c r="Q217" i="1"/>
  <c r="Q223" i="1"/>
  <c r="Q224" i="1"/>
  <c r="Q231" i="1"/>
  <c r="Q232" i="1"/>
  <c r="Q233" i="1"/>
  <c r="Q238" i="1"/>
  <c r="Q240" i="1"/>
  <c r="Q241" i="1"/>
  <c r="Q247" i="1"/>
  <c r="Q248" i="1"/>
  <c r="Q249" i="1"/>
  <c r="Q255" i="1"/>
  <c r="Q256" i="1"/>
  <c r="Q257" i="1"/>
  <c r="Q262" i="1"/>
  <c r="Q263" i="1"/>
  <c r="Q264" i="1"/>
  <c r="Q265" i="1"/>
  <c r="Q272" i="1"/>
  <c r="Q273" i="1"/>
  <c r="Q279" i="1"/>
  <c r="Q280" i="1"/>
  <c r="Q281" i="1"/>
  <c r="Q286" i="1"/>
  <c r="Q287" i="1"/>
  <c r="Q288" i="1"/>
  <c r="Q289" i="1"/>
  <c r="Q295" i="1"/>
  <c r="Q296" i="1"/>
  <c r="Q297" i="1"/>
  <c r="Q304" i="1"/>
  <c r="Q305" i="1"/>
  <c r="Q311" i="1"/>
  <c r="Q312" i="1"/>
  <c r="Q313" i="1"/>
  <c r="Q319" i="1"/>
  <c r="Q320" i="1"/>
  <c r="Q321" i="1"/>
  <c r="Q327" i="1"/>
  <c r="Q328" i="1"/>
  <c r="Q329" i="1"/>
  <c r="Q334" i="1"/>
  <c r="Q336" i="1"/>
  <c r="Q337" i="1"/>
  <c r="Q343" i="1"/>
  <c r="Q344" i="1"/>
  <c r="Q345" i="1"/>
  <c r="Q351" i="1"/>
  <c r="Q352" i="1"/>
  <c r="Q353" i="1"/>
  <c r="Q359" i="1"/>
  <c r="Q360" i="1"/>
  <c r="Q361" i="1"/>
  <c r="Q367" i="1"/>
  <c r="Q368" i="1"/>
  <c r="Q369" i="1"/>
  <c r="Q376" i="1"/>
  <c r="Q377" i="1"/>
  <c r="Q383" i="1"/>
  <c r="Q384" i="1"/>
  <c r="Q385" i="1"/>
  <c r="Q391" i="1"/>
  <c r="Q392" i="1"/>
  <c r="Q393" i="1"/>
  <c r="Q399" i="1"/>
  <c r="Q400" i="1"/>
  <c r="Q401" i="1"/>
  <c r="Q406" i="1"/>
  <c r="Q408" i="1"/>
  <c r="Q409" i="1"/>
  <c r="Q415" i="1"/>
  <c r="Q416" i="1"/>
  <c r="Q417" i="1"/>
  <c r="Q423" i="1"/>
  <c r="Q424" i="1"/>
  <c r="Q425" i="1"/>
  <c r="Q431" i="1"/>
  <c r="Q432" i="1"/>
  <c r="Q433" i="1"/>
  <c r="Q440" i="1"/>
  <c r="Q441" i="1"/>
  <c r="Q447" i="1"/>
  <c r="Q448" i="1"/>
  <c r="Q449" i="1"/>
  <c r="Q455" i="1"/>
  <c r="Q456" i="1"/>
  <c r="Q457" i="1"/>
  <c r="Q463" i="1"/>
  <c r="Q464" i="1"/>
  <c r="Q465" i="1"/>
  <c r="Q472" i="1"/>
  <c r="Q473" i="1"/>
  <c r="Q479" i="1"/>
  <c r="Q480" i="1"/>
  <c r="Q481" i="1"/>
  <c r="Q486" i="1"/>
  <c r="Q487" i="1"/>
  <c r="Q488" i="1"/>
  <c r="Q489" i="1"/>
  <c r="Q495" i="1"/>
  <c r="Q496" i="1"/>
  <c r="Q497" i="1"/>
  <c r="Q503" i="1"/>
  <c r="Q504" i="1"/>
  <c r="Q505" i="1"/>
  <c r="Q512" i="1"/>
  <c r="Q513" i="1"/>
  <c r="Q519" i="1"/>
  <c r="Q520" i="1"/>
  <c r="Q521" i="1"/>
  <c r="Q527" i="1"/>
  <c r="Q528" i="1"/>
  <c r="Q529" i="1"/>
  <c r="Q535" i="1"/>
  <c r="Q536" i="1"/>
  <c r="Q537" i="1"/>
  <c r="Q544" i="1"/>
  <c r="Q545" i="1"/>
  <c r="Q550" i="1"/>
  <c r="Q551" i="1"/>
  <c r="Q552" i="1"/>
  <c r="Q553" i="1"/>
  <c r="Q558" i="1"/>
  <c r="Q559" i="1"/>
  <c r="Q560" i="1"/>
  <c r="Q561" i="1"/>
  <c r="Q567" i="1"/>
  <c r="Q568" i="1"/>
  <c r="Q569" i="1"/>
  <c r="Q576" i="1"/>
  <c r="Q577" i="1"/>
  <c r="Q582" i="1"/>
  <c r="Q583" i="1"/>
  <c r="Q584" i="1"/>
  <c r="Q585" i="1"/>
  <c r="Q591" i="1"/>
  <c r="Q592" i="1"/>
  <c r="Q593" i="1"/>
  <c r="Q599" i="1"/>
  <c r="Q600" i="1"/>
  <c r="Q601" i="1"/>
  <c r="Q608" i="1"/>
  <c r="Q609" i="1"/>
  <c r="Q616" i="1"/>
  <c r="Q617" i="1"/>
  <c r="Q623" i="1"/>
  <c r="Q624" i="1"/>
  <c r="Q625" i="1"/>
  <c r="Q630" i="1"/>
  <c r="Q631" i="1"/>
  <c r="Q632" i="1"/>
  <c r="Q633" i="1"/>
  <c r="Q639" i="1"/>
  <c r="Q640" i="1"/>
  <c r="Q641" i="1"/>
  <c r="Q646" i="1"/>
  <c r="Q648" i="1"/>
  <c r="Q649" i="1"/>
  <c r="Q654" i="1"/>
  <c r="Q655" i="1"/>
  <c r="Q656" i="1"/>
  <c r="Q657" i="1"/>
  <c r="Q663" i="1"/>
  <c r="Q664" i="1"/>
  <c r="Q665" i="1"/>
  <c r="Q670" i="1"/>
  <c r="Q671" i="1"/>
  <c r="Q672" i="1"/>
  <c r="Q673" i="1"/>
  <c r="Q678" i="1"/>
  <c r="Q680" i="1"/>
  <c r="Q681" i="1"/>
  <c r="Q687" i="1"/>
  <c r="Q688" i="1"/>
  <c r="Q689" i="1"/>
  <c r="Q695" i="1"/>
  <c r="Q696" i="1"/>
  <c r="Q697" i="1"/>
  <c r="Q702" i="1"/>
  <c r="Q703" i="1"/>
  <c r="Q704" i="1"/>
  <c r="Q705" i="1"/>
  <c r="Q712" i="1"/>
  <c r="Q713" i="1"/>
  <c r="Q719" i="1"/>
  <c r="Q720" i="1"/>
  <c r="Q721" i="1"/>
  <c r="Q726" i="1"/>
  <c r="Q727" i="1"/>
  <c r="Q728" i="1"/>
  <c r="Q729" i="1"/>
  <c r="Q735" i="1"/>
  <c r="Q736" i="1"/>
  <c r="Q743" i="1"/>
  <c r="Q744" i="1"/>
  <c r="Q745" i="1"/>
  <c r="Q750" i="1"/>
  <c r="Q752" i="1"/>
  <c r="Q753" i="1"/>
  <c r="Q759" i="1"/>
  <c r="Q760" i="1"/>
  <c r="Q761" i="1"/>
  <c r="Q767" i="1"/>
  <c r="Q768" i="1"/>
  <c r="Q769" i="1"/>
  <c r="Q774" i="1"/>
  <c r="Q775" i="1"/>
  <c r="Q776" i="1"/>
  <c r="Q777" i="1"/>
  <c r="Q784" i="1"/>
  <c r="Q785" i="1"/>
  <c r="Q791" i="1"/>
  <c r="Q792" i="1"/>
  <c r="Q793" i="1"/>
  <c r="Q798" i="1"/>
  <c r="Q799" i="1"/>
  <c r="Q800" i="1"/>
  <c r="Q801" i="1"/>
  <c r="B2" i="1"/>
  <c r="B2" i="3" s="1"/>
  <c r="B3" i="1"/>
  <c r="B3" i="3" s="1"/>
  <c r="B4" i="1"/>
  <c r="B4" i="3" s="1"/>
  <c r="B5" i="1"/>
  <c r="B5" i="3" s="1"/>
  <c r="B6" i="1"/>
  <c r="B6" i="3" s="1"/>
  <c r="B7" i="1"/>
  <c r="B7" i="3" s="1"/>
  <c r="B8" i="1"/>
  <c r="B8" i="3" s="1"/>
  <c r="B9" i="1"/>
  <c r="B9" i="3" s="1"/>
  <c r="B10" i="1"/>
  <c r="B10" i="3" s="1"/>
  <c r="B11" i="1"/>
  <c r="B11" i="3" s="1"/>
  <c r="B12" i="1"/>
  <c r="B12" i="3" s="1"/>
  <c r="B13" i="1"/>
  <c r="B13" i="3" s="1"/>
  <c r="B14" i="1"/>
  <c r="B14" i="3" s="1"/>
  <c r="B15" i="1"/>
  <c r="B15" i="3" s="1"/>
  <c r="B16" i="1"/>
  <c r="B16" i="3" s="1"/>
  <c r="B17" i="1"/>
  <c r="B17" i="3" s="1"/>
  <c r="B18" i="1"/>
  <c r="B18" i="3" s="1"/>
  <c r="B19" i="1"/>
  <c r="B19" i="3" s="1"/>
  <c r="B20" i="1"/>
  <c r="B20" i="3" s="1"/>
  <c r="B21" i="1"/>
  <c r="B21" i="3" s="1"/>
  <c r="B22" i="1"/>
  <c r="B22" i="3" s="1"/>
  <c r="B23" i="1"/>
  <c r="B23" i="3" s="1"/>
  <c r="B24" i="1"/>
  <c r="B24" i="3" s="1"/>
  <c r="B25" i="1"/>
  <c r="B25" i="3" s="1"/>
  <c r="B26" i="1"/>
  <c r="B26" i="3" s="1"/>
  <c r="B27" i="1"/>
  <c r="B27" i="3" s="1"/>
  <c r="B28" i="1"/>
  <c r="B28" i="3" s="1"/>
  <c r="B29" i="1"/>
  <c r="B29" i="3" s="1"/>
  <c r="B30" i="1"/>
  <c r="B30" i="3" s="1"/>
  <c r="B31" i="1"/>
  <c r="B31" i="3" s="1"/>
  <c r="B32" i="1"/>
  <c r="B32" i="3" s="1"/>
  <c r="B33" i="1"/>
  <c r="B33" i="3" s="1"/>
  <c r="B34" i="1"/>
  <c r="B34" i="3" s="1"/>
  <c r="B35" i="1"/>
  <c r="B35" i="3" s="1"/>
  <c r="B36" i="1"/>
  <c r="B36" i="3" s="1"/>
  <c r="B37" i="1"/>
  <c r="B37" i="3" s="1"/>
  <c r="B38" i="1"/>
  <c r="B38" i="3" s="1"/>
  <c r="B39" i="1"/>
  <c r="B39" i="3" s="1"/>
  <c r="B40" i="1"/>
  <c r="B40" i="3" s="1"/>
  <c r="B41" i="1"/>
  <c r="B41" i="3" s="1"/>
  <c r="B42" i="1"/>
  <c r="B42" i="3" s="1"/>
  <c r="B43" i="1"/>
  <c r="B43" i="3" s="1"/>
  <c r="B44" i="1"/>
  <c r="B44" i="3" s="1"/>
  <c r="B45" i="1"/>
  <c r="B45" i="3" s="1"/>
  <c r="B46" i="1"/>
  <c r="B46" i="3" s="1"/>
  <c r="B47" i="1"/>
  <c r="B47" i="3" s="1"/>
  <c r="B48" i="1"/>
  <c r="B48" i="3" s="1"/>
  <c r="B49" i="1"/>
  <c r="B49" i="3" s="1"/>
  <c r="B50" i="1"/>
  <c r="B50" i="3" s="1"/>
  <c r="B51" i="1"/>
  <c r="B51" i="3" s="1"/>
  <c r="B52" i="1"/>
  <c r="B52" i="3" s="1"/>
  <c r="B53" i="1"/>
  <c r="B53" i="3" s="1"/>
  <c r="B54" i="1"/>
  <c r="B54" i="3" s="1"/>
  <c r="B55" i="1"/>
  <c r="B55" i="3" s="1"/>
  <c r="B56" i="1"/>
  <c r="B56" i="3" s="1"/>
  <c r="B57" i="1"/>
  <c r="B57" i="3" s="1"/>
  <c r="B58" i="1"/>
  <c r="B58" i="3" s="1"/>
  <c r="B59" i="1"/>
  <c r="B59" i="3" s="1"/>
  <c r="B60" i="1"/>
  <c r="B60" i="3" s="1"/>
  <c r="B61" i="1"/>
  <c r="B61" i="3" s="1"/>
  <c r="B62" i="1"/>
  <c r="B62" i="3" s="1"/>
  <c r="B63" i="1"/>
  <c r="B63" i="3" s="1"/>
  <c r="B64" i="1"/>
  <c r="B64" i="3" s="1"/>
  <c r="B65" i="1"/>
  <c r="B65" i="3" s="1"/>
  <c r="B66" i="1"/>
  <c r="B66" i="3" s="1"/>
  <c r="B67" i="1"/>
  <c r="B67" i="3" s="1"/>
  <c r="B68" i="1"/>
  <c r="B68" i="3" s="1"/>
  <c r="B69" i="1"/>
  <c r="B69" i="3" s="1"/>
  <c r="B70" i="1"/>
  <c r="B70" i="3" s="1"/>
  <c r="B71" i="1"/>
  <c r="B71" i="3" s="1"/>
  <c r="B72" i="1"/>
  <c r="B72" i="3" s="1"/>
  <c r="B73" i="1"/>
  <c r="B73" i="3" s="1"/>
  <c r="B74" i="1"/>
  <c r="B74" i="3" s="1"/>
  <c r="B75" i="1"/>
  <c r="B75" i="3" s="1"/>
  <c r="B76" i="1"/>
  <c r="B76" i="3" s="1"/>
  <c r="B77" i="1"/>
  <c r="B77" i="3" s="1"/>
  <c r="B78" i="1"/>
  <c r="B78" i="3" s="1"/>
  <c r="B79" i="1"/>
  <c r="B79" i="3" s="1"/>
  <c r="B80" i="1"/>
  <c r="B80" i="3" s="1"/>
  <c r="B81" i="1"/>
  <c r="B81" i="3" s="1"/>
  <c r="B82" i="1"/>
  <c r="B82" i="3" s="1"/>
  <c r="B83" i="1"/>
  <c r="B83" i="3" s="1"/>
  <c r="B84" i="1"/>
  <c r="B84" i="3" s="1"/>
  <c r="B85" i="1"/>
  <c r="B85" i="3" s="1"/>
  <c r="B86" i="1"/>
  <c r="B86" i="3" s="1"/>
  <c r="B87" i="1"/>
  <c r="B87" i="3" s="1"/>
  <c r="B88" i="1"/>
  <c r="B88" i="3" s="1"/>
  <c r="B89" i="1"/>
  <c r="B89" i="3" s="1"/>
  <c r="B90" i="1"/>
  <c r="B90" i="3" s="1"/>
  <c r="B91" i="1"/>
  <c r="B91" i="3" s="1"/>
  <c r="B92" i="1"/>
  <c r="B92" i="3" s="1"/>
  <c r="B93" i="1"/>
  <c r="B93" i="3" s="1"/>
  <c r="B94" i="1"/>
  <c r="B94" i="3" s="1"/>
  <c r="B95" i="1"/>
  <c r="B95" i="3" s="1"/>
  <c r="B96" i="1"/>
  <c r="B96" i="3" s="1"/>
  <c r="B97" i="1"/>
  <c r="B97" i="3" s="1"/>
  <c r="B98" i="1"/>
  <c r="B98" i="3" s="1"/>
  <c r="B99" i="1"/>
  <c r="B99" i="3" s="1"/>
  <c r="B100" i="1"/>
  <c r="B100" i="3" s="1"/>
  <c r="B101" i="1"/>
  <c r="B101" i="3" s="1"/>
  <c r="B102" i="1"/>
  <c r="B102" i="3" s="1"/>
  <c r="B103" i="1"/>
  <c r="B103" i="3" s="1"/>
  <c r="B104" i="1"/>
  <c r="B104" i="3" s="1"/>
  <c r="B105" i="1"/>
  <c r="B105" i="3" s="1"/>
  <c r="B106" i="1"/>
  <c r="B106" i="3" s="1"/>
  <c r="B107" i="1"/>
  <c r="B107" i="3" s="1"/>
  <c r="B108" i="1"/>
  <c r="B108" i="3" s="1"/>
  <c r="B109" i="1"/>
  <c r="B109" i="3" s="1"/>
  <c r="B110" i="1"/>
  <c r="B110" i="3" s="1"/>
  <c r="B111" i="1"/>
  <c r="B111" i="3" s="1"/>
  <c r="B112" i="1"/>
  <c r="B112" i="3" s="1"/>
  <c r="B113" i="1"/>
  <c r="B113" i="3" s="1"/>
  <c r="B114" i="1"/>
  <c r="B114" i="3" s="1"/>
  <c r="B115" i="1"/>
  <c r="B115" i="3" s="1"/>
  <c r="B116" i="1"/>
  <c r="B116" i="3" s="1"/>
  <c r="B117" i="1"/>
  <c r="B117" i="3" s="1"/>
  <c r="B118" i="1"/>
  <c r="B118" i="3" s="1"/>
  <c r="B119" i="1"/>
  <c r="B119" i="3" s="1"/>
  <c r="B120" i="1"/>
  <c r="B120" i="3" s="1"/>
  <c r="B121" i="1"/>
  <c r="B121" i="3" s="1"/>
  <c r="B122" i="1"/>
  <c r="B122" i="3" s="1"/>
  <c r="B123" i="1"/>
  <c r="B123" i="3" s="1"/>
  <c r="B124" i="1"/>
  <c r="B124" i="3" s="1"/>
  <c r="B125" i="1"/>
  <c r="B125" i="3" s="1"/>
  <c r="B126" i="1"/>
  <c r="B126" i="3" s="1"/>
  <c r="B127" i="1"/>
  <c r="B127" i="3" s="1"/>
  <c r="B128" i="1"/>
  <c r="B128" i="3" s="1"/>
  <c r="B129" i="1"/>
  <c r="B129" i="3" s="1"/>
  <c r="B130" i="1"/>
  <c r="B130" i="3" s="1"/>
  <c r="B131" i="1"/>
  <c r="B131" i="3" s="1"/>
  <c r="B132" i="1"/>
  <c r="B132" i="3" s="1"/>
  <c r="B133" i="1"/>
  <c r="B133" i="3" s="1"/>
  <c r="B134" i="1"/>
  <c r="B134" i="3" s="1"/>
  <c r="B135" i="1"/>
  <c r="B135" i="3" s="1"/>
  <c r="B136" i="1"/>
  <c r="B136" i="3" s="1"/>
  <c r="B137" i="1"/>
  <c r="B137" i="3" s="1"/>
  <c r="B138" i="1"/>
  <c r="B138" i="3" s="1"/>
  <c r="B139" i="1"/>
  <c r="B139" i="3" s="1"/>
  <c r="B140" i="1"/>
  <c r="B140" i="3" s="1"/>
  <c r="B141" i="1"/>
  <c r="B141" i="3" s="1"/>
  <c r="B142" i="1"/>
  <c r="B142" i="3" s="1"/>
  <c r="B143" i="1"/>
  <c r="B143" i="3" s="1"/>
  <c r="B144" i="1"/>
  <c r="B144" i="3" s="1"/>
  <c r="B145" i="1"/>
  <c r="B145" i="3" s="1"/>
  <c r="B146" i="1"/>
  <c r="B146" i="3" s="1"/>
  <c r="B147" i="1"/>
  <c r="B147" i="3" s="1"/>
  <c r="B148" i="1"/>
  <c r="B148" i="3" s="1"/>
  <c r="B149" i="1"/>
  <c r="B149" i="3" s="1"/>
  <c r="B150" i="1"/>
  <c r="B150" i="3" s="1"/>
  <c r="B151" i="1"/>
  <c r="B151" i="3" s="1"/>
  <c r="B152" i="1"/>
  <c r="B152" i="3" s="1"/>
  <c r="B153" i="1"/>
  <c r="B153" i="3" s="1"/>
  <c r="B154" i="1"/>
  <c r="B154" i="3" s="1"/>
  <c r="B155" i="1"/>
  <c r="B155" i="3" s="1"/>
  <c r="B156" i="1"/>
  <c r="B156" i="3" s="1"/>
  <c r="B157" i="1"/>
  <c r="B157" i="3" s="1"/>
  <c r="B158" i="1"/>
  <c r="B158" i="3" s="1"/>
  <c r="B159" i="1"/>
  <c r="B159" i="3" s="1"/>
  <c r="B160" i="1"/>
  <c r="B160" i="3" s="1"/>
  <c r="B161" i="1"/>
  <c r="B161" i="3" s="1"/>
  <c r="B162" i="1"/>
  <c r="B162" i="3" s="1"/>
  <c r="B163" i="1"/>
  <c r="B163" i="3" s="1"/>
  <c r="B164" i="1"/>
  <c r="B164" i="3" s="1"/>
  <c r="B165" i="1"/>
  <c r="B165" i="3" s="1"/>
  <c r="B166" i="1"/>
  <c r="B166" i="3" s="1"/>
  <c r="B167" i="1"/>
  <c r="B167" i="3" s="1"/>
  <c r="B168" i="1"/>
  <c r="B168" i="3" s="1"/>
  <c r="B169" i="1"/>
  <c r="B169" i="3" s="1"/>
  <c r="B170" i="1"/>
  <c r="B170" i="3" s="1"/>
  <c r="B171" i="1"/>
  <c r="B171" i="3" s="1"/>
  <c r="B172" i="1"/>
  <c r="B172" i="3" s="1"/>
  <c r="B173" i="1"/>
  <c r="B173" i="3" s="1"/>
  <c r="B174" i="1"/>
  <c r="B174" i="3" s="1"/>
  <c r="B175" i="1"/>
  <c r="B175" i="3" s="1"/>
  <c r="B176" i="1"/>
  <c r="B176" i="3" s="1"/>
  <c r="B177" i="1"/>
  <c r="B177" i="3" s="1"/>
  <c r="B178" i="1"/>
  <c r="B178" i="3" s="1"/>
  <c r="B179" i="1"/>
  <c r="B179" i="3" s="1"/>
  <c r="B180" i="1"/>
  <c r="B180" i="3" s="1"/>
  <c r="B181" i="1"/>
  <c r="B181" i="3" s="1"/>
  <c r="B182" i="1"/>
  <c r="B182" i="3" s="1"/>
  <c r="B183" i="1"/>
  <c r="B183" i="3" s="1"/>
  <c r="B184" i="1"/>
  <c r="B184" i="3" s="1"/>
  <c r="B185" i="1"/>
  <c r="B185" i="3" s="1"/>
  <c r="B186" i="1"/>
  <c r="B186" i="3" s="1"/>
  <c r="B187" i="1"/>
  <c r="B187" i="3" s="1"/>
  <c r="B188" i="1"/>
  <c r="B188" i="3" s="1"/>
  <c r="B189" i="1"/>
  <c r="B189" i="3" s="1"/>
  <c r="B190" i="1"/>
  <c r="B190" i="3" s="1"/>
  <c r="B191" i="1"/>
  <c r="B191" i="3" s="1"/>
  <c r="B192" i="1"/>
  <c r="B192" i="3" s="1"/>
  <c r="B193" i="1"/>
  <c r="B193" i="3" s="1"/>
  <c r="B194" i="1"/>
  <c r="B194" i="3" s="1"/>
  <c r="B195" i="1"/>
  <c r="B195" i="3" s="1"/>
  <c r="B196" i="1"/>
  <c r="B196" i="3" s="1"/>
  <c r="B197" i="1"/>
  <c r="B197" i="3" s="1"/>
  <c r="B198" i="1"/>
  <c r="B198" i="3" s="1"/>
  <c r="B199" i="1"/>
  <c r="B199" i="3" s="1"/>
  <c r="B200" i="1"/>
  <c r="B200" i="3" s="1"/>
  <c r="B201" i="1"/>
  <c r="B201" i="3" s="1"/>
  <c r="B202" i="1"/>
  <c r="B202" i="3" s="1"/>
  <c r="B203" i="1"/>
  <c r="B203" i="3" s="1"/>
  <c r="B204" i="1"/>
  <c r="B204" i="3" s="1"/>
  <c r="B205" i="1"/>
  <c r="B205" i="3" s="1"/>
  <c r="B206" i="1"/>
  <c r="B206" i="3" s="1"/>
  <c r="B207" i="1"/>
  <c r="B207" i="3" s="1"/>
  <c r="B208" i="1"/>
  <c r="B208" i="3" s="1"/>
  <c r="B209" i="1"/>
  <c r="B209" i="3" s="1"/>
  <c r="B210" i="1"/>
  <c r="B210" i="3" s="1"/>
  <c r="B211" i="1"/>
  <c r="B211" i="3" s="1"/>
  <c r="B212" i="1"/>
  <c r="B212" i="3" s="1"/>
  <c r="B213" i="1"/>
  <c r="B213" i="3" s="1"/>
  <c r="B214" i="1"/>
  <c r="B214" i="3" s="1"/>
  <c r="B215" i="1"/>
  <c r="B215" i="3" s="1"/>
  <c r="B216" i="1"/>
  <c r="B216" i="3" s="1"/>
  <c r="B217" i="1"/>
  <c r="B217" i="3" s="1"/>
  <c r="B218" i="1"/>
  <c r="B218" i="3" s="1"/>
  <c r="B219" i="1"/>
  <c r="B219" i="3" s="1"/>
  <c r="B220" i="1"/>
  <c r="B220" i="3" s="1"/>
  <c r="B221" i="1"/>
  <c r="B221" i="3" s="1"/>
  <c r="B222" i="1"/>
  <c r="B222" i="3" s="1"/>
  <c r="B223" i="1"/>
  <c r="B223" i="3" s="1"/>
  <c r="B224" i="1"/>
  <c r="B224" i="3" s="1"/>
  <c r="B225" i="1"/>
  <c r="B225" i="3" s="1"/>
  <c r="B226" i="1"/>
  <c r="B226" i="3" s="1"/>
  <c r="B227" i="1"/>
  <c r="B227" i="3" s="1"/>
  <c r="B228" i="1"/>
  <c r="B228" i="3" s="1"/>
  <c r="B229" i="1"/>
  <c r="B229" i="3" s="1"/>
  <c r="B230" i="1"/>
  <c r="B230" i="3" s="1"/>
  <c r="B231" i="1"/>
  <c r="B231" i="3" s="1"/>
  <c r="B232" i="1"/>
  <c r="B232" i="3" s="1"/>
  <c r="B233" i="1"/>
  <c r="B233" i="3" s="1"/>
  <c r="B234" i="1"/>
  <c r="B234" i="3" s="1"/>
  <c r="B235" i="1"/>
  <c r="B235" i="3" s="1"/>
  <c r="B236" i="1"/>
  <c r="B236" i="3" s="1"/>
  <c r="B237" i="1"/>
  <c r="B237" i="3" s="1"/>
  <c r="B238" i="1"/>
  <c r="B238" i="3" s="1"/>
  <c r="B239" i="1"/>
  <c r="B239" i="3" s="1"/>
  <c r="B240" i="1"/>
  <c r="B240" i="3" s="1"/>
  <c r="B241" i="1"/>
  <c r="B241" i="3" s="1"/>
  <c r="B242" i="1"/>
  <c r="B242" i="3" s="1"/>
  <c r="B243" i="1"/>
  <c r="B243" i="3" s="1"/>
  <c r="B244" i="1"/>
  <c r="B244" i="3" s="1"/>
  <c r="B245" i="1"/>
  <c r="B245" i="3" s="1"/>
  <c r="B246" i="1"/>
  <c r="B246" i="3" s="1"/>
  <c r="B247" i="1"/>
  <c r="B247" i="3" s="1"/>
  <c r="B248" i="1"/>
  <c r="B248" i="3" s="1"/>
  <c r="B249" i="1"/>
  <c r="B249" i="3" s="1"/>
  <c r="B250" i="1"/>
  <c r="B250" i="3" s="1"/>
  <c r="B251" i="1"/>
  <c r="B251" i="3" s="1"/>
  <c r="B252" i="1"/>
  <c r="B252" i="3" s="1"/>
  <c r="B253" i="1"/>
  <c r="B253" i="3" s="1"/>
  <c r="B254" i="1"/>
  <c r="B254" i="3" s="1"/>
  <c r="B255" i="1"/>
  <c r="B255" i="3" s="1"/>
  <c r="B256" i="1"/>
  <c r="B256" i="3" s="1"/>
  <c r="B257" i="1"/>
  <c r="B257" i="3" s="1"/>
  <c r="B258" i="1"/>
  <c r="B258" i="3" s="1"/>
  <c r="B259" i="1"/>
  <c r="B259" i="3" s="1"/>
  <c r="B260" i="1"/>
  <c r="B260" i="3" s="1"/>
  <c r="B261" i="1"/>
  <c r="B261" i="3" s="1"/>
  <c r="B262" i="1"/>
  <c r="B262" i="3" s="1"/>
  <c r="B263" i="1"/>
  <c r="B263" i="3" s="1"/>
  <c r="B264" i="1"/>
  <c r="B264" i="3" s="1"/>
  <c r="B265" i="1"/>
  <c r="B265" i="3" s="1"/>
  <c r="B266" i="1"/>
  <c r="B266" i="3" s="1"/>
  <c r="B267" i="1"/>
  <c r="B267" i="3" s="1"/>
  <c r="B268" i="1"/>
  <c r="B268" i="3" s="1"/>
  <c r="B269" i="1"/>
  <c r="B269" i="3" s="1"/>
  <c r="B270" i="1"/>
  <c r="B270" i="3" s="1"/>
  <c r="B271" i="1"/>
  <c r="B271" i="3" s="1"/>
  <c r="B272" i="1"/>
  <c r="B272" i="3" s="1"/>
  <c r="B273" i="1"/>
  <c r="B273" i="3" s="1"/>
  <c r="B274" i="1"/>
  <c r="B274" i="3" s="1"/>
  <c r="B275" i="1"/>
  <c r="B275" i="3" s="1"/>
  <c r="B276" i="1"/>
  <c r="B276" i="3" s="1"/>
  <c r="B277" i="1"/>
  <c r="B277" i="3" s="1"/>
  <c r="B278" i="1"/>
  <c r="B278" i="3" s="1"/>
  <c r="B279" i="1"/>
  <c r="B279" i="3" s="1"/>
  <c r="B280" i="1"/>
  <c r="B280" i="3" s="1"/>
  <c r="B281" i="1"/>
  <c r="B281" i="3" s="1"/>
  <c r="B282" i="1"/>
  <c r="B282" i="3" s="1"/>
  <c r="B283" i="1"/>
  <c r="B283" i="3" s="1"/>
  <c r="B284" i="1"/>
  <c r="B284" i="3" s="1"/>
  <c r="B285" i="1"/>
  <c r="B285" i="3" s="1"/>
  <c r="B286" i="1"/>
  <c r="B286" i="3" s="1"/>
  <c r="B287" i="1"/>
  <c r="B287" i="3" s="1"/>
  <c r="B288" i="1"/>
  <c r="B288" i="3" s="1"/>
  <c r="B289" i="1"/>
  <c r="B289" i="3" s="1"/>
  <c r="B290" i="1"/>
  <c r="B290" i="3" s="1"/>
  <c r="B291" i="1"/>
  <c r="B291" i="3" s="1"/>
  <c r="B292" i="1"/>
  <c r="B292" i="3" s="1"/>
  <c r="B293" i="1"/>
  <c r="B293" i="3" s="1"/>
  <c r="B294" i="1"/>
  <c r="B294" i="3" s="1"/>
  <c r="B295" i="1"/>
  <c r="B295" i="3" s="1"/>
  <c r="B296" i="1"/>
  <c r="B296" i="3" s="1"/>
  <c r="B297" i="1"/>
  <c r="B297" i="3" s="1"/>
  <c r="B298" i="1"/>
  <c r="B298" i="3" s="1"/>
  <c r="B299" i="1"/>
  <c r="B299" i="3" s="1"/>
  <c r="B300" i="1"/>
  <c r="B300" i="3" s="1"/>
  <c r="B301" i="1"/>
  <c r="B301" i="3" s="1"/>
  <c r="B302" i="1"/>
  <c r="B302" i="3" s="1"/>
  <c r="B303" i="1"/>
  <c r="B303" i="3" s="1"/>
  <c r="B304" i="1"/>
  <c r="B304" i="3" s="1"/>
  <c r="B305" i="1"/>
  <c r="B305" i="3" s="1"/>
  <c r="B306" i="1"/>
  <c r="B306" i="3" s="1"/>
  <c r="B307" i="1"/>
  <c r="B307" i="3" s="1"/>
  <c r="B308" i="1"/>
  <c r="B308" i="3" s="1"/>
  <c r="B309" i="1"/>
  <c r="B309" i="3" s="1"/>
  <c r="B310" i="1"/>
  <c r="B310" i="3" s="1"/>
  <c r="B311" i="1"/>
  <c r="B311" i="3" s="1"/>
  <c r="B312" i="1"/>
  <c r="B312" i="3" s="1"/>
  <c r="B313" i="1"/>
  <c r="B313" i="3" s="1"/>
  <c r="B314" i="1"/>
  <c r="B314" i="3" s="1"/>
  <c r="B315" i="1"/>
  <c r="B315" i="3" s="1"/>
  <c r="B316" i="1"/>
  <c r="B316" i="3" s="1"/>
  <c r="B317" i="1"/>
  <c r="B317" i="3" s="1"/>
  <c r="B318" i="1"/>
  <c r="B318" i="3" s="1"/>
  <c r="B319" i="1"/>
  <c r="B319" i="3" s="1"/>
  <c r="B320" i="1"/>
  <c r="B320" i="3" s="1"/>
  <c r="B321" i="1"/>
  <c r="B321" i="3" s="1"/>
  <c r="B322" i="1"/>
  <c r="B322" i="3" s="1"/>
  <c r="B323" i="1"/>
  <c r="B323" i="3" s="1"/>
  <c r="B324" i="1"/>
  <c r="B324" i="3" s="1"/>
  <c r="B325" i="1"/>
  <c r="B325" i="3" s="1"/>
  <c r="B326" i="1"/>
  <c r="B326" i="3" s="1"/>
  <c r="B327" i="1"/>
  <c r="B327" i="3" s="1"/>
  <c r="B328" i="1"/>
  <c r="B328" i="3" s="1"/>
  <c r="B329" i="1"/>
  <c r="B329" i="3" s="1"/>
  <c r="B330" i="1"/>
  <c r="B330" i="3" s="1"/>
  <c r="B331" i="1"/>
  <c r="B331" i="3" s="1"/>
  <c r="B332" i="1"/>
  <c r="B332" i="3" s="1"/>
  <c r="B333" i="1"/>
  <c r="B333" i="3" s="1"/>
  <c r="B334" i="1"/>
  <c r="B334" i="3" s="1"/>
  <c r="B335" i="1"/>
  <c r="B335" i="3" s="1"/>
  <c r="B336" i="1"/>
  <c r="B336" i="3" s="1"/>
  <c r="B337" i="1"/>
  <c r="B337" i="3" s="1"/>
  <c r="B338" i="1"/>
  <c r="B338" i="3" s="1"/>
  <c r="B339" i="1"/>
  <c r="B339" i="3" s="1"/>
  <c r="B340" i="1"/>
  <c r="B340" i="3" s="1"/>
  <c r="B341" i="1"/>
  <c r="B341" i="3" s="1"/>
  <c r="B342" i="1"/>
  <c r="B342" i="3" s="1"/>
  <c r="B343" i="1"/>
  <c r="B343" i="3" s="1"/>
  <c r="B344" i="1"/>
  <c r="B344" i="3" s="1"/>
  <c r="B345" i="1"/>
  <c r="B345" i="3" s="1"/>
  <c r="B346" i="1"/>
  <c r="B346" i="3" s="1"/>
  <c r="B347" i="1"/>
  <c r="B347" i="3" s="1"/>
  <c r="B348" i="1"/>
  <c r="B348" i="3" s="1"/>
  <c r="B349" i="1"/>
  <c r="B349" i="3" s="1"/>
  <c r="B350" i="1"/>
  <c r="B350" i="3" s="1"/>
  <c r="B351" i="1"/>
  <c r="B351" i="3" s="1"/>
  <c r="B352" i="1"/>
  <c r="B352" i="3" s="1"/>
  <c r="B353" i="1"/>
  <c r="B353" i="3" s="1"/>
  <c r="B354" i="1"/>
  <c r="B354" i="3" s="1"/>
  <c r="B355" i="1"/>
  <c r="B355" i="3" s="1"/>
  <c r="B356" i="1"/>
  <c r="B356" i="3" s="1"/>
  <c r="B357" i="1"/>
  <c r="B357" i="3" s="1"/>
  <c r="B358" i="1"/>
  <c r="B358" i="3" s="1"/>
  <c r="B359" i="1"/>
  <c r="B359" i="3" s="1"/>
  <c r="B360" i="1"/>
  <c r="B360" i="3" s="1"/>
  <c r="B361" i="1"/>
  <c r="B361" i="3" s="1"/>
  <c r="B362" i="1"/>
  <c r="B362" i="3" s="1"/>
  <c r="B363" i="1"/>
  <c r="B363" i="3" s="1"/>
  <c r="B364" i="1"/>
  <c r="B364" i="3" s="1"/>
  <c r="B365" i="1"/>
  <c r="B365" i="3" s="1"/>
  <c r="B366" i="1"/>
  <c r="B366" i="3" s="1"/>
  <c r="B367" i="1"/>
  <c r="B367" i="3" s="1"/>
  <c r="B368" i="1"/>
  <c r="B368" i="3" s="1"/>
  <c r="B369" i="1"/>
  <c r="B369" i="3" s="1"/>
  <c r="B370" i="1"/>
  <c r="B370" i="3" s="1"/>
  <c r="B371" i="1"/>
  <c r="B371" i="3" s="1"/>
  <c r="B372" i="1"/>
  <c r="B372" i="3" s="1"/>
  <c r="B373" i="1"/>
  <c r="B373" i="3" s="1"/>
  <c r="B374" i="1"/>
  <c r="B374" i="3" s="1"/>
  <c r="B375" i="1"/>
  <c r="B375" i="3" s="1"/>
  <c r="B376" i="1"/>
  <c r="B376" i="3" s="1"/>
  <c r="B377" i="1"/>
  <c r="B377" i="3" s="1"/>
  <c r="B378" i="1"/>
  <c r="B378" i="3" s="1"/>
  <c r="B379" i="1"/>
  <c r="B379" i="3" s="1"/>
  <c r="B380" i="1"/>
  <c r="B380" i="3" s="1"/>
  <c r="B381" i="1"/>
  <c r="B381" i="3" s="1"/>
  <c r="B382" i="1"/>
  <c r="B382" i="3" s="1"/>
  <c r="B383" i="1"/>
  <c r="B383" i="3" s="1"/>
  <c r="B384" i="1"/>
  <c r="B384" i="3" s="1"/>
  <c r="B385" i="1"/>
  <c r="B385" i="3" s="1"/>
  <c r="B386" i="1"/>
  <c r="B386" i="3" s="1"/>
  <c r="B387" i="1"/>
  <c r="B387" i="3" s="1"/>
  <c r="B388" i="1"/>
  <c r="B388" i="3" s="1"/>
  <c r="B389" i="1"/>
  <c r="B389" i="3" s="1"/>
  <c r="B390" i="1"/>
  <c r="B390" i="3" s="1"/>
  <c r="B391" i="1"/>
  <c r="B391" i="3" s="1"/>
  <c r="B392" i="1"/>
  <c r="B392" i="3" s="1"/>
  <c r="B393" i="1"/>
  <c r="B393" i="3" s="1"/>
  <c r="B394" i="1"/>
  <c r="B394" i="3" s="1"/>
  <c r="B395" i="1"/>
  <c r="B395" i="3" s="1"/>
  <c r="B396" i="1"/>
  <c r="B396" i="3" s="1"/>
  <c r="B397" i="1"/>
  <c r="B397" i="3" s="1"/>
  <c r="B398" i="1"/>
  <c r="B398" i="3" s="1"/>
  <c r="B399" i="1"/>
  <c r="B399" i="3" s="1"/>
  <c r="B400" i="1"/>
  <c r="B400" i="3" s="1"/>
  <c r="B401" i="1"/>
  <c r="B401" i="3" s="1"/>
  <c r="B402" i="1"/>
  <c r="B402" i="3" s="1"/>
  <c r="B403" i="1"/>
  <c r="B403" i="3" s="1"/>
  <c r="B404" i="1"/>
  <c r="B404" i="3" s="1"/>
  <c r="B405" i="1"/>
  <c r="B405" i="3" s="1"/>
  <c r="B406" i="1"/>
  <c r="B406" i="3" s="1"/>
  <c r="B407" i="1"/>
  <c r="B407" i="3" s="1"/>
  <c r="B408" i="1"/>
  <c r="B408" i="3" s="1"/>
  <c r="B409" i="1"/>
  <c r="B409" i="3" s="1"/>
  <c r="B410" i="1"/>
  <c r="B410" i="3" s="1"/>
  <c r="B411" i="1"/>
  <c r="B411" i="3" s="1"/>
  <c r="B412" i="1"/>
  <c r="B412" i="3" s="1"/>
  <c r="B413" i="1"/>
  <c r="B413" i="3" s="1"/>
  <c r="B414" i="1"/>
  <c r="B414" i="3" s="1"/>
  <c r="B415" i="1"/>
  <c r="B415" i="3" s="1"/>
  <c r="B416" i="1"/>
  <c r="B416" i="3" s="1"/>
  <c r="B417" i="1"/>
  <c r="B417" i="3" s="1"/>
  <c r="B418" i="1"/>
  <c r="B418" i="3" s="1"/>
  <c r="B419" i="1"/>
  <c r="B419" i="3" s="1"/>
  <c r="B420" i="1"/>
  <c r="B420" i="3" s="1"/>
  <c r="B421" i="1"/>
  <c r="B421" i="3" s="1"/>
  <c r="B422" i="1"/>
  <c r="B422" i="3" s="1"/>
  <c r="B423" i="1"/>
  <c r="B423" i="3" s="1"/>
  <c r="B424" i="1"/>
  <c r="B424" i="3" s="1"/>
  <c r="B425" i="1"/>
  <c r="B425" i="3" s="1"/>
  <c r="B426" i="1"/>
  <c r="B426" i="3" s="1"/>
  <c r="B427" i="1"/>
  <c r="B427" i="3" s="1"/>
  <c r="B428" i="1"/>
  <c r="B428" i="3" s="1"/>
  <c r="B429" i="1"/>
  <c r="B429" i="3" s="1"/>
  <c r="B430" i="1"/>
  <c r="B430" i="3" s="1"/>
  <c r="B431" i="1"/>
  <c r="B431" i="3" s="1"/>
  <c r="B432" i="1"/>
  <c r="B432" i="3" s="1"/>
  <c r="B433" i="1"/>
  <c r="B433" i="3" s="1"/>
  <c r="B434" i="1"/>
  <c r="B434" i="3" s="1"/>
  <c r="B435" i="1"/>
  <c r="B435" i="3" s="1"/>
  <c r="B436" i="1"/>
  <c r="B436" i="3" s="1"/>
  <c r="B437" i="1"/>
  <c r="B437" i="3" s="1"/>
  <c r="B438" i="1"/>
  <c r="B438" i="3" s="1"/>
  <c r="B439" i="1"/>
  <c r="B439" i="3" s="1"/>
  <c r="B440" i="1"/>
  <c r="B440" i="3" s="1"/>
  <c r="B441" i="1"/>
  <c r="B441" i="3" s="1"/>
  <c r="B442" i="1"/>
  <c r="B442" i="3" s="1"/>
  <c r="B443" i="1"/>
  <c r="B443" i="3" s="1"/>
  <c r="B444" i="1"/>
  <c r="B444" i="3" s="1"/>
  <c r="B445" i="1"/>
  <c r="B445" i="3" s="1"/>
  <c r="B446" i="1"/>
  <c r="B446" i="3" s="1"/>
  <c r="B447" i="1"/>
  <c r="B447" i="3" s="1"/>
  <c r="B448" i="1"/>
  <c r="B448" i="3" s="1"/>
  <c r="B449" i="1"/>
  <c r="B449" i="3" s="1"/>
  <c r="B450" i="1"/>
  <c r="B450" i="3" s="1"/>
  <c r="B451" i="1"/>
  <c r="B451" i="3" s="1"/>
  <c r="B452" i="1"/>
  <c r="B452" i="3" s="1"/>
  <c r="B453" i="1"/>
  <c r="B453" i="3" s="1"/>
  <c r="B454" i="1"/>
  <c r="B454" i="3" s="1"/>
  <c r="B455" i="1"/>
  <c r="B455" i="3" s="1"/>
  <c r="B456" i="1"/>
  <c r="B456" i="3" s="1"/>
  <c r="B457" i="1"/>
  <c r="B457" i="3" s="1"/>
  <c r="B458" i="1"/>
  <c r="B458" i="3" s="1"/>
  <c r="B459" i="1"/>
  <c r="B459" i="3" s="1"/>
  <c r="B460" i="1"/>
  <c r="B460" i="3" s="1"/>
  <c r="B461" i="1"/>
  <c r="B461" i="3" s="1"/>
  <c r="B462" i="1"/>
  <c r="B462" i="3" s="1"/>
  <c r="B463" i="1"/>
  <c r="B463" i="3" s="1"/>
  <c r="B464" i="1"/>
  <c r="B464" i="3" s="1"/>
  <c r="B465" i="1"/>
  <c r="B465" i="3" s="1"/>
  <c r="B466" i="1"/>
  <c r="B466" i="3" s="1"/>
  <c r="B467" i="1"/>
  <c r="B467" i="3" s="1"/>
  <c r="B468" i="1"/>
  <c r="B468" i="3" s="1"/>
  <c r="B469" i="1"/>
  <c r="B469" i="3" s="1"/>
  <c r="B470" i="1"/>
  <c r="B470" i="3" s="1"/>
  <c r="B471" i="1"/>
  <c r="B471" i="3" s="1"/>
  <c r="B472" i="1"/>
  <c r="B472" i="3" s="1"/>
  <c r="B473" i="1"/>
  <c r="B473" i="3" s="1"/>
  <c r="B474" i="1"/>
  <c r="B474" i="3" s="1"/>
  <c r="B475" i="1"/>
  <c r="B475" i="3" s="1"/>
  <c r="B476" i="1"/>
  <c r="B476" i="3" s="1"/>
  <c r="B477" i="1"/>
  <c r="B477" i="3" s="1"/>
  <c r="B478" i="1"/>
  <c r="B478" i="3" s="1"/>
  <c r="B479" i="1"/>
  <c r="B479" i="3" s="1"/>
  <c r="B480" i="1"/>
  <c r="B480" i="3" s="1"/>
  <c r="B481" i="1"/>
  <c r="B481" i="3" s="1"/>
  <c r="B482" i="1"/>
  <c r="B482" i="3" s="1"/>
  <c r="B483" i="1"/>
  <c r="B483" i="3" s="1"/>
  <c r="B484" i="1"/>
  <c r="B484" i="3" s="1"/>
  <c r="B485" i="1"/>
  <c r="B485" i="3" s="1"/>
  <c r="B486" i="1"/>
  <c r="B486" i="3" s="1"/>
  <c r="B487" i="1"/>
  <c r="B487" i="3" s="1"/>
  <c r="B488" i="1"/>
  <c r="B488" i="3" s="1"/>
  <c r="B489" i="1"/>
  <c r="B489" i="3" s="1"/>
  <c r="B490" i="1"/>
  <c r="B490" i="3" s="1"/>
  <c r="B491" i="1"/>
  <c r="B491" i="3" s="1"/>
  <c r="B492" i="1"/>
  <c r="B492" i="3" s="1"/>
  <c r="B493" i="1"/>
  <c r="B493" i="3" s="1"/>
  <c r="B494" i="1"/>
  <c r="B494" i="3" s="1"/>
  <c r="B495" i="1"/>
  <c r="B495" i="3" s="1"/>
  <c r="B496" i="1"/>
  <c r="B496" i="3" s="1"/>
  <c r="B497" i="1"/>
  <c r="B497" i="3" s="1"/>
  <c r="B498" i="1"/>
  <c r="B498" i="3" s="1"/>
  <c r="B499" i="1"/>
  <c r="B499" i="3" s="1"/>
  <c r="B500" i="1"/>
  <c r="B500" i="3" s="1"/>
  <c r="B501" i="1"/>
  <c r="B501" i="3" s="1"/>
  <c r="B502" i="1"/>
  <c r="B502" i="3" s="1"/>
  <c r="B503" i="1"/>
  <c r="B503" i="3" s="1"/>
  <c r="B504" i="1"/>
  <c r="B504" i="3" s="1"/>
  <c r="B505" i="1"/>
  <c r="B505" i="3" s="1"/>
  <c r="B506" i="1"/>
  <c r="B506" i="3" s="1"/>
  <c r="B507" i="1"/>
  <c r="B507" i="3" s="1"/>
  <c r="B508" i="1"/>
  <c r="B508" i="3" s="1"/>
  <c r="B509" i="1"/>
  <c r="B509" i="3" s="1"/>
  <c r="B510" i="1"/>
  <c r="B510" i="3" s="1"/>
  <c r="B511" i="1"/>
  <c r="B511" i="3" s="1"/>
  <c r="B512" i="1"/>
  <c r="B512" i="3" s="1"/>
  <c r="B513" i="1"/>
  <c r="B513" i="3" s="1"/>
  <c r="B514" i="1"/>
  <c r="B514" i="3" s="1"/>
  <c r="B515" i="1"/>
  <c r="B515" i="3" s="1"/>
  <c r="B516" i="1"/>
  <c r="B516" i="3" s="1"/>
  <c r="B517" i="1"/>
  <c r="B517" i="3" s="1"/>
  <c r="B518" i="1"/>
  <c r="B518" i="3" s="1"/>
  <c r="B519" i="1"/>
  <c r="B519" i="3" s="1"/>
  <c r="B520" i="1"/>
  <c r="B520" i="3" s="1"/>
  <c r="B521" i="1"/>
  <c r="B521" i="3" s="1"/>
  <c r="B522" i="1"/>
  <c r="B522" i="3" s="1"/>
  <c r="B523" i="1"/>
  <c r="B523" i="3" s="1"/>
  <c r="B524" i="1"/>
  <c r="B524" i="3" s="1"/>
  <c r="B525" i="1"/>
  <c r="B525" i="3" s="1"/>
  <c r="B526" i="1"/>
  <c r="B526" i="3" s="1"/>
  <c r="B527" i="1"/>
  <c r="B527" i="3" s="1"/>
  <c r="B528" i="1"/>
  <c r="B528" i="3" s="1"/>
  <c r="B529" i="1"/>
  <c r="B529" i="3" s="1"/>
  <c r="B530" i="1"/>
  <c r="B530" i="3" s="1"/>
  <c r="B531" i="1"/>
  <c r="B531" i="3" s="1"/>
  <c r="B532" i="1"/>
  <c r="B532" i="3" s="1"/>
  <c r="B533" i="1"/>
  <c r="B533" i="3" s="1"/>
  <c r="B534" i="1"/>
  <c r="B534" i="3" s="1"/>
  <c r="B535" i="1"/>
  <c r="B535" i="3" s="1"/>
  <c r="B536" i="1"/>
  <c r="B536" i="3" s="1"/>
  <c r="B537" i="1"/>
  <c r="B537" i="3" s="1"/>
  <c r="B538" i="1"/>
  <c r="B538" i="3" s="1"/>
  <c r="B539" i="1"/>
  <c r="B539" i="3" s="1"/>
  <c r="B540" i="1"/>
  <c r="B540" i="3" s="1"/>
  <c r="B541" i="1"/>
  <c r="B541" i="3" s="1"/>
  <c r="B542" i="1"/>
  <c r="B542" i="3" s="1"/>
  <c r="B543" i="1"/>
  <c r="B543" i="3" s="1"/>
  <c r="B544" i="1"/>
  <c r="B544" i="3" s="1"/>
  <c r="B545" i="1"/>
  <c r="B545" i="3" s="1"/>
  <c r="B546" i="1"/>
  <c r="B546" i="3" s="1"/>
  <c r="B547" i="1"/>
  <c r="B547" i="3" s="1"/>
  <c r="B548" i="1"/>
  <c r="B548" i="3" s="1"/>
  <c r="B549" i="1"/>
  <c r="B549" i="3" s="1"/>
  <c r="B550" i="1"/>
  <c r="B550" i="3" s="1"/>
  <c r="B551" i="1"/>
  <c r="B551" i="3" s="1"/>
  <c r="B552" i="1"/>
  <c r="B552" i="3" s="1"/>
  <c r="B553" i="1"/>
  <c r="B553" i="3" s="1"/>
  <c r="B554" i="1"/>
  <c r="B554" i="3" s="1"/>
  <c r="B555" i="1"/>
  <c r="B555" i="3" s="1"/>
  <c r="B556" i="1"/>
  <c r="B556" i="3" s="1"/>
  <c r="B557" i="1"/>
  <c r="B557" i="3" s="1"/>
  <c r="B558" i="1"/>
  <c r="B558" i="3" s="1"/>
  <c r="B559" i="1"/>
  <c r="B559" i="3" s="1"/>
  <c r="B560" i="1"/>
  <c r="B560" i="3" s="1"/>
  <c r="B561" i="1"/>
  <c r="B561" i="3" s="1"/>
  <c r="B562" i="1"/>
  <c r="B562" i="3" s="1"/>
  <c r="B563" i="1"/>
  <c r="B563" i="3" s="1"/>
  <c r="B564" i="1"/>
  <c r="B564" i="3" s="1"/>
  <c r="B565" i="1"/>
  <c r="B565" i="3" s="1"/>
  <c r="B566" i="1"/>
  <c r="B566" i="3" s="1"/>
  <c r="B567" i="1"/>
  <c r="B567" i="3" s="1"/>
  <c r="B568" i="1"/>
  <c r="B568" i="3" s="1"/>
  <c r="B569" i="1"/>
  <c r="B569" i="3" s="1"/>
  <c r="B570" i="1"/>
  <c r="B570" i="3" s="1"/>
  <c r="B571" i="1"/>
  <c r="B571" i="3" s="1"/>
  <c r="B572" i="1"/>
  <c r="B572" i="3" s="1"/>
  <c r="B573" i="1"/>
  <c r="B573" i="3" s="1"/>
  <c r="B574" i="1"/>
  <c r="B574" i="3" s="1"/>
  <c r="B575" i="1"/>
  <c r="B575" i="3" s="1"/>
  <c r="B576" i="1"/>
  <c r="B576" i="3" s="1"/>
  <c r="B577" i="1"/>
  <c r="B577" i="3" s="1"/>
  <c r="B578" i="1"/>
  <c r="B578" i="3" s="1"/>
  <c r="B579" i="1"/>
  <c r="B579" i="3" s="1"/>
  <c r="B580" i="1"/>
  <c r="B580" i="3" s="1"/>
  <c r="B581" i="1"/>
  <c r="B581" i="3" s="1"/>
  <c r="B582" i="1"/>
  <c r="B582" i="3" s="1"/>
  <c r="B583" i="1"/>
  <c r="B583" i="3" s="1"/>
  <c r="B584" i="1"/>
  <c r="B584" i="3" s="1"/>
  <c r="B585" i="1"/>
  <c r="B585" i="3" s="1"/>
  <c r="B586" i="1"/>
  <c r="B586" i="3" s="1"/>
  <c r="B587" i="1"/>
  <c r="B587" i="3" s="1"/>
  <c r="B588" i="1"/>
  <c r="B588" i="3" s="1"/>
  <c r="B589" i="1"/>
  <c r="B589" i="3" s="1"/>
  <c r="B590" i="1"/>
  <c r="B590" i="3" s="1"/>
  <c r="B591" i="1"/>
  <c r="B591" i="3" s="1"/>
  <c r="B592" i="1"/>
  <c r="B592" i="3" s="1"/>
  <c r="B593" i="1"/>
  <c r="B593" i="3" s="1"/>
  <c r="B594" i="1"/>
  <c r="B594" i="3" s="1"/>
  <c r="B595" i="1"/>
  <c r="B595" i="3" s="1"/>
  <c r="B596" i="1"/>
  <c r="B596" i="3" s="1"/>
  <c r="B597" i="1"/>
  <c r="B597" i="3" s="1"/>
  <c r="B598" i="1"/>
  <c r="B598" i="3" s="1"/>
  <c r="B599" i="1"/>
  <c r="B599" i="3" s="1"/>
  <c r="B600" i="1"/>
  <c r="B600" i="3" s="1"/>
  <c r="B601" i="1"/>
  <c r="B601" i="3" s="1"/>
  <c r="B602" i="1"/>
  <c r="B602" i="3" s="1"/>
  <c r="B603" i="1"/>
  <c r="B603" i="3" s="1"/>
  <c r="B604" i="1"/>
  <c r="B604" i="3" s="1"/>
  <c r="B605" i="1"/>
  <c r="B605" i="3" s="1"/>
  <c r="B606" i="1"/>
  <c r="B606" i="3" s="1"/>
  <c r="B607" i="1"/>
  <c r="B607" i="3" s="1"/>
  <c r="B608" i="1"/>
  <c r="B608" i="3" s="1"/>
  <c r="B609" i="1"/>
  <c r="B609" i="3" s="1"/>
  <c r="B610" i="1"/>
  <c r="B610" i="3" s="1"/>
  <c r="B611" i="1"/>
  <c r="B611" i="3" s="1"/>
  <c r="B612" i="1"/>
  <c r="B612" i="3" s="1"/>
  <c r="B613" i="1"/>
  <c r="B613" i="3" s="1"/>
  <c r="B614" i="1"/>
  <c r="B614" i="3" s="1"/>
  <c r="B615" i="1"/>
  <c r="B615" i="3" s="1"/>
  <c r="B616" i="1"/>
  <c r="B616" i="3" s="1"/>
  <c r="B617" i="1"/>
  <c r="B617" i="3" s="1"/>
  <c r="B618" i="1"/>
  <c r="B618" i="3" s="1"/>
  <c r="B619" i="1"/>
  <c r="B619" i="3" s="1"/>
  <c r="B620" i="1"/>
  <c r="B620" i="3" s="1"/>
  <c r="B621" i="1"/>
  <c r="B621" i="3" s="1"/>
  <c r="B622" i="1"/>
  <c r="B622" i="3" s="1"/>
  <c r="B623" i="1"/>
  <c r="B623" i="3" s="1"/>
  <c r="B624" i="1"/>
  <c r="B624" i="3" s="1"/>
  <c r="B625" i="1"/>
  <c r="B625" i="3" s="1"/>
  <c r="B626" i="1"/>
  <c r="B626" i="3" s="1"/>
  <c r="B627" i="1"/>
  <c r="B627" i="3" s="1"/>
  <c r="B628" i="1"/>
  <c r="B628" i="3" s="1"/>
  <c r="B629" i="1"/>
  <c r="B629" i="3" s="1"/>
  <c r="B630" i="1"/>
  <c r="B630" i="3" s="1"/>
  <c r="B631" i="1"/>
  <c r="B631" i="3" s="1"/>
  <c r="B632" i="1"/>
  <c r="B632" i="3" s="1"/>
  <c r="B633" i="1"/>
  <c r="B633" i="3" s="1"/>
  <c r="B634" i="1"/>
  <c r="B634" i="3" s="1"/>
  <c r="B635" i="1"/>
  <c r="B635" i="3" s="1"/>
  <c r="B636" i="1"/>
  <c r="B636" i="3" s="1"/>
  <c r="B637" i="1"/>
  <c r="B637" i="3" s="1"/>
  <c r="B638" i="1"/>
  <c r="B638" i="3" s="1"/>
  <c r="B639" i="1"/>
  <c r="B639" i="3" s="1"/>
  <c r="B640" i="1"/>
  <c r="B640" i="3" s="1"/>
  <c r="B641" i="1"/>
  <c r="B641" i="3" s="1"/>
  <c r="B642" i="1"/>
  <c r="B642" i="3" s="1"/>
  <c r="B643" i="1"/>
  <c r="B643" i="3" s="1"/>
  <c r="B644" i="1"/>
  <c r="B644" i="3" s="1"/>
  <c r="B645" i="1"/>
  <c r="B645" i="3" s="1"/>
  <c r="B646" i="1"/>
  <c r="B646" i="3" s="1"/>
  <c r="B647" i="1"/>
  <c r="B647" i="3" s="1"/>
  <c r="B648" i="1"/>
  <c r="B648" i="3" s="1"/>
  <c r="B649" i="1"/>
  <c r="B649" i="3" s="1"/>
  <c r="B650" i="1"/>
  <c r="B650" i="3" s="1"/>
  <c r="B651" i="1"/>
  <c r="B651" i="3" s="1"/>
  <c r="B652" i="1"/>
  <c r="B652" i="3" s="1"/>
  <c r="B653" i="1"/>
  <c r="B653" i="3" s="1"/>
  <c r="B654" i="1"/>
  <c r="B654" i="3" s="1"/>
  <c r="B655" i="1"/>
  <c r="B655" i="3" s="1"/>
  <c r="B656" i="1"/>
  <c r="B656" i="3" s="1"/>
  <c r="B657" i="1"/>
  <c r="B657" i="3" s="1"/>
  <c r="B658" i="1"/>
  <c r="B658" i="3" s="1"/>
  <c r="B659" i="1"/>
  <c r="B659" i="3" s="1"/>
  <c r="B660" i="1"/>
  <c r="B660" i="3" s="1"/>
  <c r="B661" i="1"/>
  <c r="B661" i="3" s="1"/>
  <c r="B662" i="1"/>
  <c r="B662" i="3" s="1"/>
  <c r="B663" i="1"/>
  <c r="B663" i="3" s="1"/>
  <c r="B664" i="1"/>
  <c r="B664" i="3" s="1"/>
  <c r="B665" i="1"/>
  <c r="B665" i="3" s="1"/>
  <c r="B666" i="1"/>
  <c r="B666" i="3" s="1"/>
  <c r="B667" i="1"/>
  <c r="B667" i="3" s="1"/>
  <c r="B668" i="1"/>
  <c r="B668" i="3" s="1"/>
  <c r="B669" i="1"/>
  <c r="B669" i="3" s="1"/>
  <c r="B670" i="1"/>
  <c r="B670" i="3" s="1"/>
  <c r="B671" i="1"/>
  <c r="B671" i="3" s="1"/>
  <c r="B672" i="1"/>
  <c r="B672" i="3" s="1"/>
  <c r="B673" i="1"/>
  <c r="B673" i="3" s="1"/>
  <c r="B674" i="1"/>
  <c r="B674" i="3" s="1"/>
  <c r="B675" i="1"/>
  <c r="B675" i="3" s="1"/>
  <c r="B676" i="1"/>
  <c r="B676" i="3" s="1"/>
  <c r="B677" i="1"/>
  <c r="B677" i="3" s="1"/>
  <c r="B678" i="1"/>
  <c r="B678" i="3" s="1"/>
  <c r="B679" i="1"/>
  <c r="B679" i="3" s="1"/>
  <c r="B680" i="1"/>
  <c r="B680" i="3" s="1"/>
  <c r="B681" i="1"/>
  <c r="B681" i="3" s="1"/>
  <c r="B682" i="1"/>
  <c r="B682" i="3" s="1"/>
  <c r="B683" i="1"/>
  <c r="B683" i="3" s="1"/>
  <c r="B684" i="1"/>
  <c r="B684" i="3" s="1"/>
  <c r="B685" i="1"/>
  <c r="B685" i="3" s="1"/>
  <c r="B686" i="1"/>
  <c r="B686" i="3" s="1"/>
  <c r="B687" i="1"/>
  <c r="B687" i="3" s="1"/>
  <c r="B688" i="1"/>
  <c r="B688" i="3" s="1"/>
  <c r="B689" i="1"/>
  <c r="B689" i="3" s="1"/>
  <c r="B690" i="1"/>
  <c r="B690" i="3" s="1"/>
  <c r="B691" i="1"/>
  <c r="B691" i="3" s="1"/>
  <c r="B692" i="1"/>
  <c r="B692" i="3" s="1"/>
  <c r="B693" i="1"/>
  <c r="B693" i="3" s="1"/>
  <c r="B694" i="1"/>
  <c r="B694" i="3" s="1"/>
  <c r="B695" i="1"/>
  <c r="B695" i="3" s="1"/>
  <c r="B696" i="1"/>
  <c r="B696" i="3" s="1"/>
  <c r="B697" i="1"/>
  <c r="B697" i="3" s="1"/>
  <c r="B698" i="1"/>
  <c r="B698" i="3" s="1"/>
  <c r="B699" i="1"/>
  <c r="B699" i="3" s="1"/>
  <c r="B700" i="1"/>
  <c r="B700" i="3" s="1"/>
  <c r="B701" i="1"/>
  <c r="B701" i="3" s="1"/>
  <c r="B702" i="1"/>
  <c r="B702" i="3" s="1"/>
  <c r="B703" i="1"/>
  <c r="B703" i="3" s="1"/>
  <c r="B704" i="1"/>
  <c r="B704" i="3" s="1"/>
  <c r="B705" i="1"/>
  <c r="B705" i="3" s="1"/>
  <c r="B706" i="1"/>
  <c r="B706" i="3" s="1"/>
  <c r="B707" i="1"/>
  <c r="B707" i="3" s="1"/>
  <c r="B708" i="1"/>
  <c r="B708" i="3" s="1"/>
  <c r="B709" i="1"/>
  <c r="B709" i="3" s="1"/>
  <c r="B710" i="1"/>
  <c r="B710" i="3" s="1"/>
  <c r="B711" i="1"/>
  <c r="B711" i="3" s="1"/>
  <c r="B712" i="1"/>
  <c r="B712" i="3" s="1"/>
  <c r="B713" i="1"/>
  <c r="B713" i="3" s="1"/>
  <c r="B714" i="1"/>
  <c r="B714" i="3" s="1"/>
  <c r="B715" i="1"/>
  <c r="B715" i="3" s="1"/>
  <c r="B716" i="1"/>
  <c r="B716" i="3" s="1"/>
  <c r="B717" i="1"/>
  <c r="B717" i="3" s="1"/>
  <c r="B718" i="1"/>
  <c r="B718" i="3" s="1"/>
  <c r="B719" i="1"/>
  <c r="B719" i="3" s="1"/>
  <c r="B720" i="1"/>
  <c r="B720" i="3" s="1"/>
  <c r="B721" i="1"/>
  <c r="B721" i="3" s="1"/>
  <c r="B722" i="1"/>
  <c r="B722" i="3" s="1"/>
  <c r="B723" i="1"/>
  <c r="B723" i="3" s="1"/>
  <c r="B724" i="1"/>
  <c r="B724" i="3" s="1"/>
  <c r="B725" i="1"/>
  <c r="B725" i="3" s="1"/>
  <c r="B726" i="1"/>
  <c r="B726" i="3" s="1"/>
  <c r="B727" i="1"/>
  <c r="B727" i="3" s="1"/>
  <c r="B728" i="1"/>
  <c r="B728" i="3" s="1"/>
  <c r="B729" i="1"/>
  <c r="B729" i="3" s="1"/>
  <c r="B730" i="1"/>
  <c r="B730" i="3" s="1"/>
  <c r="B731" i="1"/>
  <c r="B731" i="3" s="1"/>
  <c r="B732" i="1"/>
  <c r="B732" i="3" s="1"/>
  <c r="B733" i="1"/>
  <c r="B733" i="3" s="1"/>
  <c r="B734" i="1"/>
  <c r="B734" i="3" s="1"/>
  <c r="B735" i="1"/>
  <c r="B735" i="3" s="1"/>
  <c r="B736" i="1"/>
  <c r="B736" i="3" s="1"/>
  <c r="B737" i="1"/>
  <c r="B737" i="3" s="1"/>
  <c r="B738" i="1"/>
  <c r="B738" i="3" s="1"/>
  <c r="B739" i="1"/>
  <c r="B739" i="3" s="1"/>
  <c r="B740" i="1"/>
  <c r="B740" i="3" s="1"/>
  <c r="B741" i="1"/>
  <c r="B741" i="3" s="1"/>
  <c r="B742" i="1"/>
  <c r="B742" i="3" s="1"/>
  <c r="B743" i="1"/>
  <c r="B743" i="3" s="1"/>
  <c r="B744" i="1"/>
  <c r="B744" i="3" s="1"/>
  <c r="B745" i="1"/>
  <c r="B745" i="3" s="1"/>
  <c r="B746" i="1"/>
  <c r="B746" i="3" s="1"/>
  <c r="B747" i="1"/>
  <c r="B747" i="3" s="1"/>
  <c r="B748" i="1"/>
  <c r="B748" i="3" s="1"/>
  <c r="B749" i="1"/>
  <c r="B749" i="3" s="1"/>
  <c r="B750" i="1"/>
  <c r="B750" i="3" s="1"/>
  <c r="B751" i="1"/>
  <c r="B751" i="3" s="1"/>
  <c r="B752" i="1"/>
  <c r="B752" i="3" s="1"/>
  <c r="B753" i="1"/>
  <c r="B753" i="3" s="1"/>
  <c r="B754" i="1"/>
  <c r="B754" i="3" s="1"/>
  <c r="B755" i="1"/>
  <c r="B755" i="3" s="1"/>
  <c r="B756" i="1"/>
  <c r="B756" i="3" s="1"/>
  <c r="B757" i="1"/>
  <c r="B757" i="3" s="1"/>
  <c r="B758" i="1"/>
  <c r="B758" i="3" s="1"/>
  <c r="B759" i="1"/>
  <c r="B759" i="3" s="1"/>
  <c r="B760" i="1"/>
  <c r="B760" i="3" s="1"/>
  <c r="B761" i="1"/>
  <c r="B761" i="3" s="1"/>
  <c r="B762" i="1"/>
  <c r="B762" i="3" s="1"/>
  <c r="B763" i="1"/>
  <c r="B763" i="3" s="1"/>
  <c r="B764" i="1"/>
  <c r="B764" i="3" s="1"/>
  <c r="B765" i="1"/>
  <c r="B765" i="3" s="1"/>
  <c r="B766" i="1"/>
  <c r="B766" i="3" s="1"/>
  <c r="B767" i="1"/>
  <c r="B767" i="3" s="1"/>
  <c r="B768" i="1"/>
  <c r="B768" i="3" s="1"/>
  <c r="B769" i="1"/>
  <c r="B769" i="3" s="1"/>
  <c r="B770" i="1"/>
  <c r="B770" i="3" s="1"/>
  <c r="B771" i="1"/>
  <c r="B771" i="3" s="1"/>
  <c r="B772" i="1"/>
  <c r="B772" i="3" s="1"/>
  <c r="B773" i="1"/>
  <c r="B773" i="3" s="1"/>
  <c r="B774" i="1"/>
  <c r="B774" i="3" s="1"/>
  <c r="B775" i="1"/>
  <c r="B775" i="3" s="1"/>
  <c r="B776" i="1"/>
  <c r="B776" i="3" s="1"/>
  <c r="B777" i="1"/>
  <c r="B777" i="3" s="1"/>
  <c r="B778" i="1"/>
  <c r="B778" i="3" s="1"/>
  <c r="B779" i="1"/>
  <c r="B779" i="3" s="1"/>
  <c r="B780" i="1"/>
  <c r="B780" i="3" s="1"/>
  <c r="B781" i="1"/>
  <c r="B781" i="3" s="1"/>
  <c r="B782" i="1"/>
  <c r="B782" i="3" s="1"/>
  <c r="B783" i="1"/>
  <c r="B783" i="3" s="1"/>
  <c r="B784" i="1"/>
  <c r="B784" i="3" s="1"/>
  <c r="B785" i="1"/>
  <c r="B785" i="3" s="1"/>
  <c r="B786" i="1"/>
  <c r="B786" i="3" s="1"/>
  <c r="B787" i="1"/>
  <c r="B787" i="3" s="1"/>
  <c r="B788" i="1"/>
  <c r="B788" i="3" s="1"/>
  <c r="B789" i="1"/>
  <c r="B789" i="3" s="1"/>
  <c r="B790" i="1"/>
  <c r="B790" i="3" s="1"/>
  <c r="B791" i="1"/>
  <c r="B791" i="3" s="1"/>
  <c r="B792" i="1"/>
  <c r="B792" i="3" s="1"/>
  <c r="B793" i="1"/>
  <c r="B793" i="3" s="1"/>
  <c r="B794" i="1"/>
  <c r="B794" i="3" s="1"/>
  <c r="B795" i="1"/>
  <c r="B795" i="3" s="1"/>
  <c r="B796" i="1"/>
  <c r="B796" i="3" s="1"/>
  <c r="B797" i="1"/>
  <c r="B797" i="3" s="1"/>
  <c r="B798" i="1"/>
  <c r="B798" i="3" s="1"/>
  <c r="B800" i="1"/>
  <c r="B800" i="3" s="1"/>
  <c r="B801" i="1"/>
  <c r="B801" i="3" s="1"/>
  <c r="D801" i="3"/>
  <c r="E801" i="1"/>
  <c r="E801" i="3" s="1"/>
  <c r="C801" i="4" s="1"/>
  <c r="G801" i="3"/>
  <c r="E801" i="4" s="1"/>
  <c r="K801" i="1"/>
  <c r="K801" i="3" s="1"/>
  <c r="L801" i="1"/>
  <c r="L801" i="3" s="1"/>
  <c r="A801" i="1"/>
  <c r="Q34" i="1"/>
  <c r="Q35" i="1"/>
  <c r="Q36" i="1"/>
  <c r="Q37" i="1"/>
  <c r="Q42" i="1"/>
  <c r="Q43" i="1"/>
  <c r="Q44" i="1"/>
  <c r="Q45" i="1"/>
  <c r="Q50" i="1"/>
  <c r="Q51" i="1"/>
  <c r="Q52" i="1"/>
  <c r="Q53" i="1"/>
  <c r="Q54" i="1"/>
  <c r="Q58" i="1"/>
  <c r="Q59" i="1"/>
  <c r="Q60" i="1"/>
  <c r="Q61" i="1"/>
  <c r="Q62" i="1"/>
  <c r="Q63" i="1"/>
  <c r="Q66" i="1"/>
  <c r="Q67" i="1"/>
  <c r="Q68" i="1"/>
  <c r="Q69" i="1"/>
  <c r="Q74" i="1"/>
  <c r="Q75" i="1"/>
  <c r="Q76" i="1"/>
  <c r="Q77" i="1"/>
  <c r="Q78" i="1"/>
  <c r="Q82" i="1"/>
  <c r="Q83" i="1"/>
  <c r="Q84" i="1"/>
  <c r="Q85" i="1"/>
  <c r="Q86" i="1"/>
  <c r="Q90" i="1"/>
  <c r="Q91" i="1"/>
  <c r="Q92" i="1"/>
  <c r="Q93" i="1"/>
  <c r="Q94" i="1"/>
  <c r="Q95" i="1"/>
  <c r="Q98" i="1"/>
  <c r="Q99" i="1"/>
  <c r="Q100" i="1"/>
  <c r="Q101" i="1"/>
  <c r="Q102" i="1"/>
  <c r="Q103" i="1"/>
  <c r="Q106" i="1"/>
  <c r="Q107" i="1"/>
  <c r="Q108" i="1"/>
  <c r="Q109" i="1"/>
  <c r="Q110" i="1"/>
  <c r="Q114" i="1"/>
  <c r="Q115" i="1"/>
  <c r="Q116" i="1"/>
  <c r="Q117" i="1"/>
  <c r="Q122" i="1"/>
  <c r="Q123" i="1"/>
  <c r="Q124" i="1"/>
  <c r="Q125" i="1"/>
  <c r="Q126" i="1"/>
  <c r="Q130" i="1"/>
  <c r="Q131" i="1"/>
  <c r="Q132" i="1"/>
  <c r="Q133" i="1"/>
  <c r="Q135" i="1"/>
  <c r="Q138" i="1"/>
  <c r="Q139" i="1"/>
  <c r="Q140" i="1"/>
  <c r="Q141" i="1"/>
  <c r="Q146" i="1"/>
  <c r="Q147" i="1"/>
  <c r="Q148" i="1"/>
  <c r="Q149" i="1"/>
  <c r="Q150" i="1"/>
  <c r="Q154" i="1"/>
  <c r="Q155" i="1"/>
  <c r="Q156" i="1"/>
  <c r="Q157" i="1"/>
  <c r="Q162" i="1"/>
  <c r="Q163" i="1"/>
  <c r="Q164" i="1"/>
  <c r="Q165" i="1"/>
  <c r="Q167" i="1"/>
  <c r="Q170" i="1"/>
  <c r="Q171" i="1"/>
  <c r="Q172" i="1"/>
  <c r="Q173" i="1"/>
  <c r="Q174" i="1"/>
  <c r="Q178" i="1"/>
  <c r="Q179" i="1"/>
  <c r="Q180" i="1"/>
  <c r="Q181" i="1"/>
  <c r="Q182" i="1"/>
  <c r="Q186" i="1"/>
  <c r="Q187" i="1"/>
  <c r="Q188" i="1"/>
  <c r="Q189" i="1"/>
  <c r="Q194" i="1"/>
  <c r="Q195" i="1"/>
  <c r="Q196" i="1"/>
  <c r="Q197" i="1"/>
  <c r="Q198" i="1"/>
  <c r="Q199" i="1"/>
  <c r="Q202" i="1"/>
  <c r="Q203" i="1"/>
  <c r="Q204" i="1"/>
  <c r="Q205" i="1"/>
  <c r="Q206" i="1"/>
  <c r="Q210" i="1"/>
  <c r="Q211" i="1"/>
  <c r="Q212" i="1"/>
  <c r="Q213" i="1"/>
  <c r="Q218" i="1"/>
  <c r="Q219" i="1"/>
  <c r="Q220" i="1"/>
  <c r="Q221" i="1"/>
  <c r="Q222" i="1"/>
  <c r="Q225" i="1"/>
  <c r="Q226" i="1"/>
  <c r="Q227" i="1"/>
  <c r="Q228" i="1"/>
  <c r="Q229" i="1"/>
  <c r="Q230" i="1"/>
  <c r="Q234" i="1"/>
  <c r="Q235" i="1"/>
  <c r="Q236" i="1"/>
  <c r="Q237" i="1"/>
  <c r="Q239" i="1"/>
  <c r="Q242" i="1"/>
  <c r="Q243" i="1"/>
  <c r="Q244" i="1"/>
  <c r="Q245" i="1"/>
  <c r="Q246" i="1"/>
  <c r="Q250" i="1"/>
  <c r="Q251" i="1"/>
  <c r="Q252" i="1"/>
  <c r="Q253" i="1"/>
  <c r="Q254" i="1"/>
  <c r="Q258" i="1"/>
  <c r="Q259" i="1"/>
  <c r="Q260" i="1"/>
  <c r="Q261" i="1"/>
  <c r="Q266" i="1"/>
  <c r="Q267" i="1"/>
  <c r="Q268" i="1"/>
  <c r="Q269" i="1"/>
  <c r="Q270" i="1"/>
  <c r="Q271" i="1"/>
  <c r="Q274" i="1"/>
  <c r="Q275" i="1"/>
  <c r="Q276" i="1"/>
  <c r="Q277" i="1"/>
  <c r="Q278" i="1"/>
  <c r="Q282" i="1"/>
  <c r="Q283" i="1"/>
  <c r="Q284" i="1"/>
  <c r="Q285" i="1"/>
  <c r="Q290" i="1"/>
  <c r="Q291" i="1"/>
  <c r="Q292" i="1"/>
  <c r="Q293" i="1"/>
  <c r="Q294" i="1"/>
  <c r="Q298" i="1"/>
  <c r="Q299" i="1"/>
  <c r="Q300" i="1"/>
  <c r="Q301" i="1"/>
  <c r="Q302" i="1"/>
  <c r="Q303" i="1"/>
  <c r="Q306" i="1"/>
  <c r="Q307" i="1"/>
  <c r="Q308" i="1"/>
  <c r="Q309" i="1"/>
  <c r="Q310" i="1"/>
  <c r="Q314" i="1"/>
  <c r="Q315" i="1"/>
  <c r="Q316" i="1"/>
  <c r="Q317" i="1"/>
  <c r="Q318" i="1"/>
  <c r="Q322" i="1"/>
  <c r="Q323" i="1"/>
  <c r="Q324" i="1"/>
  <c r="Q325" i="1"/>
  <c r="Q326" i="1"/>
  <c r="Q330" i="1"/>
  <c r="Q331" i="1"/>
  <c r="Q332" i="1"/>
  <c r="Q333" i="1"/>
  <c r="Q335" i="1"/>
  <c r="Q338" i="1"/>
  <c r="Q339" i="1"/>
  <c r="Q340" i="1"/>
  <c r="Q341" i="1"/>
  <c r="Q342" i="1"/>
  <c r="Q346" i="1"/>
  <c r="Q347" i="1"/>
  <c r="Q348" i="1"/>
  <c r="Q349" i="1"/>
  <c r="Q350" i="1"/>
  <c r="Q354" i="1"/>
  <c r="Q355" i="1"/>
  <c r="Q356" i="1"/>
  <c r="Q357" i="1"/>
  <c r="Q358" i="1"/>
  <c r="Q362" i="1"/>
  <c r="Q363" i="1"/>
  <c r="Q364" i="1"/>
  <c r="Q365" i="1"/>
  <c r="Q366" i="1"/>
  <c r="Q370" i="1"/>
  <c r="Q371" i="1"/>
  <c r="Q372" i="1"/>
  <c r="Q373" i="1"/>
  <c r="Q374" i="1"/>
  <c r="Q375" i="1"/>
  <c r="Q378" i="1"/>
  <c r="Q379" i="1"/>
  <c r="Q380" i="1"/>
  <c r="Q381" i="1"/>
  <c r="Q382" i="1"/>
  <c r="Q386" i="1"/>
  <c r="Q387" i="1"/>
  <c r="Q388" i="1"/>
  <c r="Q389" i="1"/>
  <c r="Q390" i="1"/>
  <c r="Q394" i="1"/>
  <c r="Q395" i="1"/>
  <c r="Q396" i="1"/>
  <c r="Q397" i="1"/>
  <c r="Q398" i="1"/>
  <c r="Q402" i="1"/>
  <c r="Q403" i="1"/>
  <c r="Q404" i="1"/>
  <c r="Q405" i="1"/>
  <c r="Q407" i="1"/>
  <c r="Q410" i="1"/>
  <c r="Q411" i="1"/>
  <c r="Q412" i="1"/>
  <c r="Q413" i="1"/>
  <c r="Q414" i="1"/>
  <c r="Q418" i="1"/>
  <c r="Q419" i="1"/>
  <c r="Q420" i="1"/>
  <c r="Q421" i="1"/>
  <c r="Q422" i="1"/>
  <c r="Q426" i="1"/>
  <c r="Q427" i="1"/>
  <c r="Q428" i="1"/>
  <c r="Q429" i="1"/>
  <c r="Q430" i="1"/>
  <c r="Q434" i="1"/>
  <c r="Q435" i="1"/>
  <c r="Q436" i="1"/>
  <c r="Q437" i="1"/>
  <c r="Q438" i="1"/>
  <c r="Q439" i="1"/>
  <c r="Q442" i="1"/>
  <c r="Q443" i="1"/>
  <c r="Q444" i="1"/>
  <c r="Q445" i="1"/>
  <c r="Q446" i="1"/>
  <c r="Q450" i="1"/>
  <c r="Q451" i="1"/>
  <c r="Q452" i="1"/>
  <c r="Q453" i="1"/>
  <c r="Q454" i="1"/>
  <c r="Q458" i="1"/>
  <c r="Q459" i="1"/>
  <c r="Q460" i="1"/>
  <c r="Q461" i="1"/>
  <c r="Q462" i="1"/>
  <c r="Q466" i="1"/>
  <c r="Q467" i="1"/>
  <c r="Q468" i="1"/>
  <c r="Q469" i="1"/>
  <c r="Q470" i="1"/>
  <c r="Q471" i="1"/>
  <c r="Q474" i="1"/>
  <c r="Q475" i="1"/>
  <c r="Q476" i="1"/>
  <c r="Q477" i="1"/>
  <c r="Q478" i="1"/>
  <c r="Q482" i="1"/>
  <c r="Q483" i="1"/>
  <c r="Q484" i="1"/>
  <c r="Q485" i="1"/>
  <c r="Q490" i="1"/>
  <c r="Q491" i="1"/>
  <c r="Q492" i="1"/>
  <c r="Q493" i="1"/>
  <c r="Q494" i="1"/>
  <c r="Q498" i="1"/>
  <c r="Q499" i="1"/>
  <c r="Q500" i="1"/>
  <c r="Q501" i="1"/>
  <c r="Q502" i="1"/>
  <c r="Q506" i="1"/>
  <c r="Q507" i="1"/>
  <c r="Q508" i="1"/>
  <c r="Q509" i="1"/>
  <c r="Q510" i="1"/>
  <c r="Q511" i="1"/>
  <c r="Q514" i="1"/>
  <c r="Q515" i="1"/>
  <c r="Q516" i="1"/>
  <c r="Q517" i="1"/>
  <c r="Q518" i="1"/>
  <c r="Q522" i="1"/>
  <c r="Q523" i="1"/>
  <c r="Q524" i="1"/>
  <c r="Q525" i="1"/>
  <c r="Q526" i="1"/>
  <c r="Q530" i="1"/>
  <c r="Q531" i="1"/>
  <c r="Q532" i="1"/>
  <c r="Q533" i="1"/>
  <c r="Q534" i="1"/>
  <c r="Q538" i="1"/>
  <c r="Q539" i="1"/>
  <c r="Q540" i="1"/>
  <c r="Q541" i="1"/>
  <c r="Q542" i="1"/>
  <c r="Q543" i="1"/>
  <c r="Q546" i="1"/>
  <c r="Q547" i="1"/>
  <c r="Q548" i="1"/>
  <c r="Q549" i="1"/>
  <c r="Q554" i="1"/>
  <c r="Q555" i="1"/>
  <c r="Q556" i="1"/>
  <c r="Q557" i="1"/>
  <c r="Q562" i="1"/>
  <c r="Q563" i="1"/>
  <c r="Q564" i="1"/>
  <c r="Q565" i="1"/>
  <c r="Q566" i="1"/>
  <c r="Q570" i="1"/>
  <c r="Q571" i="1"/>
  <c r="Q572" i="1"/>
  <c r="Q573" i="1"/>
  <c r="Q574" i="1"/>
  <c r="Q575" i="1"/>
  <c r="Q578" i="1"/>
  <c r="Q579" i="1"/>
  <c r="Q580" i="1"/>
  <c r="Q581" i="1"/>
  <c r="Q586" i="1"/>
  <c r="Q587" i="1"/>
  <c r="Q588" i="1"/>
  <c r="Q589" i="1"/>
  <c r="Q590" i="1"/>
  <c r="Q594" i="1"/>
  <c r="Q595" i="1"/>
  <c r="Q596" i="1"/>
  <c r="Q597" i="1"/>
  <c r="Q598" i="1"/>
  <c r="Q602" i="1"/>
  <c r="Q603" i="1"/>
  <c r="Q604" i="1"/>
  <c r="Q605" i="1"/>
  <c r="Q606" i="1"/>
  <c r="Q607" i="1"/>
  <c r="Q610" i="1"/>
  <c r="Q611" i="1"/>
  <c r="Q612" i="1"/>
  <c r="Q613" i="1"/>
  <c r="Q614" i="1"/>
  <c r="Q615" i="1"/>
  <c r="Q618" i="1"/>
  <c r="Q619" i="1"/>
  <c r="Q620" i="1"/>
  <c r="Q621" i="1"/>
  <c r="Q622" i="1"/>
  <c r="Q626" i="1"/>
  <c r="Q627" i="1"/>
  <c r="Q628" i="1"/>
  <c r="Q629" i="1"/>
  <c r="Q634" i="1"/>
  <c r="Q635" i="1"/>
  <c r="Q636" i="1"/>
  <c r="Q637" i="1"/>
  <c r="Q638" i="1"/>
  <c r="Q642" i="1"/>
  <c r="Q643" i="1"/>
  <c r="Q644" i="1"/>
  <c r="Q645" i="1"/>
  <c r="Q647" i="1"/>
  <c r="Q650" i="1"/>
  <c r="Q651" i="1"/>
  <c r="Q652" i="1"/>
  <c r="Q653" i="1"/>
  <c r="Q658" i="1"/>
  <c r="Q659" i="1"/>
  <c r="Q660" i="1"/>
  <c r="Q661" i="1"/>
  <c r="Q662" i="1"/>
  <c r="Q666" i="1"/>
  <c r="Q667" i="1"/>
  <c r="Q668" i="1"/>
  <c r="Q669" i="1"/>
  <c r="Q674" i="1"/>
  <c r="Q675" i="1"/>
  <c r="Q676" i="1"/>
  <c r="Q677" i="1"/>
  <c r="Q679" i="1"/>
  <c r="Q682" i="1"/>
  <c r="Q683" i="1"/>
  <c r="Q684" i="1"/>
  <c r="Q685" i="1"/>
  <c r="Q686" i="1"/>
  <c r="Q690" i="1"/>
  <c r="Q691" i="1"/>
  <c r="Q692" i="1"/>
  <c r="Q693" i="1"/>
  <c r="Q694" i="1"/>
  <c r="Q698" i="1"/>
  <c r="Q699" i="1"/>
  <c r="Q700" i="1"/>
  <c r="Q701" i="1"/>
  <c r="Q706" i="1"/>
  <c r="Q707" i="1"/>
  <c r="Q708" i="1"/>
  <c r="Q709" i="1"/>
  <c r="Q710" i="1"/>
  <c r="Q711" i="1"/>
  <c r="Q714" i="1"/>
  <c r="Q715" i="1"/>
  <c r="Q716" i="1"/>
  <c r="Q717" i="1"/>
  <c r="Q718" i="1"/>
  <c r="Q722" i="1"/>
  <c r="Q723" i="1"/>
  <c r="Q724" i="1"/>
  <c r="Q725" i="1"/>
  <c r="Q730" i="1"/>
  <c r="Q731" i="1"/>
  <c r="Q732" i="1"/>
  <c r="Q733" i="1"/>
  <c r="Q734" i="1"/>
  <c r="Q737" i="1"/>
  <c r="Q738" i="1"/>
  <c r="Q739" i="1"/>
  <c r="Q740" i="1"/>
  <c r="Q741" i="1"/>
  <c r="Q742" i="1"/>
  <c r="Q746" i="1"/>
  <c r="Q747" i="1"/>
  <c r="Q748" i="1"/>
  <c r="Q749" i="1"/>
  <c r="Q751" i="1"/>
  <c r="Q754" i="1"/>
  <c r="Q755" i="1"/>
  <c r="Q756" i="1"/>
  <c r="Q757" i="1"/>
  <c r="Q758" i="1"/>
  <c r="Q762" i="1"/>
  <c r="Q763" i="1"/>
  <c r="Q764" i="1"/>
  <c r="Q765" i="1"/>
  <c r="Q766" i="1"/>
  <c r="Q770" i="1"/>
  <c r="Q771" i="1"/>
  <c r="Q772" i="1"/>
  <c r="Q773" i="1"/>
  <c r="Q778" i="1"/>
  <c r="Q779" i="1"/>
  <c r="Q780" i="1"/>
  <c r="Q781" i="1"/>
  <c r="Q782" i="1"/>
  <c r="Q783" i="1"/>
  <c r="Q786" i="1"/>
  <c r="Q787" i="1"/>
  <c r="Q788" i="1"/>
  <c r="Q789" i="1"/>
  <c r="Q790" i="1"/>
  <c r="Q794" i="1"/>
  <c r="Q795" i="1"/>
  <c r="Q796" i="1"/>
  <c r="Q797" i="1"/>
  <c r="D35" i="3"/>
  <c r="D36" i="3"/>
  <c r="D37" i="3"/>
  <c r="D39" i="3"/>
  <c r="D40" i="3"/>
  <c r="D41" i="3"/>
  <c r="D42" i="3"/>
  <c r="D43" i="3"/>
  <c r="D44" i="3"/>
  <c r="D45" i="3"/>
  <c r="D47" i="3"/>
  <c r="D48" i="3"/>
  <c r="D49" i="3"/>
  <c r="D51" i="3"/>
  <c r="D52" i="3"/>
  <c r="D53" i="3"/>
  <c r="D54" i="3"/>
  <c r="D55" i="3"/>
  <c r="D56" i="3"/>
  <c r="C56" i="3" s="1"/>
  <c r="D57" i="3"/>
  <c r="C57" i="3" s="1"/>
  <c r="D59" i="3"/>
  <c r="D60" i="3"/>
  <c r="D61" i="3"/>
  <c r="D63" i="3"/>
  <c r="D64" i="3"/>
  <c r="D65" i="3"/>
  <c r="D66" i="3"/>
  <c r="D67" i="3"/>
  <c r="D68" i="3"/>
  <c r="D69" i="3"/>
  <c r="D71" i="3"/>
  <c r="D72" i="3"/>
  <c r="D73" i="3"/>
  <c r="D75" i="3"/>
  <c r="D76" i="3"/>
  <c r="D77" i="3"/>
  <c r="D78" i="3"/>
  <c r="D79" i="3"/>
  <c r="D80" i="3"/>
  <c r="D81" i="3"/>
  <c r="D83" i="3"/>
  <c r="D84" i="3"/>
  <c r="D85" i="3"/>
  <c r="D87" i="3"/>
  <c r="D88" i="3"/>
  <c r="D89" i="3"/>
  <c r="D90" i="3"/>
  <c r="D91" i="3"/>
  <c r="D92" i="3"/>
  <c r="D93" i="3"/>
  <c r="D95" i="3"/>
  <c r="D96" i="3"/>
  <c r="D97" i="3"/>
  <c r="D99" i="3"/>
  <c r="D100" i="3"/>
  <c r="D101" i="3"/>
  <c r="D102" i="3"/>
  <c r="D103" i="3"/>
  <c r="D104" i="3"/>
  <c r="D105" i="3"/>
  <c r="D107" i="3"/>
  <c r="D108" i="3"/>
  <c r="D109" i="3"/>
  <c r="D111" i="3"/>
  <c r="D112" i="3"/>
  <c r="D113" i="3"/>
  <c r="D114" i="3"/>
  <c r="D115" i="3"/>
  <c r="D116" i="3"/>
  <c r="D117" i="3"/>
  <c r="D119" i="3"/>
  <c r="D120" i="3"/>
  <c r="D121" i="3"/>
  <c r="D123" i="3"/>
  <c r="D124" i="3"/>
  <c r="D125" i="3"/>
  <c r="D126" i="3"/>
  <c r="D127" i="3"/>
  <c r="D128" i="3"/>
  <c r="D129" i="3"/>
  <c r="D131" i="3"/>
  <c r="D132" i="3"/>
  <c r="D133" i="3"/>
  <c r="D135" i="3"/>
  <c r="D136" i="3"/>
  <c r="D137" i="3"/>
  <c r="D138" i="3"/>
  <c r="D139" i="3"/>
  <c r="D140" i="3"/>
  <c r="D141" i="3"/>
  <c r="D143" i="3"/>
  <c r="D144" i="3"/>
  <c r="D145" i="3"/>
  <c r="D147" i="3"/>
  <c r="D148" i="3"/>
  <c r="D149" i="3"/>
  <c r="D150" i="3"/>
  <c r="D151" i="3"/>
  <c r="D152" i="3"/>
  <c r="D153" i="3"/>
  <c r="D155" i="3"/>
  <c r="D156" i="3"/>
  <c r="D157" i="3"/>
  <c r="D159" i="3"/>
  <c r="D160" i="3"/>
  <c r="D161" i="3"/>
  <c r="D162" i="3"/>
  <c r="D163" i="3"/>
  <c r="D164" i="3"/>
  <c r="D165" i="3"/>
  <c r="D167" i="3"/>
  <c r="D168" i="3"/>
  <c r="D169" i="3"/>
  <c r="D171" i="3"/>
  <c r="D172" i="3"/>
  <c r="D173" i="3"/>
  <c r="D174" i="3"/>
  <c r="D175" i="3"/>
  <c r="D176" i="3"/>
  <c r="D177" i="3"/>
  <c r="D179" i="3"/>
  <c r="D180" i="3"/>
  <c r="D181" i="3"/>
  <c r="D183" i="3"/>
  <c r="D184" i="3"/>
  <c r="D185" i="3"/>
  <c r="D186" i="3"/>
  <c r="D187" i="3"/>
  <c r="D188" i="3"/>
  <c r="D189" i="3"/>
  <c r="D191" i="3"/>
  <c r="D192" i="3"/>
  <c r="D193" i="3"/>
  <c r="D195" i="3"/>
  <c r="D196" i="3"/>
  <c r="D197" i="3"/>
  <c r="D198" i="3"/>
  <c r="D199" i="3"/>
  <c r="D200" i="3"/>
  <c r="D201" i="3"/>
  <c r="D203" i="3"/>
  <c r="D204" i="3"/>
  <c r="D205" i="3"/>
  <c r="D207" i="3"/>
  <c r="D208" i="3"/>
  <c r="D209" i="3"/>
  <c r="D210" i="3"/>
  <c r="D211" i="3"/>
  <c r="D212" i="3"/>
  <c r="D213" i="3"/>
  <c r="D215" i="3"/>
  <c r="D216" i="3"/>
  <c r="D217" i="3"/>
  <c r="D219" i="3"/>
  <c r="D220" i="3"/>
  <c r="D221" i="3"/>
  <c r="D222" i="3"/>
  <c r="D223" i="3"/>
  <c r="D224" i="3"/>
  <c r="D225" i="3"/>
  <c r="D227" i="3"/>
  <c r="D228" i="3"/>
  <c r="D229" i="3"/>
  <c r="D231" i="3"/>
  <c r="D232" i="3"/>
  <c r="D233" i="3"/>
  <c r="D234" i="3"/>
  <c r="D235" i="3"/>
  <c r="D236" i="3"/>
  <c r="D237" i="3"/>
  <c r="D239" i="3"/>
  <c r="D240" i="3"/>
  <c r="D241" i="3"/>
  <c r="D243" i="3"/>
  <c r="D244" i="3"/>
  <c r="D245" i="3"/>
  <c r="D246" i="3"/>
  <c r="D247" i="3"/>
  <c r="D248" i="3"/>
  <c r="D249" i="3"/>
  <c r="D251" i="3"/>
  <c r="D252" i="3"/>
  <c r="D253" i="3"/>
  <c r="D255" i="3"/>
  <c r="D256" i="3"/>
  <c r="D257" i="3"/>
  <c r="D258" i="3"/>
  <c r="D259" i="3"/>
  <c r="D260" i="3"/>
  <c r="D261" i="3"/>
  <c r="D263" i="3"/>
  <c r="D264" i="3"/>
  <c r="D265" i="3"/>
  <c r="D267" i="3"/>
  <c r="D268" i="3"/>
  <c r="D269" i="3"/>
  <c r="D270" i="3"/>
  <c r="D271" i="3"/>
  <c r="D272" i="3"/>
  <c r="D273" i="3"/>
  <c r="D275" i="3"/>
  <c r="D276" i="3"/>
  <c r="D277" i="3"/>
  <c r="D279" i="3"/>
  <c r="D280" i="3"/>
  <c r="D281" i="3"/>
  <c r="D282" i="3"/>
  <c r="D283" i="3"/>
  <c r="D284" i="3"/>
  <c r="D285" i="3"/>
  <c r="D287" i="3"/>
  <c r="D288" i="3"/>
  <c r="D289" i="3"/>
  <c r="D291" i="3"/>
  <c r="D292" i="3"/>
  <c r="D293" i="3"/>
  <c r="D294" i="3"/>
  <c r="D295" i="3"/>
  <c r="D296" i="3"/>
  <c r="D297" i="3"/>
  <c r="D299" i="3"/>
  <c r="D300" i="3"/>
  <c r="D301" i="3"/>
  <c r="D303" i="3"/>
  <c r="D304" i="3"/>
  <c r="D305" i="3"/>
  <c r="D306" i="3"/>
  <c r="D307" i="3"/>
  <c r="D308" i="3"/>
  <c r="D309" i="3"/>
  <c r="D311" i="3"/>
  <c r="D312" i="3"/>
  <c r="D313" i="3"/>
  <c r="D315" i="3"/>
  <c r="D316" i="3"/>
  <c r="D317" i="3"/>
  <c r="D318" i="3"/>
  <c r="D319" i="3"/>
  <c r="D320" i="3"/>
  <c r="D321" i="3"/>
  <c r="D323" i="3"/>
  <c r="D324" i="3"/>
  <c r="D325" i="3"/>
  <c r="D327" i="3"/>
  <c r="D328" i="3"/>
  <c r="D329" i="3"/>
  <c r="D330" i="3"/>
  <c r="D331" i="3"/>
  <c r="D332" i="3"/>
  <c r="D333" i="3"/>
  <c r="D335" i="3"/>
  <c r="D336" i="3"/>
  <c r="D337" i="3"/>
  <c r="D339" i="3"/>
  <c r="D340" i="3"/>
  <c r="D341" i="3"/>
  <c r="D342" i="3"/>
  <c r="D343" i="3"/>
  <c r="D344" i="3"/>
  <c r="D345" i="3"/>
  <c r="D347" i="3"/>
  <c r="D348" i="3"/>
  <c r="D349" i="3"/>
  <c r="D351" i="3"/>
  <c r="D352" i="3"/>
  <c r="D353" i="3"/>
  <c r="D354" i="3"/>
  <c r="D355" i="3"/>
  <c r="D356" i="3"/>
  <c r="D357" i="3"/>
  <c r="D359" i="3"/>
  <c r="D360" i="3"/>
  <c r="D361" i="3"/>
  <c r="D363" i="3"/>
  <c r="D364" i="3"/>
  <c r="D365" i="3"/>
  <c r="D366" i="3"/>
  <c r="D367" i="3"/>
  <c r="D368" i="3"/>
  <c r="D369" i="3"/>
  <c r="D371" i="3"/>
  <c r="D372" i="3"/>
  <c r="D373" i="3"/>
  <c r="D375" i="3"/>
  <c r="D376" i="3"/>
  <c r="D377" i="3"/>
  <c r="D378" i="3"/>
  <c r="D379" i="3"/>
  <c r="D380" i="3"/>
  <c r="D381" i="3"/>
  <c r="D383" i="3"/>
  <c r="D384" i="3"/>
  <c r="D385" i="3"/>
  <c r="D387" i="3"/>
  <c r="D388" i="3"/>
  <c r="D389" i="3"/>
  <c r="D390" i="3"/>
  <c r="D391" i="3"/>
  <c r="D392" i="3"/>
  <c r="D393" i="3"/>
  <c r="D395" i="3"/>
  <c r="D396" i="3"/>
  <c r="D397" i="3"/>
  <c r="D399" i="3"/>
  <c r="D400" i="3"/>
  <c r="D401" i="3"/>
  <c r="D402" i="3"/>
  <c r="D403" i="3"/>
  <c r="D404" i="3"/>
  <c r="D405" i="3"/>
  <c r="D407" i="3"/>
  <c r="D408" i="3"/>
  <c r="D409" i="3"/>
  <c r="D411" i="3"/>
  <c r="D412" i="3"/>
  <c r="D413" i="3"/>
  <c r="D414" i="3"/>
  <c r="D415" i="3"/>
  <c r="D416" i="3"/>
  <c r="D417" i="3"/>
  <c r="D419" i="3"/>
  <c r="D420" i="3"/>
  <c r="D421" i="3"/>
  <c r="D423" i="3"/>
  <c r="D424" i="3"/>
  <c r="D425" i="3"/>
  <c r="D426" i="3"/>
  <c r="D427" i="3"/>
  <c r="D428" i="3"/>
  <c r="D429" i="3"/>
  <c r="D431" i="3"/>
  <c r="D432" i="3"/>
  <c r="D433" i="3"/>
  <c r="D435" i="3"/>
  <c r="D436" i="3"/>
  <c r="D437" i="3"/>
  <c r="D438" i="3"/>
  <c r="D439" i="3"/>
  <c r="D440" i="3"/>
  <c r="D441" i="3"/>
  <c r="D443" i="3"/>
  <c r="D444" i="3"/>
  <c r="D445" i="3"/>
  <c r="D447" i="3"/>
  <c r="D448" i="3"/>
  <c r="D449" i="3"/>
  <c r="D450" i="3"/>
  <c r="D451" i="3"/>
  <c r="D452" i="3"/>
  <c r="D453" i="3"/>
  <c r="D455" i="3"/>
  <c r="D456" i="3"/>
  <c r="D457" i="3"/>
  <c r="D459" i="3"/>
  <c r="D460" i="3"/>
  <c r="D461" i="3"/>
  <c r="D462" i="3"/>
  <c r="D463" i="3"/>
  <c r="D464" i="3"/>
  <c r="D465" i="3"/>
  <c r="D467" i="3"/>
  <c r="D468" i="3"/>
  <c r="D469" i="3"/>
  <c r="D471" i="3"/>
  <c r="D472" i="3"/>
  <c r="D473" i="3"/>
  <c r="D474" i="3"/>
  <c r="D475" i="3"/>
  <c r="D476" i="3"/>
  <c r="D477" i="3"/>
  <c r="D479" i="3"/>
  <c r="D480" i="3"/>
  <c r="D481" i="3"/>
  <c r="D483" i="3"/>
  <c r="D484" i="3"/>
  <c r="D485" i="3"/>
  <c r="D486" i="3"/>
  <c r="D487" i="3"/>
  <c r="D488" i="3"/>
  <c r="D489" i="3"/>
  <c r="D491" i="3"/>
  <c r="D492" i="3"/>
  <c r="D493" i="3"/>
  <c r="D495" i="3"/>
  <c r="D496" i="3"/>
  <c r="D497" i="3"/>
  <c r="D498" i="3"/>
  <c r="D499" i="3"/>
  <c r="D500" i="3"/>
  <c r="D501" i="3"/>
  <c r="D503" i="3"/>
  <c r="D504" i="3"/>
  <c r="D505" i="3"/>
  <c r="D507" i="3"/>
  <c r="D508" i="3"/>
  <c r="D509" i="3"/>
  <c r="D510" i="3"/>
  <c r="D511" i="3"/>
  <c r="D512" i="3"/>
  <c r="D513" i="3"/>
  <c r="D515" i="3"/>
  <c r="D516" i="3"/>
  <c r="D517" i="3"/>
  <c r="D519" i="3"/>
  <c r="D520" i="3"/>
  <c r="D521" i="3"/>
  <c r="D522" i="3"/>
  <c r="D523" i="3"/>
  <c r="D524" i="3"/>
  <c r="D525" i="3"/>
  <c r="D527" i="3"/>
  <c r="D528" i="3"/>
  <c r="D529" i="3"/>
  <c r="D531" i="3"/>
  <c r="D532" i="3"/>
  <c r="D533" i="3"/>
  <c r="D534" i="3"/>
  <c r="D535" i="3"/>
  <c r="D536" i="3"/>
  <c r="D537" i="3"/>
  <c r="D539" i="3"/>
  <c r="D540" i="3"/>
  <c r="D541" i="3"/>
  <c r="D543" i="3"/>
  <c r="D544" i="3"/>
  <c r="D545" i="3"/>
  <c r="D546" i="3"/>
  <c r="D547" i="3"/>
  <c r="D548" i="3"/>
  <c r="D549" i="3"/>
  <c r="D551" i="3"/>
  <c r="D552" i="3"/>
  <c r="D553" i="3"/>
  <c r="D555" i="3"/>
  <c r="D556" i="3"/>
  <c r="D557" i="3"/>
  <c r="D558" i="3"/>
  <c r="D559" i="3"/>
  <c r="D560" i="3"/>
  <c r="D561" i="3"/>
  <c r="D563" i="3"/>
  <c r="D564" i="3"/>
  <c r="D565" i="3"/>
  <c r="D567" i="3"/>
  <c r="D568" i="3"/>
  <c r="D569" i="3"/>
  <c r="D570" i="3"/>
  <c r="D571" i="3"/>
  <c r="D572" i="3"/>
  <c r="D573" i="3"/>
  <c r="D575" i="3"/>
  <c r="D576" i="3"/>
  <c r="D577" i="3"/>
  <c r="D579" i="3"/>
  <c r="D580" i="3"/>
  <c r="D581" i="3"/>
  <c r="D582" i="3"/>
  <c r="D583" i="3"/>
  <c r="D584" i="3"/>
  <c r="D585" i="3"/>
  <c r="D587" i="3"/>
  <c r="D588" i="3"/>
  <c r="D589" i="3"/>
  <c r="D591" i="3"/>
  <c r="D592" i="3"/>
  <c r="D593" i="3"/>
  <c r="D594" i="3"/>
  <c r="D595" i="3"/>
  <c r="D596" i="3"/>
  <c r="D597" i="3"/>
  <c r="D599" i="3"/>
  <c r="D600" i="3"/>
  <c r="D601" i="3"/>
  <c r="D603" i="3"/>
  <c r="D604" i="3"/>
  <c r="D605" i="3"/>
  <c r="D606" i="3"/>
  <c r="D607" i="3"/>
  <c r="D608" i="3"/>
  <c r="D609" i="3"/>
  <c r="D611" i="3"/>
  <c r="D612" i="3"/>
  <c r="D613" i="3"/>
  <c r="D615" i="3"/>
  <c r="D616" i="3"/>
  <c r="D617" i="3"/>
  <c r="D618" i="3"/>
  <c r="D619" i="3"/>
  <c r="D620" i="3"/>
  <c r="D621" i="3"/>
  <c r="D623" i="3"/>
  <c r="D624" i="3"/>
  <c r="D625" i="3"/>
  <c r="D627" i="3"/>
  <c r="D628" i="3"/>
  <c r="D629" i="3"/>
  <c r="D630" i="3"/>
  <c r="D631" i="3"/>
  <c r="D632" i="3"/>
  <c r="D633" i="3"/>
  <c r="D635" i="3"/>
  <c r="D636" i="3"/>
  <c r="D637" i="3"/>
  <c r="D639" i="3"/>
  <c r="D640" i="3"/>
  <c r="D641" i="3"/>
  <c r="D642" i="3"/>
  <c r="D643" i="3"/>
  <c r="D644" i="3"/>
  <c r="D645" i="3"/>
  <c r="D647" i="3"/>
  <c r="D648" i="3"/>
  <c r="D649" i="3"/>
  <c r="D651" i="3"/>
  <c r="D652" i="3"/>
  <c r="D653" i="3"/>
  <c r="D654" i="3"/>
  <c r="D655" i="3"/>
  <c r="D656" i="3"/>
  <c r="D657" i="3"/>
  <c r="D659" i="3"/>
  <c r="D660" i="3"/>
  <c r="D661" i="3"/>
  <c r="D663" i="3"/>
  <c r="D664" i="3"/>
  <c r="D665" i="3"/>
  <c r="D666" i="3"/>
  <c r="D667" i="3"/>
  <c r="D668" i="3"/>
  <c r="D669" i="3"/>
  <c r="D671" i="3"/>
  <c r="D672" i="3"/>
  <c r="D673" i="3"/>
  <c r="D675" i="3"/>
  <c r="D676" i="3"/>
  <c r="D677" i="3"/>
  <c r="D678" i="3"/>
  <c r="D679" i="3"/>
  <c r="D680" i="3"/>
  <c r="D681" i="3"/>
  <c r="D683" i="3"/>
  <c r="D684" i="3"/>
  <c r="D685" i="3"/>
  <c r="D687" i="3"/>
  <c r="D688" i="3"/>
  <c r="D689" i="3"/>
  <c r="D690" i="3"/>
  <c r="D691" i="3"/>
  <c r="D692" i="3"/>
  <c r="D693" i="3"/>
  <c r="D695" i="3"/>
  <c r="D696" i="3"/>
  <c r="D697" i="3"/>
  <c r="D699" i="3"/>
  <c r="D700" i="3"/>
  <c r="D701" i="3"/>
  <c r="D702" i="3"/>
  <c r="D703" i="3"/>
  <c r="D704" i="3"/>
  <c r="D705" i="3"/>
  <c r="D707" i="3"/>
  <c r="D708" i="3"/>
  <c r="D709" i="3"/>
  <c r="D711" i="3"/>
  <c r="D712" i="3"/>
  <c r="D713" i="3"/>
  <c r="D714" i="3"/>
  <c r="D715" i="3"/>
  <c r="D716" i="3"/>
  <c r="D717" i="3"/>
  <c r="D719" i="3"/>
  <c r="D720" i="3"/>
  <c r="D721" i="3"/>
  <c r="D723" i="3"/>
  <c r="D724" i="3"/>
  <c r="D725" i="3"/>
  <c r="D726" i="3"/>
  <c r="D727" i="3"/>
  <c r="D728" i="3"/>
  <c r="D729" i="3"/>
  <c r="D731" i="3"/>
  <c r="D732" i="3"/>
  <c r="D733" i="3"/>
  <c r="D735" i="3"/>
  <c r="D736" i="3"/>
  <c r="D737" i="3"/>
  <c r="D738" i="3"/>
  <c r="D739" i="3"/>
  <c r="D740" i="3"/>
  <c r="D741" i="3"/>
  <c r="D743" i="3"/>
  <c r="D744" i="3"/>
  <c r="D745" i="3"/>
  <c r="D747" i="3"/>
  <c r="D748" i="3"/>
  <c r="D749" i="3"/>
  <c r="D750" i="3"/>
  <c r="D751" i="3"/>
  <c r="D752" i="3"/>
  <c r="D753" i="3"/>
  <c r="D755" i="3"/>
  <c r="D756" i="3"/>
  <c r="D757" i="3"/>
  <c r="D759" i="3"/>
  <c r="D760" i="3"/>
  <c r="D761" i="3"/>
  <c r="D762" i="3"/>
  <c r="D763" i="3"/>
  <c r="D764" i="3"/>
  <c r="D765" i="3"/>
  <c r="D767" i="3"/>
  <c r="D768" i="3"/>
  <c r="D769" i="3"/>
  <c r="D771" i="3"/>
  <c r="D772" i="3"/>
  <c r="D773" i="3"/>
  <c r="D774" i="3"/>
  <c r="D775" i="3"/>
  <c r="D776" i="3"/>
  <c r="D777" i="3"/>
  <c r="D779" i="3"/>
  <c r="D780" i="3"/>
  <c r="D781" i="3"/>
  <c r="D783" i="3"/>
  <c r="D784" i="3"/>
  <c r="D785" i="3"/>
  <c r="D786" i="3"/>
  <c r="D787" i="3"/>
  <c r="D788" i="3"/>
  <c r="D789" i="3"/>
  <c r="D791" i="3"/>
  <c r="D792" i="3"/>
  <c r="D793" i="3"/>
  <c r="D795" i="3"/>
  <c r="D796" i="3"/>
  <c r="D797" i="3"/>
  <c r="D798" i="3"/>
  <c r="D799" i="3"/>
  <c r="D800" i="3"/>
  <c r="E34" i="1"/>
  <c r="E34" i="3" s="1"/>
  <c r="C34" i="4" s="1"/>
  <c r="E35" i="1"/>
  <c r="E35" i="3" s="1"/>
  <c r="C35" i="4" s="1"/>
  <c r="E36" i="1"/>
  <c r="E36" i="3" s="1"/>
  <c r="C36" i="4" s="1"/>
  <c r="E37" i="1"/>
  <c r="E37" i="3" s="1"/>
  <c r="C37" i="4" s="1"/>
  <c r="E38" i="1"/>
  <c r="E38" i="3" s="1"/>
  <c r="C38" i="4" s="1"/>
  <c r="E39" i="1"/>
  <c r="E39" i="3" s="1"/>
  <c r="C39" i="4" s="1"/>
  <c r="E40" i="1"/>
  <c r="E40" i="3" s="1"/>
  <c r="C40" i="4" s="1"/>
  <c r="E41" i="1"/>
  <c r="E41" i="3" s="1"/>
  <c r="C41" i="4" s="1"/>
  <c r="E42" i="1"/>
  <c r="E42" i="3" s="1"/>
  <c r="C42" i="4" s="1"/>
  <c r="E43" i="1"/>
  <c r="E43" i="3" s="1"/>
  <c r="C43" i="4" s="1"/>
  <c r="E44" i="1"/>
  <c r="E44" i="3" s="1"/>
  <c r="C44" i="4" s="1"/>
  <c r="E45" i="1"/>
  <c r="E45" i="3" s="1"/>
  <c r="C45" i="4" s="1"/>
  <c r="E46" i="1"/>
  <c r="E46" i="3" s="1"/>
  <c r="C46" i="4" s="1"/>
  <c r="E47" i="1"/>
  <c r="E47" i="3" s="1"/>
  <c r="C47" i="4" s="1"/>
  <c r="E48" i="1"/>
  <c r="E48" i="3" s="1"/>
  <c r="C48" i="4" s="1"/>
  <c r="E49" i="1"/>
  <c r="E49" i="3" s="1"/>
  <c r="C49" i="4" s="1"/>
  <c r="E50" i="1"/>
  <c r="E50" i="3" s="1"/>
  <c r="C50" i="4" s="1"/>
  <c r="E51" i="1"/>
  <c r="E51" i="3" s="1"/>
  <c r="C51" i="4" s="1"/>
  <c r="E52" i="1"/>
  <c r="E52" i="3" s="1"/>
  <c r="C52" i="4" s="1"/>
  <c r="E53" i="1"/>
  <c r="E53" i="3" s="1"/>
  <c r="C53" i="4" s="1"/>
  <c r="E54" i="1"/>
  <c r="E54" i="3" s="1"/>
  <c r="C54" i="4" s="1"/>
  <c r="E55" i="1"/>
  <c r="E55" i="3" s="1"/>
  <c r="C55" i="4" s="1"/>
  <c r="E56" i="1"/>
  <c r="E56" i="3" s="1"/>
  <c r="C56" i="4" s="1"/>
  <c r="E57" i="1"/>
  <c r="E57" i="3" s="1"/>
  <c r="C57" i="4" s="1"/>
  <c r="E58" i="1"/>
  <c r="E58" i="3" s="1"/>
  <c r="C58" i="4" s="1"/>
  <c r="E59" i="1"/>
  <c r="E59" i="3" s="1"/>
  <c r="C59" i="4" s="1"/>
  <c r="E60" i="1"/>
  <c r="E60" i="3" s="1"/>
  <c r="C60" i="4" s="1"/>
  <c r="E61" i="1"/>
  <c r="E61" i="3" s="1"/>
  <c r="C61" i="4" s="1"/>
  <c r="E62" i="1"/>
  <c r="E62" i="3" s="1"/>
  <c r="C62" i="4" s="1"/>
  <c r="E63" i="1"/>
  <c r="E63" i="3" s="1"/>
  <c r="C63" i="4" s="1"/>
  <c r="E64" i="1"/>
  <c r="E64" i="3" s="1"/>
  <c r="C64" i="4" s="1"/>
  <c r="E65" i="1"/>
  <c r="E65" i="3" s="1"/>
  <c r="C65" i="4" s="1"/>
  <c r="E66" i="1"/>
  <c r="E66" i="3" s="1"/>
  <c r="C66" i="4" s="1"/>
  <c r="E67" i="1"/>
  <c r="E67" i="3" s="1"/>
  <c r="C67" i="4" s="1"/>
  <c r="E68" i="1"/>
  <c r="E68" i="3" s="1"/>
  <c r="C68" i="4" s="1"/>
  <c r="E69" i="1"/>
  <c r="E69" i="3" s="1"/>
  <c r="C69" i="4" s="1"/>
  <c r="E70" i="1"/>
  <c r="E70" i="3" s="1"/>
  <c r="C70" i="4" s="1"/>
  <c r="E71" i="1"/>
  <c r="E71" i="3" s="1"/>
  <c r="C71" i="4" s="1"/>
  <c r="E72" i="1"/>
  <c r="E72" i="3" s="1"/>
  <c r="C72" i="4" s="1"/>
  <c r="E73" i="1"/>
  <c r="E73" i="3" s="1"/>
  <c r="C73" i="4" s="1"/>
  <c r="E74" i="1"/>
  <c r="E74" i="3" s="1"/>
  <c r="C74" i="4" s="1"/>
  <c r="E75" i="1"/>
  <c r="E75" i="3" s="1"/>
  <c r="C75" i="4" s="1"/>
  <c r="E76" i="1"/>
  <c r="E76" i="3" s="1"/>
  <c r="C76" i="4" s="1"/>
  <c r="E77" i="1"/>
  <c r="E77" i="3" s="1"/>
  <c r="C77" i="4" s="1"/>
  <c r="E78" i="1"/>
  <c r="E78" i="3" s="1"/>
  <c r="C78" i="4" s="1"/>
  <c r="E79" i="1"/>
  <c r="E79" i="3" s="1"/>
  <c r="C79" i="4" s="1"/>
  <c r="E80" i="1"/>
  <c r="E80" i="3" s="1"/>
  <c r="C80" i="4" s="1"/>
  <c r="E81" i="1"/>
  <c r="E81" i="3" s="1"/>
  <c r="C81" i="4" s="1"/>
  <c r="E82" i="1"/>
  <c r="E82" i="3" s="1"/>
  <c r="C82" i="4" s="1"/>
  <c r="E83" i="1"/>
  <c r="E83" i="3" s="1"/>
  <c r="C83" i="4" s="1"/>
  <c r="E84" i="1"/>
  <c r="E84" i="3" s="1"/>
  <c r="C84" i="4" s="1"/>
  <c r="E85" i="1"/>
  <c r="E85" i="3" s="1"/>
  <c r="C85" i="4" s="1"/>
  <c r="E86" i="1"/>
  <c r="E86" i="3" s="1"/>
  <c r="C86" i="4" s="1"/>
  <c r="E87" i="1"/>
  <c r="E87" i="3" s="1"/>
  <c r="C87" i="4" s="1"/>
  <c r="E88" i="1"/>
  <c r="E88" i="3" s="1"/>
  <c r="C88" i="4" s="1"/>
  <c r="E89" i="1"/>
  <c r="E89" i="3" s="1"/>
  <c r="C89" i="4" s="1"/>
  <c r="E90" i="1"/>
  <c r="E90" i="3" s="1"/>
  <c r="C90" i="4" s="1"/>
  <c r="E91" i="1"/>
  <c r="E91" i="3" s="1"/>
  <c r="C91" i="4" s="1"/>
  <c r="E92" i="1"/>
  <c r="E92" i="3" s="1"/>
  <c r="C92" i="4" s="1"/>
  <c r="E93" i="1"/>
  <c r="E93" i="3" s="1"/>
  <c r="C93" i="4" s="1"/>
  <c r="E94" i="1"/>
  <c r="E94" i="3" s="1"/>
  <c r="C94" i="4" s="1"/>
  <c r="E95" i="1"/>
  <c r="E95" i="3" s="1"/>
  <c r="C95" i="4" s="1"/>
  <c r="E96" i="1"/>
  <c r="E96" i="3" s="1"/>
  <c r="C96" i="4" s="1"/>
  <c r="E97" i="1"/>
  <c r="E97" i="3" s="1"/>
  <c r="C97" i="4" s="1"/>
  <c r="E98" i="1"/>
  <c r="E98" i="3" s="1"/>
  <c r="C98" i="4" s="1"/>
  <c r="E99" i="1"/>
  <c r="E99" i="3" s="1"/>
  <c r="C99" i="4" s="1"/>
  <c r="E100" i="1"/>
  <c r="E100" i="3" s="1"/>
  <c r="C100" i="4" s="1"/>
  <c r="E101" i="1"/>
  <c r="E101" i="3" s="1"/>
  <c r="C101" i="4" s="1"/>
  <c r="E102" i="1"/>
  <c r="E102" i="3" s="1"/>
  <c r="C102" i="4" s="1"/>
  <c r="E103" i="1"/>
  <c r="E103" i="3" s="1"/>
  <c r="C103" i="4" s="1"/>
  <c r="E104" i="1"/>
  <c r="E104" i="3" s="1"/>
  <c r="C104" i="4" s="1"/>
  <c r="E105" i="1"/>
  <c r="E105" i="3" s="1"/>
  <c r="C105" i="4" s="1"/>
  <c r="E106" i="1"/>
  <c r="E106" i="3" s="1"/>
  <c r="C106" i="4" s="1"/>
  <c r="E107" i="1"/>
  <c r="E107" i="3" s="1"/>
  <c r="C107" i="4" s="1"/>
  <c r="E108" i="1"/>
  <c r="E108" i="3" s="1"/>
  <c r="C108" i="4" s="1"/>
  <c r="E109" i="1"/>
  <c r="E109" i="3" s="1"/>
  <c r="C109" i="4" s="1"/>
  <c r="E110" i="1"/>
  <c r="E110" i="3" s="1"/>
  <c r="C110" i="4" s="1"/>
  <c r="E111" i="1"/>
  <c r="E111" i="3" s="1"/>
  <c r="C111" i="4" s="1"/>
  <c r="E112" i="1"/>
  <c r="E112" i="3" s="1"/>
  <c r="C112" i="4" s="1"/>
  <c r="E113" i="1"/>
  <c r="E113" i="3" s="1"/>
  <c r="C113" i="4" s="1"/>
  <c r="E114" i="1"/>
  <c r="E114" i="3" s="1"/>
  <c r="C114" i="4" s="1"/>
  <c r="E115" i="1"/>
  <c r="E115" i="3" s="1"/>
  <c r="C115" i="4" s="1"/>
  <c r="E116" i="1"/>
  <c r="E116" i="3" s="1"/>
  <c r="C116" i="4" s="1"/>
  <c r="E117" i="1"/>
  <c r="E117" i="3" s="1"/>
  <c r="C117" i="4" s="1"/>
  <c r="E118" i="1"/>
  <c r="E118" i="3" s="1"/>
  <c r="C118" i="4" s="1"/>
  <c r="E119" i="1"/>
  <c r="E119" i="3" s="1"/>
  <c r="C119" i="4" s="1"/>
  <c r="E120" i="1"/>
  <c r="E120" i="3" s="1"/>
  <c r="C120" i="4" s="1"/>
  <c r="E121" i="1"/>
  <c r="E121" i="3" s="1"/>
  <c r="C121" i="4" s="1"/>
  <c r="E122" i="1"/>
  <c r="E122" i="3" s="1"/>
  <c r="C122" i="4" s="1"/>
  <c r="E123" i="1"/>
  <c r="E123" i="3" s="1"/>
  <c r="C123" i="4" s="1"/>
  <c r="E124" i="1"/>
  <c r="E124" i="3" s="1"/>
  <c r="C124" i="4" s="1"/>
  <c r="E125" i="1"/>
  <c r="E125" i="3" s="1"/>
  <c r="C125" i="4" s="1"/>
  <c r="E126" i="1"/>
  <c r="E126" i="3" s="1"/>
  <c r="C126" i="4" s="1"/>
  <c r="E127" i="1"/>
  <c r="E127" i="3" s="1"/>
  <c r="C127" i="4" s="1"/>
  <c r="E128" i="1"/>
  <c r="E128" i="3" s="1"/>
  <c r="C128" i="4" s="1"/>
  <c r="E129" i="1"/>
  <c r="E129" i="3" s="1"/>
  <c r="C129" i="4" s="1"/>
  <c r="E130" i="1"/>
  <c r="E130" i="3" s="1"/>
  <c r="C130" i="4" s="1"/>
  <c r="E131" i="1"/>
  <c r="E131" i="3" s="1"/>
  <c r="C131" i="4" s="1"/>
  <c r="E132" i="1"/>
  <c r="E132" i="3" s="1"/>
  <c r="C132" i="4" s="1"/>
  <c r="E133" i="1"/>
  <c r="E133" i="3" s="1"/>
  <c r="C133" i="4" s="1"/>
  <c r="E134" i="1"/>
  <c r="E134" i="3" s="1"/>
  <c r="C134" i="4" s="1"/>
  <c r="E135" i="1"/>
  <c r="E135" i="3" s="1"/>
  <c r="C135" i="4" s="1"/>
  <c r="E136" i="1"/>
  <c r="E136" i="3" s="1"/>
  <c r="C136" i="4" s="1"/>
  <c r="E137" i="1"/>
  <c r="E137" i="3" s="1"/>
  <c r="C137" i="4" s="1"/>
  <c r="E138" i="1"/>
  <c r="E138" i="3" s="1"/>
  <c r="C138" i="4" s="1"/>
  <c r="E139" i="1"/>
  <c r="E139" i="3" s="1"/>
  <c r="C139" i="4" s="1"/>
  <c r="E140" i="1"/>
  <c r="E140" i="3" s="1"/>
  <c r="C140" i="4" s="1"/>
  <c r="E141" i="1"/>
  <c r="E141" i="3" s="1"/>
  <c r="C141" i="4" s="1"/>
  <c r="E142" i="1"/>
  <c r="E142" i="3" s="1"/>
  <c r="C142" i="4" s="1"/>
  <c r="E143" i="1"/>
  <c r="E143" i="3" s="1"/>
  <c r="C143" i="4" s="1"/>
  <c r="E144" i="1"/>
  <c r="E144" i="3" s="1"/>
  <c r="C144" i="4" s="1"/>
  <c r="E145" i="1"/>
  <c r="E145" i="3" s="1"/>
  <c r="C145" i="4" s="1"/>
  <c r="E146" i="1"/>
  <c r="E146" i="3" s="1"/>
  <c r="C146" i="4" s="1"/>
  <c r="E147" i="1"/>
  <c r="E147" i="3" s="1"/>
  <c r="C147" i="4" s="1"/>
  <c r="E148" i="1"/>
  <c r="E148" i="3" s="1"/>
  <c r="C148" i="4" s="1"/>
  <c r="E149" i="1"/>
  <c r="E149" i="3" s="1"/>
  <c r="C149" i="4" s="1"/>
  <c r="E150" i="1"/>
  <c r="E150" i="3" s="1"/>
  <c r="C150" i="4" s="1"/>
  <c r="E151" i="1"/>
  <c r="E151" i="3" s="1"/>
  <c r="C151" i="4" s="1"/>
  <c r="E152" i="1"/>
  <c r="E152" i="3" s="1"/>
  <c r="C152" i="4" s="1"/>
  <c r="E153" i="1"/>
  <c r="E153" i="3" s="1"/>
  <c r="C153" i="4" s="1"/>
  <c r="E154" i="1"/>
  <c r="E154" i="3" s="1"/>
  <c r="C154" i="4" s="1"/>
  <c r="E155" i="1"/>
  <c r="E155" i="3" s="1"/>
  <c r="C155" i="4" s="1"/>
  <c r="E156" i="1"/>
  <c r="E156" i="3" s="1"/>
  <c r="C156" i="4" s="1"/>
  <c r="E157" i="1"/>
  <c r="E157" i="3" s="1"/>
  <c r="C157" i="4" s="1"/>
  <c r="E158" i="1"/>
  <c r="E158" i="3" s="1"/>
  <c r="C158" i="4" s="1"/>
  <c r="E159" i="1"/>
  <c r="E159" i="3" s="1"/>
  <c r="C159" i="4" s="1"/>
  <c r="E160" i="1"/>
  <c r="E160" i="3" s="1"/>
  <c r="C160" i="4" s="1"/>
  <c r="E161" i="1"/>
  <c r="E161" i="3" s="1"/>
  <c r="C161" i="4" s="1"/>
  <c r="E162" i="1"/>
  <c r="E162" i="3" s="1"/>
  <c r="C162" i="4" s="1"/>
  <c r="E163" i="1"/>
  <c r="E163" i="3" s="1"/>
  <c r="C163" i="4" s="1"/>
  <c r="E164" i="1"/>
  <c r="E164" i="3" s="1"/>
  <c r="C164" i="4" s="1"/>
  <c r="E165" i="1"/>
  <c r="E165" i="3" s="1"/>
  <c r="C165" i="4" s="1"/>
  <c r="E166" i="1"/>
  <c r="E166" i="3" s="1"/>
  <c r="C166" i="4" s="1"/>
  <c r="E167" i="1"/>
  <c r="E167" i="3" s="1"/>
  <c r="C167" i="4" s="1"/>
  <c r="E168" i="1"/>
  <c r="E168" i="3" s="1"/>
  <c r="C168" i="4" s="1"/>
  <c r="E169" i="1"/>
  <c r="E169" i="3" s="1"/>
  <c r="C169" i="4" s="1"/>
  <c r="E170" i="1"/>
  <c r="E170" i="3" s="1"/>
  <c r="C170" i="4" s="1"/>
  <c r="E171" i="1"/>
  <c r="E171" i="3" s="1"/>
  <c r="C171" i="4" s="1"/>
  <c r="E172" i="1"/>
  <c r="E172" i="3" s="1"/>
  <c r="C172" i="4" s="1"/>
  <c r="E173" i="1"/>
  <c r="E173" i="3" s="1"/>
  <c r="C173" i="4" s="1"/>
  <c r="E174" i="1"/>
  <c r="E174" i="3" s="1"/>
  <c r="C174" i="4" s="1"/>
  <c r="E175" i="1"/>
  <c r="E175" i="3" s="1"/>
  <c r="C175" i="4" s="1"/>
  <c r="E176" i="1"/>
  <c r="E176" i="3" s="1"/>
  <c r="C176" i="4" s="1"/>
  <c r="E177" i="1"/>
  <c r="E177" i="3" s="1"/>
  <c r="C177" i="4" s="1"/>
  <c r="E178" i="1"/>
  <c r="E178" i="3" s="1"/>
  <c r="C178" i="4" s="1"/>
  <c r="E179" i="1"/>
  <c r="E179" i="3" s="1"/>
  <c r="C179" i="4" s="1"/>
  <c r="E180" i="1"/>
  <c r="E180" i="3" s="1"/>
  <c r="C180" i="4" s="1"/>
  <c r="E181" i="1"/>
  <c r="E181" i="3" s="1"/>
  <c r="C181" i="4" s="1"/>
  <c r="E182" i="1"/>
  <c r="E182" i="3" s="1"/>
  <c r="C182" i="4" s="1"/>
  <c r="E183" i="1"/>
  <c r="E183" i="3" s="1"/>
  <c r="C183" i="4" s="1"/>
  <c r="E184" i="1"/>
  <c r="E184" i="3" s="1"/>
  <c r="C184" i="4" s="1"/>
  <c r="E185" i="1"/>
  <c r="E185" i="3" s="1"/>
  <c r="C185" i="4" s="1"/>
  <c r="E186" i="1"/>
  <c r="E186" i="3" s="1"/>
  <c r="C186" i="4" s="1"/>
  <c r="E187" i="1"/>
  <c r="E187" i="3" s="1"/>
  <c r="C187" i="4" s="1"/>
  <c r="E188" i="1"/>
  <c r="E188" i="3" s="1"/>
  <c r="C188" i="4" s="1"/>
  <c r="E189" i="1"/>
  <c r="E189" i="3" s="1"/>
  <c r="C189" i="4" s="1"/>
  <c r="E190" i="1"/>
  <c r="E190" i="3" s="1"/>
  <c r="C190" i="4" s="1"/>
  <c r="E191" i="1"/>
  <c r="E191" i="3" s="1"/>
  <c r="C191" i="4" s="1"/>
  <c r="E192" i="1"/>
  <c r="E192" i="3" s="1"/>
  <c r="C192" i="4" s="1"/>
  <c r="E193" i="1"/>
  <c r="E193" i="3" s="1"/>
  <c r="C193" i="4" s="1"/>
  <c r="E194" i="1"/>
  <c r="E194" i="3" s="1"/>
  <c r="C194" i="4" s="1"/>
  <c r="E195" i="1"/>
  <c r="E195" i="3" s="1"/>
  <c r="C195" i="4" s="1"/>
  <c r="E196" i="1"/>
  <c r="E196" i="3" s="1"/>
  <c r="C196" i="4" s="1"/>
  <c r="E197" i="1"/>
  <c r="E197" i="3" s="1"/>
  <c r="C197" i="4" s="1"/>
  <c r="E198" i="1"/>
  <c r="E198" i="3" s="1"/>
  <c r="C198" i="4" s="1"/>
  <c r="E199" i="1"/>
  <c r="E199" i="3" s="1"/>
  <c r="C199" i="4" s="1"/>
  <c r="E200" i="1"/>
  <c r="E200" i="3" s="1"/>
  <c r="C200" i="4" s="1"/>
  <c r="E201" i="1"/>
  <c r="E201" i="3" s="1"/>
  <c r="C201" i="4" s="1"/>
  <c r="E202" i="1"/>
  <c r="E202" i="3" s="1"/>
  <c r="C202" i="4" s="1"/>
  <c r="E203" i="1"/>
  <c r="E203" i="3" s="1"/>
  <c r="C203" i="4" s="1"/>
  <c r="E204" i="1"/>
  <c r="E204" i="3" s="1"/>
  <c r="C204" i="4" s="1"/>
  <c r="E205" i="1"/>
  <c r="E205" i="3" s="1"/>
  <c r="C205" i="4" s="1"/>
  <c r="E206" i="1"/>
  <c r="E206" i="3" s="1"/>
  <c r="C206" i="4" s="1"/>
  <c r="E207" i="1"/>
  <c r="E207" i="3" s="1"/>
  <c r="C207" i="4" s="1"/>
  <c r="E208" i="1"/>
  <c r="E208" i="3" s="1"/>
  <c r="C208" i="4" s="1"/>
  <c r="E209" i="1"/>
  <c r="E209" i="3" s="1"/>
  <c r="C209" i="4" s="1"/>
  <c r="E210" i="1"/>
  <c r="E210" i="3" s="1"/>
  <c r="C210" i="4" s="1"/>
  <c r="E211" i="1"/>
  <c r="E211" i="3" s="1"/>
  <c r="C211" i="4" s="1"/>
  <c r="E212" i="1"/>
  <c r="E212" i="3" s="1"/>
  <c r="C212" i="4" s="1"/>
  <c r="E213" i="1"/>
  <c r="E213" i="3" s="1"/>
  <c r="C213" i="4" s="1"/>
  <c r="E214" i="1"/>
  <c r="E214" i="3" s="1"/>
  <c r="C214" i="4" s="1"/>
  <c r="E215" i="1"/>
  <c r="E215" i="3" s="1"/>
  <c r="C215" i="4" s="1"/>
  <c r="E216" i="1"/>
  <c r="E216" i="3" s="1"/>
  <c r="C216" i="4" s="1"/>
  <c r="E217" i="1"/>
  <c r="E217" i="3" s="1"/>
  <c r="C217" i="4" s="1"/>
  <c r="E218" i="1"/>
  <c r="E218" i="3" s="1"/>
  <c r="C218" i="4" s="1"/>
  <c r="E219" i="1"/>
  <c r="E219" i="3" s="1"/>
  <c r="C219" i="4" s="1"/>
  <c r="E220" i="1"/>
  <c r="E220" i="3" s="1"/>
  <c r="C220" i="4" s="1"/>
  <c r="E221" i="1"/>
  <c r="E221" i="3" s="1"/>
  <c r="C221" i="4" s="1"/>
  <c r="E222" i="1"/>
  <c r="E222" i="3" s="1"/>
  <c r="C222" i="4" s="1"/>
  <c r="E223" i="1"/>
  <c r="E223" i="3" s="1"/>
  <c r="C223" i="4" s="1"/>
  <c r="E224" i="1"/>
  <c r="E224" i="3" s="1"/>
  <c r="C224" i="4" s="1"/>
  <c r="E225" i="1"/>
  <c r="E225" i="3" s="1"/>
  <c r="C225" i="4" s="1"/>
  <c r="E226" i="1"/>
  <c r="E226" i="3" s="1"/>
  <c r="C226" i="4" s="1"/>
  <c r="E227" i="1"/>
  <c r="E227" i="3" s="1"/>
  <c r="C227" i="4" s="1"/>
  <c r="E228" i="1"/>
  <c r="E228" i="3" s="1"/>
  <c r="C228" i="4" s="1"/>
  <c r="E229" i="1"/>
  <c r="E229" i="3" s="1"/>
  <c r="C229" i="4" s="1"/>
  <c r="E230" i="1"/>
  <c r="E230" i="3" s="1"/>
  <c r="C230" i="4" s="1"/>
  <c r="E231" i="1"/>
  <c r="E231" i="3" s="1"/>
  <c r="C231" i="4" s="1"/>
  <c r="E232" i="1"/>
  <c r="E232" i="3" s="1"/>
  <c r="C232" i="4" s="1"/>
  <c r="E233" i="1"/>
  <c r="E233" i="3" s="1"/>
  <c r="C233" i="4" s="1"/>
  <c r="E234" i="1"/>
  <c r="E234" i="3" s="1"/>
  <c r="C234" i="4" s="1"/>
  <c r="E235" i="1"/>
  <c r="E235" i="3" s="1"/>
  <c r="C235" i="4" s="1"/>
  <c r="E236" i="1"/>
  <c r="E236" i="3" s="1"/>
  <c r="C236" i="4" s="1"/>
  <c r="E237" i="1"/>
  <c r="E237" i="3" s="1"/>
  <c r="C237" i="4" s="1"/>
  <c r="E238" i="1"/>
  <c r="E238" i="3" s="1"/>
  <c r="C238" i="4" s="1"/>
  <c r="E239" i="1"/>
  <c r="E239" i="3" s="1"/>
  <c r="C239" i="4" s="1"/>
  <c r="E240" i="1"/>
  <c r="E240" i="3" s="1"/>
  <c r="C240" i="4" s="1"/>
  <c r="E241" i="1"/>
  <c r="E241" i="3" s="1"/>
  <c r="C241" i="4" s="1"/>
  <c r="E242" i="1"/>
  <c r="E242" i="3" s="1"/>
  <c r="C242" i="4" s="1"/>
  <c r="E243" i="1"/>
  <c r="E243" i="3" s="1"/>
  <c r="C243" i="4" s="1"/>
  <c r="E244" i="1"/>
  <c r="E244" i="3" s="1"/>
  <c r="C244" i="4" s="1"/>
  <c r="E245" i="1"/>
  <c r="E245" i="3" s="1"/>
  <c r="C245" i="4" s="1"/>
  <c r="E246" i="1"/>
  <c r="E246" i="3" s="1"/>
  <c r="C246" i="4" s="1"/>
  <c r="E247" i="1"/>
  <c r="E247" i="3" s="1"/>
  <c r="C247" i="4" s="1"/>
  <c r="E248" i="1"/>
  <c r="E248" i="3" s="1"/>
  <c r="C248" i="4" s="1"/>
  <c r="E249" i="1"/>
  <c r="E249" i="3" s="1"/>
  <c r="C249" i="4" s="1"/>
  <c r="E250" i="1"/>
  <c r="E250" i="3" s="1"/>
  <c r="C250" i="4" s="1"/>
  <c r="E251" i="1"/>
  <c r="E251" i="3" s="1"/>
  <c r="C251" i="4" s="1"/>
  <c r="E252" i="1"/>
  <c r="E252" i="3" s="1"/>
  <c r="C252" i="4" s="1"/>
  <c r="E253" i="1"/>
  <c r="E253" i="3" s="1"/>
  <c r="C253" i="4" s="1"/>
  <c r="E254" i="1"/>
  <c r="E254" i="3" s="1"/>
  <c r="C254" i="4" s="1"/>
  <c r="E255" i="1"/>
  <c r="E255" i="3" s="1"/>
  <c r="C255" i="4" s="1"/>
  <c r="E256" i="1"/>
  <c r="E256" i="3" s="1"/>
  <c r="C256" i="4" s="1"/>
  <c r="E257" i="1"/>
  <c r="E257" i="3" s="1"/>
  <c r="C257" i="4" s="1"/>
  <c r="E258" i="1"/>
  <c r="E258" i="3" s="1"/>
  <c r="C258" i="4" s="1"/>
  <c r="E259" i="1"/>
  <c r="E259" i="3" s="1"/>
  <c r="C259" i="4" s="1"/>
  <c r="E260" i="1"/>
  <c r="E260" i="3" s="1"/>
  <c r="C260" i="4" s="1"/>
  <c r="E261" i="1"/>
  <c r="E261" i="3" s="1"/>
  <c r="C261" i="4" s="1"/>
  <c r="E262" i="1"/>
  <c r="E262" i="3" s="1"/>
  <c r="C262" i="4" s="1"/>
  <c r="E263" i="1"/>
  <c r="E263" i="3" s="1"/>
  <c r="C263" i="4" s="1"/>
  <c r="E264" i="1"/>
  <c r="E264" i="3" s="1"/>
  <c r="C264" i="4" s="1"/>
  <c r="E265" i="1"/>
  <c r="E265" i="3" s="1"/>
  <c r="C265" i="4" s="1"/>
  <c r="E266" i="1"/>
  <c r="E266" i="3" s="1"/>
  <c r="C266" i="4" s="1"/>
  <c r="E267" i="1"/>
  <c r="E267" i="3" s="1"/>
  <c r="C267" i="4" s="1"/>
  <c r="E268" i="1"/>
  <c r="E268" i="3" s="1"/>
  <c r="C268" i="4" s="1"/>
  <c r="E269" i="1"/>
  <c r="E269" i="3" s="1"/>
  <c r="C269" i="4" s="1"/>
  <c r="E270" i="1"/>
  <c r="E270" i="3" s="1"/>
  <c r="C270" i="4" s="1"/>
  <c r="E271" i="1"/>
  <c r="E271" i="3" s="1"/>
  <c r="C271" i="4" s="1"/>
  <c r="E272" i="1"/>
  <c r="E272" i="3" s="1"/>
  <c r="C272" i="4" s="1"/>
  <c r="E273" i="1"/>
  <c r="E273" i="3" s="1"/>
  <c r="C273" i="4" s="1"/>
  <c r="E274" i="1"/>
  <c r="E274" i="3" s="1"/>
  <c r="C274" i="4" s="1"/>
  <c r="E275" i="1"/>
  <c r="E275" i="3" s="1"/>
  <c r="C275" i="4" s="1"/>
  <c r="E276" i="1"/>
  <c r="E276" i="3" s="1"/>
  <c r="C276" i="4" s="1"/>
  <c r="E277" i="1"/>
  <c r="E277" i="3" s="1"/>
  <c r="C277" i="4" s="1"/>
  <c r="E278" i="1"/>
  <c r="E278" i="3" s="1"/>
  <c r="C278" i="4" s="1"/>
  <c r="E279" i="1"/>
  <c r="E279" i="3" s="1"/>
  <c r="C279" i="4" s="1"/>
  <c r="E280" i="1"/>
  <c r="E280" i="3" s="1"/>
  <c r="C280" i="4" s="1"/>
  <c r="E281" i="1"/>
  <c r="E281" i="3" s="1"/>
  <c r="C281" i="4" s="1"/>
  <c r="E282" i="1"/>
  <c r="E282" i="3" s="1"/>
  <c r="C282" i="4" s="1"/>
  <c r="E283" i="1"/>
  <c r="E283" i="3" s="1"/>
  <c r="C283" i="4" s="1"/>
  <c r="E284" i="1"/>
  <c r="E284" i="3" s="1"/>
  <c r="C284" i="4" s="1"/>
  <c r="E285" i="1"/>
  <c r="E285" i="3" s="1"/>
  <c r="C285" i="4" s="1"/>
  <c r="E286" i="1"/>
  <c r="E286" i="3" s="1"/>
  <c r="C286" i="4" s="1"/>
  <c r="E287" i="1"/>
  <c r="E287" i="3" s="1"/>
  <c r="C287" i="4" s="1"/>
  <c r="E288" i="1"/>
  <c r="E288" i="3" s="1"/>
  <c r="C288" i="4" s="1"/>
  <c r="E289" i="1"/>
  <c r="E289" i="3" s="1"/>
  <c r="C289" i="4" s="1"/>
  <c r="E290" i="1"/>
  <c r="E290" i="3" s="1"/>
  <c r="C290" i="4" s="1"/>
  <c r="E291" i="1"/>
  <c r="E291" i="3" s="1"/>
  <c r="C291" i="4" s="1"/>
  <c r="E292" i="1"/>
  <c r="E292" i="3" s="1"/>
  <c r="C292" i="4" s="1"/>
  <c r="E293" i="1"/>
  <c r="E293" i="3" s="1"/>
  <c r="C293" i="4" s="1"/>
  <c r="E294" i="1"/>
  <c r="E294" i="3" s="1"/>
  <c r="C294" i="4" s="1"/>
  <c r="E295" i="1"/>
  <c r="E295" i="3" s="1"/>
  <c r="C295" i="4" s="1"/>
  <c r="E296" i="1"/>
  <c r="E296" i="3" s="1"/>
  <c r="C296" i="4" s="1"/>
  <c r="E297" i="1"/>
  <c r="E297" i="3" s="1"/>
  <c r="C297" i="4" s="1"/>
  <c r="E298" i="1"/>
  <c r="E298" i="3" s="1"/>
  <c r="C298" i="4" s="1"/>
  <c r="E299" i="1"/>
  <c r="E299" i="3" s="1"/>
  <c r="C299" i="4" s="1"/>
  <c r="E300" i="1"/>
  <c r="E300" i="3" s="1"/>
  <c r="C300" i="4" s="1"/>
  <c r="E301" i="1"/>
  <c r="E301" i="3" s="1"/>
  <c r="C301" i="4" s="1"/>
  <c r="E302" i="1"/>
  <c r="E302" i="3" s="1"/>
  <c r="C302" i="4" s="1"/>
  <c r="E303" i="1"/>
  <c r="E303" i="3" s="1"/>
  <c r="C303" i="4" s="1"/>
  <c r="E304" i="1"/>
  <c r="E304" i="3" s="1"/>
  <c r="C304" i="4" s="1"/>
  <c r="E305" i="1"/>
  <c r="E305" i="3" s="1"/>
  <c r="C305" i="4" s="1"/>
  <c r="E306" i="1"/>
  <c r="E306" i="3" s="1"/>
  <c r="C306" i="4" s="1"/>
  <c r="E307" i="1"/>
  <c r="E307" i="3" s="1"/>
  <c r="C307" i="4" s="1"/>
  <c r="E308" i="1"/>
  <c r="E308" i="3" s="1"/>
  <c r="C308" i="4" s="1"/>
  <c r="E309" i="1"/>
  <c r="E309" i="3" s="1"/>
  <c r="C309" i="4" s="1"/>
  <c r="E310" i="1"/>
  <c r="E310" i="3" s="1"/>
  <c r="C310" i="4" s="1"/>
  <c r="E311" i="1"/>
  <c r="E311" i="3" s="1"/>
  <c r="C311" i="4" s="1"/>
  <c r="E312" i="1"/>
  <c r="E312" i="3" s="1"/>
  <c r="C312" i="4" s="1"/>
  <c r="E313" i="1"/>
  <c r="E313" i="3" s="1"/>
  <c r="C313" i="4" s="1"/>
  <c r="E314" i="1"/>
  <c r="E314" i="3" s="1"/>
  <c r="C314" i="4" s="1"/>
  <c r="E315" i="1"/>
  <c r="E315" i="3" s="1"/>
  <c r="C315" i="4" s="1"/>
  <c r="E316" i="1"/>
  <c r="E316" i="3" s="1"/>
  <c r="C316" i="4" s="1"/>
  <c r="E317" i="1"/>
  <c r="E317" i="3" s="1"/>
  <c r="C317" i="4" s="1"/>
  <c r="E318" i="1"/>
  <c r="E318" i="3" s="1"/>
  <c r="C318" i="4" s="1"/>
  <c r="E319" i="1"/>
  <c r="E319" i="3" s="1"/>
  <c r="C319" i="4" s="1"/>
  <c r="E320" i="1"/>
  <c r="E320" i="3" s="1"/>
  <c r="C320" i="4" s="1"/>
  <c r="E321" i="1"/>
  <c r="E321" i="3" s="1"/>
  <c r="C321" i="4" s="1"/>
  <c r="E322" i="1"/>
  <c r="E322" i="3" s="1"/>
  <c r="C322" i="4" s="1"/>
  <c r="E323" i="1"/>
  <c r="E323" i="3" s="1"/>
  <c r="C323" i="4" s="1"/>
  <c r="E324" i="1"/>
  <c r="E324" i="3" s="1"/>
  <c r="C324" i="4" s="1"/>
  <c r="E325" i="1"/>
  <c r="E325" i="3" s="1"/>
  <c r="C325" i="4" s="1"/>
  <c r="E326" i="1"/>
  <c r="E326" i="3" s="1"/>
  <c r="C326" i="4" s="1"/>
  <c r="E327" i="1"/>
  <c r="E327" i="3" s="1"/>
  <c r="C327" i="4" s="1"/>
  <c r="E328" i="1"/>
  <c r="E328" i="3" s="1"/>
  <c r="C328" i="4" s="1"/>
  <c r="E329" i="1"/>
  <c r="E329" i="3" s="1"/>
  <c r="C329" i="4" s="1"/>
  <c r="E330" i="1"/>
  <c r="E330" i="3" s="1"/>
  <c r="C330" i="4" s="1"/>
  <c r="E331" i="1"/>
  <c r="E331" i="3" s="1"/>
  <c r="C331" i="4" s="1"/>
  <c r="E332" i="1"/>
  <c r="E332" i="3" s="1"/>
  <c r="C332" i="4" s="1"/>
  <c r="E333" i="1"/>
  <c r="E333" i="3" s="1"/>
  <c r="C333" i="4" s="1"/>
  <c r="E334" i="1"/>
  <c r="E334" i="3" s="1"/>
  <c r="C334" i="4" s="1"/>
  <c r="E335" i="1"/>
  <c r="E335" i="3" s="1"/>
  <c r="C335" i="4" s="1"/>
  <c r="E336" i="1"/>
  <c r="E336" i="3" s="1"/>
  <c r="C336" i="4" s="1"/>
  <c r="E337" i="1"/>
  <c r="E337" i="3" s="1"/>
  <c r="C337" i="4" s="1"/>
  <c r="E338" i="1"/>
  <c r="E338" i="3" s="1"/>
  <c r="C338" i="4" s="1"/>
  <c r="E339" i="1"/>
  <c r="E339" i="3" s="1"/>
  <c r="C339" i="4" s="1"/>
  <c r="E340" i="1"/>
  <c r="E340" i="3" s="1"/>
  <c r="C340" i="4" s="1"/>
  <c r="E341" i="1"/>
  <c r="E341" i="3" s="1"/>
  <c r="C341" i="4" s="1"/>
  <c r="E342" i="1"/>
  <c r="E342" i="3" s="1"/>
  <c r="C342" i="4" s="1"/>
  <c r="E343" i="1"/>
  <c r="E343" i="3" s="1"/>
  <c r="C343" i="4" s="1"/>
  <c r="E344" i="1"/>
  <c r="E344" i="3" s="1"/>
  <c r="C344" i="4" s="1"/>
  <c r="E345" i="1"/>
  <c r="E345" i="3" s="1"/>
  <c r="C345" i="4" s="1"/>
  <c r="E346" i="1"/>
  <c r="E346" i="3" s="1"/>
  <c r="C346" i="4" s="1"/>
  <c r="E347" i="1"/>
  <c r="E347" i="3" s="1"/>
  <c r="C347" i="4" s="1"/>
  <c r="E348" i="1"/>
  <c r="E348" i="3" s="1"/>
  <c r="C348" i="4" s="1"/>
  <c r="E349" i="1"/>
  <c r="E349" i="3" s="1"/>
  <c r="C349" i="4" s="1"/>
  <c r="E350" i="1"/>
  <c r="E350" i="3" s="1"/>
  <c r="C350" i="4" s="1"/>
  <c r="E351" i="1"/>
  <c r="E351" i="3" s="1"/>
  <c r="C351" i="4" s="1"/>
  <c r="E352" i="1"/>
  <c r="E352" i="3" s="1"/>
  <c r="C352" i="4" s="1"/>
  <c r="E353" i="1"/>
  <c r="E353" i="3" s="1"/>
  <c r="C353" i="4" s="1"/>
  <c r="E354" i="1"/>
  <c r="E354" i="3" s="1"/>
  <c r="C354" i="4" s="1"/>
  <c r="E355" i="1"/>
  <c r="E355" i="3" s="1"/>
  <c r="C355" i="4" s="1"/>
  <c r="E356" i="1"/>
  <c r="E356" i="3" s="1"/>
  <c r="C356" i="4" s="1"/>
  <c r="E357" i="1"/>
  <c r="E357" i="3" s="1"/>
  <c r="C357" i="4" s="1"/>
  <c r="E358" i="1"/>
  <c r="E358" i="3" s="1"/>
  <c r="C358" i="4" s="1"/>
  <c r="E359" i="1"/>
  <c r="E359" i="3" s="1"/>
  <c r="C359" i="4" s="1"/>
  <c r="E360" i="1"/>
  <c r="E360" i="3" s="1"/>
  <c r="C360" i="4" s="1"/>
  <c r="E361" i="1"/>
  <c r="E361" i="3" s="1"/>
  <c r="C361" i="4" s="1"/>
  <c r="E362" i="1"/>
  <c r="E362" i="3" s="1"/>
  <c r="C362" i="4" s="1"/>
  <c r="E363" i="1"/>
  <c r="E363" i="3" s="1"/>
  <c r="C363" i="4" s="1"/>
  <c r="E364" i="1"/>
  <c r="E364" i="3" s="1"/>
  <c r="C364" i="4" s="1"/>
  <c r="E365" i="1"/>
  <c r="E365" i="3" s="1"/>
  <c r="C365" i="4" s="1"/>
  <c r="E366" i="1"/>
  <c r="E366" i="3" s="1"/>
  <c r="C366" i="4" s="1"/>
  <c r="E367" i="1"/>
  <c r="E367" i="3" s="1"/>
  <c r="C367" i="4" s="1"/>
  <c r="E368" i="1"/>
  <c r="E368" i="3" s="1"/>
  <c r="C368" i="4" s="1"/>
  <c r="E369" i="1"/>
  <c r="E369" i="3" s="1"/>
  <c r="C369" i="4" s="1"/>
  <c r="E370" i="1"/>
  <c r="E370" i="3" s="1"/>
  <c r="C370" i="4" s="1"/>
  <c r="E371" i="1"/>
  <c r="E371" i="3" s="1"/>
  <c r="C371" i="4" s="1"/>
  <c r="E372" i="1"/>
  <c r="E372" i="3" s="1"/>
  <c r="C372" i="4" s="1"/>
  <c r="E373" i="1"/>
  <c r="E373" i="3" s="1"/>
  <c r="C373" i="4" s="1"/>
  <c r="E374" i="1"/>
  <c r="E374" i="3" s="1"/>
  <c r="C374" i="4" s="1"/>
  <c r="E375" i="1"/>
  <c r="E375" i="3" s="1"/>
  <c r="C375" i="4" s="1"/>
  <c r="E376" i="1"/>
  <c r="E376" i="3" s="1"/>
  <c r="C376" i="4" s="1"/>
  <c r="E377" i="1"/>
  <c r="E377" i="3" s="1"/>
  <c r="C377" i="4" s="1"/>
  <c r="E378" i="1"/>
  <c r="E378" i="3" s="1"/>
  <c r="C378" i="4" s="1"/>
  <c r="E379" i="1"/>
  <c r="E379" i="3" s="1"/>
  <c r="C379" i="4" s="1"/>
  <c r="E380" i="1"/>
  <c r="E380" i="3" s="1"/>
  <c r="C380" i="4" s="1"/>
  <c r="E381" i="1"/>
  <c r="E381" i="3" s="1"/>
  <c r="C381" i="4" s="1"/>
  <c r="E382" i="1"/>
  <c r="E382" i="3" s="1"/>
  <c r="C382" i="4" s="1"/>
  <c r="E383" i="1"/>
  <c r="E383" i="3" s="1"/>
  <c r="C383" i="4" s="1"/>
  <c r="E384" i="1"/>
  <c r="E384" i="3" s="1"/>
  <c r="C384" i="4" s="1"/>
  <c r="E385" i="1"/>
  <c r="E385" i="3" s="1"/>
  <c r="C385" i="4" s="1"/>
  <c r="E386" i="1"/>
  <c r="E386" i="3" s="1"/>
  <c r="C386" i="4" s="1"/>
  <c r="E387" i="1"/>
  <c r="E387" i="3" s="1"/>
  <c r="C387" i="4" s="1"/>
  <c r="E388" i="1"/>
  <c r="E388" i="3" s="1"/>
  <c r="C388" i="4" s="1"/>
  <c r="E389" i="1"/>
  <c r="E389" i="3" s="1"/>
  <c r="C389" i="4" s="1"/>
  <c r="E390" i="1"/>
  <c r="E390" i="3" s="1"/>
  <c r="C390" i="4" s="1"/>
  <c r="E391" i="1"/>
  <c r="E391" i="3" s="1"/>
  <c r="C391" i="4" s="1"/>
  <c r="E392" i="1"/>
  <c r="E392" i="3" s="1"/>
  <c r="C392" i="4" s="1"/>
  <c r="E393" i="1"/>
  <c r="E393" i="3" s="1"/>
  <c r="C393" i="4" s="1"/>
  <c r="E394" i="1"/>
  <c r="E394" i="3" s="1"/>
  <c r="C394" i="4" s="1"/>
  <c r="E395" i="1"/>
  <c r="E395" i="3" s="1"/>
  <c r="C395" i="4" s="1"/>
  <c r="E396" i="1"/>
  <c r="E396" i="3" s="1"/>
  <c r="C396" i="4" s="1"/>
  <c r="E397" i="1"/>
  <c r="E397" i="3" s="1"/>
  <c r="C397" i="4" s="1"/>
  <c r="E398" i="1"/>
  <c r="E398" i="3" s="1"/>
  <c r="C398" i="4" s="1"/>
  <c r="E399" i="1"/>
  <c r="E399" i="3" s="1"/>
  <c r="C399" i="4" s="1"/>
  <c r="E400" i="1"/>
  <c r="E400" i="3" s="1"/>
  <c r="C400" i="4" s="1"/>
  <c r="E401" i="1"/>
  <c r="E401" i="3" s="1"/>
  <c r="C401" i="4" s="1"/>
  <c r="E402" i="1"/>
  <c r="E402" i="3" s="1"/>
  <c r="C402" i="4" s="1"/>
  <c r="E403" i="1"/>
  <c r="E403" i="3" s="1"/>
  <c r="C403" i="4" s="1"/>
  <c r="E404" i="1"/>
  <c r="E404" i="3" s="1"/>
  <c r="C404" i="4" s="1"/>
  <c r="E405" i="1"/>
  <c r="E405" i="3" s="1"/>
  <c r="C405" i="4" s="1"/>
  <c r="E406" i="1"/>
  <c r="E406" i="3" s="1"/>
  <c r="C406" i="4" s="1"/>
  <c r="E407" i="1"/>
  <c r="E407" i="3" s="1"/>
  <c r="C407" i="4" s="1"/>
  <c r="E408" i="1"/>
  <c r="E408" i="3" s="1"/>
  <c r="C408" i="4" s="1"/>
  <c r="E409" i="1"/>
  <c r="E409" i="3" s="1"/>
  <c r="C409" i="4" s="1"/>
  <c r="E410" i="1"/>
  <c r="E410" i="3" s="1"/>
  <c r="C410" i="4" s="1"/>
  <c r="E411" i="1"/>
  <c r="E411" i="3" s="1"/>
  <c r="C411" i="4" s="1"/>
  <c r="E412" i="1"/>
  <c r="E412" i="3" s="1"/>
  <c r="C412" i="4" s="1"/>
  <c r="E413" i="1"/>
  <c r="E413" i="3" s="1"/>
  <c r="C413" i="4" s="1"/>
  <c r="E414" i="1"/>
  <c r="E414" i="3" s="1"/>
  <c r="C414" i="4" s="1"/>
  <c r="E415" i="1"/>
  <c r="E415" i="3" s="1"/>
  <c r="C415" i="4" s="1"/>
  <c r="E416" i="1"/>
  <c r="E416" i="3" s="1"/>
  <c r="C416" i="4" s="1"/>
  <c r="E417" i="1"/>
  <c r="E417" i="3" s="1"/>
  <c r="C417" i="4" s="1"/>
  <c r="E418" i="1"/>
  <c r="E418" i="3" s="1"/>
  <c r="C418" i="4" s="1"/>
  <c r="E419" i="1"/>
  <c r="E419" i="3" s="1"/>
  <c r="C419" i="4" s="1"/>
  <c r="E420" i="1"/>
  <c r="E420" i="3" s="1"/>
  <c r="C420" i="4" s="1"/>
  <c r="E421" i="1"/>
  <c r="E421" i="3" s="1"/>
  <c r="C421" i="4" s="1"/>
  <c r="E422" i="1"/>
  <c r="E422" i="3" s="1"/>
  <c r="C422" i="4" s="1"/>
  <c r="E423" i="1"/>
  <c r="E423" i="3" s="1"/>
  <c r="C423" i="4" s="1"/>
  <c r="E424" i="1"/>
  <c r="E424" i="3" s="1"/>
  <c r="C424" i="4" s="1"/>
  <c r="E425" i="1"/>
  <c r="E425" i="3" s="1"/>
  <c r="C425" i="4" s="1"/>
  <c r="E426" i="1"/>
  <c r="E426" i="3" s="1"/>
  <c r="C426" i="4" s="1"/>
  <c r="E427" i="1"/>
  <c r="E427" i="3" s="1"/>
  <c r="C427" i="4" s="1"/>
  <c r="E428" i="1"/>
  <c r="E428" i="3" s="1"/>
  <c r="C428" i="4" s="1"/>
  <c r="E429" i="1"/>
  <c r="E429" i="3" s="1"/>
  <c r="C429" i="4" s="1"/>
  <c r="E430" i="1"/>
  <c r="E430" i="3" s="1"/>
  <c r="C430" i="4" s="1"/>
  <c r="E431" i="1"/>
  <c r="E431" i="3" s="1"/>
  <c r="C431" i="4" s="1"/>
  <c r="E432" i="1"/>
  <c r="E432" i="3" s="1"/>
  <c r="C432" i="4" s="1"/>
  <c r="E433" i="1"/>
  <c r="E433" i="3" s="1"/>
  <c r="C433" i="4" s="1"/>
  <c r="E434" i="1"/>
  <c r="E434" i="3" s="1"/>
  <c r="C434" i="4" s="1"/>
  <c r="E435" i="1"/>
  <c r="E435" i="3" s="1"/>
  <c r="C435" i="4" s="1"/>
  <c r="E436" i="1"/>
  <c r="E436" i="3" s="1"/>
  <c r="C436" i="4" s="1"/>
  <c r="E437" i="1"/>
  <c r="E437" i="3" s="1"/>
  <c r="C437" i="4" s="1"/>
  <c r="E438" i="1"/>
  <c r="E438" i="3" s="1"/>
  <c r="C438" i="4" s="1"/>
  <c r="E439" i="1"/>
  <c r="E439" i="3" s="1"/>
  <c r="C439" i="4" s="1"/>
  <c r="E440" i="1"/>
  <c r="E440" i="3" s="1"/>
  <c r="C440" i="4" s="1"/>
  <c r="E441" i="1"/>
  <c r="E441" i="3" s="1"/>
  <c r="C441" i="4" s="1"/>
  <c r="E442" i="1"/>
  <c r="E442" i="3" s="1"/>
  <c r="C442" i="4" s="1"/>
  <c r="E443" i="1"/>
  <c r="E443" i="3" s="1"/>
  <c r="C443" i="4" s="1"/>
  <c r="E444" i="1"/>
  <c r="E444" i="3" s="1"/>
  <c r="C444" i="4" s="1"/>
  <c r="E445" i="1"/>
  <c r="E445" i="3" s="1"/>
  <c r="C445" i="4" s="1"/>
  <c r="E446" i="1"/>
  <c r="E446" i="3" s="1"/>
  <c r="C446" i="4" s="1"/>
  <c r="E447" i="1"/>
  <c r="E447" i="3" s="1"/>
  <c r="C447" i="4" s="1"/>
  <c r="E448" i="1"/>
  <c r="E448" i="3" s="1"/>
  <c r="C448" i="4" s="1"/>
  <c r="E449" i="1"/>
  <c r="E449" i="3" s="1"/>
  <c r="C449" i="4" s="1"/>
  <c r="E450" i="1"/>
  <c r="E450" i="3" s="1"/>
  <c r="C450" i="4" s="1"/>
  <c r="E451" i="1"/>
  <c r="E451" i="3" s="1"/>
  <c r="C451" i="4" s="1"/>
  <c r="E452" i="1"/>
  <c r="E452" i="3" s="1"/>
  <c r="C452" i="4" s="1"/>
  <c r="E453" i="1"/>
  <c r="E453" i="3" s="1"/>
  <c r="C453" i="4" s="1"/>
  <c r="E454" i="1"/>
  <c r="E454" i="3" s="1"/>
  <c r="C454" i="4" s="1"/>
  <c r="E455" i="1"/>
  <c r="E455" i="3" s="1"/>
  <c r="C455" i="4" s="1"/>
  <c r="E456" i="1"/>
  <c r="E456" i="3" s="1"/>
  <c r="C456" i="4" s="1"/>
  <c r="E457" i="1"/>
  <c r="E457" i="3" s="1"/>
  <c r="C457" i="4" s="1"/>
  <c r="E458" i="1"/>
  <c r="E458" i="3" s="1"/>
  <c r="C458" i="4" s="1"/>
  <c r="E459" i="1"/>
  <c r="E459" i="3" s="1"/>
  <c r="C459" i="4" s="1"/>
  <c r="E460" i="1"/>
  <c r="E460" i="3" s="1"/>
  <c r="C460" i="4" s="1"/>
  <c r="E461" i="1"/>
  <c r="E461" i="3" s="1"/>
  <c r="C461" i="4" s="1"/>
  <c r="E462" i="1"/>
  <c r="E462" i="3" s="1"/>
  <c r="C462" i="4" s="1"/>
  <c r="E463" i="1"/>
  <c r="E463" i="3" s="1"/>
  <c r="C463" i="4" s="1"/>
  <c r="E464" i="1"/>
  <c r="E464" i="3" s="1"/>
  <c r="C464" i="4" s="1"/>
  <c r="E465" i="1"/>
  <c r="E465" i="3" s="1"/>
  <c r="C465" i="4" s="1"/>
  <c r="E466" i="1"/>
  <c r="E466" i="3" s="1"/>
  <c r="C466" i="4" s="1"/>
  <c r="E467" i="1"/>
  <c r="E467" i="3" s="1"/>
  <c r="C467" i="4" s="1"/>
  <c r="E468" i="1"/>
  <c r="E468" i="3" s="1"/>
  <c r="C468" i="4" s="1"/>
  <c r="E469" i="1"/>
  <c r="E469" i="3" s="1"/>
  <c r="C469" i="4" s="1"/>
  <c r="E470" i="1"/>
  <c r="E470" i="3" s="1"/>
  <c r="C470" i="4" s="1"/>
  <c r="E471" i="1"/>
  <c r="E471" i="3" s="1"/>
  <c r="C471" i="4" s="1"/>
  <c r="E472" i="1"/>
  <c r="E472" i="3" s="1"/>
  <c r="C472" i="4" s="1"/>
  <c r="E473" i="1"/>
  <c r="E473" i="3" s="1"/>
  <c r="C473" i="4" s="1"/>
  <c r="E474" i="1"/>
  <c r="E474" i="3" s="1"/>
  <c r="C474" i="4" s="1"/>
  <c r="E475" i="1"/>
  <c r="E475" i="3" s="1"/>
  <c r="C475" i="4" s="1"/>
  <c r="E476" i="1"/>
  <c r="E476" i="3" s="1"/>
  <c r="C476" i="4" s="1"/>
  <c r="E477" i="1"/>
  <c r="E477" i="3" s="1"/>
  <c r="C477" i="4" s="1"/>
  <c r="E478" i="1"/>
  <c r="E478" i="3" s="1"/>
  <c r="C478" i="4" s="1"/>
  <c r="E479" i="1"/>
  <c r="E479" i="3" s="1"/>
  <c r="C479" i="4" s="1"/>
  <c r="E480" i="1"/>
  <c r="E480" i="3" s="1"/>
  <c r="C480" i="4" s="1"/>
  <c r="E481" i="1"/>
  <c r="E481" i="3" s="1"/>
  <c r="C481" i="4" s="1"/>
  <c r="E482" i="1"/>
  <c r="E482" i="3" s="1"/>
  <c r="C482" i="4" s="1"/>
  <c r="E483" i="1"/>
  <c r="E483" i="3" s="1"/>
  <c r="C483" i="4" s="1"/>
  <c r="E484" i="1"/>
  <c r="E484" i="3" s="1"/>
  <c r="C484" i="4" s="1"/>
  <c r="E485" i="1"/>
  <c r="E485" i="3" s="1"/>
  <c r="C485" i="4" s="1"/>
  <c r="E486" i="1"/>
  <c r="E486" i="3" s="1"/>
  <c r="C486" i="4" s="1"/>
  <c r="E487" i="1"/>
  <c r="E487" i="3" s="1"/>
  <c r="C487" i="4" s="1"/>
  <c r="E488" i="1"/>
  <c r="E488" i="3" s="1"/>
  <c r="C488" i="4" s="1"/>
  <c r="E489" i="1"/>
  <c r="E489" i="3" s="1"/>
  <c r="C489" i="4" s="1"/>
  <c r="E490" i="1"/>
  <c r="E490" i="3" s="1"/>
  <c r="C490" i="4" s="1"/>
  <c r="E491" i="1"/>
  <c r="E491" i="3" s="1"/>
  <c r="C491" i="4" s="1"/>
  <c r="E492" i="1"/>
  <c r="E492" i="3" s="1"/>
  <c r="C492" i="4" s="1"/>
  <c r="E493" i="1"/>
  <c r="E493" i="3" s="1"/>
  <c r="C493" i="4" s="1"/>
  <c r="E494" i="1"/>
  <c r="E494" i="3" s="1"/>
  <c r="C494" i="4" s="1"/>
  <c r="E495" i="1"/>
  <c r="E495" i="3" s="1"/>
  <c r="C495" i="4" s="1"/>
  <c r="E496" i="1"/>
  <c r="E496" i="3" s="1"/>
  <c r="C496" i="4" s="1"/>
  <c r="E497" i="1"/>
  <c r="E497" i="3" s="1"/>
  <c r="C497" i="4" s="1"/>
  <c r="E498" i="1"/>
  <c r="E498" i="3" s="1"/>
  <c r="C498" i="4" s="1"/>
  <c r="E499" i="1"/>
  <c r="E499" i="3" s="1"/>
  <c r="C499" i="4" s="1"/>
  <c r="E500" i="1"/>
  <c r="E500" i="3" s="1"/>
  <c r="C500" i="4" s="1"/>
  <c r="E501" i="1"/>
  <c r="E501" i="3" s="1"/>
  <c r="C501" i="4" s="1"/>
  <c r="E502" i="1"/>
  <c r="E502" i="3" s="1"/>
  <c r="C502" i="4" s="1"/>
  <c r="E503" i="1"/>
  <c r="E503" i="3" s="1"/>
  <c r="C503" i="4" s="1"/>
  <c r="E504" i="1"/>
  <c r="E504" i="3" s="1"/>
  <c r="C504" i="4" s="1"/>
  <c r="E505" i="1"/>
  <c r="E505" i="3" s="1"/>
  <c r="C505" i="4" s="1"/>
  <c r="E506" i="1"/>
  <c r="E506" i="3" s="1"/>
  <c r="C506" i="4" s="1"/>
  <c r="E507" i="1"/>
  <c r="E507" i="3" s="1"/>
  <c r="C507" i="4" s="1"/>
  <c r="E508" i="1"/>
  <c r="E508" i="3" s="1"/>
  <c r="C508" i="4" s="1"/>
  <c r="E509" i="1"/>
  <c r="E509" i="3" s="1"/>
  <c r="C509" i="4" s="1"/>
  <c r="E510" i="1"/>
  <c r="E510" i="3" s="1"/>
  <c r="C510" i="4" s="1"/>
  <c r="E511" i="1"/>
  <c r="E511" i="3" s="1"/>
  <c r="C511" i="4" s="1"/>
  <c r="E512" i="1"/>
  <c r="E512" i="3" s="1"/>
  <c r="C512" i="4" s="1"/>
  <c r="E513" i="1"/>
  <c r="E513" i="3" s="1"/>
  <c r="C513" i="4" s="1"/>
  <c r="E514" i="1"/>
  <c r="E514" i="3" s="1"/>
  <c r="C514" i="4" s="1"/>
  <c r="E515" i="1"/>
  <c r="E515" i="3" s="1"/>
  <c r="C515" i="4" s="1"/>
  <c r="E516" i="1"/>
  <c r="E516" i="3" s="1"/>
  <c r="C516" i="4" s="1"/>
  <c r="E517" i="1"/>
  <c r="E517" i="3" s="1"/>
  <c r="C517" i="4" s="1"/>
  <c r="E518" i="1"/>
  <c r="E518" i="3" s="1"/>
  <c r="C518" i="4" s="1"/>
  <c r="E519" i="1"/>
  <c r="E519" i="3" s="1"/>
  <c r="C519" i="4" s="1"/>
  <c r="E520" i="1"/>
  <c r="E520" i="3" s="1"/>
  <c r="C520" i="4" s="1"/>
  <c r="E521" i="1"/>
  <c r="E521" i="3" s="1"/>
  <c r="C521" i="4" s="1"/>
  <c r="E522" i="1"/>
  <c r="E522" i="3" s="1"/>
  <c r="C522" i="4" s="1"/>
  <c r="E523" i="1"/>
  <c r="E523" i="3" s="1"/>
  <c r="C523" i="4" s="1"/>
  <c r="E524" i="1"/>
  <c r="E524" i="3" s="1"/>
  <c r="C524" i="4" s="1"/>
  <c r="E525" i="1"/>
  <c r="E525" i="3" s="1"/>
  <c r="C525" i="4" s="1"/>
  <c r="E526" i="1"/>
  <c r="E526" i="3" s="1"/>
  <c r="C526" i="4" s="1"/>
  <c r="E527" i="1"/>
  <c r="E527" i="3" s="1"/>
  <c r="C527" i="4" s="1"/>
  <c r="E528" i="1"/>
  <c r="E528" i="3" s="1"/>
  <c r="C528" i="4" s="1"/>
  <c r="E529" i="1"/>
  <c r="E529" i="3" s="1"/>
  <c r="C529" i="4" s="1"/>
  <c r="E530" i="1"/>
  <c r="E530" i="3" s="1"/>
  <c r="C530" i="4" s="1"/>
  <c r="E531" i="1"/>
  <c r="E531" i="3" s="1"/>
  <c r="C531" i="4" s="1"/>
  <c r="E532" i="1"/>
  <c r="E532" i="3" s="1"/>
  <c r="C532" i="4" s="1"/>
  <c r="E533" i="1"/>
  <c r="E533" i="3" s="1"/>
  <c r="C533" i="4" s="1"/>
  <c r="E534" i="1"/>
  <c r="E534" i="3" s="1"/>
  <c r="C534" i="4" s="1"/>
  <c r="E535" i="1"/>
  <c r="E535" i="3" s="1"/>
  <c r="C535" i="4" s="1"/>
  <c r="E536" i="1"/>
  <c r="E536" i="3" s="1"/>
  <c r="C536" i="4" s="1"/>
  <c r="E537" i="1"/>
  <c r="E537" i="3" s="1"/>
  <c r="C537" i="4" s="1"/>
  <c r="E538" i="1"/>
  <c r="E538" i="3" s="1"/>
  <c r="C538" i="4" s="1"/>
  <c r="E539" i="1"/>
  <c r="E539" i="3" s="1"/>
  <c r="C539" i="4" s="1"/>
  <c r="E540" i="1"/>
  <c r="E540" i="3" s="1"/>
  <c r="C540" i="4" s="1"/>
  <c r="E541" i="1"/>
  <c r="E541" i="3" s="1"/>
  <c r="C541" i="4" s="1"/>
  <c r="E542" i="1"/>
  <c r="E542" i="3" s="1"/>
  <c r="C542" i="4" s="1"/>
  <c r="E543" i="1"/>
  <c r="E543" i="3" s="1"/>
  <c r="C543" i="4" s="1"/>
  <c r="E544" i="1"/>
  <c r="E544" i="3" s="1"/>
  <c r="C544" i="4" s="1"/>
  <c r="E545" i="1"/>
  <c r="E545" i="3" s="1"/>
  <c r="C545" i="4" s="1"/>
  <c r="E546" i="1"/>
  <c r="E546" i="3" s="1"/>
  <c r="C546" i="4" s="1"/>
  <c r="E547" i="1"/>
  <c r="E547" i="3" s="1"/>
  <c r="C547" i="4" s="1"/>
  <c r="E548" i="1"/>
  <c r="E548" i="3" s="1"/>
  <c r="C548" i="4" s="1"/>
  <c r="E549" i="1"/>
  <c r="E549" i="3" s="1"/>
  <c r="C549" i="4" s="1"/>
  <c r="E550" i="1"/>
  <c r="E550" i="3" s="1"/>
  <c r="C550" i="4" s="1"/>
  <c r="E551" i="1"/>
  <c r="E551" i="3" s="1"/>
  <c r="C551" i="4" s="1"/>
  <c r="E552" i="1"/>
  <c r="E552" i="3" s="1"/>
  <c r="C552" i="4" s="1"/>
  <c r="E553" i="1"/>
  <c r="E553" i="3" s="1"/>
  <c r="C553" i="4" s="1"/>
  <c r="E554" i="1"/>
  <c r="E554" i="3" s="1"/>
  <c r="C554" i="4" s="1"/>
  <c r="E555" i="1"/>
  <c r="E555" i="3" s="1"/>
  <c r="C555" i="4" s="1"/>
  <c r="E556" i="1"/>
  <c r="E556" i="3" s="1"/>
  <c r="C556" i="4" s="1"/>
  <c r="E557" i="1"/>
  <c r="E557" i="3" s="1"/>
  <c r="C557" i="4" s="1"/>
  <c r="E558" i="1"/>
  <c r="E558" i="3" s="1"/>
  <c r="C558" i="4" s="1"/>
  <c r="E559" i="1"/>
  <c r="E559" i="3" s="1"/>
  <c r="C559" i="4" s="1"/>
  <c r="E560" i="1"/>
  <c r="E560" i="3" s="1"/>
  <c r="C560" i="4" s="1"/>
  <c r="E561" i="1"/>
  <c r="E561" i="3" s="1"/>
  <c r="C561" i="4" s="1"/>
  <c r="E562" i="1"/>
  <c r="E562" i="3" s="1"/>
  <c r="C562" i="4" s="1"/>
  <c r="E563" i="1"/>
  <c r="E563" i="3" s="1"/>
  <c r="C563" i="4" s="1"/>
  <c r="E564" i="1"/>
  <c r="E564" i="3" s="1"/>
  <c r="C564" i="4" s="1"/>
  <c r="E565" i="1"/>
  <c r="E565" i="3" s="1"/>
  <c r="C565" i="4" s="1"/>
  <c r="E566" i="1"/>
  <c r="E566" i="3" s="1"/>
  <c r="C566" i="4" s="1"/>
  <c r="E567" i="1"/>
  <c r="E567" i="3" s="1"/>
  <c r="C567" i="4" s="1"/>
  <c r="E568" i="1"/>
  <c r="E568" i="3" s="1"/>
  <c r="C568" i="4" s="1"/>
  <c r="E569" i="1"/>
  <c r="E569" i="3" s="1"/>
  <c r="C569" i="4" s="1"/>
  <c r="E570" i="1"/>
  <c r="E570" i="3" s="1"/>
  <c r="C570" i="4" s="1"/>
  <c r="E571" i="1"/>
  <c r="E571" i="3" s="1"/>
  <c r="C571" i="4" s="1"/>
  <c r="E572" i="1"/>
  <c r="E572" i="3" s="1"/>
  <c r="C572" i="4" s="1"/>
  <c r="E573" i="1"/>
  <c r="E573" i="3" s="1"/>
  <c r="C573" i="4" s="1"/>
  <c r="E574" i="1"/>
  <c r="E574" i="3" s="1"/>
  <c r="C574" i="4" s="1"/>
  <c r="E575" i="1"/>
  <c r="E575" i="3" s="1"/>
  <c r="C575" i="4" s="1"/>
  <c r="E576" i="1"/>
  <c r="E576" i="3" s="1"/>
  <c r="C576" i="4" s="1"/>
  <c r="E577" i="1"/>
  <c r="E577" i="3" s="1"/>
  <c r="C577" i="4" s="1"/>
  <c r="E578" i="1"/>
  <c r="E578" i="3" s="1"/>
  <c r="C578" i="4" s="1"/>
  <c r="E579" i="1"/>
  <c r="E579" i="3" s="1"/>
  <c r="C579" i="4" s="1"/>
  <c r="E580" i="1"/>
  <c r="E580" i="3" s="1"/>
  <c r="C580" i="4" s="1"/>
  <c r="E581" i="1"/>
  <c r="E581" i="3" s="1"/>
  <c r="C581" i="4" s="1"/>
  <c r="E582" i="1"/>
  <c r="E582" i="3" s="1"/>
  <c r="C582" i="4" s="1"/>
  <c r="E583" i="1"/>
  <c r="E583" i="3" s="1"/>
  <c r="C583" i="4" s="1"/>
  <c r="E584" i="1"/>
  <c r="E584" i="3" s="1"/>
  <c r="C584" i="4" s="1"/>
  <c r="E585" i="1"/>
  <c r="E585" i="3" s="1"/>
  <c r="C585" i="4" s="1"/>
  <c r="E586" i="1"/>
  <c r="E586" i="3" s="1"/>
  <c r="C586" i="4" s="1"/>
  <c r="E587" i="1"/>
  <c r="E587" i="3" s="1"/>
  <c r="C587" i="4" s="1"/>
  <c r="E588" i="1"/>
  <c r="E588" i="3" s="1"/>
  <c r="C588" i="4" s="1"/>
  <c r="E589" i="1"/>
  <c r="E589" i="3" s="1"/>
  <c r="C589" i="4" s="1"/>
  <c r="E590" i="1"/>
  <c r="E590" i="3" s="1"/>
  <c r="C590" i="4" s="1"/>
  <c r="E591" i="1"/>
  <c r="E591" i="3" s="1"/>
  <c r="C591" i="4" s="1"/>
  <c r="E592" i="1"/>
  <c r="E592" i="3" s="1"/>
  <c r="C592" i="4" s="1"/>
  <c r="E593" i="1"/>
  <c r="E593" i="3" s="1"/>
  <c r="C593" i="4" s="1"/>
  <c r="E594" i="1"/>
  <c r="E594" i="3" s="1"/>
  <c r="C594" i="4" s="1"/>
  <c r="E595" i="1"/>
  <c r="E595" i="3" s="1"/>
  <c r="C595" i="4" s="1"/>
  <c r="E596" i="1"/>
  <c r="E596" i="3" s="1"/>
  <c r="C596" i="4" s="1"/>
  <c r="E597" i="1"/>
  <c r="E597" i="3" s="1"/>
  <c r="C597" i="4" s="1"/>
  <c r="E598" i="1"/>
  <c r="E598" i="3" s="1"/>
  <c r="C598" i="4" s="1"/>
  <c r="E599" i="1"/>
  <c r="E599" i="3" s="1"/>
  <c r="C599" i="4" s="1"/>
  <c r="E600" i="1"/>
  <c r="E600" i="3" s="1"/>
  <c r="C600" i="4" s="1"/>
  <c r="E601" i="1"/>
  <c r="E601" i="3" s="1"/>
  <c r="C601" i="4" s="1"/>
  <c r="E602" i="1"/>
  <c r="E602" i="3" s="1"/>
  <c r="C602" i="4" s="1"/>
  <c r="E603" i="1"/>
  <c r="E603" i="3" s="1"/>
  <c r="C603" i="4" s="1"/>
  <c r="E604" i="1"/>
  <c r="E604" i="3" s="1"/>
  <c r="C604" i="4" s="1"/>
  <c r="E605" i="1"/>
  <c r="E605" i="3" s="1"/>
  <c r="C605" i="4" s="1"/>
  <c r="E606" i="1"/>
  <c r="E606" i="3" s="1"/>
  <c r="C606" i="4" s="1"/>
  <c r="E607" i="1"/>
  <c r="E607" i="3" s="1"/>
  <c r="C607" i="4" s="1"/>
  <c r="E608" i="1"/>
  <c r="E608" i="3" s="1"/>
  <c r="C608" i="4" s="1"/>
  <c r="E609" i="1"/>
  <c r="E609" i="3" s="1"/>
  <c r="C609" i="4" s="1"/>
  <c r="E610" i="1"/>
  <c r="E610" i="3" s="1"/>
  <c r="C610" i="4" s="1"/>
  <c r="E611" i="1"/>
  <c r="E611" i="3" s="1"/>
  <c r="C611" i="4" s="1"/>
  <c r="E612" i="1"/>
  <c r="E612" i="3" s="1"/>
  <c r="C612" i="4" s="1"/>
  <c r="E613" i="1"/>
  <c r="E613" i="3" s="1"/>
  <c r="C613" i="4" s="1"/>
  <c r="E614" i="1"/>
  <c r="E614" i="3" s="1"/>
  <c r="C614" i="4" s="1"/>
  <c r="E615" i="1"/>
  <c r="E615" i="3" s="1"/>
  <c r="C615" i="4" s="1"/>
  <c r="E616" i="1"/>
  <c r="E616" i="3" s="1"/>
  <c r="C616" i="4" s="1"/>
  <c r="E617" i="1"/>
  <c r="E617" i="3" s="1"/>
  <c r="C617" i="4" s="1"/>
  <c r="E618" i="1"/>
  <c r="E618" i="3" s="1"/>
  <c r="C618" i="4" s="1"/>
  <c r="E619" i="1"/>
  <c r="E619" i="3" s="1"/>
  <c r="C619" i="4" s="1"/>
  <c r="E620" i="1"/>
  <c r="E620" i="3" s="1"/>
  <c r="C620" i="4" s="1"/>
  <c r="E621" i="1"/>
  <c r="E621" i="3" s="1"/>
  <c r="C621" i="4" s="1"/>
  <c r="E622" i="1"/>
  <c r="E622" i="3" s="1"/>
  <c r="C622" i="4" s="1"/>
  <c r="E623" i="1"/>
  <c r="E623" i="3" s="1"/>
  <c r="C623" i="4" s="1"/>
  <c r="E624" i="1"/>
  <c r="E624" i="3" s="1"/>
  <c r="C624" i="4" s="1"/>
  <c r="E625" i="1"/>
  <c r="E625" i="3" s="1"/>
  <c r="C625" i="4" s="1"/>
  <c r="E626" i="1"/>
  <c r="E626" i="3" s="1"/>
  <c r="C626" i="4" s="1"/>
  <c r="E627" i="1"/>
  <c r="E627" i="3" s="1"/>
  <c r="C627" i="4" s="1"/>
  <c r="E628" i="1"/>
  <c r="E628" i="3" s="1"/>
  <c r="C628" i="4" s="1"/>
  <c r="E629" i="1"/>
  <c r="E629" i="3" s="1"/>
  <c r="C629" i="4" s="1"/>
  <c r="E630" i="1"/>
  <c r="E630" i="3" s="1"/>
  <c r="C630" i="4" s="1"/>
  <c r="E631" i="1"/>
  <c r="E631" i="3" s="1"/>
  <c r="C631" i="4" s="1"/>
  <c r="E632" i="1"/>
  <c r="E632" i="3" s="1"/>
  <c r="C632" i="4" s="1"/>
  <c r="E633" i="1"/>
  <c r="E633" i="3" s="1"/>
  <c r="C633" i="4" s="1"/>
  <c r="E634" i="1"/>
  <c r="E634" i="3" s="1"/>
  <c r="C634" i="4" s="1"/>
  <c r="E635" i="1"/>
  <c r="E635" i="3" s="1"/>
  <c r="C635" i="4" s="1"/>
  <c r="E636" i="1"/>
  <c r="E636" i="3" s="1"/>
  <c r="C636" i="4" s="1"/>
  <c r="E637" i="1"/>
  <c r="E637" i="3" s="1"/>
  <c r="C637" i="4" s="1"/>
  <c r="E638" i="1"/>
  <c r="E638" i="3" s="1"/>
  <c r="C638" i="4" s="1"/>
  <c r="E639" i="1"/>
  <c r="E639" i="3" s="1"/>
  <c r="C639" i="4" s="1"/>
  <c r="E640" i="1"/>
  <c r="E640" i="3" s="1"/>
  <c r="C640" i="4" s="1"/>
  <c r="E641" i="1"/>
  <c r="E641" i="3" s="1"/>
  <c r="C641" i="4" s="1"/>
  <c r="E642" i="1"/>
  <c r="E642" i="3" s="1"/>
  <c r="C642" i="4" s="1"/>
  <c r="E643" i="1"/>
  <c r="E643" i="3" s="1"/>
  <c r="C643" i="4" s="1"/>
  <c r="E644" i="1"/>
  <c r="E644" i="3" s="1"/>
  <c r="C644" i="4" s="1"/>
  <c r="E645" i="1"/>
  <c r="E645" i="3" s="1"/>
  <c r="C645" i="4" s="1"/>
  <c r="E646" i="1"/>
  <c r="E646" i="3" s="1"/>
  <c r="C646" i="4" s="1"/>
  <c r="E647" i="1"/>
  <c r="E647" i="3" s="1"/>
  <c r="C647" i="4" s="1"/>
  <c r="E648" i="1"/>
  <c r="E648" i="3" s="1"/>
  <c r="C648" i="4" s="1"/>
  <c r="E649" i="1"/>
  <c r="E649" i="3" s="1"/>
  <c r="C649" i="4" s="1"/>
  <c r="E650" i="1"/>
  <c r="E650" i="3" s="1"/>
  <c r="C650" i="4" s="1"/>
  <c r="E651" i="1"/>
  <c r="E651" i="3" s="1"/>
  <c r="C651" i="4" s="1"/>
  <c r="E652" i="1"/>
  <c r="E652" i="3" s="1"/>
  <c r="C652" i="4" s="1"/>
  <c r="E653" i="1"/>
  <c r="E653" i="3" s="1"/>
  <c r="C653" i="4" s="1"/>
  <c r="E654" i="1"/>
  <c r="E654" i="3" s="1"/>
  <c r="C654" i="4" s="1"/>
  <c r="E655" i="1"/>
  <c r="E655" i="3" s="1"/>
  <c r="C655" i="4" s="1"/>
  <c r="E656" i="1"/>
  <c r="E656" i="3" s="1"/>
  <c r="C656" i="4" s="1"/>
  <c r="E657" i="1"/>
  <c r="E657" i="3" s="1"/>
  <c r="C657" i="4" s="1"/>
  <c r="E658" i="1"/>
  <c r="E658" i="3" s="1"/>
  <c r="C658" i="4" s="1"/>
  <c r="E659" i="1"/>
  <c r="E659" i="3" s="1"/>
  <c r="C659" i="4" s="1"/>
  <c r="E660" i="1"/>
  <c r="E660" i="3" s="1"/>
  <c r="C660" i="4" s="1"/>
  <c r="E661" i="1"/>
  <c r="E661" i="3" s="1"/>
  <c r="C661" i="4" s="1"/>
  <c r="E662" i="1"/>
  <c r="E662" i="3" s="1"/>
  <c r="C662" i="4" s="1"/>
  <c r="E663" i="1"/>
  <c r="E663" i="3" s="1"/>
  <c r="C663" i="4" s="1"/>
  <c r="E664" i="1"/>
  <c r="E664" i="3" s="1"/>
  <c r="C664" i="4" s="1"/>
  <c r="E665" i="1"/>
  <c r="E665" i="3" s="1"/>
  <c r="C665" i="4" s="1"/>
  <c r="E666" i="1"/>
  <c r="E666" i="3" s="1"/>
  <c r="C666" i="4" s="1"/>
  <c r="E667" i="1"/>
  <c r="E667" i="3" s="1"/>
  <c r="C667" i="4" s="1"/>
  <c r="E668" i="1"/>
  <c r="E668" i="3" s="1"/>
  <c r="C668" i="4" s="1"/>
  <c r="E669" i="1"/>
  <c r="E669" i="3" s="1"/>
  <c r="C669" i="4" s="1"/>
  <c r="E670" i="1"/>
  <c r="E670" i="3" s="1"/>
  <c r="C670" i="4" s="1"/>
  <c r="E671" i="1"/>
  <c r="E671" i="3" s="1"/>
  <c r="C671" i="4" s="1"/>
  <c r="E672" i="1"/>
  <c r="E672" i="3" s="1"/>
  <c r="C672" i="4" s="1"/>
  <c r="E673" i="1"/>
  <c r="E673" i="3" s="1"/>
  <c r="C673" i="4" s="1"/>
  <c r="E674" i="1"/>
  <c r="E674" i="3" s="1"/>
  <c r="C674" i="4" s="1"/>
  <c r="E675" i="1"/>
  <c r="E675" i="3" s="1"/>
  <c r="C675" i="4" s="1"/>
  <c r="E676" i="1"/>
  <c r="E676" i="3" s="1"/>
  <c r="C676" i="4" s="1"/>
  <c r="E677" i="1"/>
  <c r="E677" i="3" s="1"/>
  <c r="C677" i="4" s="1"/>
  <c r="E678" i="1"/>
  <c r="E678" i="3" s="1"/>
  <c r="C678" i="4" s="1"/>
  <c r="E679" i="1"/>
  <c r="E679" i="3" s="1"/>
  <c r="C679" i="4" s="1"/>
  <c r="E680" i="1"/>
  <c r="E680" i="3" s="1"/>
  <c r="C680" i="4" s="1"/>
  <c r="E681" i="1"/>
  <c r="E681" i="3" s="1"/>
  <c r="C681" i="4" s="1"/>
  <c r="E682" i="1"/>
  <c r="E682" i="3" s="1"/>
  <c r="C682" i="4" s="1"/>
  <c r="E683" i="1"/>
  <c r="E683" i="3" s="1"/>
  <c r="C683" i="4" s="1"/>
  <c r="E684" i="1"/>
  <c r="E684" i="3" s="1"/>
  <c r="C684" i="4" s="1"/>
  <c r="E685" i="1"/>
  <c r="E685" i="3" s="1"/>
  <c r="C685" i="4" s="1"/>
  <c r="E686" i="1"/>
  <c r="E686" i="3" s="1"/>
  <c r="C686" i="4" s="1"/>
  <c r="E687" i="1"/>
  <c r="E687" i="3" s="1"/>
  <c r="C687" i="4" s="1"/>
  <c r="E688" i="1"/>
  <c r="E688" i="3" s="1"/>
  <c r="C688" i="4" s="1"/>
  <c r="E689" i="1"/>
  <c r="E689" i="3" s="1"/>
  <c r="C689" i="4" s="1"/>
  <c r="E690" i="1"/>
  <c r="E690" i="3" s="1"/>
  <c r="C690" i="4" s="1"/>
  <c r="E691" i="1"/>
  <c r="E691" i="3" s="1"/>
  <c r="C691" i="4" s="1"/>
  <c r="E692" i="1"/>
  <c r="E692" i="3" s="1"/>
  <c r="C692" i="4" s="1"/>
  <c r="E693" i="1"/>
  <c r="E693" i="3" s="1"/>
  <c r="C693" i="4" s="1"/>
  <c r="E694" i="1"/>
  <c r="E694" i="3" s="1"/>
  <c r="C694" i="4" s="1"/>
  <c r="E695" i="1"/>
  <c r="E695" i="3" s="1"/>
  <c r="C695" i="4" s="1"/>
  <c r="E696" i="1"/>
  <c r="E696" i="3" s="1"/>
  <c r="C696" i="4" s="1"/>
  <c r="E697" i="1"/>
  <c r="E697" i="3" s="1"/>
  <c r="C697" i="4" s="1"/>
  <c r="E698" i="1"/>
  <c r="E698" i="3" s="1"/>
  <c r="C698" i="4" s="1"/>
  <c r="E699" i="1"/>
  <c r="E699" i="3" s="1"/>
  <c r="C699" i="4" s="1"/>
  <c r="E700" i="1"/>
  <c r="E700" i="3" s="1"/>
  <c r="C700" i="4" s="1"/>
  <c r="E701" i="1"/>
  <c r="E701" i="3" s="1"/>
  <c r="C701" i="4" s="1"/>
  <c r="E702" i="1"/>
  <c r="E702" i="3" s="1"/>
  <c r="C702" i="4" s="1"/>
  <c r="E703" i="1"/>
  <c r="E703" i="3" s="1"/>
  <c r="C703" i="4" s="1"/>
  <c r="E704" i="1"/>
  <c r="E704" i="3" s="1"/>
  <c r="C704" i="4" s="1"/>
  <c r="E705" i="1"/>
  <c r="E705" i="3" s="1"/>
  <c r="C705" i="4" s="1"/>
  <c r="E706" i="1"/>
  <c r="E706" i="3" s="1"/>
  <c r="C706" i="4" s="1"/>
  <c r="E707" i="1"/>
  <c r="E707" i="3" s="1"/>
  <c r="C707" i="4" s="1"/>
  <c r="E708" i="1"/>
  <c r="E708" i="3" s="1"/>
  <c r="C708" i="4" s="1"/>
  <c r="E709" i="1"/>
  <c r="E709" i="3" s="1"/>
  <c r="C709" i="4" s="1"/>
  <c r="E710" i="1"/>
  <c r="E710" i="3" s="1"/>
  <c r="C710" i="4" s="1"/>
  <c r="E711" i="1"/>
  <c r="E711" i="3" s="1"/>
  <c r="C711" i="4" s="1"/>
  <c r="E712" i="1"/>
  <c r="E712" i="3" s="1"/>
  <c r="C712" i="4" s="1"/>
  <c r="E713" i="1"/>
  <c r="E713" i="3" s="1"/>
  <c r="C713" i="4" s="1"/>
  <c r="E714" i="1"/>
  <c r="E714" i="3" s="1"/>
  <c r="C714" i="4" s="1"/>
  <c r="E715" i="1"/>
  <c r="E715" i="3" s="1"/>
  <c r="C715" i="4" s="1"/>
  <c r="E716" i="1"/>
  <c r="E716" i="3" s="1"/>
  <c r="C716" i="4" s="1"/>
  <c r="E717" i="1"/>
  <c r="E717" i="3" s="1"/>
  <c r="C717" i="4" s="1"/>
  <c r="E718" i="1"/>
  <c r="E718" i="3" s="1"/>
  <c r="C718" i="4" s="1"/>
  <c r="E719" i="1"/>
  <c r="E719" i="3" s="1"/>
  <c r="C719" i="4" s="1"/>
  <c r="E720" i="1"/>
  <c r="E720" i="3" s="1"/>
  <c r="C720" i="4" s="1"/>
  <c r="E721" i="1"/>
  <c r="E721" i="3" s="1"/>
  <c r="C721" i="4" s="1"/>
  <c r="E722" i="1"/>
  <c r="E722" i="3" s="1"/>
  <c r="C722" i="4" s="1"/>
  <c r="E723" i="1"/>
  <c r="E723" i="3" s="1"/>
  <c r="C723" i="4" s="1"/>
  <c r="E724" i="1"/>
  <c r="E724" i="3" s="1"/>
  <c r="C724" i="4" s="1"/>
  <c r="E725" i="1"/>
  <c r="E725" i="3" s="1"/>
  <c r="C725" i="4" s="1"/>
  <c r="E726" i="1"/>
  <c r="E726" i="3" s="1"/>
  <c r="C726" i="4" s="1"/>
  <c r="E727" i="1"/>
  <c r="E727" i="3" s="1"/>
  <c r="C727" i="4" s="1"/>
  <c r="E728" i="1"/>
  <c r="E728" i="3" s="1"/>
  <c r="C728" i="4" s="1"/>
  <c r="E729" i="1"/>
  <c r="E729" i="3" s="1"/>
  <c r="C729" i="4" s="1"/>
  <c r="E730" i="1"/>
  <c r="E730" i="3" s="1"/>
  <c r="C730" i="4" s="1"/>
  <c r="E731" i="1"/>
  <c r="E731" i="3" s="1"/>
  <c r="C731" i="4" s="1"/>
  <c r="E732" i="1"/>
  <c r="E732" i="3" s="1"/>
  <c r="C732" i="4" s="1"/>
  <c r="E733" i="1"/>
  <c r="E733" i="3" s="1"/>
  <c r="C733" i="4" s="1"/>
  <c r="E734" i="1"/>
  <c r="E734" i="3" s="1"/>
  <c r="C734" i="4" s="1"/>
  <c r="E735" i="1"/>
  <c r="E735" i="3" s="1"/>
  <c r="C735" i="4" s="1"/>
  <c r="E736" i="1"/>
  <c r="E736" i="3" s="1"/>
  <c r="C736" i="4" s="1"/>
  <c r="E737" i="1"/>
  <c r="E737" i="3" s="1"/>
  <c r="C737" i="4" s="1"/>
  <c r="E738" i="1"/>
  <c r="E738" i="3" s="1"/>
  <c r="C738" i="4" s="1"/>
  <c r="E739" i="1"/>
  <c r="E739" i="3" s="1"/>
  <c r="C739" i="4" s="1"/>
  <c r="E740" i="1"/>
  <c r="E740" i="3" s="1"/>
  <c r="C740" i="4" s="1"/>
  <c r="E741" i="1"/>
  <c r="E741" i="3" s="1"/>
  <c r="C741" i="4" s="1"/>
  <c r="E742" i="1"/>
  <c r="E742" i="3" s="1"/>
  <c r="C742" i="4" s="1"/>
  <c r="E743" i="1"/>
  <c r="E743" i="3" s="1"/>
  <c r="C743" i="4" s="1"/>
  <c r="E744" i="1"/>
  <c r="E744" i="3" s="1"/>
  <c r="C744" i="4" s="1"/>
  <c r="E745" i="1"/>
  <c r="E745" i="3" s="1"/>
  <c r="C745" i="4" s="1"/>
  <c r="E746" i="1"/>
  <c r="E746" i="3" s="1"/>
  <c r="C746" i="4" s="1"/>
  <c r="E747" i="1"/>
  <c r="E747" i="3" s="1"/>
  <c r="C747" i="4" s="1"/>
  <c r="E748" i="1"/>
  <c r="E748" i="3" s="1"/>
  <c r="C748" i="4" s="1"/>
  <c r="E749" i="1"/>
  <c r="E749" i="3" s="1"/>
  <c r="C749" i="4" s="1"/>
  <c r="E750" i="1"/>
  <c r="E750" i="3" s="1"/>
  <c r="C750" i="4" s="1"/>
  <c r="E751" i="1"/>
  <c r="E751" i="3" s="1"/>
  <c r="C751" i="4" s="1"/>
  <c r="E752" i="1"/>
  <c r="E752" i="3" s="1"/>
  <c r="C752" i="4" s="1"/>
  <c r="E753" i="1"/>
  <c r="E753" i="3" s="1"/>
  <c r="C753" i="4" s="1"/>
  <c r="E754" i="1"/>
  <c r="E754" i="3" s="1"/>
  <c r="C754" i="4" s="1"/>
  <c r="E755" i="1"/>
  <c r="E755" i="3" s="1"/>
  <c r="C755" i="4" s="1"/>
  <c r="E756" i="1"/>
  <c r="E756" i="3" s="1"/>
  <c r="C756" i="4" s="1"/>
  <c r="E757" i="1"/>
  <c r="E757" i="3" s="1"/>
  <c r="C757" i="4" s="1"/>
  <c r="E758" i="1"/>
  <c r="E758" i="3" s="1"/>
  <c r="C758" i="4" s="1"/>
  <c r="E759" i="1"/>
  <c r="E759" i="3" s="1"/>
  <c r="C759" i="4" s="1"/>
  <c r="E760" i="1"/>
  <c r="E760" i="3" s="1"/>
  <c r="C760" i="4" s="1"/>
  <c r="E761" i="1"/>
  <c r="E761" i="3" s="1"/>
  <c r="C761" i="4" s="1"/>
  <c r="E762" i="1"/>
  <c r="E762" i="3" s="1"/>
  <c r="C762" i="4" s="1"/>
  <c r="E763" i="1"/>
  <c r="E763" i="3" s="1"/>
  <c r="C763" i="4" s="1"/>
  <c r="E764" i="1"/>
  <c r="E764" i="3" s="1"/>
  <c r="C764" i="4" s="1"/>
  <c r="E765" i="1"/>
  <c r="E765" i="3" s="1"/>
  <c r="C765" i="4" s="1"/>
  <c r="E766" i="1"/>
  <c r="E766" i="3" s="1"/>
  <c r="C766" i="4" s="1"/>
  <c r="E767" i="1"/>
  <c r="E767" i="3" s="1"/>
  <c r="C767" i="4" s="1"/>
  <c r="E768" i="1"/>
  <c r="E768" i="3" s="1"/>
  <c r="C768" i="4" s="1"/>
  <c r="E769" i="1"/>
  <c r="E769" i="3" s="1"/>
  <c r="C769" i="4" s="1"/>
  <c r="E770" i="1"/>
  <c r="E770" i="3" s="1"/>
  <c r="C770" i="4" s="1"/>
  <c r="E771" i="1"/>
  <c r="E771" i="3" s="1"/>
  <c r="C771" i="4" s="1"/>
  <c r="E772" i="1"/>
  <c r="E772" i="3" s="1"/>
  <c r="C772" i="4" s="1"/>
  <c r="E773" i="1"/>
  <c r="E773" i="3" s="1"/>
  <c r="C773" i="4" s="1"/>
  <c r="E774" i="1"/>
  <c r="E774" i="3" s="1"/>
  <c r="C774" i="4" s="1"/>
  <c r="E775" i="1"/>
  <c r="E775" i="3" s="1"/>
  <c r="C775" i="4" s="1"/>
  <c r="E776" i="1"/>
  <c r="E776" i="3" s="1"/>
  <c r="C776" i="4" s="1"/>
  <c r="E777" i="1"/>
  <c r="E777" i="3" s="1"/>
  <c r="C777" i="4" s="1"/>
  <c r="E778" i="1"/>
  <c r="E778" i="3" s="1"/>
  <c r="C778" i="4" s="1"/>
  <c r="E779" i="1"/>
  <c r="E779" i="3" s="1"/>
  <c r="C779" i="4" s="1"/>
  <c r="E780" i="1"/>
  <c r="E780" i="3" s="1"/>
  <c r="C780" i="4" s="1"/>
  <c r="E781" i="1"/>
  <c r="E781" i="3" s="1"/>
  <c r="C781" i="4" s="1"/>
  <c r="E782" i="1"/>
  <c r="E782" i="3" s="1"/>
  <c r="C782" i="4" s="1"/>
  <c r="E783" i="1"/>
  <c r="E783" i="3" s="1"/>
  <c r="C783" i="4" s="1"/>
  <c r="E784" i="1"/>
  <c r="E784" i="3" s="1"/>
  <c r="C784" i="4" s="1"/>
  <c r="E785" i="1"/>
  <c r="E785" i="3" s="1"/>
  <c r="C785" i="4" s="1"/>
  <c r="E786" i="1"/>
  <c r="E786" i="3" s="1"/>
  <c r="C786" i="4" s="1"/>
  <c r="E787" i="1"/>
  <c r="E787" i="3" s="1"/>
  <c r="C787" i="4" s="1"/>
  <c r="E788" i="1"/>
  <c r="E788" i="3" s="1"/>
  <c r="C788" i="4" s="1"/>
  <c r="E789" i="1"/>
  <c r="E789" i="3" s="1"/>
  <c r="C789" i="4" s="1"/>
  <c r="E790" i="1"/>
  <c r="E790" i="3" s="1"/>
  <c r="C790" i="4" s="1"/>
  <c r="E791" i="1"/>
  <c r="E791" i="3" s="1"/>
  <c r="C791" i="4" s="1"/>
  <c r="E792" i="1"/>
  <c r="E792" i="3" s="1"/>
  <c r="C792" i="4" s="1"/>
  <c r="E793" i="1"/>
  <c r="E793" i="3" s="1"/>
  <c r="C793" i="4" s="1"/>
  <c r="E794" i="1"/>
  <c r="E794" i="3" s="1"/>
  <c r="C794" i="4" s="1"/>
  <c r="E795" i="1"/>
  <c r="E795" i="3" s="1"/>
  <c r="C795" i="4" s="1"/>
  <c r="E796" i="1"/>
  <c r="E796" i="3" s="1"/>
  <c r="C796" i="4" s="1"/>
  <c r="E797" i="1"/>
  <c r="E797" i="3" s="1"/>
  <c r="C797" i="4" s="1"/>
  <c r="E798" i="1"/>
  <c r="E798" i="3" s="1"/>
  <c r="C798" i="4" s="1"/>
  <c r="E799" i="1"/>
  <c r="E799" i="3" s="1"/>
  <c r="C799" i="4" s="1"/>
  <c r="G39" i="3"/>
  <c r="E39" i="4" s="1"/>
  <c r="G41" i="3"/>
  <c r="E41" i="4" s="1"/>
  <c r="G47" i="3"/>
  <c r="E47" i="4" s="1"/>
  <c r="G55" i="3"/>
  <c r="E55" i="4" s="1"/>
  <c r="G57" i="3"/>
  <c r="E57" i="4" s="1"/>
  <c r="G63" i="3"/>
  <c r="E63" i="4" s="1"/>
  <c r="G65" i="3"/>
  <c r="E65" i="4" s="1"/>
  <c r="G71" i="3"/>
  <c r="E71" i="4" s="1"/>
  <c r="G73" i="3"/>
  <c r="E73" i="4" s="1"/>
  <c r="G79" i="3"/>
  <c r="E79" i="4" s="1"/>
  <c r="G81" i="3"/>
  <c r="E81" i="4" s="1"/>
  <c r="G87" i="3"/>
  <c r="E87" i="4" s="1"/>
  <c r="G89" i="3"/>
  <c r="E89" i="4" s="1"/>
  <c r="G95" i="3"/>
  <c r="E95" i="4" s="1"/>
  <c r="G97" i="3"/>
  <c r="E97" i="4" s="1"/>
  <c r="G103" i="3"/>
  <c r="E103" i="4" s="1"/>
  <c r="G105" i="3"/>
  <c r="E105" i="4" s="1"/>
  <c r="G111" i="3"/>
  <c r="E111" i="4" s="1"/>
  <c r="G113" i="3"/>
  <c r="E113" i="4" s="1"/>
  <c r="G119" i="3"/>
  <c r="E119" i="4" s="1"/>
  <c r="G121" i="3"/>
  <c r="E121" i="4" s="1"/>
  <c r="G127" i="3"/>
  <c r="E127" i="4" s="1"/>
  <c r="G129" i="3"/>
  <c r="E129" i="4" s="1"/>
  <c r="G135" i="3"/>
  <c r="E135" i="4" s="1"/>
  <c r="G137" i="3"/>
  <c r="E137" i="4" s="1"/>
  <c r="G143" i="3"/>
  <c r="E143" i="4" s="1"/>
  <c r="G145" i="3"/>
  <c r="E145" i="4" s="1"/>
  <c r="G151" i="3"/>
  <c r="E151" i="4" s="1"/>
  <c r="G153" i="3"/>
  <c r="E153" i="4" s="1"/>
  <c r="G159" i="3"/>
  <c r="E159" i="4" s="1"/>
  <c r="G161" i="3"/>
  <c r="E161" i="4" s="1"/>
  <c r="G167" i="3"/>
  <c r="E167" i="4" s="1"/>
  <c r="G169" i="3"/>
  <c r="E169" i="4" s="1"/>
  <c r="G175" i="3"/>
  <c r="E175" i="4" s="1"/>
  <c r="G177" i="3"/>
  <c r="E177" i="4" s="1"/>
  <c r="G183" i="3"/>
  <c r="E183" i="4" s="1"/>
  <c r="G185" i="3"/>
  <c r="E185" i="4" s="1"/>
  <c r="G191" i="3"/>
  <c r="E191" i="4" s="1"/>
  <c r="G193" i="3"/>
  <c r="E193" i="4" s="1"/>
  <c r="G199" i="3"/>
  <c r="E199" i="4" s="1"/>
  <c r="G201" i="3"/>
  <c r="E201" i="4" s="1"/>
  <c r="G207" i="3"/>
  <c r="E207" i="4" s="1"/>
  <c r="G209" i="3"/>
  <c r="E209" i="4" s="1"/>
  <c r="G215" i="3"/>
  <c r="E215" i="4" s="1"/>
  <c r="G217" i="3"/>
  <c r="E217" i="4" s="1"/>
  <c r="G223" i="3"/>
  <c r="E223" i="4" s="1"/>
  <c r="G225" i="3"/>
  <c r="E225" i="4" s="1"/>
  <c r="G231" i="3"/>
  <c r="E231" i="4" s="1"/>
  <c r="G233" i="3"/>
  <c r="E233" i="4" s="1"/>
  <c r="G239" i="3"/>
  <c r="E239" i="4" s="1"/>
  <c r="G241" i="3"/>
  <c r="E241" i="4" s="1"/>
  <c r="G247" i="3"/>
  <c r="E247" i="4" s="1"/>
  <c r="G249" i="3"/>
  <c r="E249" i="4" s="1"/>
  <c r="G255" i="3"/>
  <c r="E255" i="4" s="1"/>
  <c r="G257" i="3"/>
  <c r="E257" i="4" s="1"/>
  <c r="G263" i="3"/>
  <c r="E263" i="4" s="1"/>
  <c r="G265" i="3"/>
  <c r="E265" i="4" s="1"/>
  <c r="G271" i="3"/>
  <c r="E271" i="4" s="1"/>
  <c r="G273" i="3"/>
  <c r="E273" i="4" s="1"/>
  <c r="G279" i="3"/>
  <c r="E279" i="4" s="1"/>
  <c r="G281" i="3"/>
  <c r="E281" i="4" s="1"/>
  <c r="G287" i="3"/>
  <c r="E287" i="4" s="1"/>
  <c r="G289" i="3"/>
  <c r="E289" i="4" s="1"/>
  <c r="G295" i="3"/>
  <c r="E295" i="4" s="1"/>
  <c r="G297" i="3"/>
  <c r="E297" i="4" s="1"/>
  <c r="G303" i="3"/>
  <c r="E303" i="4" s="1"/>
  <c r="G305" i="3"/>
  <c r="E305" i="4" s="1"/>
  <c r="G311" i="3"/>
  <c r="E311" i="4" s="1"/>
  <c r="G313" i="3"/>
  <c r="E313" i="4" s="1"/>
  <c r="G319" i="3"/>
  <c r="E319" i="4" s="1"/>
  <c r="G321" i="3"/>
  <c r="E321" i="4" s="1"/>
  <c r="G325" i="3"/>
  <c r="E325" i="4" s="1"/>
  <c r="G327" i="3"/>
  <c r="E327" i="4" s="1"/>
  <c r="G329" i="3"/>
  <c r="E329" i="4" s="1"/>
  <c r="G333" i="3"/>
  <c r="E333" i="4" s="1"/>
  <c r="G335" i="3"/>
  <c r="E335" i="4" s="1"/>
  <c r="G337" i="3"/>
  <c r="E337" i="4" s="1"/>
  <c r="G341" i="3"/>
  <c r="E341" i="4" s="1"/>
  <c r="G343" i="3"/>
  <c r="E343" i="4" s="1"/>
  <c r="G345" i="3"/>
  <c r="E345" i="4" s="1"/>
  <c r="G349" i="3"/>
  <c r="E349" i="4" s="1"/>
  <c r="G351" i="3"/>
  <c r="E351" i="4" s="1"/>
  <c r="G353" i="3"/>
  <c r="E353" i="4" s="1"/>
  <c r="G357" i="3"/>
  <c r="E357" i="4" s="1"/>
  <c r="G359" i="3"/>
  <c r="E359" i="4" s="1"/>
  <c r="G361" i="3"/>
  <c r="E361" i="4" s="1"/>
  <c r="G365" i="3"/>
  <c r="E365" i="4" s="1"/>
  <c r="G367" i="3"/>
  <c r="E367" i="4" s="1"/>
  <c r="G369" i="3"/>
  <c r="E369" i="4" s="1"/>
  <c r="G373" i="3"/>
  <c r="E373" i="4" s="1"/>
  <c r="G375" i="3"/>
  <c r="E375" i="4" s="1"/>
  <c r="G377" i="3"/>
  <c r="E377" i="4" s="1"/>
  <c r="G378" i="3"/>
  <c r="E378" i="4" s="1"/>
  <c r="G381" i="3"/>
  <c r="E381" i="4" s="1"/>
  <c r="G383" i="3"/>
  <c r="E383" i="4" s="1"/>
  <c r="G385" i="3"/>
  <c r="E385" i="4" s="1"/>
  <c r="G386" i="3"/>
  <c r="E386" i="4" s="1"/>
  <c r="G389" i="3"/>
  <c r="E389" i="4" s="1"/>
  <c r="G391" i="3"/>
  <c r="E391" i="4" s="1"/>
  <c r="G393" i="3"/>
  <c r="E393" i="4" s="1"/>
  <c r="G394" i="3"/>
  <c r="E394" i="4" s="1"/>
  <c r="G397" i="3"/>
  <c r="E397" i="4" s="1"/>
  <c r="G399" i="3"/>
  <c r="E399" i="4" s="1"/>
  <c r="G401" i="3"/>
  <c r="E401" i="4" s="1"/>
  <c r="G402" i="3"/>
  <c r="E402" i="4" s="1"/>
  <c r="G405" i="3"/>
  <c r="E405" i="4" s="1"/>
  <c r="G407" i="3"/>
  <c r="E407" i="4" s="1"/>
  <c r="G409" i="3"/>
  <c r="E409" i="4" s="1"/>
  <c r="G410" i="3"/>
  <c r="E410" i="4" s="1"/>
  <c r="G413" i="3"/>
  <c r="E413" i="4" s="1"/>
  <c r="G415" i="3"/>
  <c r="E415" i="4" s="1"/>
  <c r="G417" i="3"/>
  <c r="E417" i="4" s="1"/>
  <c r="G418" i="3"/>
  <c r="E418" i="4" s="1"/>
  <c r="G421" i="3"/>
  <c r="E421" i="4" s="1"/>
  <c r="G423" i="3"/>
  <c r="E423" i="4" s="1"/>
  <c r="G425" i="3"/>
  <c r="E425" i="4" s="1"/>
  <c r="G426" i="3"/>
  <c r="E426" i="4" s="1"/>
  <c r="G429" i="3"/>
  <c r="E429" i="4" s="1"/>
  <c r="G431" i="3"/>
  <c r="E431" i="4" s="1"/>
  <c r="G433" i="3"/>
  <c r="E433" i="4" s="1"/>
  <c r="G434" i="3"/>
  <c r="E434" i="4" s="1"/>
  <c r="G437" i="3"/>
  <c r="E437" i="4" s="1"/>
  <c r="G438" i="3"/>
  <c r="E438" i="4" s="1"/>
  <c r="G439" i="3"/>
  <c r="E439" i="4" s="1"/>
  <c r="G441" i="3"/>
  <c r="E441" i="4" s="1"/>
  <c r="G442" i="3"/>
  <c r="E442" i="4" s="1"/>
  <c r="G445" i="3"/>
  <c r="E445" i="4" s="1"/>
  <c r="G446" i="3"/>
  <c r="E446" i="4" s="1"/>
  <c r="G447" i="3"/>
  <c r="E447" i="4" s="1"/>
  <c r="G449" i="3"/>
  <c r="E449" i="4" s="1"/>
  <c r="G450" i="3"/>
  <c r="E450" i="4" s="1"/>
  <c r="G453" i="3"/>
  <c r="E453" i="4" s="1"/>
  <c r="G454" i="3"/>
  <c r="E454" i="4" s="1"/>
  <c r="G455" i="3"/>
  <c r="E455" i="4" s="1"/>
  <c r="G457" i="3"/>
  <c r="E457" i="4" s="1"/>
  <c r="G458" i="3"/>
  <c r="E458" i="4" s="1"/>
  <c r="G461" i="3"/>
  <c r="E461" i="4" s="1"/>
  <c r="G462" i="3"/>
  <c r="E462" i="4" s="1"/>
  <c r="G463" i="3"/>
  <c r="E463" i="4" s="1"/>
  <c r="G465" i="3"/>
  <c r="E465" i="4" s="1"/>
  <c r="G466" i="3"/>
  <c r="E466" i="4" s="1"/>
  <c r="G469" i="3"/>
  <c r="E469" i="4" s="1"/>
  <c r="G470" i="3"/>
  <c r="E470" i="4" s="1"/>
  <c r="G471" i="3"/>
  <c r="E471" i="4" s="1"/>
  <c r="G473" i="3"/>
  <c r="E473" i="4" s="1"/>
  <c r="G474" i="3"/>
  <c r="E474" i="4" s="1"/>
  <c r="G477" i="3"/>
  <c r="E477" i="4" s="1"/>
  <c r="G478" i="3"/>
  <c r="E478" i="4" s="1"/>
  <c r="G479" i="3"/>
  <c r="E479" i="4" s="1"/>
  <c r="G481" i="3"/>
  <c r="E481" i="4" s="1"/>
  <c r="G482" i="3"/>
  <c r="E482" i="4" s="1"/>
  <c r="G485" i="3"/>
  <c r="E485" i="4" s="1"/>
  <c r="G486" i="3"/>
  <c r="E486" i="4" s="1"/>
  <c r="G487" i="3"/>
  <c r="E487" i="4" s="1"/>
  <c r="G489" i="3"/>
  <c r="E489" i="4" s="1"/>
  <c r="G490" i="3"/>
  <c r="E490" i="4" s="1"/>
  <c r="G493" i="3"/>
  <c r="E493" i="4" s="1"/>
  <c r="G494" i="3"/>
  <c r="E494" i="4" s="1"/>
  <c r="G495" i="3"/>
  <c r="E495" i="4" s="1"/>
  <c r="G497" i="3"/>
  <c r="E497" i="4" s="1"/>
  <c r="G498" i="3"/>
  <c r="E498" i="4" s="1"/>
  <c r="G501" i="3"/>
  <c r="E501" i="4" s="1"/>
  <c r="G502" i="3"/>
  <c r="E502" i="4" s="1"/>
  <c r="G503" i="3"/>
  <c r="E503" i="4" s="1"/>
  <c r="G505" i="3"/>
  <c r="E505" i="4" s="1"/>
  <c r="G506" i="3"/>
  <c r="E506" i="4" s="1"/>
  <c r="G509" i="3"/>
  <c r="E509" i="4" s="1"/>
  <c r="G510" i="3"/>
  <c r="E510" i="4" s="1"/>
  <c r="G511" i="3"/>
  <c r="E511" i="4" s="1"/>
  <c r="G513" i="3"/>
  <c r="E513" i="4" s="1"/>
  <c r="G514" i="3"/>
  <c r="E514" i="4" s="1"/>
  <c r="G517" i="3"/>
  <c r="E517" i="4" s="1"/>
  <c r="G518" i="3"/>
  <c r="E518" i="4" s="1"/>
  <c r="G519" i="3"/>
  <c r="E519" i="4" s="1"/>
  <c r="G521" i="3"/>
  <c r="E521" i="4" s="1"/>
  <c r="G522" i="3"/>
  <c r="E522" i="4" s="1"/>
  <c r="G525" i="3"/>
  <c r="E525" i="4" s="1"/>
  <c r="G526" i="3"/>
  <c r="E526" i="4" s="1"/>
  <c r="G527" i="3"/>
  <c r="E527" i="4" s="1"/>
  <c r="G529" i="3"/>
  <c r="E529" i="4" s="1"/>
  <c r="G530" i="3"/>
  <c r="E530" i="4" s="1"/>
  <c r="G533" i="3"/>
  <c r="E533" i="4" s="1"/>
  <c r="G534" i="3"/>
  <c r="E534" i="4" s="1"/>
  <c r="G535" i="3"/>
  <c r="E535" i="4" s="1"/>
  <c r="G537" i="3"/>
  <c r="E537" i="4" s="1"/>
  <c r="G538" i="3"/>
  <c r="E538" i="4" s="1"/>
  <c r="G541" i="3"/>
  <c r="E541" i="4" s="1"/>
  <c r="G542" i="3"/>
  <c r="E542" i="4" s="1"/>
  <c r="G543" i="3"/>
  <c r="E543" i="4" s="1"/>
  <c r="G545" i="3"/>
  <c r="E545" i="4" s="1"/>
  <c r="G546" i="3"/>
  <c r="E546" i="4" s="1"/>
  <c r="G549" i="3"/>
  <c r="E549" i="4" s="1"/>
  <c r="G550" i="3"/>
  <c r="E550" i="4" s="1"/>
  <c r="G551" i="3"/>
  <c r="E551" i="4" s="1"/>
  <c r="G553" i="3"/>
  <c r="E553" i="4" s="1"/>
  <c r="G554" i="3"/>
  <c r="E554" i="4" s="1"/>
  <c r="G557" i="3"/>
  <c r="E557" i="4" s="1"/>
  <c r="G558" i="3"/>
  <c r="E558" i="4" s="1"/>
  <c r="G559" i="3"/>
  <c r="E559" i="4" s="1"/>
  <c r="G561" i="3"/>
  <c r="E561" i="4" s="1"/>
  <c r="G562" i="3"/>
  <c r="E562" i="4" s="1"/>
  <c r="G565" i="3"/>
  <c r="E565" i="4" s="1"/>
  <c r="G566" i="3"/>
  <c r="E566" i="4" s="1"/>
  <c r="G567" i="3"/>
  <c r="E567" i="4" s="1"/>
  <c r="G569" i="3"/>
  <c r="E569" i="4" s="1"/>
  <c r="G570" i="3"/>
  <c r="E570" i="4" s="1"/>
  <c r="G573" i="3"/>
  <c r="E573" i="4" s="1"/>
  <c r="G574" i="3"/>
  <c r="E574" i="4" s="1"/>
  <c r="G575" i="3"/>
  <c r="E575" i="4" s="1"/>
  <c r="G577" i="3"/>
  <c r="E577" i="4" s="1"/>
  <c r="G578" i="3"/>
  <c r="E578" i="4" s="1"/>
  <c r="G581" i="3"/>
  <c r="E581" i="4" s="1"/>
  <c r="G582" i="3"/>
  <c r="E582" i="4" s="1"/>
  <c r="G583" i="3"/>
  <c r="E583" i="4" s="1"/>
  <c r="G585" i="3"/>
  <c r="E585" i="4" s="1"/>
  <c r="G586" i="3"/>
  <c r="E586" i="4" s="1"/>
  <c r="G589" i="3"/>
  <c r="E589" i="4" s="1"/>
  <c r="G590" i="3"/>
  <c r="E590" i="4" s="1"/>
  <c r="G591" i="3"/>
  <c r="E591" i="4" s="1"/>
  <c r="G593" i="3"/>
  <c r="E593" i="4" s="1"/>
  <c r="G594" i="3"/>
  <c r="E594" i="4" s="1"/>
  <c r="G595" i="3"/>
  <c r="E595" i="4" s="1"/>
  <c r="G597" i="3"/>
  <c r="E597" i="4" s="1"/>
  <c r="G598" i="3"/>
  <c r="E598" i="4" s="1"/>
  <c r="G599" i="3"/>
  <c r="E599" i="4" s="1"/>
  <c r="G601" i="3"/>
  <c r="E601" i="4" s="1"/>
  <c r="G602" i="3"/>
  <c r="E602" i="4" s="1"/>
  <c r="G605" i="3"/>
  <c r="E605" i="4" s="1"/>
  <c r="G606" i="3"/>
  <c r="E606" i="4" s="1"/>
  <c r="G607" i="3"/>
  <c r="E607" i="4" s="1"/>
  <c r="G609" i="3"/>
  <c r="E609" i="4" s="1"/>
  <c r="G610" i="3"/>
  <c r="E610" i="4" s="1"/>
  <c r="G613" i="3"/>
  <c r="E613" i="4" s="1"/>
  <c r="G614" i="3"/>
  <c r="E614" i="4" s="1"/>
  <c r="G615" i="3"/>
  <c r="E615" i="4" s="1"/>
  <c r="G617" i="3"/>
  <c r="E617" i="4" s="1"/>
  <c r="G618" i="3"/>
  <c r="E618" i="4" s="1"/>
  <c r="G621" i="3"/>
  <c r="E621" i="4" s="1"/>
  <c r="G622" i="3"/>
  <c r="E622" i="4" s="1"/>
  <c r="G623" i="3"/>
  <c r="E623" i="4" s="1"/>
  <c r="G625" i="3"/>
  <c r="E625" i="4" s="1"/>
  <c r="G626" i="3"/>
  <c r="E626" i="4" s="1"/>
  <c r="G627" i="3"/>
  <c r="E627" i="4" s="1"/>
  <c r="G629" i="3"/>
  <c r="E629" i="4" s="1"/>
  <c r="G630" i="3"/>
  <c r="E630" i="4" s="1"/>
  <c r="G631" i="3"/>
  <c r="E631" i="4" s="1"/>
  <c r="G633" i="3"/>
  <c r="E633" i="4" s="1"/>
  <c r="G634" i="3"/>
  <c r="E634" i="4" s="1"/>
  <c r="G637" i="3"/>
  <c r="E637" i="4" s="1"/>
  <c r="G638" i="3"/>
  <c r="E638" i="4" s="1"/>
  <c r="G639" i="3"/>
  <c r="E639" i="4" s="1"/>
  <c r="G641" i="3"/>
  <c r="E641" i="4" s="1"/>
  <c r="G642" i="3"/>
  <c r="E642" i="4" s="1"/>
  <c r="G645" i="3"/>
  <c r="E645" i="4" s="1"/>
  <c r="G646" i="3"/>
  <c r="E646" i="4" s="1"/>
  <c r="G647" i="3"/>
  <c r="E647" i="4" s="1"/>
  <c r="G649" i="3"/>
  <c r="E649" i="4" s="1"/>
  <c r="G650" i="3"/>
  <c r="E650" i="4" s="1"/>
  <c r="G653" i="3"/>
  <c r="E653" i="4" s="1"/>
  <c r="G654" i="3"/>
  <c r="E654" i="4" s="1"/>
  <c r="G655" i="3"/>
  <c r="E655" i="4" s="1"/>
  <c r="G657" i="3"/>
  <c r="E657" i="4" s="1"/>
  <c r="G658" i="3"/>
  <c r="E658" i="4" s="1"/>
  <c r="G659" i="3"/>
  <c r="E659" i="4" s="1"/>
  <c r="G661" i="3"/>
  <c r="E661" i="4" s="1"/>
  <c r="G662" i="3"/>
  <c r="E662" i="4" s="1"/>
  <c r="G663" i="3"/>
  <c r="E663" i="4" s="1"/>
  <c r="G665" i="3"/>
  <c r="E665" i="4" s="1"/>
  <c r="G666" i="3"/>
  <c r="E666" i="4" s="1"/>
  <c r="G670" i="3"/>
  <c r="E670" i="4" s="1"/>
  <c r="G671" i="3"/>
  <c r="E671" i="4" s="1"/>
  <c r="G673" i="3"/>
  <c r="E673" i="4" s="1"/>
  <c r="G674" i="3"/>
  <c r="E674" i="4" s="1"/>
  <c r="G678" i="3"/>
  <c r="E678" i="4" s="1"/>
  <c r="G679" i="3"/>
  <c r="E679" i="4" s="1"/>
  <c r="G681" i="3"/>
  <c r="E681" i="4" s="1"/>
  <c r="G682" i="3"/>
  <c r="E682" i="4" s="1"/>
  <c r="G684" i="3"/>
  <c r="E684" i="4" s="1"/>
  <c r="G686" i="3"/>
  <c r="E686" i="4" s="1"/>
  <c r="G687" i="3"/>
  <c r="E687" i="4" s="1"/>
  <c r="G689" i="3"/>
  <c r="E689" i="4" s="1"/>
  <c r="G690" i="3"/>
  <c r="E690" i="4" s="1"/>
  <c r="G692" i="3"/>
  <c r="E692" i="4" s="1"/>
  <c r="G694" i="3"/>
  <c r="E694" i="4" s="1"/>
  <c r="G695" i="3"/>
  <c r="E695" i="4" s="1"/>
  <c r="G697" i="3"/>
  <c r="E697" i="4" s="1"/>
  <c r="G698" i="3"/>
  <c r="E698" i="4" s="1"/>
  <c r="G700" i="3"/>
  <c r="E700" i="4" s="1"/>
  <c r="G702" i="3"/>
  <c r="E702" i="4" s="1"/>
  <c r="G703" i="3"/>
  <c r="E703" i="4" s="1"/>
  <c r="G705" i="3"/>
  <c r="E705" i="4" s="1"/>
  <c r="G706" i="3"/>
  <c r="E706" i="4" s="1"/>
  <c r="G708" i="3"/>
  <c r="E708" i="4" s="1"/>
  <c r="G710" i="3"/>
  <c r="E710" i="4" s="1"/>
  <c r="G711" i="3"/>
  <c r="E711" i="4" s="1"/>
  <c r="G713" i="3"/>
  <c r="E713" i="4" s="1"/>
  <c r="G714" i="3"/>
  <c r="E714" i="4" s="1"/>
  <c r="G716" i="3"/>
  <c r="E716" i="4" s="1"/>
  <c r="G718" i="3"/>
  <c r="E718" i="4" s="1"/>
  <c r="G719" i="3"/>
  <c r="E719" i="4" s="1"/>
  <c r="G721" i="3"/>
  <c r="E721" i="4" s="1"/>
  <c r="G722" i="3"/>
  <c r="E722" i="4" s="1"/>
  <c r="G724" i="3"/>
  <c r="E724" i="4" s="1"/>
  <c r="G726" i="3"/>
  <c r="E726" i="4" s="1"/>
  <c r="G727" i="3"/>
  <c r="E727" i="4" s="1"/>
  <c r="G729" i="3"/>
  <c r="E729" i="4" s="1"/>
  <c r="G730" i="3"/>
  <c r="E730" i="4" s="1"/>
  <c r="G732" i="3"/>
  <c r="E732" i="4" s="1"/>
  <c r="G734" i="3"/>
  <c r="E734" i="4" s="1"/>
  <c r="G735" i="3"/>
  <c r="E735" i="4" s="1"/>
  <c r="G737" i="3"/>
  <c r="E737" i="4" s="1"/>
  <c r="G738" i="3"/>
  <c r="E738" i="4" s="1"/>
  <c r="G740" i="3"/>
  <c r="E740" i="4" s="1"/>
  <c r="G742" i="3"/>
  <c r="E742" i="4" s="1"/>
  <c r="G743" i="3"/>
  <c r="E743" i="4" s="1"/>
  <c r="G745" i="3"/>
  <c r="E745" i="4" s="1"/>
  <c r="G746" i="3"/>
  <c r="E746" i="4" s="1"/>
  <c r="G748" i="3"/>
  <c r="E748" i="4" s="1"/>
  <c r="G750" i="3"/>
  <c r="E750" i="4" s="1"/>
  <c r="G751" i="3"/>
  <c r="E751" i="4" s="1"/>
  <c r="G753" i="3"/>
  <c r="E753" i="4" s="1"/>
  <c r="G754" i="3"/>
  <c r="E754" i="4" s="1"/>
  <c r="G756" i="3"/>
  <c r="E756" i="4" s="1"/>
  <c r="G758" i="3"/>
  <c r="E758" i="4" s="1"/>
  <c r="G759" i="3"/>
  <c r="E759" i="4" s="1"/>
  <c r="G761" i="3"/>
  <c r="E761" i="4" s="1"/>
  <c r="G762" i="3"/>
  <c r="E762" i="4" s="1"/>
  <c r="G764" i="3"/>
  <c r="E764" i="4" s="1"/>
  <c r="G766" i="3"/>
  <c r="E766" i="4" s="1"/>
  <c r="G767" i="3"/>
  <c r="E767" i="4" s="1"/>
  <c r="G769" i="3"/>
  <c r="E769" i="4" s="1"/>
  <c r="G770" i="3"/>
  <c r="E770" i="4" s="1"/>
  <c r="G772" i="3"/>
  <c r="E772" i="4" s="1"/>
  <c r="G774" i="3"/>
  <c r="E774" i="4" s="1"/>
  <c r="G775" i="3"/>
  <c r="E775" i="4" s="1"/>
  <c r="G777" i="3"/>
  <c r="E777" i="4" s="1"/>
  <c r="G778" i="3"/>
  <c r="E778" i="4" s="1"/>
  <c r="G780" i="3"/>
  <c r="E780" i="4" s="1"/>
  <c r="G782" i="3"/>
  <c r="E782" i="4" s="1"/>
  <c r="G783" i="3"/>
  <c r="E783" i="4" s="1"/>
  <c r="G785" i="3"/>
  <c r="E785" i="4" s="1"/>
  <c r="G786" i="3"/>
  <c r="E786" i="4" s="1"/>
  <c r="G788" i="3"/>
  <c r="E788" i="4" s="1"/>
  <c r="G790" i="3"/>
  <c r="E790" i="4" s="1"/>
  <c r="G791" i="3"/>
  <c r="E791" i="4" s="1"/>
  <c r="G793" i="3"/>
  <c r="E793" i="4" s="1"/>
  <c r="G794" i="3"/>
  <c r="E794" i="4" s="1"/>
  <c r="G796" i="3"/>
  <c r="E796" i="4" s="1"/>
  <c r="G798" i="3"/>
  <c r="E798" i="4" s="1"/>
  <c r="G799" i="3"/>
  <c r="E799" i="4" s="1"/>
  <c r="G49" i="3"/>
  <c r="E49" i="4" s="1"/>
  <c r="K34" i="1"/>
  <c r="K34" i="3" s="1"/>
  <c r="K35" i="1"/>
  <c r="K35" i="3" s="1"/>
  <c r="K36" i="1"/>
  <c r="K36" i="3" s="1"/>
  <c r="K37" i="1"/>
  <c r="K37" i="3" s="1"/>
  <c r="K38" i="1"/>
  <c r="K38" i="3" s="1"/>
  <c r="K39" i="1"/>
  <c r="K39" i="3" s="1"/>
  <c r="K40" i="1"/>
  <c r="K40" i="3" s="1"/>
  <c r="K41" i="1"/>
  <c r="K41" i="3" s="1"/>
  <c r="K42" i="1"/>
  <c r="K42" i="3" s="1"/>
  <c r="K43" i="1"/>
  <c r="K43" i="3" s="1"/>
  <c r="K44" i="1"/>
  <c r="K44" i="3" s="1"/>
  <c r="K45" i="1"/>
  <c r="K45" i="3" s="1"/>
  <c r="K46" i="1"/>
  <c r="K46" i="3" s="1"/>
  <c r="K47" i="1"/>
  <c r="K47" i="3" s="1"/>
  <c r="K48" i="1"/>
  <c r="K48" i="3" s="1"/>
  <c r="K49" i="1"/>
  <c r="K49" i="3" s="1"/>
  <c r="K50" i="1"/>
  <c r="K50" i="3" s="1"/>
  <c r="K51" i="1"/>
  <c r="K51" i="3" s="1"/>
  <c r="K52" i="1"/>
  <c r="K52" i="3" s="1"/>
  <c r="K53" i="1"/>
  <c r="K53" i="3" s="1"/>
  <c r="K54" i="1"/>
  <c r="K54" i="3" s="1"/>
  <c r="K55" i="1"/>
  <c r="K55" i="3" s="1"/>
  <c r="K56" i="1"/>
  <c r="K56" i="3" s="1"/>
  <c r="K57" i="1"/>
  <c r="K57" i="3" s="1"/>
  <c r="K58" i="1"/>
  <c r="K58" i="3" s="1"/>
  <c r="K59" i="1"/>
  <c r="K59" i="3" s="1"/>
  <c r="K60" i="1"/>
  <c r="K60" i="3" s="1"/>
  <c r="K61" i="1"/>
  <c r="K61" i="3" s="1"/>
  <c r="K62" i="1"/>
  <c r="K62" i="3" s="1"/>
  <c r="K63" i="1"/>
  <c r="K63" i="3" s="1"/>
  <c r="K64" i="1"/>
  <c r="K64" i="3" s="1"/>
  <c r="K65" i="1"/>
  <c r="K65" i="3" s="1"/>
  <c r="K66" i="1"/>
  <c r="K66" i="3" s="1"/>
  <c r="K67" i="1"/>
  <c r="K67" i="3" s="1"/>
  <c r="K68" i="1"/>
  <c r="K68" i="3" s="1"/>
  <c r="K69" i="1"/>
  <c r="K69" i="3" s="1"/>
  <c r="K70" i="1"/>
  <c r="K70" i="3" s="1"/>
  <c r="K71" i="1"/>
  <c r="K71" i="3" s="1"/>
  <c r="K72" i="1"/>
  <c r="K72" i="3" s="1"/>
  <c r="K73" i="1"/>
  <c r="K73" i="3" s="1"/>
  <c r="K74" i="1"/>
  <c r="K74" i="3" s="1"/>
  <c r="K75" i="1"/>
  <c r="K75" i="3" s="1"/>
  <c r="K76" i="1"/>
  <c r="K76" i="3" s="1"/>
  <c r="K77" i="1"/>
  <c r="K77" i="3" s="1"/>
  <c r="K78" i="1"/>
  <c r="K78" i="3" s="1"/>
  <c r="K79" i="1"/>
  <c r="K79" i="3" s="1"/>
  <c r="K80" i="1"/>
  <c r="K80" i="3" s="1"/>
  <c r="K81" i="1"/>
  <c r="K81" i="3" s="1"/>
  <c r="K82" i="1"/>
  <c r="K82" i="3" s="1"/>
  <c r="K83" i="1"/>
  <c r="K83" i="3" s="1"/>
  <c r="K84" i="1"/>
  <c r="K84" i="3" s="1"/>
  <c r="K85" i="1"/>
  <c r="K85" i="3" s="1"/>
  <c r="K86" i="1"/>
  <c r="K86" i="3" s="1"/>
  <c r="K87" i="1"/>
  <c r="K87" i="3" s="1"/>
  <c r="K88" i="1"/>
  <c r="K88" i="3" s="1"/>
  <c r="K89" i="1"/>
  <c r="K89" i="3" s="1"/>
  <c r="K90" i="1"/>
  <c r="K90" i="3" s="1"/>
  <c r="K91" i="1"/>
  <c r="K91" i="3" s="1"/>
  <c r="K92" i="1"/>
  <c r="K92" i="3" s="1"/>
  <c r="K93" i="1"/>
  <c r="K93" i="3" s="1"/>
  <c r="K94" i="1"/>
  <c r="K94" i="3" s="1"/>
  <c r="K95" i="1"/>
  <c r="K95" i="3" s="1"/>
  <c r="K96" i="1"/>
  <c r="K96" i="3" s="1"/>
  <c r="K97" i="1"/>
  <c r="K97" i="3" s="1"/>
  <c r="K98" i="1"/>
  <c r="K98" i="3" s="1"/>
  <c r="K99" i="1"/>
  <c r="K99" i="3" s="1"/>
  <c r="K100" i="1"/>
  <c r="K100" i="3" s="1"/>
  <c r="K101" i="1"/>
  <c r="K101" i="3" s="1"/>
  <c r="K102" i="1"/>
  <c r="K102" i="3" s="1"/>
  <c r="K103" i="1"/>
  <c r="K103" i="3" s="1"/>
  <c r="K104" i="1"/>
  <c r="K104" i="3" s="1"/>
  <c r="K105" i="1"/>
  <c r="K105" i="3" s="1"/>
  <c r="K106" i="1"/>
  <c r="K106" i="3" s="1"/>
  <c r="K107" i="1"/>
  <c r="K107" i="3" s="1"/>
  <c r="K108" i="1"/>
  <c r="K108" i="3" s="1"/>
  <c r="K109" i="1"/>
  <c r="K109" i="3" s="1"/>
  <c r="K110" i="1"/>
  <c r="K110" i="3" s="1"/>
  <c r="K111" i="1"/>
  <c r="K111" i="3" s="1"/>
  <c r="K112" i="1"/>
  <c r="K112" i="3" s="1"/>
  <c r="K113" i="1"/>
  <c r="K113" i="3" s="1"/>
  <c r="K114" i="1"/>
  <c r="K114" i="3" s="1"/>
  <c r="K115" i="1"/>
  <c r="K115" i="3" s="1"/>
  <c r="K116" i="1"/>
  <c r="K116" i="3" s="1"/>
  <c r="K117" i="1"/>
  <c r="K117" i="3" s="1"/>
  <c r="K118" i="1"/>
  <c r="K118" i="3" s="1"/>
  <c r="K119" i="1"/>
  <c r="K119" i="3" s="1"/>
  <c r="K120" i="1"/>
  <c r="K120" i="3" s="1"/>
  <c r="K121" i="1"/>
  <c r="K121" i="3" s="1"/>
  <c r="K122" i="1"/>
  <c r="K122" i="3" s="1"/>
  <c r="K123" i="1"/>
  <c r="K123" i="3" s="1"/>
  <c r="K124" i="1"/>
  <c r="K124" i="3" s="1"/>
  <c r="K125" i="1"/>
  <c r="K125" i="3" s="1"/>
  <c r="K126" i="1"/>
  <c r="K126" i="3" s="1"/>
  <c r="K127" i="1"/>
  <c r="K127" i="3" s="1"/>
  <c r="K128" i="1"/>
  <c r="K128" i="3" s="1"/>
  <c r="K129" i="1"/>
  <c r="K129" i="3" s="1"/>
  <c r="K130" i="1"/>
  <c r="K130" i="3" s="1"/>
  <c r="K131" i="1"/>
  <c r="K131" i="3" s="1"/>
  <c r="K132" i="1"/>
  <c r="K132" i="3" s="1"/>
  <c r="K133" i="1"/>
  <c r="K133" i="3" s="1"/>
  <c r="K134" i="1"/>
  <c r="K134" i="3" s="1"/>
  <c r="K135" i="1"/>
  <c r="K135" i="3" s="1"/>
  <c r="K136" i="1"/>
  <c r="K136" i="3" s="1"/>
  <c r="K137" i="1"/>
  <c r="K137" i="3" s="1"/>
  <c r="K138" i="1"/>
  <c r="K138" i="3" s="1"/>
  <c r="K139" i="1"/>
  <c r="K139" i="3" s="1"/>
  <c r="K140" i="1"/>
  <c r="K140" i="3" s="1"/>
  <c r="K141" i="1"/>
  <c r="K141" i="3" s="1"/>
  <c r="K142" i="1"/>
  <c r="K142" i="3" s="1"/>
  <c r="K143" i="1"/>
  <c r="K143" i="3" s="1"/>
  <c r="K144" i="1"/>
  <c r="K144" i="3" s="1"/>
  <c r="K145" i="1"/>
  <c r="K145" i="3" s="1"/>
  <c r="K146" i="1"/>
  <c r="K146" i="3" s="1"/>
  <c r="K147" i="1"/>
  <c r="K147" i="3" s="1"/>
  <c r="K148" i="1"/>
  <c r="K148" i="3" s="1"/>
  <c r="K149" i="1"/>
  <c r="K149" i="3" s="1"/>
  <c r="K150" i="1"/>
  <c r="K150" i="3" s="1"/>
  <c r="K151" i="1"/>
  <c r="K151" i="3" s="1"/>
  <c r="K152" i="1"/>
  <c r="K152" i="3" s="1"/>
  <c r="K153" i="1"/>
  <c r="K153" i="3" s="1"/>
  <c r="K154" i="1"/>
  <c r="K154" i="3" s="1"/>
  <c r="K155" i="1"/>
  <c r="K155" i="3" s="1"/>
  <c r="K156" i="1"/>
  <c r="K156" i="3" s="1"/>
  <c r="K157" i="1"/>
  <c r="K157" i="3" s="1"/>
  <c r="K158" i="1"/>
  <c r="K158" i="3" s="1"/>
  <c r="K159" i="1"/>
  <c r="K159" i="3" s="1"/>
  <c r="K160" i="1"/>
  <c r="K160" i="3" s="1"/>
  <c r="K161" i="1"/>
  <c r="K161" i="3" s="1"/>
  <c r="K162" i="1"/>
  <c r="K162" i="3" s="1"/>
  <c r="K163" i="1"/>
  <c r="K163" i="3" s="1"/>
  <c r="K164" i="1"/>
  <c r="K164" i="3" s="1"/>
  <c r="K165" i="1"/>
  <c r="K165" i="3" s="1"/>
  <c r="K166" i="1"/>
  <c r="K166" i="3" s="1"/>
  <c r="K167" i="1"/>
  <c r="K167" i="3" s="1"/>
  <c r="K168" i="1"/>
  <c r="K168" i="3" s="1"/>
  <c r="K169" i="1"/>
  <c r="K169" i="3" s="1"/>
  <c r="K170" i="1"/>
  <c r="K170" i="3" s="1"/>
  <c r="K171" i="1"/>
  <c r="K171" i="3" s="1"/>
  <c r="K172" i="1"/>
  <c r="K172" i="3" s="1"/>
  <c r="K173" i="1"/>
  <c r="K173" i="3" s="1"/>
  <c r="K174" i="1"/>
  <c r="K174" i="3" s="1"/>
  <c r="K175" i="1"/>
  <c r="K175" i="3" s="1"/>
  <c r="K176" i="1"/>
  <c r="K176" i="3" s="1"/>
  <c r="K177" i="1"/>
  <c r="K177" i="3" s="1"/>
  <c r="K178" i="1"/>
  <c r="K178" i="3" s="1"/>
  <c r="K179" i="1"/>
  <c r="K179" i="3" s="1"/>
  <c r="K180" i="1"/>
  <c r="K180" i="3" s="1"/>
  <c r="K181" i="1"/>
  <c r="K181" i="3" s="1"/>
  <c r="K182" i="1"/>
  <c r="K182" i="3" s="1"/>
  <c r="K183" i="1"/>
  <c r="K183" i="3" s="1"/>
  <c r="K184" i="1"/>
  <c r="K184" i="3" s="1"/>
  <c r="K185" i="1"/>
  <c r="K185" i="3" s="1"/>
  <c r="K186" i="1"/>
  <c r="K186" i="3" s="1"/>
  <c r="K187" i="1"/>
  <c r="K187" i="3" s="1"/>
  <c r="K188" i="1"/>
  <c r="K188" i="3" s="1"/>
  <c r="K189" i="1"/>
  <c r="K189" i="3" s="1"/>
  <c r="K190" i="1"/>
  <c r="K190" i="3" s="1"/>
  <c r="K191" i="1"/>
  <c r="K191" i="3" s="1"/>
  <c r="K192" i="1"/>
  <c r="K192" i="3" s="1"/>
  <c r="K193" i="1"/>
  <c r="K193" i="3" s="1"/>
  <c r="K194" i="1"/>
  <c r="K194" i="3" s="1"/>
  <c r="K195" i="1"/>
  <c r="K195" i="3" s="1"/>
  <c r="K196" i="1"/>
  <c r="K196" i="3" s="1"/>
  <c r="K197" i="1"/>
  <c r="K197" i="3" s="1"/>
  <c r="K198" i="1"/>
  <c r="K198" i="3" s="1"/>
  <c r="K199" i="1"/>
  <c r="K199" i="3" s="1"/>
  <c r="K200" i="1"/>
  <c r="K200" i="3" s="1"/>
  <c r="K201" i="1"/>
  <c r="K201" i="3" s="1"/>
  <c r="K202" i="1"/>
  <c r="K202" i="3" s="1"/>
  <c r="K203" i="1"/>
  <c r="K203" i="3" s="1"/>
  <c r="K204" i="1"/>
  <c r="K204" i="3" s="1"/>
  <c r="K205" i="1"/>
  <c r="K205" i="3" s="1"/>
  <c r="K206" i="1"/>
  <c r="K206" i="3" s="1"/>
  <c r="K207" i="1"/>
  <c r="K207" i="3" s="1"/>
  <c r="K208" i="1"/>
  <c r="K208" i="3" s="1"/>
  <c r="K209" i="1"/>
  <c r="K209" i="3" s="1"/>
  <c r="K210" i="1"/>
  <c r="K210" i="3" s="1"/>
  <c r="K211" i="1"/>
  <c r="K211" i="3" s="1"/>
  <c r="K212" i="1"/>
  <c r="K212" i="3" s="1"/>
  <c r="K213" i="1"/>
  <c r="K213" i="3" s="1"/>
  <c r="K214" i="1"/>
  <c r="K214" i="3" s="1"/>
  <c r="K215" i="1"/>
  <c r="K215" i="3" s="1"/>
  <c r="K216" i="1"/>
  <c r="K216" i="3" s="1"/>
  <c r="K217" i="1"/>
  <c r="K217" i="3" s="1"/>
  <c r="K218" i="1"/>
  <c r="K218" i="3" s="1"/>
  <c r="K219" i="1"/>
  <c r="K219" i="3" s="1"/>
  <c r="K220" i="1"/>
  <c r="K220" i="3" s="1"/>
  <c r="K221" i="1"/>
  <c r="K221" i="3" s="1"/>
  <c r="K222" i="1"/>
  <c r="K222" i="3" s="1"/>
  <c r="K223" i="1"/>
  <c r="K223" i="3" s="1"/>
  <c r="K224" i="1"/>
  <c r="K224" i="3" s="1"/>
  <c r="K225" i="1"/>
  <c r="K225" i="3" s="1"/>
  <c r="K226" i="1"/>
  <c r="K226" i="3" s="1"/>
  <c r="K227" i="1"/>
  <c r="K227" i="3" s="1"/>
  <c r="K228" i="1"/>
  <c r="K228" i="3" s="1"/>
  <c r="K229" i="1"/>
  <c r="K229" i="3" s="1"/>
  <c r="K230" i="1"/>
  <c r="K230" i="3" s="1"/>
  <c r="K231" i="1"/>
  <c r="K231" i="3" s="1"/>
  <c r="K232" i="1"/>
  <c r="K232" i="3" s="1"/>
  <c r="K233" i="1"/>
  <c r="K233" i="3" s="1"/>
  <c r="K234" i="1"/>
  <c r="K234" i="3" s="1"/>
  <c r="K235" i="1"/>
  <c r="K235" i="3" s="1"/>
  <c r="K236" i="1"/>
  <c r="K236" i="3" s="1"/>
  <c r="K237" i="1"/>
  <c r="K237" i="3" s="1"/>
  <c r="K238" i="1"/>
  <c r="K238" i="3" s="1"/>
  <c r="K239" i="1"/>
  <c r="K239" i="3" s="1"/>
  <c r="K240" i="1"/>
  <c r="K240" i="3" s="1"/>
  <c r="K241" i="1"/>
  <c r="K241" i="3" s="1"/>
  <c r="K242" i="1"/>
  <c r="K242" i="3" s="1"/>
  <c r="K243" i="1"/>
  <c r="K243" i="3" s="1"/>
  <c r="K244" i="1"/>
  <c r="K244" i="3" s="1"/>
  <c r="K245" i="1"/>
  <c r="K245" i="3" s="1"/>
  <c r="K246" i="1"/>
  <c r="K246" i="3" s="1"/>
  <c r="K247" i="1"/>
  <c r="K247" i="3" s="1"/>
  <c r="K248" i="1"/>
  <c r="K248" i="3" s="1"/>
  <c r="K249" i="1"/>
  <c r="K249" i="3" s="1"/>
  <c r="K250" i="1"/>
  <c r="K250" i="3" s="1"/>
  <c r="K251" i="1"/>
  <c r="K251" i="3" s="1"/>
  <c r="K252" i="1"/>
  <c r="K252" i="3" s="1"/>
  <c r="K253" i="1"/>
  <c r="K253" i="3" s="1"/>
  <c r="K254" i="1"/>
  <c r="K254" i="3" s="1"/>
  <c r="K255" i="1"/>
  <c r="K255" i="3" s="1"/>
  <c r="K256" i="1"/>
  <c r="K256" i="3" s="1"/>
  <c r="K257" i="1"/>
  <c r="K257" i="3" s="1"/>
  <c r="K258" i="1"/>
  <c r="K258" i="3" s="1"/>
  <c r="K259" i="1"/>
  <c r="K259" i="3" s="1"/>
  <c r="K260" i="1"/>
  <c r="K260" i="3" s="1"/>
  <c r="K261" i="1"/>
  <c r="K261" i="3" s="1"/>
  <c r="K262" i="1"/>
  <c r="K262" i="3" s="1"/>
  <c r="K263" i="1"/>
  <c r="K263" i="3" s="1"/>
  <c r="K264" i="1"/>
  <c r="K264" i="3" s="1"/>
  <c r="K265" i="1"/>
  <c r="K265" i="3" s="1"/>
  <c r="K266" i="1"/>
  <c r="K266" i="3" s="1"/>
  <c r="K267" i="1"/>
  <c r="K267" i="3" s="1"/>
  <c r="K268" i="1"/>
  <c r="K268" i="3" s="1"/>
  <c r="K269" i="1"/>
  <c r="K269" i="3" s="1"/>
  <c r="K270" i="1"/>
  <c r="K270" i="3" s="1"/>
  <c r="K271" i="1"/>
  <c r="K271" i="3" s="1"/>
  <c r="K272" i="1"/>
  <c r="K272" i="3" s="1"/>
  <c r="K273" i="1"/>
  <c r="K273" i="3" s="1"/>
  <c r="K274" i="1"/>
  <c r="K274" i="3" s="1"/>
  <c r="K275" i="1"/>
  <c r="K275" i="3" s="1"/>
  <c r="K276" i="1"/>
  <c r="K276" i="3" s="1"/>
  <c r="K277" i="1"/>
  <c r="K277" i="3" s="1"/>
  <c r="K278" i="1"/>
  <c r="K278" i="3" s="1"/>
  <c r="K279" i="1"/>
  <c r="K279" i="3" s="1"/>
  <c r="K280" i="1"/>
  <c r="K280" i="3" s="1"/>
  <c r="K281" i="1"/>
  <c r="K281" i="3" s="1"/>
  <c r="K282" i="1"/>
  <c r="K282" i="3" s="1"/>
  <c r="K283" i="1"/>
  <c r="K283" i="3" s="1"/>
  <c r="K284" i="1"/>
  <c r="K284" i="3" s="1"/>
  <c r="K285" i="1"/>
  <c r="K285" i="3" s="1"/>
  <c r="K286" i="1"/>
  <c r="K286" i="3" s="1"/>
  <c r="K287" i="1"/>
  <c r="K287" i="3" s="1"/>
  <c r="K288" i="1"/>
  <c r="K288" i="3" s="1"/>
  <c r="K289" i="1"/>
  <c r="K289" i="3" s="1"/>
  <c r="K290" i="1"/>
  <c r="K290" i="3" s="1"/>
  <c r="K291" i="1"/>
  <c r="K291" i="3" s="1"/>
  <c r="K292" i="1"/>
  <c r="K292" i="3" s="1"/>
  <c r="K293" i="1"/>
  <c r="K293" i="3" s="1"/>
  <c r="K294" i="1"/>
  <c r="K294" i="3" s="1"/>
  <c r="K295" i="1"/>
  <c r="K295" i="3" s="1"/>
  <c r="K296" i="1"/>
  <c r="K296" i="3" s="1"/>
  <c r="K297" i="1"/>
  <c r="K297" i="3" s="1"/>
  <c r="K298" i="1"/>
  <c r="K298" i="3" s="1"/>
  <c r="K299" i="1"/>
  <c r="K299" i="3" s="1"/>
  <c r="K300" i="1"/>
  <c r="K300" i="3" s="1"/>
  <c r="K301" i="1"/>
  <c r="K301" i="3" s="1"/>
  <c r="K302" i="1"/>
  <c r="K302" i="3" s="1"/>
  <c r="K303" i="1"/>
  <c r="K303" i="3" s="1"/>
  <c r="K304" i="1"/>
  <c r="K304" i="3" s="1"/>
  <c r="K305" i="1"/>
  <c r="K305" i="3" s="1"/>
  <c r="K306" i="1"/>
  <c r="K306" i="3" s="1"/>
  <c r="K307" i="1"/>
  <c r="K307" i="3" s="1"/>
  <c r="K308" i="1"/>
  <c r="K308" i="3" s="1"/>
  <c r="K309" i="1"/>
  <c r="K309" i="3" s="1"/>
  <c r="K310" i="1"/>
  <c r="K310" i="3" s="1"/>
  <c r="K311" i="1"/>
  <c r="K311" i="3" s="1"/>
  <c r="K312" i="1"/>
  <c r="K312" i="3" s="1"/>
  <c r="K313" i="1"/>
  <c r="K313" i="3" s="1"/>
  <c r="K314" i="1"/>
  <c r="K314" i="3" s="1"/>
  <c r="K315" i="1"/>
  <c r="K315" i="3" s="1"/>
  <c r="K316" i="1"/>
  <c r="K316" i="3" s="1"/>
  <c r="K317" i="1"/>
  <c r="K317" i="3" s="1"/>
  <c r="K318" i="1"/>
  <c r="K318" i="3" s="1"/>
  <c r="K319" i="1"/>
  <c r="K319" i="3" s="1"/>
  <c r="K320" i="1"/>
  <c r="K320" i="3" s="1"/>
  <c r="K321" i="1"/>
  <c r="K321" i="3" s="1"/>
  <c r="K322" i="1"/>
  <c r="K322" i="3" s="1"/>
  <c r="K323" i="1"/>
  <c r="K323" i="3" s="1"/>
  <c r="K324" i="1"/>
  <c r="K324" i="3" s="1"/>
  <c r="K325" i="1"/>
  <c r="K325" i="3" s="1"/>
  <c r="K326" i="1"/>
  <c r="K326" i="3" s="1"/>
  <c r="K327" i="1"/>
  <c r="K327" i="3" s="1"/>
  <c r="K328" i="1"/>
  <c r="K328" i="3" s="1"/>
  <c r="K329" i="1"/>
  <c r="K329" i="3" s="1"/>
  <c r="K330" i="1"/>
  <c r="K330" i="3" s="1"/>
  <c r="K331" i="1"/>
  <c r="K331" i="3" s="1"/>
  <c r="K332" i="1"/>
  <c r="K332" i="3" s="1"/>
  <c r="K333" i="1"/>
  <c r="K333" i="3" s="1"/>
  <c r="K334" i="1"/>
  <c r="K334" i="3" s="1"/>
  <c r="K335" i="1"/>
  <c r="K335" i="3" s="1"/>
  <c r="K336" i="1"/>
  <c r="K336" i="3" s="1"/>
  <c r="K337" i="1"/>
  <c r="K337" i="3" s="1"/>
  <c r="K338" i="1"/>
  <c r="K338" i="3" s="1"/>
  <c r="K339" i="1"/>
  <c r="K339" i="3" s="1"/>
  <c r="K340" i="1"/>
  <c r="K340" i="3" s="1"/>
  <c r="K341" i="1"/>
  <c r="K341" i="3" s="1"/>
  <c r="K342" i="1"/>
  <c r="K342" i="3" s="1"/>
  <c r="K343" i="1"/>
  <c r="K343" i="3" s="1"/>
  <c r="K344" i="1"/>
  <c r="K344" i="3" s="1"/>
  <c r="K345" i="1"/>
  <c r="K345" i="3" s="1"/>
  <c r="K346" i="1"/>
  <c r="K346" i="3" s="1"/>
  <c r="K347" i="1"/>
  <c r="K347" i="3" s="1"/>
  <c r="K348" i="1"/>
  <c r="K348" i="3" s="1"/>
  <c r="K349" i="1"/>
  <c r="K349" i="3" s="1"/>
  <c r="K350" i="1"/>
  <c r="K350" i="3" s="1"/>
  <c r="K351" i="1"/>
  <c r="K351" i="3" s="1"/>
  <c r="K352" i="1"/>
  <c r="K352" i="3" s="1"/>
  <c r="K353" i="1"/>
  <c r="K353" i="3" s="1"/>
  <c r="K354" i="1"/>
  <c r="K354" i="3" s="1"/>
  <c r="K355" i="1"/>
  <c r="K355" i="3" s="1"/>
  <c r="K356" i="1"/>
  <c r="K356" i="3" s="1"/>
  <c r="K357" i="1"/>
  <c r="K357" i="3" s="1"/>
  <c r="K358" i="1"/>
  <c r="K358" i="3" s="1"/>
  <c r="K359" i="1"/>
  <c r="K359" i="3" s="1"/>
  <c r="K360" i="1"/>
  <c r="K360" i="3" s="1"/>
  <c r="K361" i="1"/>
  <c r="K361" i="3" s="1"/>
  <c r="K362" i="1"/>
  <c r="K362" i="3" s="1"/>
  <c r="K363" i="1"/>
  <c r="K363" i="3" s="1"/>
  <c r="K364" i="1"/>
  <c r="K364" i="3" s="1"/>
  <c r="K365" i="1"/>
  <c r="K365" i="3" s="1"/>
  <c r="K366" i="1"/>
  <c r="K366" i="3" s="1"/>
  <c r="K367" i="1"/>
  <c r="K367" i="3" s="1"/>
  <c r="K368" i="1"/>
  <c r="K368" i="3" s="1"/>
  <c r="K369" i="1"/>
  <c r="K369" i="3" s="1"/>
  <c r="K370" i="1"/>
  <c r="K370" i="3" s="1"/>
  <c r="K371" i="1"/>
  <c r="K371" i="3" s="1"/>
  <c r="K372" i="1"/>
  <c r="K372" i="3" s="1"/>
  <c r="K373" i="1"/>
  <c r="K373" i="3" s="1"/>
  <c r="K374" i="1"/>
  <c r="K374" i="3" s="1"/>
  <c r="K375" i="1"/>
  <c r="K375" i="3" s="1"/>
  <c r="K376" i="1"/>
  <c r="K376" i="3" s="1"/>
  <c r="K377" i="1"/>
  <c r="K377" i="3" s="1"/>
  <c r="K378" i="1"/>
  <c r="K378" i="3" s="1"/>
  <c r="K379" i="1"/>
  <c r="K379" i="3" s="1"/>
  <c r="K380" i="1"/>
  <c r="K380" i="3" s="1"/>
  <c r="K381" i="1"/>
  <c r="K381" i="3" s="1"/>
  <c r="K382" i="1"/>
  <c r="K382" i="3" s="1"/>
  <c r="K383" i="1"/>
  <c r="K383" i="3" s="1"/>
  <c r="K384" i="1"/>
  <c r="K384" i="3" s="1"/>
  <c r="K385" i="1"/>
  <c r="K385" i="3" s="1"/>
  <c r="K386" i="1"/>
  <c r="K386" i="3" s="1"/>
  <c r="K387" i="1"/>
  <c r="K387" i="3" s="1"/>
  <c r="K388" i="1"/>
  <c r="K388" i="3" s="1"/>
  <c r="K389" i="1"/>
  <c r="K389" i="3" s="1"/>
  <c r="K390" i="1"/>
  <c r="K390" i="3" s="1"/>
  <c r="K391" i="1"/>
  <c r="K391" i="3" s="1"/>
  <c r="K392" i="1"/>
  <c r="K392" i="3" s="1"/>
  <c r="K393" i="1"/>
  <c r="K393" i="3" s="1"/>
  <c r="K394" i="1"/>
  <c r="K394" i="3" s="1"/>
  <c r="K395" i="1"/>
  <c r="K395" i="3" s="1"/>
  <c r="K396" i="1"/>
  <c r="K396" i="3" s="1"/>
  <c r="K397" i="1"/>
  <c r="K397" i="3" s="1"/>
  <c r="K398" i="1"/>
  <c r="K398" i="3" s="1"/>
  <c r="K399" i="1"/>
  <c r="K399" i="3" s="1"/>
  <c r="K400" i="1"/>
  <c r="K400" i="3" s="1"/>
  <c r="K401" i="1"/>
  <c r="K401" i="3" s="1"/>
  <c r="K402" i="1"/>
  <c r="K402" i="3" s="1"/>
  <c r="K403" i="1"/>
  <c r="K403" i="3" s="1"/>
  <c r="K404" i="1"/>
  <c r="K404" i="3" s="1"/>
  <c r="K405" i="1"/>
  <c r="K405" i="3" s="1"/>
  <c r="K406" i="1"/>
  <c r="K406" i="3" s="1"/>
  <c r="K407" i="1"/>
  <c r="K407" i="3" s="1"/>
  <c r="K408" i="1"/>
  <c r="K408" i="3" s="1"/>
  <c r="K409" i="1"/>
  <c r="K409" i="3" s="1"/>
  <c r="K410" i="1"/>
  <c r="K410" i="3" s="1"/>
  <c r="K411" i="1"/>
  <c r="K411" i="3" s="1"/>
  <c r="K412" i="1"/>
  <c r="K412" i="3" s="1"/>
  <c r="K413" i="1"/>
  <c r="K413" i="3" s="1"/>
  <c r="K414" i="1"/>
  <c r="K414" i="3" s="1"/>
  <c r="K415" i="1"/>
  <c r="K415" i="3" s="1"/>
  <c r="K416" i="1"/>
  <c r="K416" i="3" s="1"/>
  <c r="K417" i="1"/>
  <c r="K417" i="3" s="1"/>
  <c r="K418" i="1"/>
  <c r="K418" i="3" s="1"/>
  <c r="K419" i="1"/>
  <c r="K419" i="3" s="1"/>
  <c r="K420" i="1"/>
  <c r="K420" i="3" s="1"/>
  <c r="K421" i="1"/>
  <c r="K421" i="3" s="1"/>
  <c r="K422" i="1"/>
  <c r="K422" i="3" s="1"/>
  <c r="K423" i="1"/>
  <c r="K423" i="3" s="1"/>
  <c r="K424" i="1"/>
  <c r="K424" i="3" s="1"/>
  <c r="K425" i="1"/>
  <c r="K425" i="3" s="1"/>
  <c r="K426" i="1"/>
  <c r="K426" i="3" s="1"/>
  <c r="K427" i="1"/>
  <c r="K427" i="3" s="1"/>
  <c r="K428" i="1"/>
  <c r="K428" i="3" s="1"/>
  <c r="K429" i="1"/>
  <c r="K429" i="3" s="1"/>
  <c r="K430" i="1"/>
  <c r="K430" i="3" s="1"/>
  <c r="K431" i="1"/>
  <c r="K431" i="3" s="1"/>
  <c r="K432" i="1"/>
  <c r="K432" i="3" s="1"/>
  <c r="K433" i="1"/>
  <c r="K433" i="3" s="1"/>
  <c r="K434" i="1"/>
  <c r="K434" i="3" s="1"/>
  <c r="K435" i="1"/>
  <c r="K435" i="3" s="1"/>
  <c r="K436" i="1"/>
  <c r="K436" i="3" s="1"/>
  <c r="K437" i="1"/>
  <c r="K437" i="3" s="1"/>
  <c r="K438" i="1"/>
  <c r="K438" i="3" s="1"/>
  <c r="K439" i="1"/>
  <c r="K439" i="3" s="1"/>
  <c r="K440" i="1"/>
  <c r="K440" i="3" s="1"/>
  <c r="K441" i="1"/>
  <c r="K441" i="3" s="1"/>
  <c r="K442" i="1"/>
  <c r="K442" i="3" s="1"/>
  <c r="K443" i="1"/>
  <c r="K443" i="3" s="1"/>
  <c r="K444" i="1"/>
  <c r="K444" i="3" s="1"/>
  <c r="K445" i="1"/>
  <c r="K445" i="3" s="1"/>
  <c r="K446" i="1"/>
  <c r="K446" i="3" s="1"/>
  <c r="K447" i="1"/>
  <c r="K447" i="3" s="1"/>
  <c r="K448" i="1"/>
  <c r="K448" i="3" s="1"/>
  <c r="K449" i="1"/>
  <c r="K449" i="3" s="1"/>
  <c r="K450" i="1"/>
  <c r="K450" i="3" s="1"/>
  <c r="K451" i="1"/>
  <c r="K451" i="3" s="1"/>
  <c r="K452" i="1"/>
  <c r="K452" i="3" s="1"/>
  <c r="K453" i="1"/>
  <c r="K453" i="3" s="1"/>
  <c r="K454" i="1"/>
  <c r="K454" i="3" s="1"/>
  <c r="K455" i="1"/>
  <c r="K455" i="3" s="1"/>
  <c r="K456" i="1"/>
  <c r="K456" i="3" s="1"/>
  <c r="K457" i="1"/>
  <c r="K457" i="3" s="1"/>
  <c r="K458" i="1"/>
  <c r="K458" i="3" s="1"/>
  <c r="K459" i="1"/>
  <c r="K459" i="3" s="1"/>
  <c r="K460" i="1"/>
  <c r="K460" i="3" s="1"/>
  <c r="K461" i="1"/>
  <c r="K461" i="3" s="1"/>
  <c r="K462" i="1"/>
  <c r="K462" i="3" s="1"/>
  <c r="K463" i="1"/>
  <c r="K463" i="3" s="1"/>
  <c r="K464" i="1"/>
  <c r="K464" i="3" s="1"/>
  <c r="K465" i="1"/>
  <c r="K465" i="3" s="1"/>
  <c r="K466" i="1"/>
  <c r="K466" i="3" s="1"/>
  <c r="K467" i="1"/>
  <c r="K467" i="3" s="1"/>
  <c r="K468" i="1"/>
  <c r="K468" i="3" s="1"/>
  <c r="K469" i="1"/>
  <c r="K469" i="3" s="1"/>
  <c r="K470" i="1"/>
  <c r="K470" i="3" s="1"/>
  <c r="K471" i="1"/>
  <c r="K471" i="3" s="1"/>
  <c r="K472" i="1"/>
  <c r="K472" i="3" s="1"/>
  <c r="K473" i="1"/>
  <c r="K473" i="3" s="1"/>
  <c r="K474" i="1"/>
  <c r="K474" i="3" s="1"/>
  <c r="K475" i="1"/>
  <c r="K475" i="3" s="1"/>
  <c r="K476" i="1"/>
  <c r="K476" i="3" s="1"/>
  <c r="K477" i="1"/>
  <c r="K477" i="3" s="1"/>
  <c r="K478" i="1"/>
  <c r="K478" i="3" s="1"/>
  <c r="K479" i="1"/>
  <c r="K479" i="3" s="1"/>
  <c r="K480" i="1"/>
  <c r="K480" i="3" s="1"/>
  <c r="K481" i="1"/>
  <c r="K481" i="3" s="1"/>
  <c r="K482" i="1"/>
  <c r="K482" i="3" s="1"/>
  <c r="K483" i="1"/>
  <c r="K483" i="3" s="1"/>
  <c r="K484" i="1"/>
  <c r="K484" i="3" s="1"/>
  <c r="K485" i="1"/>
  <c r="K485" i="3" s="1"/>
  <c r="K486" i="1"/>
  <c r="K486" i="3" s="1"/>
  <c r="K487" i="1"/>
  <c r="K487" i="3" s="1"/>
  <c r="K488" i="1"/>
  <c r="K488" i="3" s="1"/>
  <c r="K489" i="1"/>
  <c r="K489" i="3" s="1"/>
  <c r="K490" i="1"/>
  <c r="K490" i="3" s="1"/>
  <c r="K491" i="1"/>
  <c r="K491" i="3" s="1"/>
  <c r="K492" i="1"/>
  <c r="K492" i="3" s="1"/>
  <c r="K493" i="1"/>
  <c r="K493" i="3" s="1"/>
  <c r="K494" i="1"/>
  <c r="K494" i="3" s="1"/>
  <c r="K495" i="1"/>
  <c r="K495" i="3" s="1"/>
  <c r="K496" i="1"/>
  <c r="K496" i="3" s="1"/>
  <c r="K497" i="1"/>
  <c r="K497" i="3" s="1"/>
  <c r="K498" i="1"/>
  <c r="K498" i="3" s="1"/>
  <c r="K499" i="1"/>
  <c r="K499" i="3" s="1"/>
  <c r="K500" i="1"/>
  <c r="K500" i="3" s="1"/>
  <c r="K501" i="1"/>
  <c r="K501" i="3" s="1"/>
  <c r="K502" i="1"/>
  <c r="K502" i="3" s="1"/>
  <c r="K503" i="1"/>
  <c r="K503" i="3" s="1"/>
  <c r="K504" i="1"/>
  <c r="K504" i="3" s="1"/>
  <c r="K505" i="1"/>
  <c r="K505" i="3" s="1"/>
  <c r="K506" i="1"/>
  <c r="K506" i="3" s="1"/>
  <c r="K507" i="1"/>
  <c r="K507" i="3" s="1"/>
  <c r="K508" i="1"/>
  <c r="K508" i="3" s="1"/>
  <c r="K509" i="1"/>
  <c r="K509" i="3" s="1"/>
  <c r="K510" i="1"/>
  <c r="K510" i="3" s="1"/>
  <c r="K511" i="1"/>
  <c r="K511" i="3" s="1"/>
  <c r="K512" i="1"/>
  <c r="K512" i="3" s="1"/>
  <c r="K513" i="1"/>
  <c r="K513" i="3" s="1"/>
  <c r="K514" i="1"/>
  <c r="K514" i="3" s="1"/>
  <c r="K515" i="1"/>
  <c r="K515" i="3" s="1"/>
  <c r="K516" i="1"/>
  <c r="K516" i="3" s="1"/>
  <c r="K517" i="1"/>
  <c r="K517" i="3" s="1"/>
  <c r="K518" i="1"/>
  <c r="K518" i="3" s="1"/>
  <c r="K519" i="1"/>
  <c r="K519" i="3" s="1"/>
  <c r="K520" i="1"/>
  <c r="K520" i="3" s="1"/>
  <c r="K521" i="1"/>
  <c r="K521" i="3" s="1"/>
  <c r="K522" i="1"/>
  <c r="K522" i="3" s="1"/>
  <c r="K523" i="1"/>
  <c r="K523" i="3" s="1"/>
  <c r="K524" i="1"/>
  <c r="K524" i="3" s="1"/>
  <c r="K525" i="1"/>
  <c r="K525" i="3" s="1"/>
  <c r="K526" i="1"/>
  <c r="K526" i="3" s="1"/>
  <c r="K527" i="1"/>
  <c r="K527" i="3" s="1"/>
  <c r="K528" i="1"/>
  <c r="K528" i="3" s="1"/>
  <c r="K529" i="1"/>
  <c r="K529" i="3" s="1"/>
  <c r="K530" i="1"/>
  <c r="K530" i="3" s="1"/>
  <c r="K531" i="1"/>
  <c r="K531" i="3" s="1"/>
  <c r="K532" i="1"/>
  <c r="K532" i="3" s="1"/>
  <c r="K533" i="1"/>
  <c r="K533" i="3" s="1"/>
  <c r="K534" i="1"/>
  <c r="K534" i="3" s="1"/>
  <c r="K535" i="1"/>
  <c r="K535" i="3" s="1"/>
  <c r="K536" i="1"/>
  <c r="K536" i="3" s="1"/>
  <c r="K537" i="1"/>
  <c r="K537" i="3" s="1"/>
  <c r="K538" i="1"/>
  <c r="K538" i="3" s="1"/>
  <c r="K539" i="1"/>
  <c r="K539" i="3" s="1"/>
  <c r="K540" i="1"/>
  <c r="K540" i="3" s="1"/>
  <c r="K541" i="1"/>
  <c r="K541" i="3" s="1"/>
  <c r="K542" i="1"/>
  <c r="K542" i="3" s="1"/>
  <c r="K543" i="1"/>
  <c r="K543" i="3" s="1"/>
  <c r="K544" i="1"/>
  <c r="K544" i="3" s="1"/>
  <c r="K545" i="1"/>
  <c r="K545" i="3" s="1"/>
  <c r="K546" i="1"/>
  <c r="K546" i="3" s="1"/>
  <c r="K547" i="1"/>
  <c r="K547" i="3" s="1"/>
  <c r="K548" i="1"/>
  <c r="K548" i="3" s="1"/>
  <c r="K549" i="1"/>
  <c r="K549" i="3" s="1"/>
  <c r="K550" i="1"/>
  <c r="K550" i="3" s="1"/>
  <c r="K551" i="1"/>
  <c r="K551" i="3" s="1"/>
  <c r="K552" i="1"/>
  <c r="K552" i="3" s="1"/>
  <c r="K553" i="1"/>
  <c r="K553" i="3" s="1"/>
  <c r="K554" i="1"/>
  <c r="K554" i="3" s="1"/>
  <c r="K555" i="1"/>
  <c r="K555" i="3" s="1"/>
  <c r="K556" i="1"/>
  <c r="K556" i="3" s="1"/>
  <c r="K557" i="1"/>
  <c r="K557" i="3" s="1"/>
  <c r="K558" i="1"/>
  <c r="K558" i="3" s="1"/>
  <c r="K559" i="1"/>
  <c r="K559" i="3" s="1"/>
  <c r="K560" i="1"/>
  <c r="K560" i="3" s="1"/>
  <c r="K561" i="1"/>
  <c r="K561" i="3" s="1"/>
  <c r="K562" i="1"/>
  <c r="K562" i="3" s="1"/>
  <c r="K563" i="1"/>
  <c r="K563" i="3" s="1"/>
  <c r="K564" i="1"/>
  <c r="K564" i="3" s="1"/>
  <c r="K565" i="1"/>
  <c r="K565" i="3" s="1"/>
  <c r="K566" i="1"/>
  <c r="K566" i="3" s="1"/>
  <c r="K567" i="1"/>
  <c r="K567" i="3" s="1"/>
  <c r="K568" i="1"/>
  <c r="K568" i="3" s="1"/>
  <c r="K569" i="1"/>
  <c r="K569" i="3" s="1"/>
  <c r="K570" i="1"/>
  <c r="K570" i="3" s="1"/>
  <c r="K571" i="1"/>
  <c r="K571" i="3" s="1"/>
  <c r="K572" i="1"/>
  <c r="K572" i="3" s="1"/>
  <c r="K573" i="1"/>
  <c r="K573" i="3" s="1"/>
  <c r="K574" i="1"/>
  <c r="K574" i="3" s="1"/>
  <c r="K575" i="1"/>
  <c r="K575" i="3" s="1"/>
  <c r="K576" i="1"/>
  <c r="K576" i="3" s="1"/>
  <c r="K577" i="1"/>
  <c r="K577" i="3" s="1"/>
  <c r="K578" i="1"/>
  <c r="K578" i="3" s="1"/>
  <c r="K579" i="1"/>
  <c r="K579" i="3" s="1"/>
  <c r="K580" i="1"/>
  <c r="K580" i="3" s="1"/>
  <c r="K581" i="1"/>
  <c r="K581" i="3" s="1"/>
  <c r="K582" i="1"/>
  <c r="K582" i="3" s="1"/>
  <c r="K583" i="1"/>
  <c r="K583" i="3" s="1"/>
  <c r="K584" i="1"/>
  <c r="K584" i="3" s="1"/>
  <c r="K585" i="1"/>
  <c r="K585" i="3" s="1"/>
  <c r="K586" i="1"/>
  <c r="K586" i="3" s="1"/>
  <c r="K587" i="1"/>
  <c r="K587" i="3" s="1"/>
  <c r="K588" i="1"/>
  <c r="K588" i="3" s="1"/>
  <c r="K589" i="1"/>
  <c r="K589" i="3" s="1"/>
  <c r="K590" i="1"/>
  <c r="K590" i="3" s="1"/>
  <c r="K591" i="1"/>
  <c r="K591" i="3" s="1"/>
  <c r="K592" i="1"/>
  <c r="K592" i="3" s="1"/>
  <c r="K593" i="1"/>
  <c r="K593" i="3" s="1"/>
  <c r="K594" i="1"/>
  <c r="K594" i="3" s="1"/>
  <c r="K595" i="1"/>
  <c r="K595" i="3" s="1"/>
  <c r="K596" i="1"/>
  <c r="K596" i="3" s="1"/>
  <c r="K597" i="1"/>
  <c r="K597" i="3" s="1"/>
  <c r="K598" i="1"/>
  <c r="K598" i="3" s="1"/>
  <c r="K599" i="1"/>
  <c r="K599" i="3" s="1"/>
  <c r="K600" i="1"/>
  <c r="K600" i="3" s="1"/>
  <c r="K601" i="1"/>
  <c r="K601" i="3" s="1"/>
  <c r="K602" i="1"/>
  <c r="K602" i="3" s="1"/>
  <c r="K603" i="1"/>
  <c r="K603" i="3" s="1"/>
  <c r="K604" i="1"/>
  <c r="K604" i="3" s="1"/>
  <c r="K605" i="1"/>
  <c r="K605" i="3" s="1"/>
  <c r="K606" i="1"/>
  <c r="K606" i="3" s="1"/>
  <c r="K607" i="1"/>
  <c r="K607" i="3" s="1"/>
  <c r="K608" i="1"/>
  <c r="K608" i="3" s="1"/>
  <c r="K609" i="1"/>
  <c r="K609" i="3" s="1"/>
  <c r="K610" i="1"/>
  <c r="K610" i="3" s="1"/>
  <c r="K611" i="1"/>
  <c r="K611" i="3" s="1"/>
  <c r="K612" i="1"/>
  <c r="K612" i="3" s="1"/>
  <c r="K613" i="1"/>
  <c r="K613" i="3" s="1"/>
  <c r="K614" i="1"/>
  <c r="K614" i="3" s="1"/>
  <c r="K615" i="1"/>
  <c r="K615" i="3" s="1"/>
  <c r="K616" i="1"/>
  <c r="K616" i="3" s="1"/>
  <c r="K617" i="1"/>
  <c r="K617" i="3" s="1"/>
  <c r="K618" i="1"/>
  <c r="K618" i="3" s="1"/>
  <c r="K619" i="1"/>
  <c r="K619" i="3" s="1"/>
  <c r="K620" i="1"/>
  <c r="K620" i="3" s="1"/>
  <c r="K621" i="1"/>
  <c r="K621" i="3" s="1"/>
  <c r="K622" i="1"/>
  <c r="K622" i="3" s="1"/>
  <c r="K623" i="1"/>
  <c r="K623" i="3" s="1"/>
  <c r="K624" i="1"/>
  <c r="K624" i="3" s="1"/>
  <c r="K625" i="1"/>
  <c r="K625" i="3" s="1"/>
  <c r="K626" i="1"/>
  <c r="K626" i="3" s="1"/>
  <c r="K627" i="1"/>
  <c r="K627" i="3" s="1"/>
  <c r="K628" i="1"/>
  <c r="K628" i="3" s="1"/>
  <c r="K629" i="1"/>
  <c r="K629" i="3" s="1"/>
  <c r="K630" i="1"/>
  <c r="K630" i="3" s="1"/>
  <c r="K631" i="1"/>
  <c r="K631" i="3" s="1"/>
  <c r="K632" i="1"/>
  <c r="K632" i="3" s="1"/>
  <c r="K633" i="1"/>
  <c r="K633" i="3" s="1"/>
  <c r="K634" i="1"/>
  <c r="K634" i="3" s="1"/>
  <c r="K635" i="1"/>
  <c r="K635" i="3" s="1"/>
  <c r="K636" i="1"/>
  <c r="K636" i="3" s="1"/>
  <c r="K637" i="1"/>
  <c r="K637" i="3" s="1"/>
  <c r="K638" i="1"/>
  <c r="K638" i="3" s="1"/>
  <c r="K639" i="1"/>
  <c r="K639" i="3" s="1"/>
  <c r="K640" i="1"/>
  <c r="K640" i="3" s="1"/>
  <c r="K641" i="1"/>
  <c r="K641" i="3" s="1"/>
  <c r="K642" i="1"/>
  <c r="K642" i="3" s="1"/>
  <c r="K643" i="1"/>
  <c r="K643" i="3" s="1"/>
  <c r="K644" i="1"/>
  <c r="K644" i="3" s="1"/>
  <c r="K645" i="1"/>
  <c r="K645" i="3" s="1"/>
  <c r="K646" i="1"/>
  <c r="K646" i="3" s="1"/>
  <c r="K647" i="1"/>
  <c r="K647" i="3" s="1"/>
  <c r="K648" i="1"/>
  <c r="K648" i="3" s="1"/>
  <c r="K649" i="1"/>
  <c r="K649" i="3" s="1"/>
  <c r="K650" i="1"/>
  <c r="K650" i="3" s="1"/>
  <c r="K651" i="1"/>
  <c r="K651" i="3" s="1"/>
  <c r="K652" i="1"/>
  <c r="K652" i="3" s="1"/>
  <c r="K653" i="1"/>
  <c r="K653" i="3" s="1"/>
  <c r="K654" i="1"/>
  <c r="K654" i="3" s="1"/>
  <c r="K655" i="1"/>
  <c r="K655" i="3" s="1"/>
  <c r="K656" i="1"/>
  <c r="K656" i="3" s="1"/>
  <c r="K657" i="1"/>
  <c r="K657" i="3" s="1"/>
  <c r="K658" i="1"/>
  <c r="K658" i="3" s="1"/>
  <c r="K659" i="1"/>
  <c r="K659" i="3" s="1"/>
  <c r="K660" i="1"/>
  <c r="K660" i="3" s="1"/>
  <c r="K661" i="1"/>
  <c r="K661" i="3" s="1"/>
  <c r="K662" i="1"/>
  <c r="K662" i="3" s="1"/>
  <c r="K663" i="1"/>
  <c r="K663" i="3" s="1"/>
  <c r="K664" i="1"/>
  <c r="K664" i="3" s="1"/>
  <c r="K665" i="1"/>
  <c r="K665" i="3" s="1"/>
  <c r="K666" i="1"/>
  <c r="K666" i="3" s="1"/>
  <c r="K667" i="1"/>
  <c r="K667" i="3" s="1"/>
  <c r="K668" i="1"/>
  <c r="K668" i="3" s="1"/>
  <c r="K669" i="1"/>
  <c r="K669" i="3" s="1"/>
  <c r="K670" i="1"/>
  <c r="K670" i="3" s="1"/>
  <c r="K671" i="1"/>
  <c r="K671" i="3" s="1"/>
  <c r="K672" i="1"/>
  <c r="K672" i="3" s="1"/>
  <c r="K673" i="1"/>
  <c r="K673" i="3" s="1"/>
  <c r="K674" i="1"/>
  <c r="K674" i="3" s="1"/>
  <c r="K675" i="1"/>
  <c r="K675" i="3" s="1"/>
  <c r="K676" i="1"/>
  <c r="K676" i="3" s="1"/>
  <c r="K677" i="1"/>
  <c r="K677" i="3" s="1"/>
  <c r="K678" i="1"/>
  <c r="K678" i="3" s="1"/>
  <c r="K679" i="1"/>
  <c r="K679" i="3" s="1"/>
  <c r="K680" i="1"/>
  <c r="K680" i="3" s="1"/>
  <c r="K681" i="1"/>
  <c r="K681" i="3" s="1"/>
  <c r="K682" i="1"/>
  <c r="K682" i="3" s="1"/>
  <c r="K683" i="1"/>
  <c r="K683" i="3" s="1"/>
  <c r="K684" i="1"/>
  <c r="K684" i="3" s="1"/>
  <c r="K685" i="1"/>
  <c r="K685" i="3" s="1"/>
  <c r="K686" i="1"/>
  <c r="K686" i="3" s="1"/>
  <c r="K687" i="1"/>
  <c r="K687" i="3" s="1"/>
  <c r="K688" i="1"/>
  <c r="K688" i="3" s="1"/>
  <c r="K689" i="1"/>
  <c r="K689" i="3" s="1"/>
  <c r="K690" i="1"/>
  <c r="K690" i="3" s="1"/>
  <c r="K691" i="1"/>
  <c r="K691" i="3" s="1"/>
  <c r="K692" i="1"/>
  <c r="K692" i="3" s="1"/>
  <c r="K693" i="1"/>
  <c r="K693" i="3" s="1"/>
  <c r="K694" i="1"/>
  <c r="K694" i="3" s="1"/>
  <c r="K695" i="1"/>
  <c r="K695" i="3" s="1"/>
  <c r="K696" i="1"/>
  <c r="K696" i="3" s="1"/>
  <c r="K697" i="1"/>
  <c r="K697" i="3" s="1"/>
  <c r="K698" i="1"/>
  <c r="K698" i="3" s="1"/>
  <c r="K699" i="1"/>
  <c r="K699" i="3" s="1"/>
  <c r="K700" i="1"/>
  <c r="K700" i="3" s="1"/>
  <c r="K701" i="1"/>
  <c r="K701" i="3" s="1"/>
  <c r="K702" i="1"/>
  <c r="K702" i="3" s="1"/>
  <c r="K703" i="1"/>
  <c r="K703" i="3" s="1"/>
  <c r="K704" i="1"/>
  <c r="K704" i="3" s="1"/>
  <c r="K705" i="1"/>
  <c r="K705" i="3" s="1"/>
  <c r="K706" i="1"/>
  <c r="K706" i="3" s="1"/>
  <c r="K707" i="1"/>
  <c r="K707" i="3" s="1"/>
  <c r="K708" i="1"/>
  <c r="K708" i="3" s="1"/>
  <c r="K709" i="1"/>
  <c r="K709" i="3" s="1"/>
  <c r="K710" i="1"/>
  <c r="K710" i="3" s="1"/>
  <c r="K711" i="1"/>
  <c r="K711" i="3" s="1"/>
  <c r="K712" i="1"/>
  <c r="K712" i="3" s="1"/>
  <c r="K713" i="1"/>
  <c r="K713" i="3" s="1"/>
  <c r="K714" i="1"/>
  <c r="K714" i="3" s="1"/>
  <c r="K715" i="1"/>
  <c r="K715" i="3" s="1"/>
  <c r="K716" i="1"/>
  <c r="K716" i="3" s="1"/>
  <c r="K717" i="1"/>
  <c r="K717" i="3" s="1"/>
  <c r="K718" i="1"/>
  <c r="K718" i="3" s="1"/>
  <c r="K719" i="1"/>
  <c r="K719" i="3" s="1"/>
  <c r="K720" i="1"/>
  <c r="K720" i="3" s="1"/>
  <c r="K721" i="1"/>
  <c r="K721" i="3" s="1"/>
  <c r="K722" i="1"/>
  <c r="K722" i="3" s="1"/>
  <c r="K723" i="1"/>
  <c r="K723" i="3" s="1"/>
  <c r="K724" i="1"/>
  <c r="K724" i="3" s="1"/>
  <c r="K725" i="1"/>
  <c r="K725" i="3" s="1"/>
  <c r="K726" i="1"/>
  <c r="K726" i="3" s="1"/>
  <c r="K727" i="1"/>
  <c r="K727" i="3" s="1"/>
  <c r="K728" i="1"/>
  <c r="K728" i="3" s="1"/>
  <c r="K729" i="1"/>
  <c r="K729" i="3" s="1"/>
  <c r="K730" i="1"/>
  <c r="K730" i="3" s="1"/>
  <c r="K731" i="1"/>
  <c r="K731" i="3" s="1"/>
  <c r="K732" i="1"/>
  <c r="K732" i="3" s="1"/>
  <c r="K733" i="1"/>
  <c r="K733" i="3" s="1"/>
  <c r="K734" i="1"/>
  <c r="K734" i="3" s="1"/>
  <c r="K735" i="1"/>
  <c r="K735" i="3" s="1"/>
  <c r="K736" i="1"/>
  <c r="K736" i="3" s="1"/>
  <c r="K737" i="1"/>
  <c r="K737" i="3" s="1"/>
  <c r="K738" i="1"/>
  <c r="K738" i="3" s="1"/>
  <c r="K739" i="1"/>
  <c r="K739" i="3" s="1"/>
  <c r="K740" i="1"/>
  <c r="K740" i="3" s="1"/>
  <c r="K741" i="1"/>
  <c r="K741" i="3" s="1"/>
  <c r="K742" i="1"/>
  <c r="K742" i="3" s="1"/>
  <c r="K743" i="1"/>
  <c r="K743" i="3" s="1"/>
  <c r="K744" i="1"/>
  <c r="K744" i="3" s="1"/>
  <c r="K745" i="1"/>
  <c r="K745" i="3" s="1"/>
  <c r="K746" i="1"/>
  <c r="K746" i="3" s="1"/>
  <c r="K747" i="1"/>
  <c r="K747" i="3" s="1"/>
  <c r="K748" i="1"/>
  <c r="K748" i="3" s="1"/>
  <c r="K749" i="1"/>
  <c r="K749" i="3" s="1"/>
  <c r="K750" i="1"/>
  <c r="K750" i="3" s="1"/>
  <c r="K751" i="1"/>
  <c r="K751" i="3" s="1"/>
  <c r="K752" i="1"/>
  <c r="K752" i="3" s="1"/>
  <c r="K753" i="1"/>
  <c r="K753" i="3" s="1"/>
  <c r="K754" i="1"/>
  <c r="K754" i="3" s="1"/>
  <c r="K755" i="1"/>
  <c r="K755" i="3" s="1"/>
  <c r="K756" i="1"/>
  <c r="K756" i="3" s="1"/>
  <c r="K757" i="1"/>
  <c r="K757" i="3" s="1"/>
  <c r="K758" i="1"/>
  <c r="K758" i="3" s="1"/>
  <c r="K759" i="1"/>
  <c r="K759" i="3" s="1"/>
  <c r="K760" i="1"/>
  <c r="K760" i="3" s="1"/>
  <c r="K761" i="1"/>
  <c r="K761" i="3" s="1"/>
  <c r="K762" i="1"/>
  <c r="K762" i="3" s="1"/>
  <c r="K763" i="1"/>
  <c r="K763" i="3" s="1"/>
  <c r="K764" i="1"/>
  <c r="K764" i="3" s="1"/>
  <c r="K765" i="1"/>
  <c r="K765" i="3" s="1"/>
  <c r="K766" i="1"/>
  <c r="K766" i="3" s="1"/>
  <c r="K767" i="1"/>
  <c r="K767" i="3" s="1"/>
  <c r="K768" i="1"/>
  <c r="K768" i="3" s="1"/>
  <c r="K769" i="1"/>
  <c r="K769" i="3" s="1"/>
  <c r="K770" i="1"/>
  <c r="K770" i="3" s="1"/>
  <c r="K771" i="1"/>
  <c r="K771" i="3" s="1"/>
  <c r="K772" i="1"/>
  <c r="K772" i="3" s="1"/>
  <c r="K773" i="1"/>
  <c r="K773" i="3" s="1"/>
  <c r="K774" i="1"/>
  <c r="K774" i="3" s="1"/>
  <c r="K775" i="1"/>
  <c r="K775" i="3" s="1"/>
  <c r="K776" i="1"/>
  <c r="K776" i="3" s="1"/>
  <c r="K777" i="1"/>
  <c r="K777" i="3" s="1"/>
  <c r="K778" i="1"/>
  <c r="K778" i="3" s="1"/>
  <c r="K779" i="1"/>
  <c r="K779" i="3" s="1"/>
  <c r="K780" i="1"/>
  <c r="K780" i="3" s="1"/>
  <c r="K781" i="1"/>
  <c r="K781" i="3" s="1"/>
  <c r="K782" i="1"/>
  <c r="K782" i="3" s="1"/>
  <c r="K783" i="1"/>
  <c r="K783" i="3" s="1"/>
  <c r="K784" i="1"/>
  <c r="K784" i="3" s="1"/>
  <c r="K785" i="1"/>
  <c r="K785" i="3" s="1"/>
  <c r="K786" i="1"/>
  <c r="K786" i="3" s="1"/>
  <c r="K787" i="1"/>
  <c r="K787" i="3" s="1"/>
  <c r="K788" i="1"/>
  <c r="K788" i="3" s="1"/>
  <c r="K789" i="1"/>
  <c r="K789" i="3" s="1"/>
  <c r="K790" i="1"/>
  <c r="K790" i="3" s="1"/>
  <c r="K791" i="1"/>
  <c r="K791" i="3" s="1"/>
  <c r="K792" i="1"/>
  <c r="K792" i="3" s="1"/>
  <c r="K793" i="1"/>
  <c r="K793" i="3" s="1"/>
  <c r="K794" i="1"/>
  <c r="K794" i="3" s="1"/>
  <c r="K795" i="1"/>
  <c r="K795" i="3" s="1"/>
  <c r="K796" i="1"/>
  <c r="K796" i="3" s="1"/>
  <c r="K797" i="1"/>
  <c r="K797" i="3" s="1"/>
  <c r="K798" i="1"/>
  <c r="K798" i="3" s="1"/>
  <c r="K799" i="1"/>
  <c r="K799" i="3" s="1"/>
  <c r="K800" i="1"/>
  <c r="K800" i="3" s="1"/>
  <c r="L34" i="1"/>
  <c r="L34" i="3" s="1"/>
  <c r="L35" i="1"/>
  <c r="L35" i="3" s="1"/>
  <c r="L36" i="1"/>
  <c r="L36" i="3" s="1"/>
  <c r="L37" i="1"/>
  <c r="L37" i="3" s="1"/>
  <c r="L38" i="1"/>
  <c r="L38" i="3" s="1"/>
  <c r="L39" i="1"/>
  <c r="L39" i="3" s="1"/>
  <c r="L40" i="1"/>
  <c r="L40" i="3" s="1"/>
  <c r="L41" i="1"/>
  <c r="L41" i="3" s="1"/>
  <c r="L42" i="1"/>
  <c r="L42" i="3" s="1"/>
  <c r="L43" i="1"/>
  <c r="L43" i="3" s="1"/>
  <c r="L44" i="1"/>
  <c r="L44" i="3" s="1"/>
  <c r="L45" i="1"/>
  <c r="L45" i="3" s="1"/>
  <c r="L46" i="1"/>
  <c r="L46" i="3" s="1"/>
  <c r="L47" i="1"/>
  <c r="L47" i="3" s="1"/>
  <c r="L48" i="1"/>
  <c r="L48" i="3" s="1"/>
  <c r="L49" i="1"/>
  <c r="L49" i="3" s="1"/>
  <c r="L50" i="1"/>
  <c r="L50" i="3" s="1"/>
  <c r="L51" i="1"/>
  <c r="L51" i="3" s="1"/>
  <c r="L52" i="1"/>
  <c r="L52" i="3" s="1"/>
  <c r="L53" i="1"/>
  <c r="L53" i="3" s="1"/>
  <c r="L54" i="1"/>
  <c r="L54" i="3" s="1"/>
  <c r="L55" i="1"/>
  <c r="L55" i="3" s="1"/>
  <c r="L56" i="1"/>
  <c r="L56" i="3" s="1"/>
  <c r="L57" i="1"/>
  <c r="L57" i="3" s="1"/>
  <c r="L58" i="1"/>
  <c r="L58" i="3" s="1"/>
  <c r="L59" i="1"/>
  <c r="L59" i="3" s="1"/>
  <c r="L60" i="1"/>
  <c r="L60" i="3" s="1"/>
  <c r="L61" i="1"/>
  <c r="L61" i="3" s="1"/>
  <c r="L62" i="1"/>
  <c r="L62" i="3" s="1"/>
  <c r="L63" i="1"/>
  <c r="L63" i="3" s="1"/>
  <c r="L64" i="1"/>
  <c r="L64" i="3" s="1"/>
  <c r="L65" i="1"/>
  <c r="L65" i="3" s="1"/>
  <c r="L66" i="1"/>
  <c r="L66" i="3" s="1"/>
  <c r="L67" i="1"/>
  <c r="L67" i="3" s="1"/>
  <c r="L68" i="1"/>
  <c r="L68" i="3" s="1"/>
  <c r="L69" i="1"/>
  <c r="L69" i="3" s="1"/>
  <c r="L70" i="1"/>
  <c r="L70" i="3" s="1"/>
  <c r="L71" i="1"/>
  <c r="L71" i="3" s="1"/>
  <c r="L72" i="1"/>
  <c r="L72" i="3" s="1"/>
  <c r="L73" i="1"/>
  <c r="L73" i="3" s="1"/>
  <c r="L74" i="1"/>
  <c r="L74" i="3" s="1"/>
  <c r="L75" i="1"/>
  <c r="L75" i="3" s="1"/>
  <c r="L76" i="1"/>
  <c r="L76" i="3" s="1"/>
  <c r="L77" i="1"/>
  <c r="L77" i="3" s="1"/>
  <c r="L78" i="1"/>
  <c r="L78" i="3" s="1"/>
  <c r="L79" i="1"/>
  <c r="L79" i="3" s="1"/>
  <c r="L80" i="1"/>
  <c r="L80" i="3" s="1"/>
  <c r="L81" i="1"/>
  <c r="L81" i="3" s="1"/>
  <c r="L82" i="1"/>
  <c r="L82" i="3" s="1"/>
  <c r="L83" i="1"/>
  <c r="L83" i="3" s="1"/>
  <c r="L84" i="1"/>
  <c r="L84" i="3" s="1"/>
  <c r="L85" i="1"/>
  <c r="L85" i="3" s="1"/>
  <c r="L86" i="1"/>
  <c r="L86" i="3" s="1"/>
  <c r="L87" i="1"/>
  <c r="L87" i="3" s="1"/>
  <c r="L88" i="1"/>
  <c r="L88" i="3" s="1"/>
  <c r="L89" i="1"/>
  <c r="L89" i="3" s="1"/>
  <c r="L90" i="1"/>
  <c r="L90" i="3" s="1"/>
  <c r="L91" i="1"/>
  <c r="L91" i="3" s="1"/>
  <c r="L92" i="1"/>
  <c r="L92" i="3" s="1"/>
  <c r="L93" i="1"/>
  <c r="L93" i="3" s="1"/>
  <c r="L94" i="1"/>
  <c r="L94" i="3" s="1"/>
  <c r="L95" i="1"/>
  <c r="L95" i="3" s="1"/>
  <c r="L96" i="1"/>
  <c r="L96" i="3" s="1"/>
  <c r="L97" i="1"/>
  <c r="L97" i="3" s="1"/>
  <c r="L98" i="1"/>
  <c r="L98" i="3" s="1"/>
  <c r="L99" i="1"/>
  <c r="L99" i="3" s="1"/>
  <c r="L100" i="1"/>
  <c r="L100" i="3" s="1"/>
  <c r="L101" i="1"/>
  <c r="L101" i="3" s="1"/>
  <c r="L102" i="1"/>
  <c r="L102" i="3" s="1"/>
  <c r="L103" i="1"/>
  <c r="L103" i="3" s="1"/>
  <c r="L104" i="1"/>
  <c r="L104" i="3" s="1"/>
  <c r="L105" i="1"/>
  <c r="L105" i="3" s="1"/>
  <c r="L106" i="1"/>
  <c r="L106" i="3" s="1"/>
  <c r="L107" i="1"/>
  <c r="L107" i="3" s="1"/>
  <c r="L108" i="1"/>
  <c r="L108" i="3" s="1"/>
  <c r="L109" i="1"/>
  <c r="L109" i="3" s="1"/>
  <c r="L110" i="1"/>
  <c r="L110" i="3" s="1"/>
  <c r="L111" i="1"/>
  <c r="L111" i="3" s="1"/>
  <c r="L112" i="1"/>
  <c r="L112" i="3" s="1"/>
  <c r="L113" i="1"/>
  <c r="L113" i="3" s="1"/>
  <c r="L114" i="1"/>
  <c r="L114" i="3" s="1"/>
  <c r="L115" i="1"/>
  <c r="L115" i="3" s="1"/>
  <c r="L116" i="1"/>
  <c r="L116" i="3" s="1"/>
  <c r="L117" i="1"/>
  <c r="L117" i="3" s="1"/>
  <c r="L118" i="1"/>
  <c r="L118" i="3" s="1"/>
  <c r="L119" i="1"/>
  <c r="L119" i="3" s="1"/>
  <c r="L120" i="1"/>
  <c r="L120" i="3" s="1"/>
  <c r="L121" i="1"/>
  <c r="L121" i="3" s="1"/>
  <c r="L122" i="1"/>
  <c r="L122" i="3" s="1"/>
  <c r="L123" i="1"/>
  <c r="L123" i="3" s="1"/>
  <c r="L124" i="1"/>
  <c r="L124" i="3" s="1"/>
  <c r="L125" i="1"/>
  <c r="L125" i="3" s="1"/>
  <c r="L126" i="1"/>
  <c r="L126" i="3" s="1"/>
  <c r="L127" i="1"/>
  <c r="L127" i="3" s="1"/>
  <c r="L128" i="1"/>
  <c r="L128" i="3" s="1"/>
  <c r="L129" i="1"/>
  <c r="L129" i="3" s="1"/>
  <c r="L130" i="1"/>
  <c r="L130" i="3" s="1"/>
  <c r="L131" i="1"/>
  <c r="L131" i="3" s="1"/>
  <c r="L132" i="1"/>
  <c r="L132" i="3" s="1"/>
  <c r="L133" i="1"/>
  <c r="L133" i="3" s="1"/>
  <c r="L134" i="1"/>
  <c r="L134" i="3" s="1"/>
  <c r="L135" i="1"/>
  <c r="L135" i="3" s="1"/>
  <c r="L136" i="1"/>
  <c r="L136" i="3" s="1"/>
  <c r="L137" i="1"/>
  <c r="L137" i="3" s="1"/>
  <c r="L138" i="1"/>
  <c r="L138" i="3" s="1"/>
  <c r="L139" i="1"/>
  <c r="L139" i="3" s="1"/>
  <c r="L140" i="1"/>
  <c r="L140" i="3" s="1"/>
  <c r="L141" i="1"/>
  <c r="L141" i="3" s="1"/>
  <c r="L142" i="1"/>
  <c r="L142" i="3" s="1"/>
  <c r="L143" i="1"/>
  <c r="L143" i="3" s="1"/>
  <c r="L144" i="1"/>
  <c r="L144" i="3" s="1"/>
  <c r="L145" i="1"/>
  <c r="L145" i="3" s="1"/>
  <c r="L146" i="1"/>
  <c r="L146" i="3" s="1"/>
  <c r="L147" i="1"/>
  <c r="L147" i="3" s="1"/>
  <c r="L148" i="1"/>
  <c r="L148" i="3" s="1"/>
  <c r="L149" i="1"/>
  <c r="L149" i="3" s="1"/>
  <c r="L150" i="1"/>
  <c r="L150" i="3" s="1"/>
  <c r="L151" i="1"/>
  <c r="L151" i="3" s="1"/>
  <c r="L152" i="1"/>
  <c r="L152" i="3" s="1"/>
  <c r="L153" i="1"/>
  <c r="L153" i="3" s="1"/>
  <c r="L154" i="1"/>
  <c r="L154" i="3" s="1"/>
  <c r="L155" i="1"/>
  <c r="L155" i="3" s="1"/>
  <c r="L156" i="1"/>
  <c r="L156" i="3" s="1"/>
  <c r="L157" i="1"/>
  <c r="L157" i="3" s="1"/>
  <c r="L158" i="1"/>
  <c r="L158" i="3" s="1"/>
  <c r="L159" i="1"/>
  <c r="L159" i="3" s="1"/>
  <c r="L160" i="1"/>
  <c r="L160" i="3" s="1"/>
  <c r="L161" i="1"/>
  <c r="L161" i="3" s="1"/>
  <c r="L162" i="1"/>
  <c r="L162" i="3" s="1"/>
  <c r="L163" i="1"/>
  <c r="L163" i="3" s="1"/>
  <c r="L164" i="1"/>
  <c r="L164" i="3" s="1"/>
  <c r="L165" i="1"/>
  <c r="L165" i="3" s="1"/>
  <c r="L166" i="1"/>
  <c r="L166" i="3" s="1"/>
  <c r="L167" i="1"/>
  <c r="L167" i="3" s="1"/>
  <c r="L168" i="1"/>
  <c r="L168" i="3" s="1"/>
  <c r="L169" i="1"/>
  <c r="L169" i="3" s="1"/>
  <c r="L170" i="1"/>
  <c r="L170" i="3" s="1"/>
  <c r="L171" i="1"/>
  <c r="L171" i="3" s="1"/>
  <c r="L172" i="1"/>
  <c r="L172" i="3" s="1"/>
  <c r="L173" i="1"/>
  <c r="L173" i="3" s="1"/>
  <c r="L174" i="1"/>
  <c r="L174" i="3" s="1"/>
  <c r="L175" i="1"/>
  <c r="L175" i="3" s="1"/>
  <c r="L176" i="1"/>
  <c r="L176" i="3" s="1"/>
  <c r="L177" i="1"/>
  <c r="L177" i="3" s="1"/>
  <c r="L178" i="1"/>
  <c r="L178" i="3" s="1"/>
  <c r="L179" i="1"/>
  <c r="L179" i="3" s="1"/>
  <c r="L180" i="1"/>
  <c r="L180" i="3" s="1"/>
  <c r="L181" i="1"/>
  <c r="L181" i="3" s="1"/>
  <c r="L182" i="1"/>
  <c r="L182" i="3" s="1"/>
  <c r="L183" i="1"/>
  <c r="L183" i="3" s="1"/>
  <c r="L184" i="1"/>
  <c r="L184" i="3" s="1"/>
  <c r="L185" i="1"/>
  <c r="L185" i="3" s="1"/>
  <c r="L186" i="1"/>
  <c r="L186" i="3" s="1"/>
  <c r="L187" i="1"/>
  <c r="L187" i="3" s="1"/>
  <c r="L188" i="1"/>
  <c r="L188" i="3" s="1"/>
  <c r="L189" i="1"/>
  <c r="L189" i="3" s="1"/>
  <c r="L190" i="1"/>
  <c r="L190" i="3" s="1"/>
  <c r="L191" i="1"/>
  <c r="L191" i="3" s="1"/>
  <c r="L192" i="1"/>
  <c r="L192" i="3" s="1"/>
  <c r="L193" i="1"/>
  <c r="L193" i="3" s="1"/>
  <c r="L194" i="1"/>
  <c r="L194" i="3" s="1"/>
  <c r="L195" i="1"/>
  <c r="L195" i="3" s="1"/>
  <c r="L196" i="1"/>
  <c r="L196" i="3" s="1"/>
  <c r="L197" i="1"/>
  <c r="L197" i="3" s="1"/>
  <c r="L198" i="1"/>
  <c r="L198" i="3" s="1"/>
  <c r="L199" i="1"/>
  <c r="L199" i="3" s="1"/>
  <c r="L200" i="1"/>
  <c r="L200" i="3" s="1"/>
  <c r="L201" i="1"/>
  <c r="L201" i="3" s="1"/>
  <c r="L202" i="1"/>
  <c r="L202" i="3" s="1"/>
  <c r="L203" i="1"/>
  <c r="L203" i="3" s="1"/>
  <c r="L204" i="1"/>
  <c r="L204" i="3" s="1"/>
  <c r="L205" i="1"/>
  <c r="L205" i="3" s="1"/>
  <c r="L206" i="1"/>
  <c r="L206" i="3" s="1"/>
  <c r="L207" i="1"/>
  <c r="L207" i="3" s="1"/>
  <c r="L208" i="1"/>
  <c r="L208" i="3" s="1"/>
  <c r="L209" i="1"/>
  <c r="L209" i="3" s="1"/>
  <c r="L210" i="1"/>
  <c r="L210" i="3" s="1"/>
  <c r="L211" i="1"/>
  <c r="L211" i="3" s="1"/>
  <c r="L212" i="1"/>
  <c r="L212" i="3" s="1"/>
  <c r="L213" i="1"/>
  <c r="L213" i="3" s="1"/>
  <c r="L214" i="1"/>
  <c r="L214" i="3" s="1"/>
  <c r="L215" i="1"/>
  <c r="L215" i="3" s="1"/>
  <c r="L216" i="1"/>
  <c r="L216" i="3" s="1"/>
  <c r="L217" i="1"/>
  <c r="L217" i="3" s="1"/>
  <c r="L218" i="1"/>
  <c r="L218" i="3" s="1"/>
  <c r="L219" i="1"/>
  <c r="L219" i="3" s="1"/>
  <c r="L220" i="1"/>
  <c r="L220" i="3" s="1"/>
  <c r="L221" i="1"/>
  <c r="L221" i="3" s="1"/>
  <c r="L222" i="1"/>
  <c r="L222" i="3" s="1"/>
  <c r="L223" i="1"/>
  <c r="L223" i="3" s="1"/>
  <c r="L224" i="1"/>
  <c r="L224" i="3" s="1"/>
  <c r="L225" i="1"/>
  <c r="L225" i="3" s="1"/>
  <c r="L226" i="1"/>
  <c r="L226" i="3" s="1"/>
  <c r="L227" i="1"/>
  <c r="L227" i="3" s="1"/>
  <c r="L228" i="1"/>
  <c r="L228" i="3" s="1"/>
  <c r="L229" i="1"/>
  <c r="L229" i="3" s="1"/>
  <c r="L230" i="1"/>
  <c r="L230" i="3" s="1"/>
  <c r="L231" i="1"/>
  <c r="L231" i="3" s="1"/>
  <c r="L232" i="1"/>
  <c r="L232" i="3" s="1"/>
  <c r="L233" i="1"/>
  <c r="L233" i="3" s="1"/>
  <c r="L234" i="1"/>
  <c r="L234" i="3" s="1"/>
  <c r="L235" i="1"/>
  <c r="L235" i="3" s="1"/>
  <c r="L236" i="1"/>
  <c r="L236" i="3" s="1"/>
  <c r="L237" i="1"/>
  <c r="L237" i="3" s="1"/>
  <c r="L238" i="1"/>
  <c r="L238" i="3" s="1"/>
  <c r="L239" i="1"/>
  <c r="L239" i="3" s="1"/>
  <c r="L240" i="1"/>
  <c r="L240" i="3" s="1"/>
  <c r="L241" i="1"/>
  <c r="L241" i="3" s="1"/>
  <c r="L242" i="1"/>
  <c r="L242" i="3" s="1"/>
  <c r="L243" i="1"/>
  <c r="L243" i="3" s="1"/>
  <c r="L244" i="1"/>
  <c r="L244" i="3" s="1"/>
  <c r="L245" i="1"/>
  <c r="L245" i="3" s="1"/>
  <c r="L246" i="1"/>
  <c r="L246" i="3" s="1"/>
  <c r="L247" i="1"/>
  <c r="L247" i="3" s="1"/>
  <c r="L248" i="1"/>
  <c r="L248" i="3" s="1"/>
  <c r="L249" i="1"/>
  <c r="L249" i="3" s="1"/>
  <c r="L250" i="1"/>
  <c r="L250" i="3" s="1"/>
  <c r="L251" i="1"/>
  <c r="L251" i="3" s="1"/>
  <c r="L252" i="1"/>
  <c r="L252" i="3" s="1"/>
  <c r="L253" i="1"/>
  <c r="L253" i="3" s="1"/>
  <c r="L254" i="1"/>
  <c r="L254" i="3" s="1"/>
  <c r="L255" i="1"/>
  <c r="L255" i="3" s="1"/>
  <c r="L256" i="1"/>
  <c r="L256" i="3" s="1"/>
  <c r="L257" i="1"/>
  <c r="L257" i="3" s="1"/>
  <c r="L258" i="1"/>
  <c r="L258" i="3" s="1"/>
  <c r="L259" i="1"/>
  <c r="L259" i="3" s="1"/>
  <c r="L260" i="1"/>
  <c r="L260" i="3" s="1"/>
  <c r="L261" i="1"/>
  <c r="L261" i="3" s="1"/>
  <c r="L262" i="1"/>
  <c r="L262" i="3" s="1"/>
  <c r="L263" i="1"/>
  <c r="L263" i="3" s="1"/>
  <c r="L264" i="1"/>
  <c r="L264" i="3" s="1"/>
  <c r="L265" i="1"/>
  <c r="L265" i="3" s="1"/>
  <c r="L266" i="1"/>
  <c r="L266" i="3" s="1"/>
  <c r="L267" i="1"/>
  <c r="L267" i="3" s="1"/>
  <c r="L268" i="1"/>
  <c r="L268" i="3" s="1"/>
  <c r="L269" i="1"/>
  <c r="L269" i="3" s="1"/>
  <c r="L270" i="1"/>
  <c r="L270" i="3" s="1"/>
  <c r="L271" i="1"/>
  <c r="L271" i="3" s="1"/>
  <c r="L272" i="1"/>
  <c r="L272" i="3" s="1"/>
  <c r="L273" i="1"/>
  <c r="L273" i="3" s="1"/>
  <c r="L274" i="1"/>
  <c r="L274" i="3" s="1"/>
  <c r="L275" i="1"/>
  <c r="L275" i="3" s="1"/>
  <c r="L276" i="1"/>
  <c r="L276" i="3" s="1"/>
  <c r="L277" i="1"/>
  <c r="L277" i="3" s="1"/>
  <c r="L278" i="1"/>
  <c r="L278" i="3" s="1"/>
  <c r="L279" i="1"/>
  <c r="L279" i="3" s="1"/>
  <c r="L280" i="1"/>
  <c r="L280" i="3" s="1"/>
  <c r="L281" i="1"/>
  <c r="L281" i="3" s="1"/>
  <c r="L282" i="1"/>
  <c r="L282" i="3" s="1"/>
  <c r="L283" i="1"/>
  <c r="L283" i="3" s="1"/>
  <c r="L284" i="1"/>
  <c r="L284" i="3" s="1"/>
  <c r="L285" i="1"/>
  <c r="L285" i="3" s="1"/>
  <c r="L286" i="1"/>
  <c r="L286" i="3" s="1"/>
  <c r="L287" i="1"/>
  <c r="L287" i="3" s="1"/>
  <c r="L288" i="1"/>
  <c r="L288" i="3" s="1"/>
  <c r="L289" i="1"/>
  <c r="L289" i="3" s="1"/>
  <c r="L290" i="1"/>
  <c r="L290" i="3" s="1"/>
  <c r="L291" i="1"/>
  <c r="L291" i="3" s="1"/>
  <c r="L292" i="1"/>
  <c r="L292" i="3" s="1"/>
  <c r="L293" i="1"/>
  <c r="L293" i="3" s="1"/>
  <c r="L294" i="1"/>
  <c r="L294" i="3" s="1"/>
  <c r="L295" i="1"/>
  <c r="L295" i="3" s="1"/>
  <c r="L296" i="1"/>
  <c r="L296" i="3" s="1"/>
  <c r="L297" i="1"/>
  <c r="L297" i="3" s="1"/>
  <c r="L298" i="1"/>
  <c r="L298" i="3" s="1"/>
  <c r="L299" i="1"/>
  <c r="L299" i="3" s="1"/>
  <c r="L300" i="1"/>
  <c r="L300" i="3" s="1"/>
  <c r="L301" i="1"/>
  <c r="L301" i="3" s="1"/>
  <c r="L302" i="1"/>
  <c r="L302" i="3" s="1"/>
  <c r="L303" i="1"/>
  <c r="L303" i="3" s="1"/>
  <c r="L304" i="1"/>
  <c r="L304" i="3" s="1"/>
  <c r="L305" i="1"/>
  <c r="L305" i="3" s="1"/>
  <c r="L306" i="1"/>
  <c r="L306" i="3" s="1"/>
  <c r="L307" i="1"/>
  <c r="L307" i="3" s="1"/>
  <c r="L308" i="1"/>
  <c r="L308" i="3" s="1"/>
  <c r="L309" i="1"/>
  <c r="L309" i="3" s="1"/>
  <c r="L310" i="1"/>
  <c r="L310" i="3" s="1"/>
  <c r="L311" i="1"/>
  <c r="L311" i="3" s="1"/>
  <c r="L312" i="1"/>
  <c r="L312" i="3" s="1"/>
  <c r="L313" i="1"/>
  <c r="L313" i="3" s="1"/>
  <c r="L314" i="1"/>
  <c r="L314" i="3" s="1"/>
  <c r="L315" i="1"/>
  <c r="L315" i="3" s="1"/>
  <c r="L316" i="1"/>
  <c r="L316" i="3" s="1"/>
  <c r="L317" i="1"/>
  <c r="L317" i="3" s="1"/>
  <c r="L318" i="1"/>
  <c r="L318" i="3" s="1"/>
  <c r="L319" i="1"/>
  <c r="L319" i="3" s="1"/>
  <c r="L320" i="1"/>
  <c r="L320" i="3" s="1"/>
  <c r="L321" i="1"/>
  <c r="L321" i="3" s="1"/>
  <c r="L322" i="1"/>
  <c r="L322" i="3" s="1"/>
  <c r="L323" i="1"/>
  <c r="L323" i="3" s="1"/>
  <c r="L324" i="1"/>
  <c r="L324" i="3" s="1"/>
  <c r="L325" i="1"/>
  <c r="L325" i="3" s="1"/>
  <c r="L326" i="1"/>
  <c r="L326" i="3" s="1"/>
  <c r="L327" i="1"/>
  <c r="L327" i="3" s="1"/>
  <c r="L328" i="1"/>
  <c r="L328" i="3" s="1"/>
  <c r="L329" i="1"/>
  <c r="L329" i="3" s="1"/>
  <c r="L330" i="1"/>
  <c r="L330" i="3" s="1"/>
  <c r="L331" i="1"/>
  <c r="L331" i="3" s="1"/>
  <c r="L332" i="1"/>
  <c r="L332" i="3" s="1"/>
  <c r="L333" i="1"/>
  <c r="L333" i="3" s="1"/>
  <c r="L334" i="1"/>
  <c r="L334" i="3" s="1"/>
  <c r="L335" i="1"/>
  <c r="L335" i="3" s="1"/>
  <c r="L336" i="1"/>
  <c r="L336" i="3" s="1"/>
  <c r="L337" i="1"/>
  <c r="L337" i="3" s="1"/>
  <c r="L338" i="1"/>
  <c r="L338" i="3" s="1"/>
  <c r="L339" i="1"/>
  <c r="L339" i="3" s="1"/>
  <c r="L340" i="1"/>
  <c r="L340" i="3" s="1"/>
  <c r="L341" i="1"/>
  <c r="L341" i="3" s="1"/>
  <c r="L342" i="1"/>
  <c r="L342" i="3" s="1"/>
  <c r="L343" i="1"/>
  <c r="L343" i="3" s="1"/>
  <c r="L344" i="1"/>
  <c r="L344" i="3" s="1"/>
  <c r="L345" i="1"/>
  <c r="L345" i="3" s="1"/>
  <c r="L346" i="1"/>
  <c r="L346" i="3" s="1"/>
  <c r="L347" i="1"/>
  <c r="L347" i="3" s="1"/>
  <c r="L348" i="1"/>
  <c r="L348" i="3" s="1"/>
  <c r="L349" i="1"/>
  <c r="L349" i="3" s="1"/>
  <c r="L350" i="1"/>
  <c r="L350" i="3" s="1"/>
  <c r="L351" i="1"/>
  <c r="L351" i="3" s="1"/>
  <c r="L352" i="1"/>
  <c r="L352" i="3" s="1"/>
  <c r="L353" i="1"/>
  <c r="L353" i="3" s="1"/>
  <c r="L354" i="1"/>
  <c r="L354" i="3" s="1"/>
  <c r="L355" i="1"/>
  <c r="L355" i="3" s="1"/>
  <c r="L356" i="1"/>
  <c r="L356" i="3" s="1"/>
  <c r="L357" i="1"/>
  <c r="L357" i="3" s="1"/>
  <c r="L358" i="1"/>
  <c r="L358" i="3" s="1"/>
  <c r="L359" i="1"/>
  <c r="L359" i="3" s="1"/>
  <c r="L360" i="1"/>
  <c r="L360" i="3" s="1"/>
  <c r="L361" i="1"/>
  <c r="L361" i="3" s="1"/>
  <c r="L362" i="1"/>
  <c r="L362" i="3" s="1"/>
  <c r="L363" i="1"/>
  <c r="L363" i="3" s="1"/>
  <c r="L364" i="1"/>
  <c r="L364" i="3" s="1"/>
  <c r="L365" i="1"/>
  <c r="L365" i="3" s="1"/>
  <c r="L366" i="1"/>
  <c r="L366" i="3" s="1"/>
  <c r="L367" i="1"/>
  <c r="L367" i="3" s="1"/>
  <c r="L368" i="1"/>
  <c r="L368" i="3" s="1"/>
  <c r="L369" i="1"/>
  <c r="L369" i="3" s="1"/>
  <c r="L370" i="1"/>
  <c r="L370" i="3" s="1"/>
  <c r="L371" i="1"/>
  <c r="L371" i="3" s="1"/>
  <c r="L372" i="1"/>
  <c r="L372" i="3" s="1"/>
  <c r="L373" i="1"/>
  <c r="L373" i="3" s="1"/>
  <c r="L374" i="1"/>
  <c r="L374" i="3" s="1"/>
  <c r="L375" i="1"/>
  <c r="L375" i="3" s="1"/>
  <c r="L376" i="1"/>
  <c r="L376" i="3" s="1"/>
  <c r="L377" i="1"/>
  <c r="L377" i="3" s="1"/>
  <c r="L378" i="1"/>
  <c r="L378" i="3" s="1"/>
  <c r="L379" i="1"/>
  <c r="L379" i="3" s="1"/>
  <c r="L380" i="1"/>
  <c r="L380" i="3" s="1"/>
  <c r="L381" i="1"/>
  <c r="L381" i="3" s="1"/>
  <c r="L382" i="1"/>
  <c r="L382" i="3" s="1"/>
  <c r="L383" i="1"/>
  <c r="L383" i="3" s="1"/>
  <c r="L384" i="1"/>
  <c r="L384" i="3" s="1"/>
  <c r="L385" i="1"/>
  <c r="L385" i="3" s="1"/>
  <c r="L386" i="1"/>
  <c r="L386" i="3" s="1"/>
  <c r="L387" i="1"/>
  <c r="L387" i="3" s="1"/>
  <c r="L388" i="1"/>
  <c r="L388" i="3" s="1"/>
  <c r="L389" i="1"/>
  <c r="L389" i="3" s="1"/>
  <c r="L390" i="1"/>
  <c r="L390" i="3" s="1"/>
  <c r="L391" i="1"/>
  <c r="L391" i="3" s="1"/>
  <c r="L392" i="1"/>
  <c r="L392" i="3" s="1"/>
  <c r="L393" i="1"/>
  <c r="L393" i="3" s="1"/>
  <c r="L394" i="1"/>
  <c r="L394" i="3" s="1"/>
  <c r="L395" i="1"/>
  <c r="L395" i="3" s="1"/>
  <c r="L396" i="1"/>
  <c r="L396" i="3" s="1"/>
  <c r="L397" i="1"/>
  <c r="L397" i="3" s="1"/>
  <c r="L398" i="1"/>
  <c r="L398" i="3" s="1"/>
  <c r="L399" i="1"/>
  <c r="L399" i="3" s="1"/>
  <c r="L400" i="1"/>
  <c r="L400" i="3" s="1"/>
  <c r="L401" i="1"/>
  <c r="L401" i="3" s="1"/>
  <c r="L402" i="1"/>
  <c r="L402" i="3" s="1"/>
  <c r="L403" i="1"/>
  <c r="L403" i="3" s="1"/>
  <c r="L404" i="1"/>
  <c r="L404" i="3" s="1"/>
  <c r="L405" i="1"/>
  <c r="L405" i="3" s="1"/>
  <c r="L406" i="1"/>
  <c r="L406" i="3" s="1"/>
  <c r="L407" i="1"/>
  <c r="L407" i="3" s="1"/>
  <c r="L408" i="1"/>
  <c r="L408" i="3" s="1"/>
  <c r="L409" i="1"/>
  <c r="L409" i="3" s="1"/>
  <c r="L410" i="1"/>
  <c r="L410" i="3" s="1"/>
  <c r="L411" i="1"/>
  <c r="L411" i="3" s="1"/>
  <c r="L412" i="1"/>
  <c r="L412" i="3" s="1"/>
  <c r="L413" i="1"/>
  <c r="L413" i="3" s="1"/>
  <c r="L414" i="1"/>
  <c r="L414" i="3" s="1"/>
  <c r="L415" i="1"/>
  <c r="L415" i="3" s="1"/>
  <c r="L416" i="1"/>
  <c r="L416" i="3" s="1"/>
  <c r="L417" i="1"/>
  <c r="L417" i="3" s="1"/>
  <c r="L418" i="1"/>
  <c r="L418" i="3" s="1"/>
  <c r="L419" i="1"/>
  <c r="L419" i="3" s="1"/>
  <c r="L420" i="1"/>
  <c r="L420" i="3" s="1"/>
  <c r="L421" i="1"/>
  <c r="L421" i="3" s="1"/>
  <c r="L422" i="1"/>
  <c r="L422" i="3" s="1"/>
  <c r="L423" i="1"/>
  <c r="L423" i="3" s="1"/>
  <c r="L424" i="1"/>
  <c r="L424" i="3" s="1"/>
  <c r="L425" i="1"/>
  <c r="L425" i="3" s="1"/>
  <c r="L426" i="1"/>
  <c r="L426" i="3" s="1"/>
  <c r="L427" i="1"/>
  <c r="L427" i="3" s="1"/>
  <c r="L428" i="1"/>
  <c r="L428" i="3" s="1"/>
  <c r="L429" i="1"/>
  <c r="L429" i="3" s="1"/>
  <c r="L430" i="1"/>
  <c r="L430" i="3" s="1"/>
  <c r="L431" i="1"/>
  <c r="L431" i="3" s="1"/>
  <c r="L432" i="1"/>
  <c r="L432" i="3" s="1"/>
  <c r="L433" i="1"/>
  <c r="L433" i="3" s="1"/>
  <c r="L434" i="1"/>
  <c r="L434" i="3" s="1"/>
  <c r="L435" i="1"/>
  <c r="L435" i="3" s="1"/>
  <c r="L436" i="1"/>
  <c r="L436" i="3" s="1"/>
  <c r="L437" i="1"/>
  <c r="L437" i="3" s="1"/>
  <c r="L438" i="1"/>
  <c r="L438" i="3" s="1"/>
  <c r="L439" i="1"/>
  <c r="L439" i="3" s="1"/>
  <c r="L440" i="1"/>
  <c r="L440" i="3" s="1"/>
  <c r="L441" i="1"/>
  <c r="L441" i="3" s="1"/>
  <c r="L442" i="1"/>
  <c r="L442" i="3" s="1"/>
  <c r="L443" i="1"/>
  <c r="L443" i="3" s="1"/>
  <c r="L444" i="1"/>
  <c r="L444" i="3" s="1"/>
  <c r="L445" i="1"/>
  <c r="L445" i="3" s="1"/>
  <c r="L446" i="1"/>
  <c r="L446" i="3" s="1"/>
  <c r="L447" i="1"/>
  <c r="L447" i="3" s="1"/>
  <c r="L448" i="1"/>
  <c r="L448" i="3" s="1"/>
  <c r="L449" i="1"/>
  <c r="L449" i="3" s="1"/>
  <c r="L450" i="1"/>
  <c r="L450" i="3" s="1"/>
  <c r="L451" i="1"/>
  <c r="L451" i="3" s="1"/>
  <c r="L452" i="1"/>
  <c r="L452" i="3" s="1"/>
  <c r="L453" i="1"/>
  <c r="L453" i="3" s="1"/>
  <c r="L454" i="1"/>
  <c r="L454" i="3" s="1"/>
  <c r="L455" i="1"/>
  <c r="L455" i="3" s="1"/>
  <c r="L456" i="1"/>
  <c r="L456" i="3" s="1"/>
  <c r="L457" i="1"/>
  <c r="L457" i="3" s="1"/>
  <c r="L458" i="1"/>
  <c r="L458" i="3" s="1"/>
  <c r="L459" i="1"/>
  <c r="L459" i="3" s="1"/>
  <c r="L460" i="1"/>
  <c r="L460" i="3" s="1"/>
  <c r="L461" i="1"/>
  <c r="L461" i="3" s="1"/>
  <c r="L462" i="1"/>
  <c r="L462" i="3" s="1"/>
  <c r="L463" i="1"/>
  <c r="L463" i="3" s="1"/>
  <c r="L464" i="1"/>
  <c r="L464" i="3" s="1"/>
  <c r="L465" i="1"/>
  <c r="L465" i="3" s="1"/>
  <c r="L466" i="1"/>
  <c r="L466" i="3" s="1"/>
  <c r="L467" i="1"/>
  <c r="L467" i="3" s="1"/>
  <c r="L468" i="1"/>
  <c r="L468" i="3" s="1"/>
  <c r="L469" i="1"/>
  <c r="L469" i="3" s="1"/>
  <c r="L470" i="1"/>
  <c r="L470" i="3" s="1"/>
  <c r="L471" i="1"/>
  <c r="L471" i="3" s="1"/>
  <c r="L472" i="1"/>
  <c r="L472" i="3" s="1"/>
  <c r="L473" i="1"/>
  <c r="L473" i="3" s="1"/>
  <c r="L474" i="1"/>
  <c r="L474" i="3" s="1"/>
  <c r="L475" i="1"/>
  <c r="L475" i="3" s="1"/>
  <c r="L476" i="1"/>
  <c r="L476" i="3" s="1"/>
  <c r="L477" i="1"/>
  <c r="L477" i="3" s="1"/>
  <c r="L478" i="1"/>
  <c r="L478" i="3" s="1"/>
  <c r="L479" i="1"/>
  <c r="L479" i="3" s="1"/>
  <c r="L480" i="1"/>
  <c r="L480" i="3" s="1"/>
  <c r="L481" i="1"/>
  <c r="L481" i="3" s="1"/>
  <c r="L482" i="1"/>
  <c r="L482" i="3" s="1"/>
  <c r="L483" i="1"/>
  <c r="L483" i="3" s="1"/>
  <c r="L484" i="1"/>
  <c r="L484" i="3" s="1"/>
  <c r="L485" i="1"/>
  <c r="L485" i="3" s="1"/>
  <c r="L486" i="1"/>
  <c r="L486" i="3" s="1"/>
  <c r="L487" i="1"/>
  <c r="L487" i="3" s="1"/>
  <c r="L488" i="1"/>
  <c r="L488" i="3" s="1"/>
  <c r="L489" i="1"/>
  <c r="L489" i="3" s="1"/>
  <c r="L490" i="1"/>
  <c r="L490" i="3" s="1"/>
  <c r="L491" i="1"/>
  <c r="L491" i="3" s="1"/>
  <c r="L492" i="1"/>
  <c r="L492" i="3" s="1"/>
  <c r="L493" i="1"/>
  <c r="L493" i="3" s="1"/>
  <c r="L494" i="1"/>
  <c r="L494" i="3" s="1"/>
  <c r="L495" i="1"/>
  <c r="L495" i="3" s="1"/>
  <c r="L496" i="1"/>
  <c r="L496" i="3" s="1"/>
  <c r="L497" i="1"/>
  <c r="L497" i="3" s="1"/>
  <c r="L498" i="1"/>
  <c r="L498" i="3" s="1"/>
  <c r="L499" i="1"/>
  <c r="L499" i="3" s="1"/>
  <c r="L500" i="1"/>
  <c r="L500" i="3" s="1"/>
  <c r="L501" i="1"/>
  <c r="L501" i="3" s="1"/>
  <c r="L502" i="1"/>
  <c r="L502" i="3" s="1"/>
  <c r="L503" i="1"/>
  <c r="L503" i="3" s="1"/>
  <c r="L504" i="1"/>
  <c r="L504" i="3" s="1"/>
  <c r="L505" i="1"/>
  <c r="L505" i="3" s="1"/>
  <c r="L506" i="1"/>
  <c r="L506" i="3" s="1"/>
  <c r="L507" i="1"/>
  <c r="L507" i="3" s="1"/>
  <c r="L508" i="1"/>
  <c r="L508" i="3" s="1"/>
  <c r="L509" i="1"/>
  <c r="L509" i="3" s="1"/>
  <c r="L510" i="1"/>
  <c r="L510" i="3" s="1"/>
  <c r="L511" i="1"/>
  <c r="L511" i="3" s="1"/>
  <c r="L512" i="1"/>
  <c r="L512" i="3" s="1"/>
  <c r="L513" i="1"/>
  <c r="L513" i="3" s="1"/>
  <c r="L514" i="1"/>
  <c r="L514" i="3" s="1"/>
  <c r="L515" i="1"/>
  <c r="L515" i="3" s="1"/>
  <c r="L516" i="1"/>
  <c r="L516" i="3" s="1"/>
  <c r="L517" i="1"/>
  <c r="L517" i="3" s="1"/>
  <c r="L518" i="1"/>
  <c r="L518" i="3" s="1"/>
  <c r="L519" i="1"/>
  <c r="L519" i="3" s="1"/>
  <c r="L520" i="1"/>
  <c r="L520" i="3" s="1"/>
  <c r="L521" i="1"/>
  <c r="L521" i="3" s="1"/>
  <c r="L522" i="1"/>
  <c r="L522" i="3" s="1"/>
  <c r="L523" i="1"/>
  <c r="L523" i="3" s="1"/>
  <c r="L524" i="1"/>
  <c r="L524" i="3" s="1"/>
  <c r="L525" i="1"/>
  <c r="L525" i="3" s="1"/>
  <c r="L526" i="1"/>
  <c r="L526" i="3" s="1"/>
  <c r="L527" i="1"/>
  <c r="L527" i="3" s="1"/>
  <c r="L528" i="1"/>
  <c r="L528" i="3" s="1"/>
  <c r="L529" i="1"/>
  <c r="L529" i="3" s="1"/>
  <c r="L530" i="1"/>
  <c r="L530" i="3" s="1"/>
  <c r="L531" i="1"/>
  <c r="L531" i="3" s="1"/>
  <c r="L532" i="1"/>
  <c r="L532" i="3" s="1"/>
  <c r="L533" i="1"/>
  <c r="L533" i="3" s="1"/>
  <c r="L534" i="1"/>
  <c r="L534" i="3" s="1"/>
  <c r="L535" i="1"/>
  <c r="L535" i="3" s="1"/>
  <c r="L536" i="1"/>
  <c r="L536" i="3" s="1"/>
  <c r="L537" i="1"/>
  <c r="L537" i="3" s="1"/>
  <c r="L538" i="1"/>
  <c r="L538" i="3" s="1"/>
  <c r="L539" i="1"/>
  <c r="L539" i="3" s="1"/>
  <c r="L540" i="1"/>
  <c r="L540" i="3" s="1"/>
  <c r="L541" i="1"/>
  <c r="L541" i="3" s="1"/>
  <c r="L542" i="1"/>
  <c r="L542" i="3" s="1"/>
  <c r="L543" i="1"/>
  <c r="L543" i="3" s="1"/>
  <c r="L544" i="1"/>
  <c r="L544" i="3" s="1"/>
  <c r="L545" i="1"/>
  <c r="L545" i="3" s="1"/>
  <c r="L546" i="1"/>
  <c r="L546" i="3" s="1"/>
  <c r="L547" i="1"/>
  <c r="L547" i="3" s="1"/>
  <c r="L548" i="1"/>
  <c r="L548" i="3" s="1"/>
  <c r="L549" i="1"/>
  <c r="L549" i="3" s="1"/>
  <c r="L550" i="1"/>
  <c r="L550" i="3" s="1"/>
  <c r="L551" i="1"/>
  <c r="L551" i="3" s="1"/>
  <c r="L552" i="1"/>
  <c r="L552" i="3" s="1"/>
  <c r="L553" i="1"/>
  <c r="L553" i="3" s="1"/>
  <c r="L554" i="1"/>
  <c r="L554" i="3" s="1"/>
  <c r="L555" i="1"/>
  <c r="L555" i="3" s="1"/>
  <c r="L556" i="1"/>
  <c r="L556" i="3" s="1"/>
  <c r="L557" i="1"/>
  <c r="L557" i="3" s="1"/>
  <c r="L558" i="1"/>
  <c r="L558" i="3" s="1"/>
  <c r="L559" i="1"/>
  <c r="L559" i="3" s="1"/>
  <c r="L560" i="1"/>
  <c r="L560" i="3" s="1"/>
  <c r="L561" i="1"/>
  <c r="L561" i="3" s="1"/>
  <c r="L562" i="1"/>
  <c r="L562" i="3" s="1"/>
  <c r="L563" i="1"/>
  <c r="L563" i="3" s="1"/>
  <c r="L564" i="1"/>
  <c r="L564" i="3" s="1"/>
  <c r="L565" i="1"/>
  <c r="L565" i="3" s="1"/>
  <c r="L566" i="1"/>
  <c r="L566" i="3" s="1"/>
  <c r="L567" i="1"/>
  <c r="L567" i="3" s="1"/>
  <c r="L568" i="1"/>
  <c r="L568" i="3" s="1"/>
  <c r="L569" i="1"/>
  <c r="L569" i="3" s="1"/>
  <c r="L570" i="1"/>
  <c r="L570" i="3" s="1"/>
  <c r="L571" i="1"/>
  <c r="L571" i="3" s="1"/>
  <c r="L572" i="1"/>
  <c r="L572" i="3" s="1"/>
  <c r="L573" i="1"/>
  <c r="L573" i="3" s="1"/>
  <c r="L574" i="1"/>
  <c r="L574" i="3" s="1"/>
  <c r="L575" i="1"/>
  <c r="L575" i="3" s="1"/>
  <c r="L576" i="1"/>
  <c r="L576" i="3" s="1"/>
  <c r="L577" i="1"/>
  <c r="L577" i="3" s="1"/>
  <c r="L578" i="1"/>
  <c r="L578" i="3" s="1"/>
  <c r="L579" i="1"/>
  <c r="L579" i="3" s="1"/>
  <c r="L580" i="1"/>
  <c r="L580" i="3" s="1"/>
  <c r="L581" i="1"/>
  <c r="L581" i="3" s="1"/>
  <c r="L582" i="1"/>
  <c r="L582" i="3" s="1"/>
  <c r="L583" i="1"/>
  <c r="L583" i="3" s="1"/>
  <c r="L584" i="1"/>
  <c r="L584" i="3" s="1"/>
  <c r="L585" i="1"/>
  <c r="L585" i="3" s="1"/>
  <c r="L586" i="1"/>
  <c r="L586" i="3" s="1"/>
  <c r="L587" i="1"/>
  <c r="L587" i="3" s="1"/>
  <c r="L588" i="1"/>
  <c r="L588" i="3" s="1"/>
  <c r="L589" i="1"/>
  <c r="L589" i="3" s="1"/>
  <c r="L590" i="1"/>
  <c r="L590" i="3" s="1"/>
  <c r="L591" i="1"/>
  <c r="L591" i="3" s="1"/>
  <c r="L592" i="1"/>
  <c r="L592" i="3" s="1"/>
  <c r="L593" i="1"/>
  <c r="L593" i="3" s="1"/>
  <c r="L594" i="1"/>
  <c r="L594" i="3" s="1"/>
  <c r="L595" i="1"/>
  <c r="L595" i="3" s="1"/>
  <c r="L596" i="1"/>
  <c r="L596" i="3" s="1"/>
  <c r="L597" i="1"/>
  <c r="L597" i="3" s="1"/>
  <c r="L598" i="1"/>
  <c r="L598" i="3" s="1"/>
  <c r="L599" i="1"/>
  <c r="L599" i="3" s="1"/>
  <c r="L600" i="1"/>
  <c r="L600" i="3" s="1"/>
  <c r="L601" i="1"/>
  <c r="L601" i="3" s="1"/>
  <c r="L602" i="1"/>
  <c r="L602" i="3" s="1"/>
  <c r="L603" i="1"/>
  <c r="L603" i="3" s="1"/>
  <c r="L604" i="1"/>
  <c r="L604" i="3" s="1"/>
  <c r="L605" i="1"/>
  <c r="L605" i="3" s="1"/>
  <c r="L606" i="1"/>
  <c r="L606" i="3" s="1"/>
  <c r="L607" i="1"/>
  <c r="L607" i="3" s="1"/>
  <c r="L608" i="1"/>
  <c r="L608" i="3" s="1"/>
  <c r="L609" i="1"/>
  <c r="L609" i="3" s="1"/>
  <c r="L610" i="1"/>
  <c r="L610" i="3" s="1"/>
  <c r="L611" i="1"/>
  <c r="L611" i="3" s="1"/>
  <c r="L612" i="1"/>
  <c r="L612" i="3" s="1"/>
  <c r="L613" i="1"/>
  <c r="L613" i="3" s="1"/>
  <c r="L614" i="1"/>
  <c r="L614" i="3" s="1"/>
  <c r="L615" i="1"/>
  <c r="L615" i="3" s="1"/>
  <c r="L616" i="1"/>
  <c r="L616" i="3" s="1"/>
  <c r="L617" i="1"/>
  <c r="L617" i="3" s="1"/>
  <c r="L618" i="1"/>
  <c r="L618" i="3" s="1"/>
  <c r="L619" i="1"/>
  <c r="L619" i="3" s="1"/>
  <c r="L620" i="1"/>
  <c r="L620" i="3" s="1"/>
  <c r="L621" i="1"/>
  <c r="L621" i="3" s="1"/>
  <c r="L622" i="1"/>
  <c r="L622" i="3" s="1"/>
  <c r="L623" i="1"/>
  <c r="L623" i="3" s="1"/>
  <c r="L624" i="1"/>
  <c r="L624" i="3" s="1"/>
  <c r="L625" i="1"/>
  <c r="L625" i="3" s="1"/>
  <c r="L626" i="1"/>
  <c r="L626" i="3" s="1"/>
  <c r="L627" i="1"/>
  <c r="L627" i="3" s="1"/>
  <c r="L628" i="1"/>
  <c r="L628" i="3" s="1"/>
  <c r="L629" i="1"/>
  <c r="L629" i="3" s="1"/>
  <c r="L630" i="1"/>
  <c r="L630" i="3" s="1"/>
  <c r="L631" i="1"/>
  <c r="L631" i="3" s="1"/>
  <c r="L632" i="1"/>
  <c r="L632" i="3" s="1"/>
  <c r="L633" i="1"/>
  <c r="L633" i="3" s="1"/>
  <c r="L634" i="1"/>
  <c r="L634" i="3" s="1"/>
  <c r="L635" i="1"/>
  <c r="L635" i="3" s="1"/>
  <c r="L636" i="1"/>
  <c r="L636" i="3" s="1"/>
  <c r="L637" i="1"/>
  <c r="L637" i="3" s="1"/>
  <c r="L638" i="1"/>
  <c r="L638" i="3" s="1"/>
  <c r="L639" i="1"/>
  <c r="L639" i="3" s="1"/>
  <c r="L640" i="1"/>
  <c r="L640" i="3" s="1"/>
  <c r="L641" i="1"/>
  <c r="L641" i="3" s="1"/>
  <c r="L642" i="1"/>
  <c r="L642" i="3" s="1"/>
  <c r="L643" i="1"/>
  <c r="L643" i="3" s="1"/>
  <c r="L644" i="1"/>
  <c r="L644" i="3" s="1"/>
  <c r="L645" i="1"/>
  <c r="L645" i="3" s="1"/>
  <c r="L646" i="1"/>
  <c r="L646" i="3" s="1"/>
  <c r="L647" i="1"/>
  <c r="L647" i="3" s="1"/>
  <c r="L648" i="1"/>
  <c r="L648" i="3" s="1"/>
  <c r="L649" i="1"/>
  <c r="L649" i="3" s="1"/>
  <c r="L650" i="1"/>
  <c r="L650" i="3" s="1"/>
  <c r="L651" i="1"/>
  <c r="L651" i="3" s="1"/>
  <c r="L652" i="1"/>
  <c r="L652" i="3" s="1"/>
  <c r="L653" i="1"/>
  <c r="L653" i="3" s="1"/>
  <c r="L654" i="1"/>
  <c r="L654" i="3" s="1"/>
  <c r="L655" i="1"/>
  <c r="L655" i="3" s="1"/>
  <c r="L656" i="1"/>
  <c r="L656" i="3" s="1"/>
  <c r="L657" i="1"/>
  <c r="L657" i="3" s="1"/>
  <c r="L658" i="1"/>
  <c r="L658" i="3" s="1"/>
  <c r="L659" i="1"/>
  <c r="L659" i="3" s="1"/>
  <c r="L660" i="1"/>
  <c r="L660" i="3" s="1"/>
  <c r="L661" i="1"/>
  <c r="L661" i="3" s="1"/>
  <c r="L662" i="1"/>
  <c r="L662" i="3" s="1"/>
  <c r="L663" i="1"/>
  <c r="L663" i="3" s="1"/>
  <c r="L664" i="1"/>
  <c r="L664" i="3" s="1"/>
  <c r="L665" i="1"/>
  <c r="L665" i="3" s="1"/>
  <c r="L666" i="1"/>
  <c r="L666" i="3" s="1"/>
  <c r="L667" i="1"/>
  <c r="L667" i="3" s="1"/>
  <c r="L668" i="1"/>
  <c r="L668" i="3" s="1"/>
  <c r="L669" i="1"/>
  <c r="L669" i="3" s="1"/>
  <c r="L670" i="1"/>
  <c r="L670" i="3" s="1"/>
  <c r="L671" i="1"/>
  <c r="L671" i="3" s="1"/>
  <c r="L672" i="1"/>
  <c r="L672" i="3" s="1"/>
  <c r="L673" i="1"/>
  <c r="L673" i="3" s="1"/>
  <c r="L674" i="1"/>
  <c r="L674" i="3" s="1"/>
  <c r="L675" i="1"/>
  <c r="L675" i="3" s="1"/>
  <c r="L676" i="1"/>
  <c r="L676" i="3" s="1"/>
  <c r="L677" i="1"/>
  <c r="L677" i="3" s="1"/>
  <c r="L678" i="1"/>
  <c r="L678" i="3" s="1"/>
  <c r="L679" i="1"/>
  <c r="L679" i="3" s="1"/>
  <c r="L680" i="1"/>
  <c r="L680" i="3" s="1"/>
  <c r="L681" i="1"/>
  <c r="L681" i="3" s="1"/>
  <c r="L682" i="1"/>
  <c r="L682" i="3" s="1"/>
  <c r="L683" i="1"/>
  <c r="L683" i="3" s="1"/>
  <c r="L684" i="1"/>
  <c r="L684" i="3" s="1"/>
  <c r="L685" i="1"/>
  <c r="L685" i="3" s="1"/>
  <c r="L686" i="1"/>
  <c r="L686" i="3" s="1"/>
  <c r="L687" i="1"/>
  <c r="L687" i="3" s="1"/>
  <c r="L688" i="1"/>
  <c r="L688" i="3" s="1"/>
  <c r="L689" i="1"/>
  <c r="L689" i="3" s="1"/>
  <c r="L690" i="1"/>
  <c r="L690" i="3" s="1"/>
  <c r="L691" i="1"/>
  <c r="L691" i="3" s="1"/>
  <c r="L692" i="1"/>
  <c r="L692" i="3" s="1"/>
  <c r="L693" i="1"/>
  <c r="L693" i="3" s="1"/>
  <c r="L694" i="1"/>
  <c r="L694" i="3" s="1"/>
  <c r="L695" i="1"/>
  <c r="L695" i="3" s="1"/>
  <c r="L696" i="1"/>
  <c r="L696" i="3" s="1"/>
  <c r="L697" i="1"/>
  <c r="L697" i="3" s="1"/>
  <c r="L698" i="1"/>
  <c r="L698" i="3" s="1"/>
  <c r="L699" i="1"/>
  <c r="L699" i="3" s="1"/>
  <c r="L700" i="1"/>
  <c r="L700" i="3" s="1"/>
  <c r="L701" i="1"/>
  <c r="L701" i="3" s="1"/>
  <c r="L702" i="1"/>
  <c r="L702" i="3" s="1"/>
  <c r="L703" i="1"/>
  <c r="L703" i="3" s="1"/>
  <c r="L704" i="1"/>
  <c r="L704" i="3" s="1"/>
  <c r="L705" i="1"/>
  <c r="L705" i="3" s="1"/>
  <c r="L706" i="1"/>
  <c r="L706" i="3" s="1"/>
  <c r="L707" i="1"/>
  <c r="L707" i="3" s="1"/>
  <c r="L708" i="1"/>
  <c r="L708" i="3" s="1"/>
  <c r="L709" i="1"/>
  <c r="L709" i="3" s="1"/>
  <c r="L710" i="1"/>
  <c r="L710" i="3" s="1"/>
  <c r="L711" i="1"/>
  <c r="L711" i="3" s="1"/>
  <c r="L712" i="1"/>
  <c r="L712" i="3" s="1"/>
  <c r="L713" i="1"/>
  <c r="L713" i="3" s="1"/>
  <c r="L714" i="1"/>
  <c r="L714" i="3" s="1"/>
  <c r="L715" i="1"/>
  <c r="L715" i="3" s="1"/>
  <c r="L716" i="1"/>
  <c r="L716" i="3" s="1"/>
  <c r="L717" i="1"/>
  <c r="L717" i="3" s="1"/>
  <c r="L718" i="1"/>
  <c r="L718" i="3" s="1"/>
  <c r="L719" i="1"/>
  <c r="L719" i="3" s="1"/>
  <c r="L720" i="1"/>
  <c r="L720" i="3" s="1"/>
  <c r="L721" i="1"/>
  <c r="L721" i="3" s="1"/>
  <c r="L722" i="1"/>
  <c r="L722" i="3" s="1"/>
  <c r="L723" i="1"/>
  <c r="L723" i="3" s="1"/>
  <c r="L724" i="1"/>
  <c r="L724" i="3" s="1"/>
  <c r="L725" i="1"/>
  <c r="L725" i="3" s="1"/>
  <c r="L726" i="1"/>
  <c r="L726" i="3" s="1"/>
  <c r="L727" i="1"/>
  <c r="L727" i="3" s="1"/>
  <c r="L728" i="1"/>
  <c r="L728" i="3" s="1"/>
  <c r="L729" i="1"/>
  <c r="L729" i="3" s="1"/>
  <c r="L730" i="1"/>
  <c r="L730" i="3" s="1"/>
  <c r="L731" i="1"/>
  <c r="L731" i="3" s="1"/>
  <c r="L732" i="1"/>
  <c r="L732" i="3" s="1"/>
  <c r="L733" i="1"/>
  <c r="L733" i="3" s="1"/>
  <c r="L734" i="1"/>
  <c r="L734" i="3" s="1"/>
  <c r="L735" i="1"/>
  <c r="L735" i="3" s="1"/>
  <c r="L736" i="1"/>
  <c r="L736" i="3" s="1"/>
  <c r="L737" i="1"/>
  <c r="L737" i="3" s="1"/>
  <c r="L738" i="1"/>
  <c r="L738" i="3" s="1"/>
  <c r="L739" i="1"/>
  <c r="L739" i="3" s="1"/>
  <c r="L740" i="1"/>
  <c r="L740" i="3" s="1"/>
  <c r="L741" i="1"/>
  <c r="L741" i="3" s="1"/>
  <c r="L742" i="1"/>
  <c r="L742" i="3" s="1"/>
  <c r="L743" i="1"/>
  <c r="L743" i="3" s="1"/>
  <c r="L744" i="1"/>
  <c r="L744" i="3" s="1"/>
  <c r="L745" i="1"/>
  <c r="L745" i="3" s="1"/>
  <c r="L746" i="1"/>
  <c r="L746" i="3" s="1"/>
  <c r="L747" i="1"/>
  <c r="L747" i="3" s="1"/>
  <c r="L748" i="1"/>
  <c r="L748" i="3" s="1"/>
  <c r="L749" i="1"/>
  <c r="L749" i="3" s="1"/>
  <c r="L750" i="1"/>
  <c r="L750" i="3" s="1"/>
  <c r="L751" i="1"/>
  <c r="L751" i="3" s="1"/>
  <c r="L752" i="1"/>
  <c r="L752" i="3" s="1"/>
  <c r="L753" i="1"/>
  <c r="L753" i="3" s="1"/>
  <c r="L754" i="1"/>
  <c r="L754" i="3" s="1"/>
  <c r="L755" i="1"/>
  <c r="L755" i="3" s="1"/>
  <c r="L756" i="1"/>
  <c r="L756" i="3" s="1"/>
  <c r="L757" i="1"/>
  <c r="L757" i="3" s="1"/>
  <c r="L758" i="1"/>
  <c r="L758" i="3" s="1"/>
  <c r="L759" i="1"/>
  <c r="L759" i="3" s="1"/>
  <c r="L760" i="1"/>
  <c r="L760" i="3" s="1"/>
  <c r="L761" i="1"/>
  <c r="L761" i="3" s="1"/>
  <c r="L762" i="1"/>
  <c r="L762" i="3" s="1"/>
  <c r="L763" i="1"/>
  <c r="L763" i="3" s="1"/>
  <c r="L764" i="1"/>
  <c r="L764" i="3" s="1"/>
  <c r="L765" i="1"/>
  <c r="L765" i="3" s="1"/>
  <c r="L766" i="1"/>
  <c r="L766" i="3" s="1"/>
  <c r="L767" i="1"/>
  <c r="L767" i="3" s="1"/>
  <c r="L768" i="1"/>
  <c r="L768" i="3" s="1"/>
  <c r="L769" i="1"/>
  <c r="L769" i="3" s="1"/>
  <c r="L770" i="1"/>
  <c r="L770" i="3" s="1"/>
  <c r="L771" i="1"/>
  <c r="L771" i="3" s="1"/>
  <c r="L772" i="1"/>
  <c r="L772" i="3" s="1"/>
  <c r="L773" i="1"/>
  <c r="L773" i="3" s="1"/>
  <c r="L774" i="1"/>
  <c r="L774" i="3" s="1"/>
  <c r="L775" i="1"/>
  <c r="L775" i="3" s="1"/>
  <c r="L776" i="1"/>
  <c r="L776" i="3" s="1"/>
  <c r="L777" i="1"/>
  <c r="L777" i="3" s="1"/>
  <c r="L778" i="1"/>
  <c r="L778" i="3" s="1"/>
  <c r="L779" i="1"/>
  <c r="L779" i="3" s="1"/>
  <c r="L780" i="1"/>
  <c r="L780" i="3" s="1"/>
  <c r="L781" i="1"/>
  <c r="L781" i="3" s="1"/>
  <c r="L782" i="1"/>
  <c r="L782" i="3" s="1"/>
  <c r="L783" i="1"/>
  <c r="L783" i="3" s="1"/>
  <c r="L784" i="1"/>
  <c r="L784" i="3" s="1"/>
  <c r="L785" i="1"/>
  <c r="L785" i="3" s="1"/>
  <c r="L786" i="1"/>
  <c r="L786" i="3" s="1"/>
  <c r="L787" i="1"/>
  <c r="L787" i="3" s="1"/>
  <c r="L788" i="1"/>
  <c r="L788" i="3" s="1"/>
  <c r="L789" i="1"/>
  <c r="L789" i="3" s="1"/>
  <c r="L790" i="1"/>
  <c r="L790" i="3" s="1"/>
  <c r="L791" i="1"/>
  <c r="L791" i="3" s="1"/>
  <c r="L792" i="1"/>
  <c r="L792" i="3" s="1"/>
  <c r="L793" i="1"/>
  <c r="L793" i="3" s="1"/>
  <c r="L794" i="1"/>
  <c r="L794" i="3" s="1"/>
  <c r="L795" i="1"/>
  <c r="L795" i="3" s="1"/>
  <c r="L796" i="1"/>
  <c r="L796" i="3" s="1"/>
  <c r="L797" i="1"/>
  <c r="L797" i="3" s="1"/>
  <c r="L798" i="1"/>
  <c r="L798" i="3" s="1"/>
  <c r="L799" i="1"/>
  <c r="L799" i="3" s="1"/>
  <c r="L800" i="1"/>
  <c r="L800" i="3" s="1"/>
  <c r="A3" i="1"/>
  <c r="A4" i="1"/>
  <c r="A4" i="3" s="1"/>
  <c r="A5" i="1"/>
  <c r="A5" i="3" s="1"/>
  <c r="A6" i="1"/>
  <c r="A6" i="3" s="1"/>
  <c r="A7" i="1"/>
  <c r="A8" i="1"/>
  <c r="A8" i="3" s="1"/>
  <c r="A9" i="1"/>
  <c r="A10" i="1"/>
  <c r="A11" i="1"/>
  <c r="A12" i="1"/>
  <c r="A13" i="1"/>
  <c r="A13" i="3" s="1"/>
  <c r="A14" i="1"/>
  <c r="A14" i="3" s="1"/>
  <c r="A15" i="1"/>
  <c r="A16" i="1"/>
  <c r="A16" i="3" s="1"/>
  <c r="A17" i="1"/>
  <c r="A18" i="1"/>
  <c r="A19" i="1"/>
  <c r="A20" i="1"/>
  <c r="A20" i="3" s="1"/>
  <c r="A21" i="1"/>
  <c r="A21" i="3" s="1"/>
  <c r="A22" i="1"/>
  <c r="A22" i="3" s="1"/>
  <c r="A23" i="1"/>
  <c r="A24" i="1"/>
  <c r="A25" i="1"/>
  <c r="A26" i="1"/>
  <c r="A27" i="1"/>
  <c r="A28" i="1"/>
  <c r="A28" i="3" s="1"/>
  <c r="A29" i="1"/>
  <c r="A29" i="3" s="1"/>
  <c r="A30" i="1"/>
  <c r="A30" i="3" s="1"/>
  <c r="A31" i="1"/>
  <c r="A32" i="1"/>
  <c r="A32" i="3" s="1"/>
  <c r="A33" i="1"/>
  <c r="A34" i="1"/>
  <c r="A35" i="1"/>
  <c r="A36" i="1"/>
  <c r="A37" i="1"/>
  <c r="A37" i="3" s="1"/>
  <c r="A38" i="1"/>
  <c r="A38" i="3" s="1"/>
  <c r="A39" i="1"/>
  <c r="A40" i="1"/>
  <c r="A40" i="3" s="1"/>
  <c r="A41" i="1"/>
  <c r="A42" i="1"/>
  <c r="A43" i="1"/>
  <c r="A44" i="1"/>
  <c r="A44" i="3" s="1"/>
  <c r="A45" i="1"/>
  <c r="A45" i="3" s="1"/>
  <c r="A46" i="1"/>
  <c r="A46" i="3" s="1"/>
  <c r="A47" i="1"/>
  <c r="A48" i="1"/>
  <c r="A49" i="1"/>
  <c r="A50" i="1"/>
  <c r="A51" i="1"/>
  <c r="A52" i="1"/>
  <c r="A52" i="3" s="1"/>
  <c r="A53" i="1"/>
  <c r="A53" i="3" s="1"/>
  <c r="A54" i="1"/>
  <c r="A54" i="3" s="1"/>
  <c r="A55" i="1"/>
  <c r="A56" i="1"/>
  <c r="A56" i="3" s="1"/>
  <c r="A57" i="1"/>
  <c r="A58" i="1"/>
  <c r="A59" i="1"/>
  <c r="A60" i="1"/>
  <c r="A61" i="1"/>
  <c r="A61" i="3" s="1"/>
  <c r="A62" i="1"/>
  <c r="A62" i="3" s="1"/>
  <c r="A63" i="1"/>
  <c r="A64" i="1"/>
  <c r="A64" i="3" s="1"/>
  <c r="A65" i="1"/>
  <c r="A66" i="1"/>
  <c r="A67" i="1"/>
  <c r="A68" i="1"/>
  <c r="A68" i="3" s="1"/>
  <c r="A69" i="1"/>
  <c r="A69" i="3" s="1"/>
  <c r="A70" i="1"/>
  <c r="A70" i="3" s="1"/>
  <c r="A71" i="1"/>
  <c r="A72" i="1"/>
  <c r="A73" i="1"/>
  <c r="A74" i="1"/>
  <c r="A75" i="1"/>
  <c r="A76" i="1"/>
  <c r="A76" i="3" s="1"/>
  <c r="A77" i="1"/>
  <c r="A77" i="3" s="1"/>
  <c r="A78" i="1"/>
  <c r="A78" i="3" s="1"/>
  <c r="A79" i="1"/>
  <c r="A80" i="1"/>
  <c r="A80" i="3" s="1"/>
  <c r="A81" i="1"/>
  <c r="A82" i="1"/>
  <c r="A83" i="1"/>
  <c r="A84" i="1"/>
  <c r="A85" i="1"/>
  <c r="A85" i="3" s="1"/>
  <c r="A86" i="1"/>
  <c r="A86" i="3" s="1"/>
  <c r="A87" i="1"/>
  <c r="A88" i="1"/>
  <c r="A88" i="3" s="1"/>
  <c r="A89" i="1"/>
  <c r="A90" i="1"/>
  <c r="A91" i="1"/>
  <c r="A92" i="1"/>
  <c r="A92" i="3" s="1"/>
  <c r="A93" i="1"/>
  <c r="A93" i="3" s="1"/>
  <c r="A94" i="1"/>
  <c r="A94" i="3" s="1"/>
  <c r="A95" i="1"/>
  <c r="A96" i="1"/>
  <c r="A97" i="1"/>
  <c r="A98" i="1"/>
  <c r="A99" i="1"/>
  <c r="A100" i="1"/>
  <c r="A100" i="3" s="1"/>
  <c r="A101" i="1"/>
  <c r="A101" i="3" s="1"/>
  <c r="A102" i="1"/>
  <c r="A102" i="3" s="1"/>
  <c r="A103" i="1"/>
  <c r="A104" i="1"/>
  <c r="A104" i="3" s="1"/>
  <c r="A105" i="1"/>
  <c r="A106" i="1"/>
  <c r="A107" i="1"/>
  <c r="A108" i="1"/>
  <c r="A109" i="1"/>
  <c r="A109" i="3" s="1"/>
  <c r="A110" i="1"/>
  <c r="A110" i="3" s="1"/>
  <c r="A111" i="1"/>
  <c r="A112" i="1"/>
  <c r="A112" i="3" s="1"/>
  <c r="A113" i="1"/>
  <c r="A114" i="1"/>
  <c r="A115" i="1"/>
  <c r="A116" i="1"/>
  <c r="A116" i="3" s="1"/>
  <c r="A117" i="1"/>
  <c r="A117" i="3" s="1"/>
  <c r="A118" i="1"/>
  <c r="A118" i="3" s="1"/>
  <c r="A119" i="1"/>
  <c r="A120" i="1"/>
  <c r="A121" i="1"/>
  <c r="A122" i="1"/>
  <c r="A123" i="1"/>
  <c r="A124" i="1"/>
  <c r="A124" i="3" s="1"/>
  <c r="A125" i="1"/>
  <c r="A125" i="3" s="1"/>
  <c r="A126" i="1"/>
  <c r="A126" i="3" s="1"/>
  <c r="A127" i="1"/>
  <c r="A128" i="1"/>
  <c r="A128" i="3" s="1"/>
  <c r="A129" i="1"/>
  <c r="A130" i="1"/>
  <c r="A131" i="1"/>
  <c r="A132" i="1"/>
  <c r="A133" i="1"/>
  <c r="A133" i="3" s="1"/>
  <c r="A134" i="1"/>
  <c r="A134" i="3" s="1"/>
  <c r="A135" i="1"/>
  <c r="A136" i="1"/>
  <c r="A136" i="3" s="1"/>
  <c r="A137" i="1"/>
  <c r="A138" i="1"/>
  <c r="A139" i="1"/>
  <c r="A140" i="1"/>
  <c r="A140" i="3" s="1"/>
  <c r="A141" i="1"/>
  <c r="A141" i="3" s="1"/>
  <c r="A142" i="1"/>
  <c r="A142" i="3" s="1"/>
  <c r="A143" i="1"/>
  <c r="A144" i="1"/>
  <c r="A145" i="1"/>
  <c r="A146" i="1"/>
  <c r="A147" i="1"/>
  <c r="A148" i="1"/>
  <c r="A148" i="3" s="1"/>
  <c r="A149" i="1"/>
  <c r="A149" i="3" s="1"/>
  <c r="A150" i="1"/>
  <c r="A150" i="3" s="1"/>
  <c r="A151" i="1"/>
  <c r="A152" i="1"/>
  <c r="A152" i="3" s="1"/>
  <c r="A153" i="1"/>
  <c r="A154" i="1"/>
  <c r="A155" i="1"/>
  <c r="A156" i="1"/>
  <c r="A157" i="1"/>
  <c r="A157" i="3" s="1"/>
  <c r="A158" i="1"/>
  <c r="A158" i="3" s="1"/>
  <c r="A159" i="1"/>
  <c r="A160" i="1"/>
  <c r="A160" i="3" s="1"/>
  <c r="A161" i="1"/>
  <c r="A162" i="1"/>
  <c r="A163" i="1"/>
  <c r="A164" i="1"/>
  <c r="A164" i="3" s="1"/>
  <c r="A165" i="1"/>
  <c r="A165" i="3" s="1"/>
  <c r="A166" i="1"/>
  <c r="A166" i="3" s="1"/>
  <c r="A167" i="1"/>
  <c r="A168" i="1"/>
  <c r="A169" i="1"/>
  <c r="A170" i="1"/>
  <c r="A171" i="1"/>
  <c r="A172" i="1"/>
  <c r="A172" i="3" s="1"/>
  <c r="A173" i="1"/>
  <c r="A173" i="3" s="1"/>
  <c r="A174" i="1"/>
  <c r="A174" i="3" s="1"/>
  <c r="A175" i="1"/>
  <c r="A176" i="1"/>
  <c r="A176" i="3" s="1"/>
  <c r="A177" i="1"/>
  <c r="A178" i="1"/>
  <c r="A179" i="1"/>
  <c r="A180" i="1"/>
  <c r="A181" i="1"/>
  <c r="A181" i="3" s="1"/>
  <c r="A182" i="1"/>
  <c r="A182" i="3" s="1"/>
  <c r="A183" i="1"/>
  <c r="A184" i="1"/>
  <c r="A184" i="3" s="1"/>
  <c r="A185" i="1"/>
  <c r="A186" i="1"/>
  <c r="A187" i="1"/>
  <c r="A188" i="1"/>
  <c r="A188" i="3" s="1"/>
  <c r="A189" i="1"/>
  <c r="A189" i="3" s="1"/>
  <c r="A190" i="1"/>
  <c r="A190" i="3" s="1"/>
  <c r="A191" i="1"/>
  <c r="A192" i="1"/>
  <c r="A193" i="1"/>
  <c r="A194" i="1"/>
  <c r="A195" i="1"/>
  <c r="A196" i="1"/>
  <c r="A196" i="3" s="1"/>
  <c r="A197" i="1"/>
  <c r="A197" i="3" s="1"/>
  <c r="A198" i="1"/>
  <c r="A198" i="3" s="1"/>
  <c r="A199" i="1"/>
  <c r="A200" i="1"/>
  <c r="A200" i="3" s="1"/>
  <c r="A201" i="1"/>
  <c r="A202" i="1"/>
  <c r="A203" i="1"/>
  <c r="A204" i="1"/>
  <c r="A205" i="1"/>
  <c r="A205" i="3" s="1"/>
  <c r="A206" i="1"/>
  <c r="A206" i="3" s="1"/>
  <c r="A207" i="1"/>
  <c r="A208" i="1"/>
  <c r="A208" i="3" s="1"/>
  <c r="A209" i="1"/>
  <c r="A210" i="1"/>
  <c r="A211" i="1"/>
  <c r="A212" i="1"/>
  <c r="A212" i="3" s="1"/>
  <c r="A213" i="1"/>
  <c r="A213" i="3" s="1"/>
  <c r="A214" i="1"/>
  <c r="A214" i="3" s="1"/>
  <c r="A215" i="1"/>
  <c r="A216" i="1"/>
  <c r="A217" i="1"/>
  <c r="A218" i="1"/>
  <c r="A219" i="1"/>
  <c r="A220" i="1"/>
  <c r="A220" i="3" s="1"/>
  <c r="A221" i="1"/>
  <c r="A221" i="3" s="1"/>
  <c r="A222" i="1"/>
  <c r="A222" i="3" s="1"/>
  <c r="A223" i="1"/>
  <c r="A224" i="1"/>
  <c r="A224" i="3" s="1"/>
  <c r="A225" i="1"/>
  <c r="A226" i="1"/>
  <c r="A227" i="1"/>
  <c r="A228" i="1"/>
  <c r="A229" i="1"/>
  <c r="A229" i="3" s="1"/>
  <c r="A230" i="1"/>
  <c r="A230" i="3" s="1"/>
  <c r="A231" i="1"/>
  <c r="A232" i="1"/>
  <c r="A232" i="3" s="1"/>
  <c r="A233" i="1"/>
  <c r="A234" i="1"/>
  <c r="A235" i="1"/>
  <c r="A236" i="1"/>
  <c r="A236" i="3" s="1"/>
  <c r="A237" i="1"/>
  <c r="A237" i="3" s="1"/>
  <c r="A238" i="1"/>
  <c r="A238" i="3" s="1"/>
  <c r="A239" i="1"/>
  <c r="A240" i="1"/>
  <c r="A241" i="1"/>
  <c r="A242" i="1"/>
  <c r="A243" i="1"/>
  <c r="A244" i="1"/>
  <c r="A244" i="3" s="1"/>
  <c r="A245" i="1"/>
  <c r="A245" i="3" s="1"/>
  <c r="A246" i="1"/>
  <c r="A246" i="3" s="1"/>
  <c r="A247" i="1"/>
  <c r="A248" i="1"/>
  <c r="A248" i="3" s="1"/>
  <c r="A249" i="1"/>
  <c r="A250" i="1"/>
  <c r="A251" i="1"/>
  <c r="A252" i="1"/>
  <c r="A253" i="1"/>
  <c r="A253" i="3" s="1"/>
  <c r="A254" i="1"/>
  <c r="A254" i="3" s="1"/>
  <c r="A255" i="1"/>
  <c r="A256" i="1"/>
  <c r="A256" i="3" s="1"/>
  <c r="A257" i="1"/>
  <c r="A258" i="1"/>
  <c r="A259" i="1"/>
  <c r="A260" i="1"/>
  <c r="A260" i="3" s="1"/>
  <c r="A261" i="1"/>
  <c r="A261" i="3" s="1"/>
  <c r="A262" i="1"/>
  <c r="A262" i="3" s="1"/>
  <c r="A263" i="1"/>
  <c r="A264" i="1"/>
  <c r="A265" i="1"/>
  <c r="A266" i="1"/>
  <c r="A267" i="1"/>
  <c r="A268" i="1"/>
  <c r="A268" i="3" s="1"/>
  <c r="A269" i="1"/>
  <c r="A269" i="3" s="1"/>
  <c r="A270" i="1"/>
  <c r="A270" i="3" s="1"/>
  <c r="A271" i="1"/>
  <c r="A272" i="1"/>
  <c r="A272" i="3" s="1"/>
  <c r="A273" i="1"/>
  <c r="A274" i="1"/>
  <c r="A275" i="1"/>
  <c r="A276" i="1"/>
  <c r="A277" i="1"/>
  <c r="A277" i="3" s="1"/>
  <c r="A278" i="1"/>
  <c r="A278" i="3" s="1"/>
  <c r="A279" i="1"/>
  <c r="A280" i="1"/>
  <c r="A280" i="3" s="1"/>
  <c r="A281" i="1"/>
  <c r="A282" i="1"/>
  <c r="A283" i="1"/>
  <c r="A284" i="1"/>
  <c r="A284" i="3" s="1"/>
  <c r="A285" i="1"/>
  <c r="A285" i="3" s="1"/>
  <c r="A286" i="1"/>
  <c r="A286" i="3" s="1"/>
  <c r="A287" i="1"/>
  <c r="A288" i="1"/>
  <c r="A289" i="1"/>
  <c r="A290" i="1"/>
  <c r="A291" i="1"/>
  <c r="A292" i="1"/>
  <c r="A292" i="3" s="1"/>
  <c r="A293" i="1"/>
  <c r="A293" i="3" s="1"/>
  <c r="A294" i="1"/>
  <c r="A294" i="3" s="1"/>
  <c r="A295" i="1"/>
  <c r="A296" i="1"/>
  <c r="A296" i="3" s="1"/>
  <c r="A297" i="1"/>
  <c r="A298" i="1"/>
  <c r="A299" i="1"/>
  <c r="A300" i="1"/>
  <c r="A301" i="1"/>
  <c r="A301" i="3" s="1"/>
  <c r="A302" i="1"/>
  <c r="A302" i="3" s="1"/>
  <c r="A303" i="1"/>
  <c r="A304" i="1"/>
  <c r="A304" i="3" s="1"/>
  <c r="A305" i="1"/>
  <c r="A306" i="1"/>
  <c r="A307" i="1"/>
  <c r="A308" i="1"/>
  <c r="A308" i="3" s="1"/>
  <c r="A309" i="1"/>
  <c r="A309" i="3" s="1"/>
  <c r="A310" i="1"/>
  <c r="A310" i="3" s="1"/>
  <c r="A311" i="1"/>
  <c r="A312" i="1"/>
  <c r="A313" i="1"/>
  <c r="A314" i="1"/>
  <c r="A315" i="1"/>
  <c r="A316" i="1"/>
  <c r="A316" i="3" s="1"/>
  <c r="A317" i="1"/>
  <c r="A317" i="3" s="1"/>
  <c r="A318" i="1"/>
  <c r="A318" i="3" s="1"/>
  <c r="A319" i="1"/>
  <c r="A320" i="1"/>
  <c r="A320" i="3" s="1"/>
  <c r="A321" i="1"/>
  <c r="A322" i="1"/>
  <c r="A323" i="1"/>
  <c r="A324" i="1"/>
  <c r="A325" i="1"/>
  <c r="A325" i="3" s="1"/>
  <c r="A326" i="1"/>
  <c r="A326" i="3" s="1"/>
  <c r="A327" i="1"/>
  <c r="A328" i="1"/>
  <c r="A328" i="3" s="1"/>
  <c r="A329" i="1"/>
  <c r="A330" i="1"/>
  <c r="A331" i="1"/>
  <c r="A332" i="1"/>
  <c r="A332" i="3" s="1"/>
  <c r="A333" i="1"/>
  <c r="A333" i="3" s="1"/>
  <c r="A334" i="1"/>
  <c r="A334" i="3" s="1"/>
  <c r="A335" i="1"/>
  <c r="A336" i="1"/>
  <c r="A337" i="1"/>
  <c r="A338" i="1"/>
  <c r="A339" i="1"/>
  <c r="A340" i="1"/>
  <c r="A340" i="3" s="1"/>
  <c r="A341" i="1"/>
  <c r="A341" i="3" s="1"/>
  <c r="A342" i="1"/>
  <c r="A342" i="3" s="1"/>
  <c r="A343" i="1"/>
  <c r="A344" i="1"/>
  <c r="A344" i="3" s="1"/>
  <c r="A345" i="1"/>
  <c r="A346" i="1"/>
  <c r="A347" i="1"/>
  <c r="A348" i="1"/>
  <c r="A349" i="1"/>
  <c r="A349" i="3" s="1"/>
  <c r="A350" i="1"/>
  <c r="A350" i="3" s="1"/>
  <c r="A351" i="1"/>
  <c r="A352" i="1"/>
  <c r="A352" i="3" s="1"/>
  <c r="A353" i="1"/>
  <c r="A354" i="1"/>
  <c r="A355" i="1"/>
  <c r="A356" i="1"/>
  <c r="A356" i="3" s="1"/>
  <c r="A357" i="1"/>
  <c r="A357" i="3" s="1"/>
  <c r="A358" i="1"/>
  <c r="A358" i="3" s="1"/>
  <c r="A359" i="1"/>
  <c r="A360" i="1"/>
  <c r="A361" i="1"/>
  <c r="A362" i="1"/>
  <c r="A363" i="1"/>
  <c r="A364" i="1"/>
  <c r="A364" i="3" s="1"/>
  <c r="A365" i="1"/>
  <c r="A365" i="3" s="1"/>
  <c r="A366" i="1"/>
  <c r="A366" i="3" s="1"/>
  <c r="A367" i="1"/>
  <c r="A368" i="1"/>
  <c r="A368" i="3" s="1"/>
  <c r="A369" i="1"/>
  <c r="A370" i="1"/>
  <c r="A371" i="1"/>
  <c r="A372" i="1"/>
  <c r="A373" i="1"/>
  <c r="A373" i="3" s="1"/>
  <c r="A374" i="1"/>
  <c r="A374" i="3" s="1"/>
  <c r="A375" i="1"/>
  <c r="A376" i="1"/>
  <c r="A376" i="3" s="1"/>
  <c r="A377" i="1"/>
  <c r="A378" i="1"/>
  <c r="A379" i="1"/>
  <c r="A380" i="1"/>
  <c r="A380" i="3" s="1"/>
  <c r="A381" i="1"/>
  <c r="A381" i="3" s="1"/>
  <c r="A382" i="1"/>
  <c r="A382" i="3" s="1"/>
  <c r="A383" i="1"/>
  <c r="A384" i="1"/>
  <c r="A385" i="1"/>
  <c r="A386" i="1"/>
  <c r="A387" i="1"/>
  <c r="A388" i="1"/>
  <c r="A388" i="3" s="1"/>
  <c r="A389" i="1"/>
  <c r="A389" i="3" s="1"/>
  <c r="A390" i="1"/>
  <c r="A390" i="3" s="1"/>
  <c r="A391" i="1"/>
  <c r="A392" i="1"/>
  <c r="A392" i="3" s="1"/>
  <c r="A393" i="1"/>
  <c r="A394" i="1"/>
  <c r="A395" i="1"/>
  <c r="A396" i="1"/>
  <c r="A397" i="1"/>
  <c r="A397" i="3" s="1"/>
  <c r="A398" i="1"/>
  <c r="A398" i="3" s="1"/>
  <c r="A399" i="1"/>
  <c r="A400" i="1"/>
  <c r="A400" i="3" s="1"/>
  <c r="A401" i="1"/>
  <c r="A402" i="1"/>
  <c r="A403" i="1"/>
  <c r="A404" i="1"/>
  <c r="A404" i="3" s="1"/>
  <c r="A405" i="1"/>
  <c r="A405" i="3" s="1"/>
  <c r="A406" i="1"/>
  <c r="A406" i="3" s="1"/>
  <c r="A407" i="1"/>
  <c r="A408" i="1"/>
  <c r="A409" i="1"/>
  <c r="A410" i="1"/>
  <c r="A411" i="1"/>
  <c r="A412" i="1"/>
  <c r="A412" i="3" s="1"/>
  <c r="A413" i="1"/>
  <c r="A413" i="3" s="1"/>
  <c r="A414" i="1"/>
  <c r="A414" i="3" s="1"/>
  <c r="A415" i="1"/>
  <c r="A416" i="1"/>
  <c r="A416" i="3" s="1"/>
  <c r="A417" i="1"/>
  <c r="A418" i="1"/>
  <c r="A419" i="1"/>
  <c r="A420" i="1"/>
  <c r="A421" i="1"/>
  <c r="A421" i="3" s="1"/>
  <c r="A422" i="1"/>
  <c r="A422" i="3" s="1"/>
  <c r="A423" i="1"/>
  <c r="A424" i="1"/>
  <c r="A424" i="3" s="1"/>
  <c r="A425" i="1"/>
  <c r="A426" i="1"/>
  <c r="A427" i="1"/>
  <c r="A428" i="1"/>
  <c r="A428" i="3" s="1"/>
  <c r="A429" i="1"/>
  <c r="A429" i="3" s="1"/>
  <c r="A430" i="1"/>
  <c r="A430" i="3" s="1"/>
  <c r="A431" i="1"/>
  <c r="A432" i="1"/>
  <c r="A433" i="1"/>
  <c r="A434" i="1"/>
  <c r="A435" i="1"/>
  <c r="A436" i="1"/>
  <c r="A436" i="3" s="1"/>
  <c r="A437" i="1"/>
  <c r="A437" i="3" s="1"/>
  <c r="A438" i="1"/>
  <c r="A438" i="3" s="1"/>
  <c r="A439" i="1"/>
  <c r="A440" i="1"/>
  <c r="A440" i="3" s="1"/>
  <c r="A441" i="1"/>
  <c r="A442" i="1"/>
  <c r="A443" i="1"/>
  <c r="A444" i="1"/>
  <c r="A445" i="1"/>
  <c r="A445" i="3" s="1"/>
  <c r="A446" i="1"/>
  <c r="A446" i="3" s="1"/>
  <c r="A447" i="1"/>
  <c r="A448" i="1"/>
  <c r="A448" i="3" s="1"/>
  <c r="A449" i="1"/>
  <c r="A450" i="1"/>
  <c r="A451" i="1"/>
  <c r="A452" i="1"/>
  <c r="A452" i="3" s="1"/>
  <c r="A453" i="1"/>
  <c r="A453" i="3" s="1"/>
  <c r="A454" i="1"/>
  <c r="A455" i="1"/>
  <c r="A456" i="1"/>
  <c r="A457" i="1"/>
  <c r="A458" i="1"/>
  <c r="A459" i="1"/>
  <c r="A460" i="1"/>
  <c r="A460" i="3" s="1"/>
  <c r="A461" i="1"/>
  <c r="A462" i="1"/>
  <c r="A462" i="3" s="1"/>
  <c r="A463" i="1"/>
  <c r="A464" i="1"/>
  <c r="A465" i="1"/>
  <c r="A466" i="1"/>
  <c r="A467" i="1"/>
  <c r="A468" i="1"/>
  <c r="A469" i="1"/>
  <c r="A469" i="3" s="1"/>
  <c r="A470" i="1"/>
  <c r="A470" i="3" s="1"/>
  <c r="A471" i="1"/>
  <c r="A472" i="1"/>
  <c r="A473" i="1"/>
  <c r="A474" i="1"/>
  <c r="A475" i="1"/>
  <c r="A476" i="1"/>
  <c r="A477" i="1"/>
  <c r="A477" i="3" s="1"/>
  <c r="A478" i="1"/>
  <c r="A478" i="3" s="1"/>
  <c r="A479" i="1"/>
  <c r="A480" i="1"/>
  <c r="A481" i="1"/>
  <c r="A482" i="1"/>
  <c r="A483" i="1"/>
  <c r="A484" i="1"/>
  <c r="A485" i="1"/>
  <c r="A485" i="3" s="1"/>
  <c r="A486" i="1"/>
  <c r="A486" i="3" s="1"/>
  <c r="A487" i="1"/>
  <c r="A488" i="1"/>
  <c r="A489" i="1"/>
  <c r="A490" i="1"/>
  <c r="A491" i="1"/>
  <c r="A492" i="1"/>
  <c r="A493" i="1"/>
  <c r="A493" i="3" s="1"/>
  <c r="A494" i="1"/>
  <c r="A494" i="3" s="1"/>
  <c r="A495" i="1"/>
  <c r="A496" i="1"/>
  <c r="A497" i="1"/>
  <c r="A498" i="1"/>
  <c r="A499" i="1"/>
  <c r="A500" i="1"/>
  <c r="A501" i="1"/>
  <c r="A502" i="1"/>
  <c r="A502" i="3" s="1"/>
  <c r="A503" i="1"/>
  <c r="A504" i="1"/>
  <c r="A505" i="1"/>
  <c r="A506" i="1"/>
  <c r="A507" i="1"/>
  <c r="A508" i="1"/>
  <c r="A509" i="1"/>
  <c r="A510" i="1"/>
  <c r="A510" i="3" s="1"/>
  <c r="A511" i="1"/>
  <c r="A512" i="1"/>
  <c r="A513" i="1"/>
  <c r="A514" i="1"/>
  <c r="A515" i="1"/>
  <c r="A516" i="1"/>
  <c r="A517" i="1"/>
  <c r="A518" i="1"/>
  <c r="A518" i="3" s="1"/>
  <c r="A519" i="1"/>
  <c r="A520" i="1"/>
  <c r="A521" i="1"/>
  <c r="A522" i="1"/>
  <c r="A523" i="1"/>
  <c r="A524" i="1"/>
  <c r="A525" i="1"/>
  <c r="A526" i="1"/>
  <c r="A526" i="3" s="1"/>
  <c r="A527" i="1"/>
  <c r="A528" i="1"/>
  <c r="A529" i="1"/>
  <c r="A530" i="1"/>
  <c r="A531" i="1"/>
  <c r="A532" i="1"/>
  <c r="A533" i="1"/>
  <c r="A534" i="1"/>
  <c r="A534" i="3" s="1"/>
  <c r="A535" i="1"/>
  <c r="A536" i="1"/>
  <c r="A537" i="1"/>
  <c r="A538" i="1"/>
  <c r="A539" i="1"/>
  <c r="A540" i="1"/>
  <c r="A541" i="1"/>
  <c r="A542" i="1"/>
  <c r="A542" i="3" s="1"/>
  <c r="A543" i="1"/>
  <c r="A544" i="1"/>
  <c r="A545" i="1"/>
  <c r="A546" i="1"/>
  <c r="A547" i="1"/>
  <c r="A548" i="1"/>
  <c r="A549" i="1"/>
  <c r="A550" i="1"/>
  <c r="A550" i="3" s="1"/>
  <c r="A551" i="1"/>
  <c r="A552" i="1"/>
  <c r="A553" i="1"/>
  <c r="A554" i="1"/>
  <c r="A555" i="1"/>
  <c r="A556" i="1"/>
  <c r="A557" i="1"/>
  <c r="A558" i="1"/>
  <c r="A558" i="3" s="1"/>
  <c r="A559" i="1"/>
  <c r="A560" i="1"/>
  <c r="A561" i="1"/>
  <c r="A562" i="1"/>
  <c r="A563" i="1"/>
  <c r="A564" i="1"/>
  <c r="A565" i="1"/>
  <c r="A566" i="1"/>
  <c r="A566" i="3" s="1"/>
  <c r="A567" i="1"/>
  <c r="A568" i="1"/>
  <c r="A569" i="1"/>
  <c r="A570" i="1"/>
  <c r="A571" i="1"/>
  <c r="A572" i="1"/>
  <c r="A573" i="1"/>
  <c r="A574" i="1"/>
  <c r="A574" i="3" s="1"/>
  <c r="A575" i="1"/>
  <c r="A576" i="1"/>
  <c r="A577" i="1"/>
  <c r="A578" i="1"/>
  <c r="A579" i="1"/>
  <c r="A580" i="1"/>
  <c r="A581" i="1"/>
  <c r="A582" i="1"/>
  <c r="A582" i="3" s="1"/>
  <c r="A583" i="1"/>
  <c r="A584" i="1"/>
  <c r="A585" i="1"/>
  <c r="A586" i="1"/>
  <c r="A587" i="1"/>
  <c r="A588" i="1"/>
  <c r="A589" i="1"/>
  <c r="A590" i="1"/>
  <c r="A590" i="3" s="1"/>
  <c r="A591" i="1"/>
  <c r="A592" i="1"/>
  <c r="A593" i="1"/>
  <c r="A594" i="1"/>
  <c r="A595" i="1"/>
  <c r="A596" i="1"/>
  <c r="A597" i="1"/>
  <c r="A598" i="1"/>
  <c r="A598" i="3" s="1"/>
  <c r="A599" i="1"/>
  <c r="A600" i="1"/>
  <c r="A601" i="1"/>
  <c r="A602" i="1"/>
  <c r="A603" i="1"/>
  <c r="A604" i="1"/>
  <c r="A605" i="1"/>
  <c r="A606" i="1"/>
  <c r="A606" i="3" s="1"/>
  <c r="A607" i="1"/>
  <c r="A608" i="1"/>
  <c r="A609" i="1"/>
  <c r="A610" i="1"/>
  <c r="A611" i="1"/>
  <c r="A612" i="1"/>
  <c r="A613" i="1"/>
  <c r="A614" i="1"/>
  <c r="A614" i="3" s="1"/>
  <c r="A615" i="1"/>
  <c r="A616" i="1"/>
  <c r="A617" i="1"/>
  <c r="A618" i="1"/>
  <c r="A619" i="1"/>
  <c r="A620" i="1"/>
  <c r="A621" i="1"/>
  <c r="A622" i="1"/>
  <c r="A622" i="3" s="1"/>
  <c r="A623" i="1"/>
  <c r="A624" i="1"/>
  <c r="A625" i="1"/>
  <c r="A626" i="1"/>
  <c r="A627" i="1"/>
  <c r="A628" i="1"/>
  <c r="A629" i="1"/>
  <c r="A630" i="1"/>
  <c r="A630" i="3" s="1"/>
  <c r="A631" i="1"/>
  <c r="A632" i="1"/>
  <c r="A633" i="1"/>
  <c r="A634" i="1"/>
  <c r="A635" i="1"/>
  <c r="A636" i="1"/>
  <c r="A637" i="1"/>
  <c r="A638" i="1"/>
  <c r="A638" i="3" s="1"/>
  <c r="A639" i="1"/>
  <c r="A640" i="1"/>
  <c r="A641" i="1"/>
  <c r="A642" i="1"/>
  <c r="A643" i="1"/>
  <c r="A644" i="1"/>
  <c r="A645" i="1"/>
  <c r="A646" i="1"/>
  <c r="A646" i="3" s="1"/>
  <c r="A647" i="1"/>
  <c r="A648" i="1"/>
  <c r="A649" i="1"/>
  <c r="A650" i="1"/>
  <c r="A651" i="1"/>
  <c r="A652" i="1"/>
  <c r="A653" i="1"/>
  <c r="A654" i="1"/>
  <c r="A654" i="3" s="1"/>
  <c r="A655" i="1"/>
  <c r="A656" i="1"/>
  <c r="A657" i="1"/>
  <c r="A658" i="1"/>
  <c r="A659" i="1"/>
  <c r="A660" i="1"/>
  <c r="A661" i="1"/>
  <c r="A662" i="1"/>
  <c r="A662" i="3" s="1"/>
  <c r="A663" i="1"/>
  <c r="A664" i="1"/>
  <c r="A665" i="1"/>
  <c r="A666" i="1"/>
  <c r="A667" i="1"/>
  <c r="A668" i="1"/>
  <c r="A669" i="1"/>
  <c r="A670" i="1"/>
  <c r="A670" i="3" s="1"/>
  <c r="A671" i="1"/>
  <c r="A672" i="1"/>
  <c r="A673" i="1"/>
  <c r="A674" i="1"/>
  <c r="A675" i="1"/>
  <c r="A676" i="1"/>
  <c r="A677" i="1"/>
  <c r="A678" i="1"/>
  <c r="A678" i="3" s="1"/>
  <c r="A679" i="1"/>
  <c r="A680" i="1"/>
  <c r="A681" i="1"/>
  <c r="A682" i="1"/>
  <c r="A683" i="1"/>
  <c r="A684" i="1"/>
  <c r="A685" i="1"/>
  <c r="A686" i="1"/>
  <c r="A686" i="3" s="1"/>
  <c r="A687" i="1"/>
  <c r="A688" i="1"/>
  <c r="A689" i="1"/>
  <c r="A690" i="1"/>
  <c r="A691" i="1"/>
  <c r="A692" i="1"/>
  <c r="A693" i="1"/>
  <c r="A694" i="1"/>
  <c r="A694" i="3" s="1"/>
  <c r="A695" i="1"/>
  <c r="A696" i="1"/>
  <c r="A697" i="1"/>
  <c r="A698" i="1"/>
  <c r="A699" i="1"/>
  <c r="A700" i="1"/>
  <c r="A701" i="1"/>
  <c r="A702" i="1"/>
  <c r="A702" i="3" s="1"/>
  <c r="A703" i="1"/>
  <c r="A704" i="1"/>
  <c r="A705" i="1"/>
  <c r="A706" i="1"/>
  <c r="A707" i="1"/>
  <c r="A708" i="1"/>
  <c r="A709" i="1"/>
  <c r="A710" i="1"/>
  <c r="A710" i="3" s="1"/>
  <c r="A711" i="1"/>
  <c r="A712" i="1"/>
  <c r="A713" i="1"/>
  <c r="A714" i="1"/>
  <c r="A715" i="1"/>
  <c r="A716" i="1"/>
  <c r="A717" i="1"/>
  <c r="A718" i="1"/>
  <c r="A718" i="3" s="1"/>
  <c r="A719" i="1"/>
  <c r="A719" i="3" s="1"/>
  <c r="A720" i="1"/>
  <c r="A721" i="1"/>
  <c r="A722" i="1"/>
  <c r="A723" i="1"/>
  <c r="A724" i="1"/>
  <c r="A725" i="1"/>
  <c r="A726" i="1"/>
  <c r="A726" i="3" s="1"/>
  <c r="A727" i="1"/>
  <c r="A727" i="3" s="1"/>
  <c r="A728" i="1"/>
  <c r="A729" i="1"/>
  <c r="A730" i="1"/>
  <c r="A731" i="1"/>
  <c r="A732" i="1"/>
  <c r="A733" i="1"/>
  <c r="A734" i="1"/>
  <c r="A735" i="1"/>
  <c r="A735" i="3" s="1"/>
  <c r="A736" i="1"/>
  <c r="A737" i="1"/>
  <c r="A738" i="1"/>
  <c r="A739" i="1"/>
  <c r="A740" i="1"/>
  <c r="A741" i="1"/>
  <c r="A742" i="1"/>
  <c r="A743" i="1"/>
  <c r="A743" i="3" s="1"/>
  <c r="A744" i="1"/>
  <c r="A745" i="1"/>
  <c r="A746" i="1"/>
  <c r="A747" i="1"/>
  <c r="A748" i="1"/>
  <c r="A749" i="1"/>
  <c r="A750" i="1"/>
  <c r="A751" i="1"/>
  <c r="A751" i="3" s="1"/>
  <c r="A752" i="1"/>
  <c r="A753" i="1"/>
  <c r="A754" i="1"/>
  <c r="A755" i="1"/>
  <c r="A756" i="1"/>
  <c r="A757" i="1"/>
  <c r="A758" i="1"/>
  <c r="A759" i="1"/>
  <c r="A759" i="3" s="1"/>
  <c r="A760" i="1"/>
  <c r="A761" i="1"/>
  <c r="A762" i="1"/>
  <c r="A763" i="1"/>
  <c r="A764" i="1"/>
  <c r="A765" i="1"/>
  <c r="A766" i="1"/>
  <c r="A767" i="1"/>
  <c r="A767" i="3" s="1"/>
  <c r="A768" i="1"/>
  <c r="A769" i="1"/>
  <c r="A770" i="1"/>
  <c r="A771" i="1"/>
  <c r="A772" i="1"/>
  <c r="A773" i="1"/>
  <c r="A774" i="1"/>
  <c r="A775" i="1"/>
  <c r="A775" i="3" s="1"/>
  <c r="A776" i="1"/>
  <c r="A777" i="1"/>
  <c r="A778" i="1"/>
  <c r="A779" i="1"/>
  <c r="A780" i="1"/>
  <c r="A781" i="1"/>
  <c r="A782" i="1"/>
  <c r="A783" i="1"/>
  <c r="A783" i="3" s="1"/>
  <c r="A784" i="1"/>
  <c r="A785" i="1"/>
  <c r="A786" i="1"/>
  <c r="A787" i="1"/>
  <c r="A788" i="1"/>
  <c r="A789" i="1"/>
  <c r="A790" i="1"/>
  <c r="A791" i="1"/>
  <c r="A791" i="3" s="1"/>
  <c r="A792" i="1"/>
  <c r="A793" i="1"/>
  <c r="A794" i="1"/>
  <c r="A795" i="1"/>
  <c r="A796" i="1"/>
  <c r="A797" i="1"/>
  <c r="A798" i="1"/>
  <c r="A799" i="1"/>
  <c r="A799" i="3" s="1"/>
  <c r="A800" i="1"/>
  <c r="L3" i="1"/>
  <c r="L3" i="3" s="1"/>
  <c r="L4" i="1"/>
  <c r="L4" i="3" s="1"/>
  <c r="L5" i="1"/>
  <c r="L5" i="3" s="1"/>
  <c r="L6" i="1"/>
  <c r="L6" i="3" s="1"/>
  <c r="L7" i="1"/>
  <c r="L7" i="3" s="1"/>
  <c r="L8" i="1"/>
  <c r="L8" i="3" s="1"/>
  <c r="L9" i="1"/>
  <c r="L9" i="3" s="1"/>
  <c r="L10" i="1"/>
  <c r="L10" i="3" s="1"/>
  <c r="L11" i="1"/>
  <c r="L11" i="3" s="1"/>
  <c r="L12" i="1"/>
  <c r="L12" i="3" s="1"/>
  <c r="L13" i="1"/>
  <c r="L13" i="3" s="1"/>
  <c r="L14" i="1"/>
  <c r="L14" i="3" s="1"/>
  <c r="L15" i="1"/>
  <c r="L15" i="3" s="1"/>
  <c r="L16" i="1"/>
  <c r="L16" i="3" s="1"/>
  <c r="L17" i="1"/>
  <c r="L17" i="3" s="1"/>
  <c r="L18" i="1"/>
  <c r="L18" i="3" s="1"/>
  <c r="L19" i="1"/>
  <c r="L19" i="3" s="1"/>
  <c r="L20" i="1"/>
  <c r="L20" i="3" s="1"/>
  <c r="L21" i="1"/>
  <c r="L21" i="3" s="1"/>
  <c r="L22" i="1"/>
  <c r="L22" i="3" s="1"/>
  <c r="L23" i="1"/>
  <c r="L23" i="3" s="1"/>
  <c r="L24" i="1"/>
  <c r="L24" i="3" s="1"/>
  <c r="L25" i="1"/>
  <c r="L25" i="3" s="1"/>
  <c r="L26" i="1"/>
  <c r="L26" i="3" s="1"/>
  <c r="L27" i="1"/>
  <c r="L27" i="3" s="1"/>
  <c r="L28" i="1"/>
  <c r="L28" i="3" s="1"/>
  <c r="L29" i="1"/>
  <c r="L29" i="3" s="1"/>
  <c r="L30" i="1"/>
  <c r="L30" i="3" s="1"/>
  <c r="L31" i="1"/>
  <c r="L31" i="3" s="1"/>
  <c r="L32" i="1"/>
  <c r="L32" i="3" s="1"/>
  <c r="L33" i="1"/>
  <c r="L33" i="3" s="1"/>
  <c r="L2" i="1"/>
  <c r="L2" i="3" s="1"/>
  <c r="K3" i="1"/>
  <c r="K3" i="3" s="1"/>
  <c r="K4" i="1"/>
  <c r="K4" i="3" s="1"/>
  <c r="K5" i="1"/>
  <c r="K5" i="3" s="1"/>
  <c r="K6" i="1"/>
  <c r="K6" i="3" s="1"/>
  <c r="K7" i="1"/>
  <c r="K7" i="3" s="1"/>
  <c r="K8" i="1"/>
  <c r="K8" i="3" s="1"/>
  <c r="K9" i="1"/>
  <c r="K9" i="3" s="1"/>
  <c r="K10" i="1"/>
  <c r="K10" i="3" s="1"/>
  <c r="K11" i="1"/>
  <c r="K11" i="3" s="1"/>
  <c r="K12" i="1"/>
  <c r="K12" i="3" s="1"/>
  <c r="K13" i="1"/>
  <c r="K13" i="3" s="1"/>
  <c r="K14" i="1"/>
  <c r="K14" i="3" s="1"/>
  <c r="K15" i="1"/>
  <c r="K15" i="3" s="1"/>
  <c r="K16" i="1"/>
  <c r="K16" i="3" s="1"/>
  <c r="K17" i="1"/>
  <c r="K17" i="3" s="1"/>
  <c r="K18" i="1"/>
  <c r="K18" i="3" s="1"/>
  <c r="K19" i="1"/>
  <c r="K19" i="3" s="1"/>
  <c r="K20" i="1"/>
  <c r="K20" i="3" s="1"/>
  <c r="K21" i="1"/>
  <c r="K21" i="3" s="1"/>
  <c r="K22" i="1"/>
  <c r="K22" i="3" s="1"/>
  <c r="K23" i="1"/>
  <c r="K23" i="3" s="1"/>
  <c r="K24" i="1"/>
  <c r="K24" i="3" s="1"/>
  <c r="K25" i="1"/>
  <c r="K25" i="3" s="1"/>
  <c r="K26" i="1"/>
  <c r="K26" i="3" s="1"/>
  <c r="K27" i="1"/>
  <c r="K27" i="3" s="1"/>
  <c r="K28" i="1"/>
  <c r="K28" i="3" s="1"/>
  <c r="K29" i="1"/>
  <c r="K29" i="3" s="1"/>
  <c r="K30" i="1"/>
  <c r="K30" i="3" s="1"/>
  <c r="K31" i="1"/>
  <c r="K31" i="3" s="1"/>
  <c r="K32" i="1"/>
  <c r="K32" i="3" s="1"/>
  <c r="K33" i="1"/>
  <c r="K33" i="3" s="1"/>
  <c r="K2" i="1"/>
  <c r="K2" i="3" s="1"/>
  <c r="G9" i="3"/>
  <c r="E9" i="4" s="1"/>
  <c r="G15" i="3"/>
  <c r="E15" i="4" s="1"/>
  <c r="G17" i="3"/>
  <c r="E17" i="4" s="1"/>
  <c r="G23" i="3"/>
  <c r="E23" i="4" s="1"/>
  <c r="G25" i="3"/>
  <c r="E25" i="4" s="1"/>
  <c r="G31" i="3"/>
  <c r="E31" i="4" s="1"/>
  <c r="G33" i="3"/>
  <c r="E33" i="4" s="1"/>
  <c r="G2" i="3"/>
  <c r="E2" i="4" s="1"/>
  <c r="E3" i="1"/>
  <c r="E3" i="3" s="1"/>
  <c r="E4" i="1"/>
  <c r="E4" i="3" s="1"/>
  <c r="E5" i="1"/>
  <c r="E5" i="3" s="1"/>
  <c r="C5" i="4" s="1"/>
  <c r="E6" i="1"/>
  <c r="E6" i="3" s="1"/>
  <c r="C6" i="4" s="1"/>
  <c r="E7" i="1"/>
  <c r="E7" i="3" s="1"/>
  <c r="C7" i="4" s="1"/>
  <c r="E8" i="1"/>
  <c r="E8" i="3" s="1"/>
  <c r="C8" i="4" s="1"/>
  <c r="E9" i="1"/>
  <c r="E9" i="3" s="1"/>
  <c r="C9" i="4" s="1"/>
  <c r="E10" i="1"/>
  <c r="E10" i="3" s="1"/>
  <c r="C10" i="4" s="1"/>
  <c r="E11" i="1"/>
  <c r="E11" i="3" s="1"/>
  <c r="C11" i="4" s="1"/>
  <c r="E12" i="1"/>
  <c r="E12" i="3" s="1"/>
  <c r="C12" i="4" s="1"/>
  <c r="E13" i="1"/>
  <c r="E13" i="3" s="1"/>
  <c r="C13" i="4" s="1"/>
  <c r="E14" i="1"/>
  <c r="E14" i="3" s="1"/>
  <c r="C14" i="4" s="1"/>
  <c r="E15" i="1"/>
  <c r="E15" i="3" s="1"/>
  <c r="C15" i="4" s="1"/>
  <c r="E16" i="1"/>
  <c r="E16" i="3" s="1"/>
  <c r="C16" i="4" s="1"/>
  <c r="E17" i="1"/>
  <c r="E17" i="3" s="1"/>
  <c r="C17" i="4" s="1"/>
  <c r="E18" i="1"/>
  <c r="E18" i="3" s="1"/>
  <c r="C18" i="4" s="1"/>
  <c r="E19" i="1"/>
  <c r="E19" i="3" s="1"/>
  <c r="C19" i="4" s="1"/>
  <c r="E20" i="1"/>
  <c r="E20" i="3" s="1"/>
  <c r="C20" i="4" s="1"/>
  <c r="E21" i="1"/>
  <c r="E21" i="3" s="1"/>
  <c r="C21" i="4" s="1"/>
  <c r="E22" i="1"/>
  <c r="E22" i="3" s="1"/>
  <c r="C22" i="4" s="1"/>
  <c r="E23" i="1"/>
  <c r="E23" i="3" s="1"/>
  <c r="C23" i="4" s="1"/>
  <c r="E24" i="1"/>
  <c r="E24" i="3" s="1"/>
  <c r="C24" i="4" s="1"/>
  <c r="E25" i="1"/>
  <c r="E25" i="3" s="1"/>
  <c r="C25" i="4" s="1"/>
  <c r="E26" i="1"/>
  <c r="E26" i="3" s="1"/>
  <c r="C26" i="4" s="1"/>
  <c r="E27" i="1"/>
  <c r="E27" i="3" s="1"/>
  <c r="C27" i="4" s="1"/>
  <c r="E28" i="1"/>
  <c r="E28" i="3" s="1"/>
  <c r="C28" i="4" s="1"/>
  <c r="E29" i="1"/>
  <c r="E29" i="3" s="1"/>
  <c r="C29" i="4" s="1"/>
  <c r="E30" i="1"/>
  <c r="E30" i="3" s="1"/>
  <c r="C30" i="4" s="1"/>
  <c r="E31" i="1"/>
  <c r="E31" i="3" s="1"/>
  <c r="C31" i="4" s="1"/>
  <c r="E32" i="1"/>
  <c r="E32" i="3" s="1"/>
  <c r="C32" i="4" s="1"/>
  <c r="E33" i="1"/>
  <c r="E33" i="3" s="1"/>
  <c r="C33" i="4" s="1"/>
  <c r="E2" i="1"/>
  <c r="E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2" i="3"/>
  <c r="Q4" i="1"/>
  <c r="Q5" i="1"/>
  <c r="Q6" i="1"/>
  <c r="Q10" i="1"/>
  <c r="Q11" i="1"/>
  <c r="Q12" i="1"/>
  <c r="Q13" i="1"/>
  <c r="Q14" i="1"/>
  <c r="Q18" i="1"/>
  <c r="Q19" i="1"/>
  <c r="Q20" i="1"/>
  <c r="Q21" i="1"/>
  <c r="Q22" i="1"/>
  <c r="Q23" i="1"/>
  <c r="Q26" i="1"/>
  <c r="Q27" i="1"/>
  <c r="Q28" i="1"/>
  <c r="Q29" i="1"/>
  <c r="Q30" i="1"/>
  <c r="Q31" i="1"/>
  <c r="A2" i="1"/>
  <c r="A2" i="3" l="1"/>
  <c r="A2" i="4" s="1"/>
  <c r="A800" i="3"/>
  <c r="A800" i="4" s="1"/>
  <c r="A798" i="3"/>
  <c r="A798" i="4" s="1"/>
  <c r="A797" i="3"/>
  <c r="A797" i="4" s="1"/>
  <c r="A796" i="3"/>
  <c r="A796" i="4" s="1"/>
  <c r="A795" i="3"/>
  <c r="A795" i="4" s="1"/>
  <c r="A794" i="3"/>
  <c r="A794" i="4" s="1"/>
  <c r="A793" i="3"/>
  <c r="A793" i="4" s="1"/>
  <c r="A792" i="3"/>
  <c r="A792" i="4" s="1"/>
  <c r="A790" i="3"/>
  <c r="A790" i="4" s="1"/>
  <c r="A789" i="3"/>
  <c r="A789" i="4" s="1"/>
  <c r="A788" i="3"/>
  <c r="A788" i="4" s="1"/>
  <c r="A787" i="3"/>
  <c r="A787" i="4" s="1"/>
  <c r="A786" i="3"/>
  <c r="A786" i="4" s="1"/>
  <c r="A785" i="3"/>
  <c r="A785" i="4" s="1"/>
  <c r="A784" i="3"/>
  <c r="A784" i="4" s="1"/>
  <c r="A782" i="3"/>
  <c r="A782" i="4" s="1"/>
  <c r="A781" i="3"/>
  <c r="A781" i="4" s="1"/>
  <c r="A780" i="3"/>
  <c r="A780" i="4" s="1"/>
  <c r="A779" i="3"/>
  <c r="A779" i="4" s="1"/>
  <c r="A778" i="3"/>
  <c r="A778" i="4" s="1"/>
  <c r="A777" i="3"/>
  <c r="A777" i="4" s="1"/>
  <c r="A776" i="3"/>
  <c r="A776" i="4" s="1"/>
  <c r="A774" i="3"/>
  <c r="A774" i="4" s="1"/>
  <c r="A773" i="3"/>
  <c r="A773" i="4" s="1"/>
  <c r="A772" i="3"/>
  <c r="A772" i="4" s="1"/>
  <c r="A771" i="3"/>
  <c r="A771" i="4" s="1"/>
  <c r="A770" i="3"/>
  <c r="A770" i="4" s="1"/>
  <c r="A769" i="3"/>
  <c r="A769" i="4" s="1"/>
  <c r="A768" i="3"/>
  <c r="A768" i="4" s="1"/>
  <c r="A766" i="3"/>
  <c r="A766" i="4" s="1"/>
  <c r="A765" i="3"/>
  <c r="A765" i="4" s="1"/>
  <c r="A764" i="3"/>
  <c r="A764" i="4" s="1"/>
  <c r="A763" i="3"/>
  <c r="A763" i="4" s="1"/>
  <c r="A762" i="3"/>
  <c r="A762" i="4" s="1"/>
  <c r="A761" i="3"/>
  <c r="A761" i="4" s="1"/>
  <c r="A760" i="3"/>
  <c r="A760" i="4" s="1"/>
  <c r="A758" i="3"/>
  <c r="A758" i="4" s="1"/>
  <c r="A757" i="3"/>
  <c r="A757" i="4" s="1"/>
  <c r="A756" i="3"/>
  <c r="A756" i="4" s="1"/>
  <c r="A755" i="3"/>
  <c r="A755" i="4" s="1"/>
  <c r="A754" i="3"/>
  <c r="A754" i="4" s="1"/>
  <c r="A753" i="3"/>
  <c r="A753" i="4" s="1"/>
  <c r="A752" i="3"/>
  <c r="A752" i="4" s="1"/>
  <c r="A750" i="3"/>
  <c r="A750" i="4" s="1"/>
  <c r="A749" i="3"/>
  <c r="A749" i="4" s="1"/>
  <c r="A748" i="3"/>
  <c r="A748" i="4" s="1"/>
  <c r="A747" i="3"/>
  <c r="A747" i="4" s="1"/>
  <c r="A746" i="3"/>
  <c r="A746" i="4" s="1"/>
  <c r="A745" i="3"/>
  <c r="A745" i="4" s="1"/>
  <c r="A744" i="3"/>
  <c r="A744" i="4" s="1"/>
  <c r="A742" i="3"/>
  <c r="A742" i="4" s="1"/>
  <c r="A741" i="3"/>
  <c r="A741" i="4" s="1"/>
  <c r="A740" i="3"/>
  <c r="A740" i="4" s="1"/>
  <c r="A739" i="3"/>
  <c r="A739" i="4" s="1"/>
  <c r="A738" i="3"/>
  <c r="A738" i="4" s="1"/>
  <c r="A737" i="3"/>
  <c r="A737" i="4" s="1"/>
  <c r="A736" i="3"/>
  <c r="A736" i="4" s="1"/>
  <c r="A734" i="3"/>
  <c r="A734" i="4" s="1"/>
  <c r="A733" i="3"/>
  <c r="A733" i="4" s="1"/>
  <c r="A732" i="3"/>
  <c r="A732" i="4" s="1"/>
  <c r="A731" i="3"/>
  <c r="A731" i="4" s="1"/>
  <c r="A730" i="3"/>
  <c r="A730" i="4" s="1"/>
  <c r="A729" i="3"/>
  <c r="A729" i="4" s="1"/>
  <c r="A728" i="3"/>
  <c r="A728" i="4" s="1"/>
  <c r="A725" i="3"/>
  <c r="A725" i="4" s="1"/>
  <c r="A724" i="3"/>
  <c r="A724" i="4" s="1"/>
  <c r="A723" i="3"/>
  <c r="A723" i="4" s="1"/>
  <c r="A722" i="3"/>
  <c r="A722" i="4" s="1"/>
  <c r="A721" i="3"/>
  <c r="A721" i="4" s="1"/>
  <c r="A720" i="3"/>
  <c r="A720" i="4" s="1"/>
  <c r="A717" i="3"/>
  <c r="A717" i="4" s="1"/>
  <c r="A716" i="3"/>
  <c r="A716" i="4" s="1"/>
  <c r="A715" i="3"/>
  <c r="A715" i="4" s="1"/>
  <c r="A714" i="3"/>
  <c r="A714" i="4" s="1"/>
  <c r="A713" i="3"/>
  <c r="A713" i="4" s="1"/>
  <c r="A712" i="3"/>
  <c r="A712" i="4" s="1"/>
  <c r="A711" i="3"/>
  <c r="A711" i="4" s="1"/>
  <c r="A709" i="3"/>
  <c r="A709" i="4" s="1"/>
  <c r="A708" i="3"/>
  <c r="A708" i="4" s="1"/>
  <c r="A707" i="3"/>
  <c r="A707" i="4" s="1"/>
  <c r="A706" i="3"/>
  <c r="A706" i="4" s="1"/>
  <c r="A705" i="3"/>
  <c r="A705" i="4" s="1"/>
  <c r="A704" i="3"/>
  <c r="A704" i="4" s="1"/>
  <c r="A703" i="3"/>
  <c r="A703" i="4" s="1"/>
  <c r="A701" i="3"/>
  <c r="A701" i="4" s="1"/>
  <c r="A700" i="3"/>
  <c r="A700" i="4" s="1"/>
  <c r="A699" i="3"/>
  <c r="A699" i="4" s="1"/>
  <c r="A698" i="3"/>
  <c r="A698" i="4" s="1"/>
  <c r="A697" i="3"/>
  <c r="A697" i="4" s="1"/>
  <c r="A696" i="3"/>
  <c r="A696" i="4" s="1"/>
  <c r="A695" i="3"/>
  <c r="A695" i="4" s="1"/>
  <c r="A693" i="3"/>
  <c r="A693" i="4" s="1"/>
  <c r="A692" i="3"/>
  <c r="A692" i="4" s="1"/>
  <c r="A691" i="3"/>
  <c r="A691" i="4" s="1"/>
  <c r="A690" i="3"/>
  <c r="A690" i="4" s="1"/>
  <c r="A689" i="3"/>
  <c r="A689" i="4" s="1"/>
  <c r="A688" i="3"/>
  <c r="A688" i="4" s="1"/>
  <c r="A687" i="3"/>
  <c r="A687" i="4" s="1"/>
  <c r="A685" i="3"/>
  <c r="A685" i="4" s="1"/>
  <c r="A684" i="3"/>
  <c r="A684" i="4" s="1"/>
  <c r="A683" i="3"/>
  <c r="A683" i="4" s="1"/>
  <c r="A682" i="3"/>
  <c r="A682" i="4" s="1"/>
  <c r="A681" i="3"/>
  <c r="A681" i="4" s="1"/>
  <c r="A680" i="3"/>
  <c r="A680" i="4" s="1"/>
  <c r="A679" i="3"/>
  <c r="A679" i="4" s="1"/>
  <c r="A677" i="3"/>
  <c r="A677" i="4" s="1"/>
  <c r="A676" i="3"/>
  <c r="A676" i="4" s="1"/>
  <c r="A675" i="3"/>
  <c r="A675" i="4" s="1"/>
  <c r="A674" i="3"/>
  <c r="A674" i="4" s="1"/>
  <c r="A673" i="3"/>
  <c r="A673" i="4" s="1"/>
  <c r="A672" i="3"/>
  <c r="A672" i="4" s="1"/>
  <c r="A671" i="3"/>
  <c r="A671" i="4" s="1"/>
  <c r="A669" i="3"/>
  <c r="A669" i="4" s="1"/>
  <c r="A668" i="3"/>
  <c r="A668" i="4" s="1"/>
  <c r="A667" i="3"/>
  <c r="A667" i="4" s="1"/>
  <c r="A666" i="3"/>
  <c r="A666" i="4" s="1"/>
  <c r="A665" i="3"/>
  <c r="A665" i="4" s="1"/>
  <c r="A664" i="3"/>
  <c r="A664" i="4" s="1"/>
  <c r="A663" i="3"/>
  <c r="A663" i="4" s="1"/>
  <c r="A661" i="3"/>
  <c r="A661" i="4" s="1"/>
  <c r="A660" i="3"/>
  <c r="A660" i="4" s="1"/>
  <c r="A659" i="3"/>
  <c r="A659" i="4" s="1"/>
  <c r="A658" i="3"/>
  <c r="A658" i="4" s="1"/>
  <c r="A657" i="3"/>
  <c r="A657" i="4" s="1"/>
  <c r="A656" i="3"/>
  <c r="A656" i="4" s="1"/>
  <c r="A655" i="3"/>
  <c r="A655" i="4" s="1"/>
  <c r="A653" i="3"/>
  <c r="A653" i="4" s="1"/>
  <c r="A652" i="3"/>
  <c r="A652" i="4" s="1"/>
  <c r="A651" i="3"/>
  <c r="A651" i="4" s="1"/>
  <c r="A650" i="3"/>
  <c r="A650" i="4" s="1"/>
  <c r="A649" i="3"/>
  <c r="A649" i="4" s="1"/>
  <c r="A648" i="3"/>
  <c r="A648" i="4" s="1"/>
  <c r="A647" i="3"/>
  <c r="A647" i="4" s="1"/>
  <c r="A645" i="3"/>
  <c r="A645" i="4" s="1"/>
  <c r="A644" i="3"/>
  <c r="A644" i="4" s="1"/>
  <c r="A643" i="3"/>
  <c r="A643" i="4" s="1"/>
  <c r="A642" i="3"/>
  <c r="A642" i="4" s="1"/>
  <c r="A641" i="3"/>
  <c r="A641" i="4" s="1"/>
  <c r="A640" i="3"/>
  <c r="A640" i="4" s="1"/>
  <c r="A639" i="3"/>
  <c r="A639" i="4" s="1"/>
  <c r="A637" i="3"/>
  <c r="A637" i="4" s="1"/>
  <c r="A636" i="3"/>
  <c r="A636" i="4" s="1"/>
  <c r="A635" i="3"/>
  <c r="A635" i="4" s="1"/>
  <c r="A634" i="3"/>
  <c r="A634" i="4" s="1"/>
  <c r="A633" i="3"/>
  <c r="A633" i="4" s="1"/>
  <c r="A632" i="3"/>
  <c r="A632" i="4" s="1"/>
  <c r="A631" i="3"/>
  <c r="A631" i="4" s="1"/>
  <c r="A629" i="3"/>
  <c r="A629" i="4" s="1"/>
  <c r="A628" i="3"/>
  <c r="A628" i="4" s="1"/>
  <c r="A627" i="3"/>
  <c r="A627" i="4" s="1"/>
  <c r="A626" i="3"/>
  <c r="A626" i="4" s="1"/>
  <c r="A625" i="3"/>
  <c r="A625" i="4" s="1"/>
  <c r="A624" i="3"/>
  <c r="A624" i="4" s="1"/>
  <c r="A623" i="3"/>
  <c r="A623" i="4" s="1"/>
  <c r="A621" i="3"/>
  <c r="A621" i="4" s="1"/>
  <c r="A620" i="3"/>
  <c r="A620" i="4" s="1"/>
  <c r="A619" i="3"/>
  <c r="A619" i="4" s="1"/>
  <c r="A618" i="3"/>
  <c r="A618" i="4" s="1"/>
  <c r="A617" i="3"/>
  <c r="A617" i="4" s="1"/>
  <c r="A616" i="3"/>
  <c r="A616" i="4" s="1"/>
  <c r="A615" i="3"/>
  <c r="A615" i="4" s="1"/>
  <c r="A613" i="3"/>
  <c r="A613" i="4" s="1"/>
  <c r="A612" i="3"/>
  <c r="A612" i="4" s="1"/>
  <c r="A611" i="3"/>
  <c r="A611" i="4" s="1"/>
  <c r="A610" i="3"/>
  <c r="A610" i="4" s="1"/>
  <c r="A609" i="3"/>
  <c r="A609" i="4" s="1"/>
  <c r="A608" i="3"/>
  <c r="A608" i="4" s="1"/>
  <c r="A607" i="3"/>
  <c r="A607" i="4" s="1"/>
  <c r="A605" i="3"/>
  <c r="A605" i="4" s="1"/>
  <c r="A604" i="3"/>
  <c r="A604" i="4" s="1"/>
  <c r="A603" i="3"/>
  <c r="A603" i="4" s="1"/>
  <c r="A602" i="3"/>
  <c r="A602" i="4" s="1"/>
  <c r="A601" i="3"/>
  <c r="A601" i="4" s="1"/>
  <c r="A600" i="3"/>
  <c r="A600" i="4" s="1"/>
  <c r="A599" i="3"/>
  <c r="A599" i="4" s="1"/>
  <c r="A597" i="3"/>
  <c r="A597" i="4" s="1"/>
  <c r="A596" i="3"/>
  <c r="A596" i="4" s="1"/>
  <c r="A595" i="3"/>
  <c r="A595" i="4" s="1"/>
  <c r="A594" i="3"/>
  <c r="A594" i="4" s="1"/>
  <c r="A593" i="3"/>
  <c r="A593" i="4" s="1"/>
  <c r="A592" i="3"/>
  <c r="A592" i="4" s="1"/>
  <c r="A591" i="3"/>
  <c r="A591" i="4" s="1"/>
  <c r="A589" i="3"/>
  <c r="A589" i="4" s="1"/>
  <c r="A588" i="3"/>
  <c r="A588" i="4" s="1"/>
  <c r="A587" i="3"/>
  <c r="A587" i="4" s="1"/>
  <c r="A586" i="3"/>
  <c r="A586" i="4" s="1"/>
  <c r="A585" i="3"/>
  <c r="A585" i="4" s="1"/>
  <c r="A584" i="3"/>
  <c r="A584" i="4" s="1"/>
  <c r="A583" i="3"/>
  <c r="A583" i="4" s="1"/>
  <c r="A581" i="3"/>
  <c r="A581" i="4" s="1"/>
  <c r="A580" i="3"/>
  <c r="A580" i="4" s="1"/>
  <c r="A579" i="3"/>
  <c r="A579" i="4" s="1"/>
  <c r="A578" i="3"/>
  <c r="A578" i="4" s="1"/>
  <c r="A577" i="3"/>
  <c r="A577" i="4" s="1"/>
  <c r="A576" i="3"/>
  <c r="A576" i="4" s="1"/>
  <c r="A575" i="3"/>
  <c r="A575" i="4" s="1"/>
  <c r="A573" i="3"/>
  <c r="A573" i="4" s="1"/>
  <c r="A572" i="3"/>
  <c r="A572" i="4" s="1"/>
  <c r="A571" i="3"/>
  <c r="A571" i="4" s="1"/>
  <c r="A570" i="3"/>
  <c r="A570" i="4" s="1"/>
  <c r="A569" i="3"/>
  <c r="A569" i="4" s="1"/>
  <c r="A568" i="3"/>
  <c r="A568" i="4" s="1"/>
  <c r="A567" i="3"/>
  <c r="A567" i="4" s="1"/>
  <c r="A565" i="3"/>
  <c r="A565" i="4" s="1"/>
  <c r="A564" i="3"/>
  <c r="A564" i="4" s="1"/>
  <c r="A563" i="3"/>
  <c r="A563" i="4" s="1"/>
  <c r="A562" i="3"/>
  <c r="A562" i="4" s="1"/>
  <c r="A561" i="3"/>
  <c r="A561" i="4" s="1"/>
  <c r="A560" i="3"/>
  <c r="A560" i="4" s="1"/>
  <c r="A559" i="3"/>
  <c r="A559" i="4" s="1"/>
  <c r="A557" i="3"/>
  <c r="A557" i="4" s="1"/>
  <c r="A556" i="3"/>
  <c r="A556" i="4" s="1"/>
  <c r="A555" i="3"/>
  <c r="A555" i="4" s="1"/>
  <c r="A554" i="3"/>
  <c r="A554" i="4" s="1"/>
  <c r="A553" i="3"/>
  <c r="A553" i="4" s="1"/>
  <c r="A552" i="3"/>
  <c r="A552" i="4" s="1"/>
  <c r="A551" i="3"/>
  <c r="A551" i="4" s="1"/>
  <c r="A549" i="3"/>
  <c r="A549" i="4" s="1"/>
  <c r="A548" i="3"/>
  <c r="A548" i="4" s="1"/>
  <c r="A547" i="3"/>
  <c r="A547" i="4" s="1"/>
  <c r="A546" i="3"/>
  <c r="A546" i="4" s="1"/>
  <c r="A545" i="3"/>
  <c r="A545" i="4" s="1"/>
  <c r="A544" i="3"/>
  <c r="A544" i="4" s="1"/>
  <c r="A543" i="3"/>
  <c r="A543" i="4" s="1"/>
  <c r="A541" i="3"/>
  <c r="A541" i="4" s="1"/>
  <c r="A540" i="3"/>
  <c r="A540" i="4" s="1"/>
  <c r="A539" i="3"/>
  <c r="A539" i="4" s="1"/>
  <c r="A538" i="3"/>
  <c r="A538" i="4" s="1"/>
  <c r="A537" i="3"/>
  <c r="A537" i="4" s="1"/>
  <c r="A536" i="3"/>
  <c r="A536" i="4" s="1"/>
  <c r="A535" i="3"/>
  <c r="A535" i="4" s="1"/>
  <c r="A533" i="3"/>
  <c r="A533" i="4" s="1"/>
  <c r="A532" i="3"/>
  <c r="A532" i="4" s="1"/>
  <c r="A531" i="3"/>
  <c r="A531" i="4" s="1"/>
  <c r="A530" i="3"/>
  <c r="A530" i="4" s="1"/>
  <c r="A529" i="3"/>
  <c r="A529" i="4" s="1"/>
  <c r="A528" i="3"/>
  <c r="A528" i="4" s="1"/>
  <c r="A527" i="3"/>
  <c r="A527" i="4" s="1"/>
  <c r="A525" i="3"/>
  <c r="A525" i="4" s="1"/>
  <c r="A524" i="3"/>
  <c r="A524" i="4" s="1"/>
  <c r="A523" i="3"/>
  <c r="A523" i="4" s="1"/>
  <c r="A522" i="3"/>
  <c r="A522" i="4" s="1"/>
  <c r="A521" i="3"/>
  <c r="A521" i="4" s="1"/>
  <c r="A520" i="3"/>
  <c r="A520" i="4" s="1"/>
  <c r="A519" i="3"/>
  <c r="A519" i="4" s="1"/>
  <c r="A517" i="3"/>
  <c r="A517" i="4" s="1"/>
  <c r="A516" i="3"/>
  <c r="A516" i="4" s="1"/>
  <c r="A515" i="3"/>
  <c r="A515" i="4" s="1"/>
  <c r="A514" i="3"/>
  <c r="A514" i="4" s="1"/>
  <c r="A513" i="3"/>
  <c r="A513" i="4" s="1"/>
  <c r="A512" i="3"/>
  <c r="A512" i="4" s="1"/>
  <c r="A511" i="3"/>
  <c r="A511" i="4" s="1"/>
  <c r="A509" i="3"/>
  <c r="A509" i="4" s="1"/>
  <c r="A508" i="3"/>
  <c r="A508" i="4" s="1"/>
  <c r="A507" i="3"/>
  <c r="A507" i="4" s="1"/>
  <c r="A506" i="3"/>
  <c r="A506" i="4" s="1"/>
  <c r="A505" i="3"/>
  <c r="A505" i="4" s="1"/>
  <c r="A504" i="3"/>
  <c r="A504" i="4" s="1"/>
  <c r="A503" i="3"/>
  <c r="A503" i="4" s="1"/>
  <c r="A501" i="3"/>
  <c r="A501" i="4" s="1"/>
  <c r="A500" i="3"/>
  <c r="A500" i="4" s="1"/>
  <c r="A499" i="3"/>
  <c r="A499" i="4" s="1"/>
  <c r="A498" i="3"/>
  <c r="A498" i="4" s="1"/>
  <c r="A497" i="3"/>
  <c r="A497" i="4" s="1"/>
  <c r="A496" i="3"/>
  <c r="A496" i="4" s="1"/>
  <c r="A495" i="3"/>
  <c r="A495" i="4" s="1"/>
  <c r="A492" i="3"/>
  <c r="A492" i="4" s="1"/>
  <c r="A491" i="3"/>
  <c r="A491" i="4" s="1"/>
  <c r="A490" i="3"/>
  <c r="A490" i="4" s="1"/>
  <c r="A489" i="3"/>
  <c r="A489" i="4" s="1"/>
  <c r="A488" i="3"/>
  <c r="A488" i="4" s="1"/>
  <c r="A487" i="3"/>
  <c r="A487" i="4" s="1"/>
  <c r="A484" i="3"/>
  <c r="A484" i="4" s="1"/>
  <c r="A483" i="3"/>
  <c r="A483" i="4" s="1"/>
  <c r="A482" i="3"/>
  <c r="A482" i="4" s="1"/>
  <c r="A481" i="3"/>
  <c r="A481" i="4" s="1"/>
  <c r="A480" i="3"/>
  <c r="A480" i="4" s="1"/>
  <c r="A479" i="3"/>
  <c r="A479" i="4" s="1"/>
  <c r="A476" i="3"/>
  <c r="A476" i="4" s="1"/>
  <c r="A475" i="3"/>
  <c r="A475" i="4" s="1"/>
  <c r="A474" i="3"/>
  <c r="A474" i="4" s="1"/>
  <c r="A473" i="3"/>
  <c r="A473" i="4" s="1"/>
  <c r="A472" i="3"/>
  <c r="A472" i="4" s="1"/>
  <c r="A471" i="3"/>
  <c r="A471" i="4" s="1"/>
  <c r="A468" i="3"/>
  <c r="A468" i="4" s="1"/>
  <c r="A467" i="3"/>
  <c r="A467" i="4" s="1"/>
  <c r="A466" i="3"/>
  <c r="A466" i="4" s="1"/>
  <c r="A465" i="3"/>
  <c r="A465" i="4" s="1"/>
  <c r="A464" i="3"/>
  <c r="A464" i="4" s="1"/>
  <c r="A463" i="3"/>
  <c r="A463" i="4" s="1"/>
  <c r="A461" i="3"/>
  <c r="A461" i="4" s="1"/>
  <c r="A459" i="3"/>
  <c r="A459" i="4" s="1"/>
  <c r="A458" i="3"/>
  <c r="A458" i="4" s="1"/>
  <c r="A457" i="3"/>
  <c r="A457" i="4" s="1"/>
  <c r="A456" i="3"/>
  <c r="A456" i="4" s="1"/>
  <c r="A455" i="3"/>
  <c r="A455" i="4" s="1"/>
  <c r="A454" i="3"/>
  <c r="A454" i="4" s="1"/>
  <c r="A451" i="3"/>
  <c r="A451" i="4" s="1"/>
  <c r="A450" i="3"/>
  <c r="A450" i="4" s="1"/>
  <c r="A449" i="3"/>
  <c r="A449" i="4" s="1"/>
  <c r="A447" i="3"/>
  <c r="A447" i="4" s="1"/>
  <c r="A444" i="3"/>
  <c r="A444" i="4" s="1"/>
  <c r="A443" i="3"/>
  <c r="A443" i="4" s="1"/>
  <c r="A442" i="3"/>
  <c r="A442" i="4" s="1"/>
  <c r="A441" i="3"/>
  <c r="A441" i="4" s="1"/>
  <c r="A439" i="3"/>
  <c r="A439" i="4" s="1"/>
  <c r="A435" i="3"/>
  <c r="A435" i="4" s="1"/>
  <c r="A434" i="3"/>
  <c r="A434" i="4" s="1"/>
  <c r="A433" i="3"/>
  <c r="A433" i="4" s="1"/>
  <c r="A432" i="3"/>
  <c r="A432" i="4" s="1"/>
  <c r="A431" i="3"/>
  <c r="A431" i="4" s="1"/>
  <c r="A427" i="3"/>
  <c r="A427" i="4" s="1"/>
  <c r="A426" i="3"/>
  <c r="A426" i="4" s="1"/>
  <c r="A425" i="3"/>
  <c r="A425" i="4" s="1"/>
  <c r="A423" i="3"/>
  <c r="A423" i="4" s="1"/>
  <c r="A420" i="3"/>
  <c r="A420" i="4" s="1"/>
  <c r="A419" i="3"/>
  <c r="A419" i="4" s="1"/>
  <c r="A418" i="3"/>
  <c r="A418" i="4" s="1"/>
  <c r="A417" i="3"/>
  <c r="A417" i="4" s="1"/>
  <c r="A415" i="3"/>
  <c r="A415" i="4" s="1"/>
  <c r="A411" i="3"/>
  <c r="A411" i="4" s="1"/>
  <c r="A410" i="3"/>
  <c r="A410" i="4" s="1"/>
  <c r="A409" i="3"/>
  <c r="A409" i="4" s="1"/>
  <c r="A408" i="3"/>
  <c r="A408" i="4" s="1"/>
  <c r="A407" i="3"/>
  <c r="A407" i="4" s="1"/>
  <c r="A403" i="3"/>
  <c r="A403" i="4" s="1"/>
  <c r="A402" i="3"/>
  <c r="A402" i="4" s="1"/>
  <c r="A401" i="3"/>
  <c r="A401" i="4" s="1"/>
  <c r="A399" i="3"/>
  <c r="A399" i="4" s="1"/>
  <c r="A396" i="3"/>
  <c r="A396" i="4" s="1"/>
  <c r="A395" i="3"/>
  <c r="A395" i="4" s="1"/>
  <c r="A394" i="3"/>
  <c r="A394" i="4" s="1"/>
  <c r="A393" i="3"/>
  <c r="A393" i="4" s="1"/>
  <c r="A391" i="3"/>
  <c r="A391" i="4" s="1"/>
  <c r="A387" i="3"/>
  <c r="A387" i="4" s="1"/>
  <c r="A386" i="3"/>
  <c r="A386" i="4" s="1"/>
  <c r="A385" i="3"/>
  <c r="A385" i="4" s="1"/>
  <c r="A384" i="3"/>
  <c r="A384" i="4" s="1"/>
  <c r="A383" i="3"/>
  <c r="A383" i="4" s="1"/>
  <c r="A379" i="3"/>
  <c r="A379" i="4" s="1"/>
  <c r="A378" i="3"/>
  <c r="A378" i="4" s="1"/>
  <c r="A377" i="3"/>
  <c r="A377" i="4" s="1"/>
  <c r="A375" i="3"/>
  <c r="A375" i="4" s="1"/>
  <c r="A372" i="3"/>
  <c r="A372" i="4" s="1"/>
  <c r="A371" i="3"/>
  <c r="A371" i="4" s="1"/>
  <c r="A370" i="3"/>
  <c r="A370" i="4" s="1"/>
  <c r="A369" i="3"/>
  <c r="A369" i="4" s="1"/>
  <c r="A367" i="3"/>
  <c r="A367" i="4" s="1"/>
  <c r="A363" i="3"/>
  <c r="A363" i="4" s="1"/>
  <c r="A362" i="3"/>
  <c r="A362" i="4" s="1"/>
  <c r="A361" i="3"/>
  <c r="A361" i="4" s="1"/>
  <c r="A360" i="3"/>
  <c r="A360" i="4" s="1"/>
  <c r="A359" i="3"/>
  <c r="A359" i="4" s="1"/>
  <c r="A355" i="3"/>
  <c r="A355" i="4" s="1"/>
  <c r="A354" i="3"/>
  <c r="A354" i="4" s="1"/>
  <c r="A353" i="3"/>
  <c r="A353" i="4" s="1"/>
  <c r="A351" i="3"/>
  <c r="A351" i="4" s="1"/>
  <c r="A348" i="3"/>
  <c r="A348" i="4" s="1"/>
  <c r="A347" i="3"/>
  <c r="A347" i="4" s="1"/>
  <c r="A346" i="3"/>
  <c r="A346" i="4" s="1"/>
  <c r="A345" i="3"/>
  <c r="A345" i="4" s="1"/>
  <c r="A343" i="3"/>
  <c r="A343" i="4" s="1"/>
  <c r="A339" i="3"/>
  <c r="A339" i="4" s="1"/>
  <c r="A338" i="3"/>
  <c r="A338" i="4" s="1"/>
  <c r="A337" i="3"/>
  <c r="A337" i="4" s="1"/>
  <c r="A336" i="3"/>
  <c r="A336" i="4" s="1"/>
  <c r="A335" i="3"/>
  <c r="A335" i="4" s="1"/>
  <c r="A331" i="3"/>
  <c r="A331" i="4" s="1"/>
  <c r="A330" i="3"/>
  <c r="A330" i="4" s="1"/>
  <c r="A329" i="3"/>
  <c r="A329" i="4" s="1"/>
  <c r="A327" i="3"/>
  <c r="A327" i="4" s="1"/>
  <c r="A324" i="3"/>
  <c r="A324" i="4" s="1"/>
  <c r="A323" i="3"/>
  <c r="A323" i="4" s="1"/>
  <c r="A322" i="3"/>
  <c r="A322" i="4" s="1"/>
  <c r="A321" i="3"/>
  <c r="A321" i="4" s="1"/>
  <c r="A319" i="3"/>
  <c r="A319" i="4" s="1"/>
  <c r="A315" i="3"/>
  <c r="A315" i="4" s="1"/>
  <c r="A314" i="3"/>
  <c r="A314" i="4" s="1"/>
  <c r="A313" i="3"/>
  <c r="A313" i="4" s="1"/>
  <c r="A312" i="3"/>
  <c r="A312" i="4" s="1"/>
  <c r="A311" i="3"/>
  <c r="A311" i="4" s="1"/>
  <c r="A307" i="3"/>
  <c r="A307" i="4" s="1"/>
  <c r="A306" i="3"/>
  <c r="A306" i="4" s="1"/>
  <c r="A305" i="3"/>
  <c r="A305" i="4" s="1"/>
  <c r="A303" i="3"/>
  <c r="A303" i="4" s="1"/>
  <c r="A300" i="3"/>
  <c r="A300" i="4" s="1"/>
  <c r="A299" i="3"/>
  <c r="A299" i="4" s="1"/>
  <c r="A298" i="3"/>
  <c r="A298" i="4" s="1"/>
  <c r="A297" i="3"/>
  <c r="A297" i="4" s="1"/>
  <c r="A295" i="3"/>
  <c r="A295" i="4" s="1"/>
  <c r="A291" i="3"/>
  <c r="A291" i="4" s="1"/>
  <c r="A290" i="3"/>
  <c r="A290" i="4" s="1"/>
  <c r="A289" i="3"/>
  <c r="A289" i="4" s="1"/>
  <c r="A288" i="3"/>
  <c r="A288" i="4" s="1"/>
  <c r="A287" i="3"/>
  <c r="A287" i="4" s="1"/>
  <c r="A283" i="3"/>
  <c r="A283" i="4" s="1"/>
  <c r="A282" i="3"/>
  <c r="A282" i="4" s="1"/>
  <c r="A281" i="3"/>
  <c r="A281" i="4" s="1"/>
  <c r="A279" i="3"/>
  <c r="A279" i="4" s="1"/>
  <c r="A276" i="3"/>
  <c r="A276" i="4" s="1"/>
  <c r="A275" i="3"/>
  <c r="A275" i="4" s="1"/>
  <c r="A274" i="3"/>
  <c r="A274" i="4" s="1"/>
  <c r="A273" i="3"/>
  <c r="A273" i="4" s="1"/>
  <c r="A271" i="3"/>
  <c r="A271" i="4" s="1"/>
  <c r="A267" i="3"/>
  <c r="A267" i="4" s="1"/>
  <c r="A266" i="3"/>
  <c r="A266" i="4" s="1"/>
  <c r="A265" i="3"/>
  <c r="A265" i="4" s="1"/>
  <c r="A264" i="3"/>
  <c r="A264" i="4" s="1"/>
  <c r="A263" i="3"/>
  <c r="A263" i="4" s="1"/>
  <c r="A259" i="3"/>
  <c r="A259" i="4" s="1"/>
  <c r="A258" i="3"/>
  <c r="A258" i="4" s="1"/>
  <c r="A257" i="3"/>
  <c r="A257" i="4" s="1"/>
  <c r="A255" i="3"/>
  <c r="A255" i="4" s="1"/>
  <c r="A252" i="3"/>
  <c r="A252" i="4" s="1"/>
  <c r="A251" i="3"/>
  <c r="A251" i="4" s="1"/>
  <c r="A250" i="3"/>
  <c r="A250" i="4" s="1"/>
  <c r="A249" i="3"/>
  <c r="A249" i="4" s="1"/>
  <c r="A247" i="3"/>
  <c r="A247" i="4" s="1"/>
  <c r="A243" i="3"/>
  <c r="A243" i="4" s="1"/>
  <c r="A242" i="3"/>
  <c r="A242" i="4" s="1"/>
  <c r="A241" i="3"/>
  <c r="A241" i="4" s="1"/>
  <c r="A240" i="3"/>
  <c r="A240" i="4" s="1"/>
  <c r="A239" i="3"/>
  <c r="A239" i="4" s="1"/>
  <c r="A235" i="3"/>
  <c r="A235" i="4" s="1"/>
  <c r="A234" i="3"/>
  <c r="A234" i="4" s="1"/>
  <c r="A233" i="3"/>
  <c r="A233" i="4" s="1"/>
  <c r="A231" i="3"/>
  <c r="A231" i="4" s="1"/>
  <c r="A228" i="3"/>
  <c r="A228" i="4" s="1"/>
  <c r="A227" i="3"/>
  <c r="A227" i="4" s="1"/>
  <c r="A226" i="3"/>
  <c r="A226" i="4" s="1"/>
  <c r="A225" i="3"/>
  <c r="A225" i="4" s="1"/>
  <c r="A223" i="3"/>
  <c r="A223" i="4" s="1"/>
  <c r="A219" i="3"/>
  <c r="A219" i="4" s="1"/>
  <c r="A218" i="3"/>
  <c r="A218" i="4" s="1"/>
  <c r="A217" i="3"/>
  <c r="A217" i="4" s="1"/>
  <c r="A216" i="3"/>
  <c r="A216" i="4" s="1"/>
  <c r="A215" i="3"/>
  <c r="A215" i="4" s="1"/>
  <c r="A211" i="3"/>
  <c r="A211" i="4" s="1"/>
  <c r="A210" i="3"/>
  <c r="A210" i="4" s="1"/>
  <c r="A209" i="3"/>
  <c r="A209" i="4" s="1"/>
  <c r="A207" i="3"/>
  <c r="A207" i="4" s="1"/>
  <c r="A204" i="3"/>
  <c r="A204" i="4" s="1"/>
  <c r="A203" i="3"/>
  <c r="A203" i="4" s="1"/>
  <c r="A202" i="3"/>
  <c r="A202" i="4" s="1"/>
  <c r="A201" i="3"/>
  <c r="A201" i="4" s="1"/>
  <c r="A199" i="3"/>
  <c r="A199" i="4" s="1"/>
  <c r="A195" i="3"/>
  <c r="A195" i="4" s="1"/>
  <c r="A194" i="3"/>
  <c r="A194" i="4" s="1"/>
  <c r="A193" i="3"/>
  <c r="A193" i="4" s="1"/>
  <c r="A192" i="3"/>
  <c r="A192" i="4" s="1"/>
  <c r="A191" i="3"/>
  <c r="A191" i="4" s="1"/>
  <c r="A187" i="3"/>
  <c r="A187" i="4" s="1"/>
  <c r="A186" i="3"/>
  <c r="A186" i="4" s="1"/>
  <c r="A185" i="3"/>
  <c r="A185" i="4" s="1"/>
  <c r="A183" i="3"/>
  <c r="A183" i="4" s="1"/>
  <c r="A180" i="3"/>
  <c r="A180" i="4" s="1"/>
  <c r="A179" i="3"/>
  <c r="A179" i="4" s="1"/>
  <c r="A178" i="3"/>
  <c r="A178" i="4" s="1"/>
  <c r="A177" i="3"/>
  <c r="A177" i="4" s="1"/>
  <c r="A175" i="3"/>
  <c r="A175" i="4" s="1"/>
  <c r="A171" i="3"/>
  <c r="A171" i="4" s="1"/>
  <c r="A170" i="3"/>
  <c r="A170" i="4" s="1"/>
  <c r="A169" i="3"/>
  <c r="A169" i="4" s="1"/>
  <c r="A168" i="3"/>
  <c r="A168" i="4" s="1"/>
  <c r="A167" i="3"/>
  <c r="A167" i="4" s="1"/>
  <c r="A163" i="3"/>
  <c r="A163" i="4" s="1"/>
  <c r="A162" i="3"/>
  <c r="A162" i="4" s="1"/>
  <c r="A161" i="3"/>
  <c r="A161" i="4" s="1"/>
  <c r="A159" i="3"/>
  <c r="A159" i="4" s="1"/>
  <c r="A156" i="3"/>
  <c r="A156" i="4" s="1"/>
  <c r="A155" i="3"/>
  <c r="A155" i="4" s="1"/>
  <c r="A154" i="3"/>
  <c r="A154" i="4" s="1"/>
  <c r="A153" i="3"/>
  <c r="A153" i="4" s="1"/>
  <c r="A151" i="3"/>
  <c r="A151" i="4" s="1"/>
  <c r="A147" i="3"/>
  <c r="A147" i="4" s="1"/>
  <c r="A146" i="3"/>
  <c r="A146" i="4" s="1"/>
  <c r="A145" i="3"/>
  <c r="A145" i="4" s="1"/>
  <c r="A144" i="3"/>
  <c r="A144" i="4" s="1"/>
  <c r="A143" i="3"/>
  <c r="A143" i="4" s="1"/>
  <c r="A139" i="3"/>
  <c r="A139" i="4" s="1"/>
  <c r="A138" i="3"/>
  <c r="A138" i="4" s="1"/>
  <c r="A137" i="3"/>
  <c r="A137" i="4" s="1"/>
  <c r="A135" i="3"/>
  <c r="A135" i="4" s="1"/>
  <c r="A132" i="3"/>
  <c r="A132" i="4" s="1"/>
  <c r="A131" i="3"/>
  <c r="A131" i="4" s="1"/>
  <c r="A130" i="3"/>
  <c r="A130" i="4" s="1"/>
  <c r="A129" i="3"/>
  <c r="A129" i="4" s="1"/>
  <c r="A127" i="3"/>
  <c r="A127" i="4" s="1"/>
  <c r="A123" i="3"/>
  <c r="A123" i="4" s="1"/>
  <c r="A122" i="3"/>
  <c r="A122" i="4" s="1"/>
  <c r="A121" i="3"/>
  <c r="A121" i="4" s="1"/>
  <c r="A120" i="3"/>
  <c r="A120" i="4" s="1"/>
  <c r="A119" i="3"/>
  <c r="A119" i="4" s="1"/>
  <c r="A115" i="3"/>
  <c r="A115" i="4" s="1"/>
  <c r="A114" i="3"/>
  <c r="A114" i="4" s="1"/>
  <c r="A113" i="3"/>
  <c r="A113" i="4" s="1"/>
  <c r="A111" i="3"/>
  <c r="A111" i="4" s="1"/>
  <c r="A108" i="3"/>
  <c r="A108" i="4" s="1"/>
  <c r="A107" i="3"/>
  <c r="A107" i="4" s="1"/>
  <c r="A106" i="3"/>
  <c r="A106" i="4" s="1"/>
  <c r="A105" i="3"/>
  <c r="A105" i="4" s="1"/>
  <c r="A103" i="3"/>
  <c r="A103" i="4" s="1"/>
  <c r="A99" i="3"/>
  <c r="A99" i="4" s="1"/>
  <c r="A98" i="3"/>
  <c r="A98" i="4" s="1"/>
  <c r="A97" i="3"/>
  <c r="A97" i="4" s="1"/>
  <c r="A96" i="3"/>
  <c r="A96" i="4" s="1"/>
  <c r="A95" i="3"/>
  <c r="A95" i="4" s="1"/>
  <c r="A91" i="3"/>
  <c r="A91" i="4" s="1"/>
  <c r="A90" i="3"/>
  <c r="A90" i="4" s="1"/>
  <c r="A89" i="3"/>
  <c r="A89" i="4" s="1"/>
  <c r="A87" i="3"/>
  <c r="A87" i="4" s="1"/>
  <c r="A84" i="3"/>
  <c r="A84" i="4" s="1"/>
  <c r="A83" i="3"/>
  <c r="A83" i="4" s="1"/>
  <c r="A82" i="3"/>
  <c r="A82" i="4" s="1"/>
  <c r="A81" i="3"/>
  <c r="A81" i="4" s="1"/>
  <c r="A79" i="3"/>
  <c r="A79" i="4" s="1"/>
  <c r="A75" i="3"/>
  <c r="A75" i="4" s="1"/>
  <c r="A74" i="3"/>
  <c r="A74" i="4" s="1"/>
  <c r="A73" i="3"/>
  <c r="A73" i="4" s="1"/>
  <c r="A72" i="3"/>
  <c r="A72" i="4" s="1"/>
  <c r="A71" i="3"/>
  <c r="A71" i="4" s="1"/>
  <c r="A67" i="3"/>
  <c r="A67" i="4" s="1"/>
  <c r="A66" i="3"/>
  <c r="A66" i="4" s="1"/>
  <c r="A65" i="3"/>
  <c r="A65" i="4" s="1"/>
  <c r="A63" i="3"/>
  <c r="A63" i="4" s="1"/>
  <c r="A60" i="3"/>
  <c r="A60" i="4" s="1"/>
  <c r="A59" i="3"/>
  <c r="A59" i="4" s="1"/>
  <c r="A58" i="3"/>
  <c r="A58" i="4" s="1"/>
  <c r="A57" i="3"/>
  <c r="A57" i="4" s="1"/>
  <c r="A55" i="3"/>
  <c r="A55" i="4" s="1"/>
  <c r="A51" i="3"/>
  <c r="A51" i="4" s="1"/>
  <c r="A50" i="3"/>
  <c r="A50" i="4" s="1"/>
  <c r="A49" i="3"/>
  <c r="A49" i="4" s="1"/>
  <c r="A48" i="3"/>
  <c r="A48" i="4" s="1"/>
  <c r="A47" i="3"/>
  <c r="A47" i="4" s="1"/>
  <c r="A43" i="3"/>
  <c r="A43" i="4" s="1"/>
  <c r="A42" i="3"/>
  <c r="A42" i="4" s="1"/>
  <c r="A41" i="3"/>
  <c r="A41" i="4" s="1"/>
  <c r="A39" i="3"/>
  <c r="A39" i="4" s="1"/>
  <c r="A36" i="3"/>
  <c r="A36" i="4" s="1"/>
  <c r="A35" i="3"/>
  <c r="A35" i="4" s="1"/>
  <c r="A34" i="3"/>
  <c r="A34" i="4" s="1"/>
  <c r="A33" i="3"/>
  <c r="A33" i="4" s="1"/>
  <c r="A31" i="3"/>
  <c r="A31" i="4" s="1"/>
  <c r="A27" i="3"/>
  <c r="A27" i="4" s="1"/>
  <c r="A26" i="3"/>
  <c r="A26" i="4" s="1"/>
  <c r="A25" i="3"/>
  <c r="A25" i="4" s="1"/>
  <c r="A24" i="3"/>
  <c r="A24" i="4" s="1"/>
  <c r="A23" i="3"/>
  <c r="A23" i="4" s="1"/>
  <c r="A19" i="3"/>
  <c r="A19" i="4" s="1"/>
  <c r="A18" i="3"/>
  <c r="A18" i="4" s="1"/>
  <c r="A17" i="3"/>
  <c r="A17" i="4" s="1"/>
  <c r="A15" i="3"/>
  <c r="A15" i="4" s="1"/>
  <c r="A12" i="3"/>
  <c r="A12" i="4" s="1"/>
  <c r="A11" i="3"/>
  <c r="A11" i="4" s="1"/>
  <c r="A10" i="3"/>
  <c r="A10" i="4" s="1"/>
  <c r="A9" i="3"/>
  <c r="A9" i="4" s="1"/>
  <c r="A7" i="3"/>
  <c r="A7" i="4" s="1"/>
  <c r="A3" i="3"/>
  <c r="A3" i="4" s="1"/>
  <c r="A801" i="3"/>
  <c r="A801" i="4" s="1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3" i="4"/>
  <c r="L2" i="4"/>
  <c r="A2" i="6" a="1"/>
  <c r="A2" i="6" s="1"/>
  <c r="A460" i="4"/>
  <c r="A452" i="4"/>
  <c r="A448" i="4"/>
  <c r="A440" i="4"/>
  <c r="A436" i="4"/>
  <c r="A428" i="4"/>
  <c r="A424" i="4"/>
  <c r="A416" i="4"/>
  <c r="A412" i="4"/>
  <c r="A404" i="4"/>
  <c r="A400" i="4"/>
  <c r="A392" i="4"/>
  <c r="A388" i="4"/>
  <c r="A380" i="4"/>
  <c r="A376" i="4"/>
  <c r="A368" i="4"/>
  <c r="A364" i="4"/>
  <c r="A356" i="4"/>
  <c r="A352" i="4"/>
  <c r="A344" i="4"/>
  <c r="A340" i="4"/>
  <c r="A332" i="4"/>
  <c r="A328" i="4"/>
  <c r="A320" i="4"/>
  <c r="A316" i="4"/>
  <c r="A308" i="4"/>
  <c r="A304" i="4"/>
  <c r="A296" i="4"/>
  <c r="A292" i="4"/>
  <c r="A284" i="4"/>
  <c r="A280" i="4"/>
  <c r="A272" i="4"/>
  <c r="A268" i="4"/>
  <c r="A260" i="4"/>
  <c r="A256" i="4"/>
  <c r="A248" i="4"/>
  <c r="A244" i="4"/>
  <c r="A236" i="4"/>
  <c r="A232" i="4"/>
  <c r="A224" i="4"/>
  <c r="A220" i="4"/>
  <c r="A212" i="4"/>
  <c r="A208" i="4"/>
  <c r="A200" i="4"/>
  <c r="A196" i="4"/>
  <c r="A188" i="4"/>
  <c r="A184" i="4"/>
  <c r="A176" i="4"/>
  <c r="A172" i="4"/>
  <c r="A164" i="4"/>
  <c r="A160" i="4"/>
  <c r="A152" i="4"/>
  <c r="A148" i="4"/>
  <c r="A140" i="4"/>
  <c r="A136" i="4"/>
  <c r="A128" i="4"/>
  <c r="A124" i="4"/>
  <c r="A116" i="4"/>
  <c r="A112" i="4"/>
  <c r="A104" i="4"/>
  <c r="A100" i="4"/>
  <c r="A92" i="4"/>
  <c r="A88" i="4"/>
  <c r="A80" i="4"/>
  <c r="A76" i="4"/>
  <c r="A68" i="4"/>
  <c r="A64" i="4"/>
  <c r="A56" i="4"/>
  <c r="A52" i="4"/>
  <c r="A44" i="4"/>
  <c r="A40" i="4"/>
  <c r="A32" i="4"/>
  <c r="A28" i="4"/>
  <c r="A20" i="4"/>
  <c r="A16" i="4"/>
  <c r="A8" i="4"/>
  <c r="A4" i="4"/>
  <c r="A2" i="5" a="1"/>
  <c r="D45" i="5" s="1"/>
  <c r="B440" i="5"/>
  <c r="B428" i="5"/>
  <c r="B416" i="5"/>
  <c r="B404" i="5"/>
  <c r="B392" i="5"/>
  <c r="B380" i="5"/>
  <c r="B368" i="5"/>
  <c r="B356" i="5"/>
  <c r="B344" i="5"/>
  <c r="B332" i="5"/>
  <c r="B320" i="5"/>
  <c r="B308" i="5"/>
  <c r="B296" i="5"/>
  <c r="B284" i="5"/>
  <c r="B272" i="5"/>
  <c r="B260" i="5"/>
  <c r="B248" i="5"/>
  <c r="B236" i="5"/>
  <c r="B224" i="5"/>
  <c r="B212" i="5"/>
  <c r="B200" i="5"/>
  <c r="B188" i="5"/>
  <c r="B176" i="5"/>
  <c r="B164" i="5"/>
  <c r="B152" i="5"/>
  <c r="B140" i="5"/>
  <c r="B128" i="5"/>
  <c r="B116" i="5"/>
  <c r="B104" i="5"/>
  <c r="B92" i="5"/>
  <c r="B80" i="5"/>
  <c r="B68" i="5"/>
  <c r="B56" i="5"/>
  <c r="B44" i="5"/>
  <c r="B32" i="5"/>
  <c r="B20" i="5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C7" i="3"/>
  <c r="C6" i="3"/>
  <c r="C5" i="3"/>
  <c r="C5" i="5" s="1"/>
  <c r="C4" i="3"/>
  <c r="C3" i="3"/>
  <c r="B3" i="6"/>
  <c r="C2" i="3"/>
  <c r="B33" i="4"/>
  <c r="C33" i="3"/>
  <c r="C33" i="5" s="1"/>
  <c r="B32" i="4"/>
  <c r="C32" i="3"/>
  <c r="B31" i="4"/>
  <c r="C31" i="3"/>
  <c r="C31" i="5" s="1"/>
  <c r="B30" i="4"/>
  <c r="C30" i="3"/>
  <c r="B29" i="4"/>
  <c r="C29" i="3"/>
  <c r="C29" i="5" s="1"/>
  <c r="B28" i="4"/>
  <c r="C28" i="3"/>
  <c r="B27" i="4"/>
  <c r="C27" i="3"/>
  <c r="C27" i="5" s="1"/>
  <c r="B26" i="4"/>
  <c r="C26" i="3"/>
  <c r="C26" i="5" s="1"/>
  <c r="B25" i="4"/>
  <c r="C25" i="3"/>
  <c r="C25" i="5" s="1"/>
  <c r="B24" i="4"/>
  <c r="C24" i="3"/>
  <c r="C24" i="5" s="1"/>
  <c r="B23" i="4"/>
  <c r="C23" i="3"/>
  <c r="C23" i="5" s="1"/>
  <c r="B22" i="4"/>
  <c r="C22" i="3"/>
  <c r="C22" i="5" s="1"/>
  <c r="B21" i="4"/>
  <c r="C21" i="3"/>
  <c r="C21" i="5" s="1"/>
  <c r="B20" i="4"/>
  <c r="C20" i="3"/>
  <c r="C20" i="5" s="1"/>
  <c r="B19" i="4"/>
  <c r="C19" i="3"/>
  <c r="B18" i="4"/>
  <c r="C18" i="3"/>
  <c r="B17" i="4"/>
  <c r="C17" i="3"/>
  <c r="B16" i="4"/>
  <c r="C16" i="3"/>
  <c r="B15" i="4"/>
  <c r="C15" i="3"/>
  <c r="B14" i="4"/>
  <c r="C14" i="3"/>
  <c r="B13" i="4"/>
  <c r="C13" i="3"/>
  <c r="B12" i="4"/>
  <c r="C12" i="3"/>
  <c r="B11" i="4"/>
  <c r="C11" i="3"/>
  <c r="B10" i="4"/>
  <c r="C10" i="3"/>
  <c r="B9" i="4"/>
  <c r="C9" i="3"/>
  <c r="B8" i="4"/>
  <c r="C8" i="3"/>
  <c r="B4" i="6" s="1"/>
  <c r="C6" i="5"/>
  <c r="C4" i="5"/>
  <c r="B800" i="4"/>
  <c r="C800" i="3"/>
  <c r="C800" i="5" s="1"/>
  <c r="B799" i="4"/>
  <c r="C799" i="3"/>
  <c r="B798" i="4"/>
  <c r="C798" i="3"/>
  <c r="C798" i="5" s="1"/>
  <c r="B797" i="4"/>
  <c r="C797" i="3"/>
  <c r="B796" i="4"/>
  <c r="C796" i="3"/>
  <c r="C796" i="5" s="1"/>
  <c r="B795" i="4"/>
  <c r="C795" i="3"/>
  <c r="B794" i="4"/>
  <c r="C794" i="3"/>
  <c r="C794" i="5" s="1"/>
  <c r="B793" i="4"/>
  <c r="C793" i="3"/>
  <c r="B792" i="4"/>
  <c r="C792" i="3"/>
  <c r="C792" i="5" s="1"/>
  <c r="B791" i="4"/>
  <c r="C791" i="3"/>
  <c r="B790" i="4"/>
  <c r="C790" i="3"/>
  <c r="C790" i="5" s="1"/>
  <c r="B789" i="4"/>
  <c r="C789" i="3"/>
  <c r="B788" i="4"/>
  <c r="C788" i="3"/>
  <c r="C788" i="5" s="1"/>
  <c r="B787" i="4"/>
  <c r="C787" i="3"/>
  <c r="B786" i="4"/>
  <c r="C786" i="3"/>
  <c r="C786" i="5" s="1"/>
  <c r="B785" i="4"/>
  <c r="C785" i="3"/>
  <c r="B784" i="4"/>
  <c r="C784" i="3"/>
  <c r="C784" i="5" s="1"/>
  <c r="B783" i="4"/>
  <c r="C783" i="3"/>
  <c r="B782" i="4"/>
  <c r="C782" i="3"/>
  <c r="C782" i="5" s="1"/>
  <c r="B781" i="4"/>
  <c r="C781" i="3"/>
  <c r="B780" i="4"/>
  <c r="C780" i="3"/>
  <c r="C780" i="5" s="1"/>
  <c r="B779" i="4"/>
  <c r="C779" i="3"/>
  <c r="B778" i="4"/>
  <c r="C778" i="3"/>
  <c r="C778" i="5" s="1"/>
  <c r="B777" i="4"/>
  <c r="C777" i="3"/>
  <c r="B776" i="4"/>
  <c r="C776" i="3"/>
  <c r="C776" i="5" s="1"/>
  <c r="B775" i="4"/>
  <c r="C775" i="3"/>
  <c r="B774" i="4"/>
  <c r="C774" i="3"/>
  <c r="C774" i="5" s="1"/>
  <c r="B773" i="4"/>
  <c r="C773" i="3"/>
  <c r="B772" i="4"/>
  <c r="C772" i="3"/>
  <c r="C772" i="5" s="1"/>
  <c r="B771" i="4"/>
  <c r="C771" i="3"/>
  <c r="B770" i="4"/>
  <c r="C770" i="3"/>
  <c r="C770" i="5" s="1"/>
  <c r="B769" i="4"/>
  <c r="C769" i="3"/>
  <c r="B768" i="4"/>
  <c r="C768" i="3"/>
  <c r="C768" i="5" s="1"/>
  <c r="B767" i="4"/>
  <c r="C767" i="3"/>
  <c r="B766" i="4"/>
  <c r="C766" i="3"/>
  <c r="C766" i="5" s="1"/>
  <c r="B765" i="4"/>
  <c r="C765" i="3"/>
  <c r="B764" i="4"/>
  <c r="C764" i="3"/>
  <c r="C764" i="5" s="1"/>
  <c r="B763" i="4"/>
  <c r="C763" i="3"/>
  <c r="B762" i="4"/>
  <c r="C762" i="3"/>
  <c r="C762" i="5" s="1"/>
  <c r="B761" i="4"/>
  <c r="C761" i="3"/>
  <c r="B760" i="4"/>
  <c r="C760" i="3"/>
  <c r="C760" i="5" s="1"/>
  <c r="B759" i="4"/>
  <c r="C759" i="3"/>
  <c r="B758" i="4"/>
  <c r="C758" i="3"/>
  <c r="C758" i="5" s="1"/>
  <c r="B757" i="4"/>
  <c r="C757" i="3"/>
  <c r="B756" i="4"/>
  <c r="C756" i="3"/>
  <c r="C756" i="5" s="1"/>
  <c r="B755" i="4"/>
  <c r="C755" i="3"/>
  <c r="B754" i="4"/>
  <c r="C754" i="3"/>
  <c r="C754" i="5" s="1"/>
  <c r="B753" i="4"/>
  <c r="C753" i="3"/>
  <c r="B752" i="4"/>
  <c r="C752" i="3"/>
  <c r="C752" i="5" s="1"/>
  <c r="B751" i="4"/>
  <c r="C751" i="3"/>
  <c r="B750" i="4"/>
  <c r="C750" i="3"/>
  <c r="C750" i="5" s="1"/>
  <c r="B749" i="4"/>
  <c r="C749" i="3"/>
  <c r="B748" i="4"/>
  <c r="C748" i="3"/>
  <c r="C748" i="5" s="1"/>
  <c r="B747" i="4"/>
  <c r="C747" i="3"/>
  <c r="B746" i="4"/>
  <c r="C746" i="3"/>
  <c r="C746" i="5" s="1"/>
  <c r="B745" i="4"/>
  <c r="C745" i="3"/>
  <c r="B744" i="4"/>
  <c r="C744" i="3"/>
  <c r="C744" i="5" s="1"/>
  <c r="B743" i="4"/>
  <c r="C743" i="3"/>
  <c r="B742" i="4"/>
  <c r="C742" i="3"/>
  <c r="C742" i="5" s="1"/>
  <c r="B741" i="4"/>
  <c r="C741" i="3"/>
  <c r="B740" i="4"/>
  <c r="C740" i="3"/>
  <c r="C740" i="5" s="1"/>
  <c r="B739" i="4"/>
  <c r="C739" i="3"/>
  <c r="B738" i="4"/>
  <c r="C738" i="3"/>
  <c r="C738" i="5" s="1"/>
  <c r="B737" i="4"/>
  <c r="C737" i="3"/>
  <c r="B736" i="4"/>
  <c r="C736" i="3"/>
  <c r="C736" i="5" s="1"/>
  <c r="B735" i="4"/>
  <c r="C735" i="3"/>
  <c r="B734" i="4"/>
  <c r="C734" i="3"/>
  <c r="C734" i="5" s="1"/>
  <c r="B733" i="4"/>
  <c r="C733" i="3"/>
  <c r="B732" i="4"/>
  <c r="C732" i="3"/>
  <c r="C732" i="5" s="1"/>
  <c r="B731" i="4"/>
  <c r="C731" i="3"/>
  <c r="B730" i="4"/>
  <c r="C730" i="3"/>
  <c r="C730" i="5" s="1"/>
  <c r="B729" i="4"/>
  <c r="C729" i="3"/>
  <c r="B728" i="4"/>
  <c r="C728" i="3"/>
  <c r="C728" i="5" s="1"/>
  <c r="B727" i="4"/>
  <c r="C727" i="3"/>
  <c r="B726" i="4"/>
  <c r="C726" i="3"/>
  <c r="C726" i="5" s="1"/>
  <c r="B725" i="4"/>
  <c r="C725" i="3"/>
  <c r="B724" i="4"/>
  <c r="C724" i="3"/>
  <c r="C724" i="5" s="1"/>
  <c r="B723" i="4"/>
  <c r="C723" i="3"/>
  <c r="B722" i="4"/>
  <c r="C722" i="3"/>
  <c r="C722" i="5" s="1"/>
  <c r="B721" i="4"/>
  <c r="C721" i="3"/>
  <c r="B720" i="4"/>
  <c r="C720" i="3"/>
  <c r="C720" i="5" s="1"/>
  <c r="B719" i="4"/>
  <c r="C719" i="3"/>
  <c r="B718" i="4"/>
  <c r="C718" i="3"/>
  <c r="C718" i="5" s="1"/>
  <c r="B717" i="4"/>
  <c r="C717" i="3"/>
  <c r="B716" i="4"/>
  <c r="C716" i="3"/>
  <c r="C716" i="5" s="1"/>
  <c r="B715" i="4"/>
  <c r="C715" i="3"/>
  <c r="B714" i="4"/>
  <c r="C714" i="3"/>
  <c r="C714" i="5" s="1"/>
  <c r="B713" i="4"/>
  <c r="C713" i="3"/>
  <c r="B712" i="4"/>
  <c r="C712" i="3"/>
  <c r="C712" i="5" s="1"/>
  <c r="B711" i="4"/>
  <c r="C711" i="3"/>
  <c r="B710" i="4"/>
  <c r="C710" i="3"/>
  <c r="C710" i="5" s="1"/>
  <c r="B709" i="4"/>
  <c r="C709" i="3"/>
  <c r="B708" i="4"/>
  <c r="C708" i="3"/>
  <c r="C708" i="5" s="1"/>
  <c r="B707" i="4"/>
  <c r="C707" i="3"/>
  <c r="B706" i="4"/>
  <c r="C706" i="3"/>
  <c r="C706" i="5" s="1"/>
  <c r="B705" i="4"/>
  <c r="C705" i="3"/>
  <c r="B704" i="4"/>
  <c r="C704" i="3"/>
  <c r="C704" i="5" s="1"/>
  <c r="B703" i="4"/>
  <c r="C703" i="3"/>
  <c r="B702" i="4"/>
  <c r="C702" i="3"/>
  <c r="C702" i="5" s="1"/>
  <c r="B701" i="4"/>
  <c r="C701" i="3"/>
  <c r="B700" i="4"/>
  <c r="C700" i="3"/>
  <c r="C700" i="5" s="1"/>
  <c r="B699" i="4"/>
  <c r="C699" i="3"/>
  <c r="B698" i="4"/>
  <c r="C698" i="3"/>
  <c r="C698" i="5" s="1"/>
  <c r="B697" i="4"/>
  <c r="C697" i="3"/>
  <c r="B696" i="4"/>
  <c r="C696" i="3"/>
  <c r="C696" i="5" s="1"/>
  <c r="B695" i="4"/>
  <c r="C695" i="3"/>
  <c r="B694" i="4"/>
  <c r="C694" i="3"/>
  <c r="C694" i="5" s="1"/>
  <c r="B693" i="4"/>
  <c r="C693" i="3"/>
  <c r="B692" i="4"/>
  <c r="C692" i="3"/>
  <c r="C692" i="5" s="1"/>
  <c r="B691" i="4"/>
  <c r="C691" i="3"/>
  <c r="B690" i="4"/>
  <c r="C690" i="3"/>
  <c r="C690" i="5" s="1"/>
  <c r="B689" i="4"/>
  <c r="C689" i="3"/>
  <c r="B688" i="4"/>
  <c r="C688" i="3"/>
  <c r="C688" i="5" s="1"/>
  <c r="B687" i="4"/>
  <c r="C687" i="3"/>
  <c r="B686" i="4"/>
  <c r="C686" i="3"/>
  <c r="C686" i="5" s="1"/>
  <c r="B685" i="4"/>
  <c r="C685" i="3"/>
  <c r="B684" i="4"/>
  <c r="C684" i="3"/>
  <c r="C684" i="5" s="1"/>
  <c r="B683" i="4"/>
  <c r="C683" i="3"/>
  <c r="B682" i="4"/>
  <c r="C682" i="3"/>
  <c r="C682" i="5" s="1"/>
  <c r="B681" i="4"/>
  <c r="C681" i="3"/>
  <c r="B680" i="4"/>
  <c r="C680" i="3"/>
  <c r="C680" i="5" s="1"/>
  <c r="B679" i="4"/>
  <c r="C679" i="3"/>
  <c r="B678" i="4"/>
  <c r="C678" i="3"/>
  <c r="C678" i="5" s="1"/>
  <c r="B677" i="4"/>
  <c r="C677" i="3"/>
  <c r="B676" i="4"/>
  <c r="C676" i="3"/>
  <c r="C676" i="5" s="1"/>
  <c r="B675" i="4"/>
  <c r="C675" i="3"/>
  <c r="B674" i="4"/>
  <c r="C674" i="3"/>
  <c r="C674" i="5" s="1"/>
  <c r="B673" i="4"/>
  <c r="C673" i="3"/>
  <c r="B672" i="4"/>
  <c r="C672" i="3"/>
  <c r="C672" i="5" s="1"/>
  <c r="B671" i="4"/>
  <c r="C671" i="3"/>
  <c r="B670" i="4"/>
  <c r="C670" i="3"/>
  <c r="C670" i="5" s="1"/>
  <c r="B669" i="4"/>
  <c r="C669" i="3"/>
  <c r="B668" i="4"/>
  <c r="C668" i="3"/>
  <c r="C668" i="5" s="1"/>
  <c r="B667" i="4"/>
  <c r="C667" i="3"/>
  <c r="B666" i="4"/>
  <c r="C666" i="3"/>
  <c r="C666" i="5" s="1"/>
  <c r="B665" i="4"/>
  <c r="C665" i="3"/>
  <c r="B664" i="4"/>
  <c r="C664" i="3"/>
  <c r="C664" i="5" s="1"/>
  <c r="B663" i="4"/>
  <c r="C663" i="3"/>
  <c r="B662" i="4"/>
  <c r="C662" i="3"/>
  <c r="C662" i="5" s="1"/>
  <c r="B661" i="4"/>
  <c r="C661" i="3"/>
  <c r="B660" i="4"/>
  <c r="C660" i="3"/>
  <c r="C660" i="5" s="1"/>
  <c r="B659" i="4"/>
  <c r="C659" i="3"/>
  <c r="B658" i="4"/>
  <c r="C658" i="3"/>
  <c r="C658" i="5" s="1"/>
  <c r="B657" i="4"/>
  <c r="C657" i="3"/>
  <c r="B656" i="4"/>
  <c r="C656" i="3"/>
  <c r="C656" i="5" s="1"/>
  <c r="B655" i="4"/>
  <c r="C655" i="3"/>
  <c r="B654" i="4"/>
  <c r="C654" i="3"/>
  <c r="C654" i="5" s="1"/>
  <c r="B653" i="4"/>
  <c r="C653" i="3"/>
  <c r="B652" i="4"/>
  <c r="C652" i="3"/>
  <c r="C652" i="5" s="1"/>
  <c r="B651" i="4"/>
  <c r="C651" i="3"/>
  <c r="B650" i="4"/>
  <c r="C650" i="3"/>
  <c r="C650" i="5" s="1"/>
  <c r="B649" i="4"/>
  <c r="C649" i="3"/>
  <c r="B648" i="4"/>
  <c r="C648" i="3"/>
  <c r="C648" i="5" s="1"/>
  <c r="B647" i="4"/>
  <c r="C647" i="3"/>
  <c r="B646" i="4"/>
  <c r="C646" i="3"/>
  <c r="C646" i="5" s="1"/>
  <c r="B645" i="4"/>
  <c r="C645" i="3"/>
  <c r="B644" i="4"/>
  <c r="C644" i="3"/>
  <c r="C644" i="5" s="1"/>
  <c r="B643" i="4"/>
  <c r="C643" i="3"/>
  <c r="B642" i="4"/>
  <c r="C642" i="3"/>
  <c r="C642" i="5" s="1"/>
  <c r="B641" i="4"/>
  <c r="C641" i="3"/>
  <c r="B640" i="4"/>
  <c r="C640" i="3"/>
  <c r="C640" i="5" s="1"/>
  <c r="B639" i="4"/>
  <c r="C639" i="3"/>
  <c r="B638" i="4"/>
  <c r="C638" i="3"/>
  <c r="C638" i="5" s="1"/>
  <c r="B637" i="4"/>
  <c r="C637" i="3"/>
  <c r="B636" i="4"/>
  <c r="C636" i="3"/>
  <c r="C636" i="5" s="1"/>
  <c r="B635" i="4"/>
  <c r="C635" i="3"/>
  <c r="B634" i="4"/>
  <c r="C634" i="3"/>
  <c r="C634" i="5" s="1"/>
  <c r="B633" i="4"/>
  <c r="C633" i="3"/>
  <c r="B632" i="4"/>
  <c r="C632" i="3"/>
  <c r="C632" i="5" s="1"/>
  <c r="B631" i="4"/>
  <c r="C631" i="3"/>
  <c r="B630" i="4"/>
  <c r="C630" i="3"/>
  <c r="C630" i="5" s="1"/>
  <c r="B629" i="4"/>
  <c r="C629" i="3"/>
  <c r="B628" i="4"/>
  <c r="C628" i="3"/>
  <c r="C628" i="5" s="1"/>
  <c r="B627" i="4"/>
  <c r="C627" i="3"/>
  <c r="B626" i="4"/>
  <c r="C626" i="3"/>
  <c r="C626" i="5" s="1"/>
  <c r="B625" i="4"/>
  <c r="C625" i="3"/>
  <c r="B624" i="4"/>
  <c r="C624" i="3"/>
  <c r="C624" i="5" s="1"/>
  <c r="B623" i="4"/>
  <c r="C623" i="3"/>
  <c r="B622" i="4"/>
  <c r="C622" i="3"/>
  <c r="C622" i="5" s="1"/>
  <c r="B621" i="4"/>
  <c r="C621" i="3"/>
  <c r="B620" i="4"/>
  <c r="C620" i="3"/>
  <c r="C620" i="5" s="1"/>
  <c r="B619" i="4"/>
  <c r="C619" i="3"/>
  <c r="B618" i="4"/>
  <c r="C618" i="3"/>
  <c r="C618" i="5" s="1"/>
  <c r="B617" i="4"/>
  <c r="C617" i="3"/>
  <c r="B616" i="4"/>
  <c r="C616" i="3"/>
  <c r="C616" i="5" s="1"/>
  <c r="B615" i="4"/>
  <c r="C615" i="3"/>
  <c r="B614" i="4"/>
  <c r="C614" i="3"/>
  <c r="C614" i="5" s="1"/>
  <c r="B613" i="4"/>
  <c r="C613" i="3"/>
  <c r="B612" i="4"/>
  <c r="C612" i="3"/>
  <c r="C612" i="5" s="1"/>
  <c r="B611" i="4"/>
  <c r="C611" i="3"/>
  <c r="B610" i="4"/>
  <c r="C610" i="3"/>
  <c r="C610" i="5" s="1"/>
  <c r="B609" i="4"/>
  <c r="C609" i="3"/>
  <c r="B608" i="4"/>
  <c r="C608" i="3"/>
  <c r="C608" i="5" s="1"/>
  <c r="B607" i="4"/>
  <c r="C607" i="3"/>
  <c r="B606" i="4"/>
  <c r="C606" i="3"/>
  <c r="C606" i="5" s="1"/>
  <c r="B605" i="4"/>
  <c r="C605" i="3"/>
  <c r="B604" i="4"/>
  <c r="C604" i="3"/>
  <c r="C604" i="5" s="1"/>
  <c r="B603" i="4"/>
  <c r="C603" i="3"/>
  <c r="B602" i="4"/>
  <c r="C602" i="3"/>
  <c r="C602" i="5" s="1"/>
  <c r="B601" i="4"/>
  <c r="C601" i="3"/>
  <c r="B600" i="4"/>
  <c r="C600" i="3"/>
  <c r="C600" i="5" s="1"/>
  <c r="B599" i="4"/>
  <c r="C599" i="3"/>
  <c r="B598" i="4"/>
  <c r="C598" i="3"/>
  <c r="C598" i="5" s="1"/>
  <c r="B597" i="4"/>
  <c r="C597" i="3"/>
  <c r="B596" i="4"/>
  <c r="C596" i="3"/>
  <c r="C596" i="5" s="1"/>
  <c r="B595" i="4"/>
  <c r="C595" i="3"/>
  <c r="B594" i="4"/>
  <c r="C594" i="3"/>
  <c r="C594" i="5" s="1"/>
  <c r="B593" i="4"/>
  <c r="C593" i="3"/>
  <c r="B592" i="4"/>
  <c r="C592" i="3"/>
  <c r="C592" i="5" s="1"/>
  <c r="B591" i="4"/>
  <c r="C591" i="3"/>
  <c r="B590" i="4"/>
  <c r="C590" i="3"/>
  <c r="C590" i="5" s="1"/>
  <c r="B589" i="4"/>
  <c r="C589" i="3"/>
  <c r="B588" i="4"/>
  <c r="C588" i="3"/>
  <c r="C588" i="5" s="1"/>
  <c r="B587" i="4"/>
  <c r="C587" i="3"/>
  <c r="B586" i="4"/>
  <c r="C586" i="3"/>
  <c r="C586" i="5" s="1"/>
  <c r="B585" i="4"/>
  <c r="C585" i="3"/>
  <c r="B584" i="4"/>
  <c r="C584" i="3"/>
  <c r="C584" i="5" s="1"/>
  <c r="B583" i="4"/>
  <c r="C583" i="3"/>
  <c r="B582" i="4"/>
  <c r="C582" i="3"/>
  <c r="C582" i="5" s="1"/>
  <c r="B581" i="4"/>
  <c r="C581" i="3"/>
  <c r="B580" i="4"/>
  <c r="C580" i="3"/>
  <c r="C580" i="5" s="1"/>
  <c r="B579" i="4"/>
  <c r="C579" i="3"/>
  <c r="B578" i="4"/>
  <c r="C578" i="3"/>
  <c r="C578" i="5" s="1"/>
  <c r="B577" i="4"/>
  <c r="C577" i="3"/>
  <c r="B576" i="4"/>
  <c r="C576" i="3"/>
  <c r="C576" i="5" s="1"/>
  <c r="B575" i="4"/>
  <c r="C575" i="3"/>
  <c r="B574" i="4"/>
  <c r="C574" i="3"/>
  <c r="C574" i="5" s="1"/>
  <c r="B573" i="4"/>
  <c r="C573" i="3"/>
  <c r="B572" i="4"/>
  <c r="C572" i="3"/>
  <c r="C572" i="5" s="1"/>
  <c r="B571" i="4"/>
  <c r="C571" i="3"/>
  <c r="B570" i="4"/>
  <c r="C570" i="3"/>
  <c r="C570" i="5" s="1"/>
  <c r="B569" i="4"/>
  <c r="C569" i="3"/>
  <c r="B568" i="4"/>
  <c r="C568" i="3"/>
  <c r="C568" i="5" s="1"/>
  <c r="B567" i="4"/>
  <c r="C567" i="3"/>
  <c r="B566" i="4"/>
  <c r="C566" i="3"/>
  <c r="C566" i="5" s="1"/>
  <c r="B565" i="4"/>
  <c r="C565" i="3"/>
  <c r="B564" i="4"/>
  <c r="C564" i="3"/>
  <c r="C564" i="5" s="1"/>
  <c r="B563" i="4"/>
  <c r="C563" i="3"/>
  <c r="B562" i="4"/>
  <c r="C562" i="3"/>
  <c r="C562" i="5" s="1"/>
  <c r="B561" i="4"/>
  <c r="C561" i="3"/>
  <c r="B560" i="4"/>
  <c r="C560" i="3"/>
  <c r="C560" i="5" s="1"/>
  <c r="B559" i="4"/>
  <c r="C559" i="3"/>
  <c r="B558" i="4"/>
  <c r="C558" i="3"/>
  <c r="C558" i="5" s="1"/>
  <c r="B557" i="4"/>
  <c r="C557" i="3"/>
  <c r="B556" i="4"/>
  <c r="C556" i="3"/>
  <c r="C556" i="5" s="1"/>
  <c r="B555" i="4"/>
  <c r="C555" i="3"/>
  <c r="B554" i="4"/>
  <c r="C554" i="3"/>
  <c r="C554" i="5" s="1"/>
  <c r="B553" i="4"/>
  <c r="C553" i="3"/>
  <c r="B552" i="4"/>
  <c r="C552" i="3"/>
  <c r="C552" i="5" s="1"/>
  <c r="B551" i="4"/>
  <c r="C551" i="3"/>
  <c r="B550" i="4"/>
  <c r="C550" i="3"/>
  <c r="C550" i="5" s="1"/>
  <c r="B549" i="4"/>
  <c r="C549" i="3"/>
  <c r="B548" i="4"/>
  <c r="C548" i="3"/>
  <c r="C548" i="5" s="1"/>
  <c r="B547" i="4"/>
  <c r="C547" i="3"/>
  <c r="B546" i="4"/>
  <c r="C546" i="3"/>
  <c r="C546" i="5" s="1"/>
  <c r="B545" i="4"/>
  <c r="C545" i="3"/>
  <c r="B544" i="4"/>
  <c r="C544" i="3"/>
  <c r="C544" i="5" s="1"/>
  <c r="B543" i="4"/>
  <c r="C543" i="3"/>
  <c r="B542" i="4"/>
  <c r="C542" i="3"/>
  <c r="C542" i="5" s="1"/>
  <c r="B541" i="4"/>
  <c r="C541" i="3"/>
  <c r="B540" i="4"/>
  <c r="C540" i="3"/>
  <c r="C540" i="5" s="1"/>
  <c r="B539" i="4"/>
  <c r="C539" i="3"/>
  <c r="B538" i="4"/>
  <c r="C538" i="3"/>
  <c r="C538" i="5" s="1"/>
  <c r="B537" i="4"/>
  <c r="C537" i="3"/>
  <c r="B536" i="4"/>
  <c r="C536" i="3"/>
  <c r="C536" i="5" s="1"/>
  <c r="B535" i="4"/>
  <c r="C535" i="3"/>
  <c r="B534" i="4"/>
  <c r="C534" i="3"/>
  <c r="C534" i="5" s="1"/>
  <c r="B533" i="4"/>
  <c r="C533" i="3"/>
  <c r="B532" i="4"/>
  <c r="C532" i="3"/>
  <c r="C532" i="5" s="1"/>
  <c r="B531" i="4"/>
  <c r="C531" i="3"/>
  <c r="B530" i="4"/>
  <c r="C530" i="3"/>
  <c r="C530" i="5" s="1"/>
  <c r="B529" i="4"/>
  <c r="C529" i="3"/>
  <c r="B528" i="4"/>
  <c r="C528" i="3"/>
  <c r="C528" i="5" s="1"/>
  <c r="B527" i="4"/>
  <c r="C527" i="3"/>
  <c r="B526" i="4"/>
  <c r="C526" i="3"/>
  <c r="C526" i="5" s="1"/>
  <c r="B525" i="4"/>
  <c r="C525" i="3"/>
  <c r="B524" i="4"/>
  <c r="C524" i="3"/>
  <c r="C524" i="5" s="1"/>
  <c r="B523" i="4"/>
  <c r="C523" i="3"/>
  <c r="B522" i="4"/>
  <c r="C522" i="3"/>
  <c r="C522" i="5" s="1"/>
  <c r="B521" i="4"/>
  <c r="C521" i="3"/>
  <c r="B520" i="4"/>
  <c r="C520" i="3"/>
  <c r="C520" i="5" s="1"/>
  <c r="B519" i="4"/>
  <c r="C519" i="3"/>
  <c r="B518" i="4"/>
  <c r="C518" i="3"/>
  <c r="C518" i="5" s="1"/>
  <c r="B517" i="4"/>
  <c r="C517" i="3"/>
  <c r="B516" i="4"/>
  <c r="C516" i="3"/>
  <c r="C516" i="5" s="1"/>
  <c r="B515" i="4"/>
  <c r="C515" i="3"/>
  <c r="B514" i="4"/>
  <c r="C514" i="3"/>
  <c r="C514" i="5" s="1"/>
  <c r="B513" i="4"/>
  <c r="C513" i="3"/>
  <c r="B512" i="4"/>
  <c r="C512" i="3"/>
  <c r="C512" i="5" s="1"/>
  <c r="B511" i="4"/>
  <c r="C511" i="3"/>
  <c r="B510" i="4"/>
  <c r="C510" i="3"/>
  <c r="C510" i="5" s="1"/>
  <c r="B509" i="4"/>
  <c r="C509" i="3"/>
  <c r="B508" i="4"/>
  <c r="C508" i="3"/>
  <c r="C508" i="5" s="1"/>
  <c r="B507" i="4"/>
  <c r="C507" i="3"/>
  <c r="B506" i="4"/>
  <c r="C506" i="3"/>
  <c r="C506" i="5" s="1"/>
  <c r="B505" i="4"/>
  <c r="C505" i="3"/>
  <c r="B504" i="4"/>
  <c r="C504" i="3"/>
  <c r="C504" i="5" s="1"/>
  <c r="B503" i="4"/>
  <c r="C503" i="3"/>
  <c r="B502" i="4"/>
  <c r="C502" i="3"/>
  <c r="C502" i="5" s="1"/>
  <c r="B501" i="4"/>
  <c r="C501" i="3"/>
  <c r="B500" i="4"/>
  <c r="C500" i="3"/>
  <c r="C500" i="5" s="1"/>
  <c r="B499" i="4"/>
  <c r="C499" i="3"/>
  <c r="B498" i="4"/>
  <c r="C498" i="3"/>
  <c r="C498" i="5" s="1"/>
  <c r="B497" i="4"/>
  <c r="C497" i="3"/>
  <c r="B496" i="4"/>
  <c r="C496" i="3"/>
  <c r="C496" i="5" s="1"/>
  <c r="B495" i="4"/>
  <c r="C495" i="3"/>
  <c r="B494" i="4"/>
  <c r="C494" i="3"/>
  <c r="C494" i="5" s="1"/>
  <c r="B493" i="4"/>
  <c r="C493" i="3"/>
  <c r="B492" i="4"/>
  <c r="C492" i="3"/>
  <c r="C492" i="5" s="1"/>
  <c r="B491" i="4"/>
  <c r="C491" i="3"/>
  <c r="B490" i="4"/>
  <c r="C490" i="3"/>
  <c r="C490" i="5" s="1"/>
  <c r="B489" i="4"/>
  <c r="C489" i="3"/>
  <c r="B488" i="4"/>
  <c r="C488" i="3"/>
  <c r="C488" i="5" s="1"/>
  <c r="B487" i="4"/>
  <c r="C487" i="3"/>
  <c r="B486" i="4"/>
  <c r="C486" i="3"/>
  <c r="C486" i="5" s="1"/>
  <c r="B485" i="4"/>
  <c r="C485" i="3"/>
  <c r="B484" i="4"/>
  <c r="C484" i="3"/>
  <c r="C484" i="5" s="1"/>
  <c r="B483" i="4"/>
  <c r="C483" i="3"/>
  <c r="B482" i="4"/>
  <c r="C482" i="3"/>
  <c r="C482" i="5" s="1"/>
  <c r="B481" i="4"/>
  <c r="C481" i="3"/>
  <c r="B480" i="4"/>
  <c r="C480" i="3"/>
  <c r="C480" i="5" s="1"/>
  <c r="B479" i="4"/>
  <c r="C479" i="3"/>
  <c r="B478" i="4"/>
  <c r="C478" i="3"/>
  <c r="C478" i="5" s="1"/>
  <c r="B477" i="4"/>
  <c r="C477" i="3"/>
  <c r="B476" i="4"/>
  <c r="C476" i="3"/>
  <c r="C476" i="5" s="1"/>
  <c r="B475" i="4"/>
  <c r="C475" i="3"/>
  <c r="B474" i="4"/>
  <c r="C474" i="3"/>
  <c r="C474" i="5" s="1"/>
  <c r="B473" i="4"/>
  <c r="C473" i="3"/>
  <c r="B472" i="4"/>
  <c r="C472" i="3"/>
  <c r="C472" i="5" s="1"/>
  <c r="B471" i="4"/>
  <c r="C471" i="3"/>
  <c r="B470" i="4"/>
  <c r="C470" i="3"/>
  <c r="C470" i="5" s="1"/>
  <c r="B469" i="4"/>
  <c r="C469" i="3"/>
  <c r="B468" i="4"/>
  <c r="C468" i="3"/>
  <c r="C468" i="5" s="1"/>
  <c r="B467" i="4"/>
  <c r="C467" i="3"/>
  <c r="B466" i="4"/>
  <c r="C466" i="3"/>
  <c r="C466" i="5" s="1"/>
  <c r="B465" i="4"/>
  <c r="C465" i="3"/>
  <c r="B464" i="4"/>
  <c r="C464" i="3"/>
  <c r="C464" i="5" s="1"/>
  <c r="B463" i="4"/>
  <c r="C463" i="3"/>
  <c r="C463" i="5" s="1"/>
  <c r="B462" i="4"/>
  <c r="C462" i="3"/>
  <c r="C462" i="5" s="1"/>
  <c r="B461" i="4"/>
  <c r="C461" i="3"/>
  <c r="C461" i="5" s="1"/>
  <c r="B460" i="4"/>
  <c r="C460" i="3"/>
  <c r="C460" i="5" s="1"/>
  <c r="B459" i="4"/>
  <c r="C459" i="3"/>
  <c r="C459" i="5" s="1"/>
  <c r="B458" i="4"/>
  <c r="C458" i="3"/>
  <c r="C458" i="5" s="1"/>
  <c r="B457" i="4"/>
  <c r="C457" i="3"/>
  <c r="C457" i="5" s="1"/>
  <c r="B456" i="4"/>
  <c r="C456" i="3"/>
  <c r="C456" i="5" s="1"/>
  <c r="B455" i="4"/>
  <c r="C455" i="3"/>
  <c r="C455" i="5" s="1"/>
  <c r="B454" i="4"/>
  <c r="C454" i="3"/>
  <c r="C454" i="5" s="1"/>
  <c r="B453" i="4"/>
  <c r="C453" i="3"/>
  <c r="C453" i="5" s="1"/>
  <c r="B452" i="4"/>
  <c r="C452" i="3"/>
  <c r="C452" i="5" s="1"/>
  <c r="B451" i="4"/>
  <c r="C451" i="3"/>
  <c r="C451" i="5" s="1"/>
  <c r="B450" i="4"/>
  <c r="C450" i="3"/>
  <c r="C450" i="5" s="1"/>
  <c r="B449" i="4"/>
  <c r="C449" i="3"/>
  <c r="C449" i="5" s="1"/>
  <c r="B448" i="4"/>
  <c r="C448" i="3"/>
  <c r="C448" i="5" s="1"/>
  <c r="B447" i="4"/>
  <c r="C447" i="3"/>
  <c r="C447" i="5" s="1"/>
  <c r="B446" i="4"/>
  <c r="C446" i="3"/>
  <c r="C446" i="5" s="1"/>
  <c r="B445" i="4"/>
  <c r="C445" i="3"/>
  <c r="C445" i="5" s="1"/>
  <c r="B444" i="4"/>
  <c r="C444" i="3"/>
  <c r="C444" i="5" s="1"/>
  <c r="B443" i="4"/>
  <c r="C443" i="3"/>
  <c r="C443" i="5" s="1"/>
  <c r="B442" i="4"/>
  <c r="C442" i="3"/>
  <c r="C442" i="5" s="1"/>
  <c r="B441" i="4"/>
  <c r="C441" i="3"/>
  <c r="C441" i="5" s="1"/>
  <c r="B440" i="4"/>
  <c r="C440" i="3"/>
  <c r="C440" i="5" s="1"/>
  <c r="B439" i="4"/>
  <c r="C439" i="3"/>
  <c r="C439" i="5" s="1"/>
  <c r="B438" i="4"/>
  <c r="C438" i="3"/>
  <c r="C438" i="5" s="1"/>
  <c r="B437" i="4"/>
  <c r="C437" i="3"/>
  <c r="C437" i="5" s="1"/>
  <c r="B436" i="4"/>
  <c r="C436" i="3"/>
  <c r="C436" i="5" s="1"/>
  <c r="B435" i="4"/>
  <c r="C435" i="3"/>
  <c r="C435" i="5" s="1"/>
  <c r="B434" i="4"/>
  <c r="C434" i="3"/>
  <c r="C434" i="5" s="1"/>
  <c r="B433" i="4"/>
  <c r="C433" i="3"/>
  <c r="C433" i="5" s="1"/>
  <c r="B432" i="4"/>
  <c r="C432" i="3"/>
  <c r="C432" i="5" s="1"/>
  <c r="B431" i="4"/>
  <c r="C431" i="3"/>
  <c r="C431" i="5" s="1"/>
  <c r="B430" i="4"/>
  <c r="C430" i="3"/>
  <c r="C430" i="5" s="1"/>
  <c r="B429" i="4"/>
  <c r="C429" i="3"/>
  <c r="C429" i="5" s="1"/>
  <c r="B428" i="4"/>
  <c r="C428" i="3"/>
  <c r="C428" i="5" s="1"/>
  <c r="B427" i="4"/>
  <c r="C427" i="3"/>
  <c r="C427" i="5" s="1"/>
  <c r="B426" i="4"/>
  <c r="C426" i="3"/>
  <c r="C426" i="5" s="1"/>
  <c r="B425" i="4"/>
  <c r="C425" i="3"/>
  <c r="C425" i="5" s="1"/>
  <c r="B424" i="4"/>
  <c r="C424" i="3"/>
  <c r="C424" i="5" s="1"/>
  <c r="B423" i="4"/>
  <c r="C423" i="3"/>
  <c r="C423" i="5" s="1"/>
  <c r="B422" i="4"/>
  <c r="C422" i="3"/>
  <c r="C422" i="5" s="1"/>
  <c r="B421" i="4"/>
  <c r="C421" i="3"/>
  <c r="C421" i="5" s="1"/>
  <c r="B420" i="4"/>
  <c r="C420" i="3"/>
  <c r="C420" i="5" s="1"/>
  <c r="B419" i="4"/>
  <c r="C419" i="3"/>
  <c r="C419" i="5" s="1"/>
  <c r="B418" i="4"/>
  <c r="C418" i="3"/>
  <c r="C418" i="5" s="1"/>
  <c r="B417" i="4"/>
  <c r="C417" i="3"/>
  <c r="C417" i="5" s="1"/>
  <c r="B416" i="4"/>
  <c r="C416" i="3"/>
  <c r="C416" i="5" s="1"/>
  <c r="B415" i="4"/>
  <c r="C415" i="3"/>
  <c r="C415" i="5" s="1"/>
  <c r="B414" i="4"/>
  <c r="C414" i="3"/>
  <c r="C414" i="5" s="1"/>
  <c r="B413" i="4"/>
  <c r="C413" i="3"/>
  <c r="C413" i="5" s="1"/>
  <c r="B412" i="4"/>
  <c r="C412" i="3"/>
  <c r="C412" i="5" s="1"/>
  <c r="B411" i="4"/>
  <c r="C411" i="3"/>
  <c r="C411" i="5" s="1"/>
  <c r="B410" i="4"/>
  <c r="C410" i="3"/>
  <c r="C410" i="5" s="1"/>
  <c r="B409" i="4"/>
  <c r="C409" i="3"/>
  <c r="C409" i="5" s="1"/>
  <c r="B408" i="4"/>
  <c r="C408" i="3"/>
  <c r="C408" i="5" s="1"/>
  <c r="B407" i="4"/>
  <c r="C407" i="3"/>
  <c r="C407" i="5" s="1"/>
  <c r="B406" i="4"/>
  <c r="C406" i="3"/>
  <c r="C406" i="5" s="1"/>
  <c r="B405" i="4"/>
  <c r="C405" i="3"/>
  <c r="C405" i="5" s="1"/>
  <c r="B404" i="4"/>
  <c r="C404" i="3"/>
  <c r="C404" i="5" s="1"/>
  <c r="B403" i="4"/>
  <c r="C403" i="3"/>
  <c r="C403" i="5" s="1"/>
  <c r="B402" i="4"/>
  <c r="C402" i="3"/>
  <c r="C402" i="5" s="1"/>
  <c r="B401" i="4"/>
  <c r="C401" i="3"/>
  <c r="C401" i="5" s="1"/>
  <c r="B400" i="4"/>
  <c r="C400" i="3"/>
  <c r="C400" i="5" s="1"/>
  <c r="B399" i="4"/>
  <c r="C399" i="3"/>
  <c r="C399" i="5" s="1"/>
  <c r="B398" i="4"/>
  <c r="C398" i="3"/>
  <c r="C398" i="5" s="1"/>
  <c r="B397" i="4"/>
  <c r="C397" i="3"/>
  <c r="C397" i="5" s="1"/>
  <c r="B396" i="4"/>
  <c r="C396" i="3"/>
  <c r="C396" i="5" s="1"/>
  <c r="B395" i="4"/>
  <c r="C395" i="3"/>
  <c r="C395" i="5" s="1"/>
  <c r="B394" i="4"/>
  <c r="C394" i="3"/>
  <c r="C394" i="5" s="1"/>
  <c r="B393" i="4"/>
  <c r="C393" i="3"/>
  <c r="C393" i="5" s="1"/>
  <c r="B392" i="4"/>
  <c r="C392" i="3"/>
  <c r="C392" i="5" s="1"/>
  <c r="B391" i="4"/>
  <c r="C391" i="3"/>
  <c r="C391" i="5" s="1"/>
  <c r="B390" i="4"/>
  <c r="C390" i="3"/>
  <c r="C390" i="5" s="1"/>
  <c r="B389" i="4"/>
  <c r="C389" i="3"/>
  <c r="C389" i="5" s="1"/>
  <c r="B388" i="4"/>
  <c r="C388" i="3"/>
  <c r="C388" i="5" s="1"/>
  <c r="B387" i="4"/>
  <c r="C387" i="3"/>
  <c r="C387" i="5" s="1"/>
  <c r="B386" i="4"/>
  <c r="C386" i="3"/>
  <c r="C386" i="5" s="1"/>
  <c r="B385" i="4"/>
  <c r="C385" i="3"/>
  <c r="C385" i="5" s="1"/>
  <c r="B384" i="4"/>
  <c r="C384" i="3"/>
  <c r="C384" i="5" s="1"/>
  <c r="B383" i="4"/>
  <c r="C383" i="3"/>
  <c r="C383" i="5" s="1"/>
  <c r="B382" i="4"/>
  <c r="C382" i="3"/>
  <c r="C382" i="5" s="1"/>
  <c r="B381" i="4"/>
  <c r="C381" i="3"/>
  <c r="C381" i="5" s="1"/>
  <c r="B380" i="4"/>
  <c r="C380" i="3"/>
  <c r="C380" i="5" s="1"/>
  <c r="B379" i="4"/>
  <c r="C379" i="3"/>
  <c r="C379" i="5" s="1"/>
  <c r="B378" i="4"/>
  <c r="C378" i="3"/>
  <c r="C378" i="5" s="1"/>
  <c r="B377" i="4"/>
  <c r="C377" i="3"/>
  <c r="C377" i="5" s="1"/>
  <c r="B376" i="4"/>
  <c r="C376" i="3"/>
  <c r="C376" i="5" s="1"/>
  <c r="B375" i="4"/>
  <c r="C375" i="3"/>
  <c r="C375" i="5" s="1"/>
  <c r="B374" i="4"/>
  <c r="C374" i="3"/>
  <c r="C374" i="5" s="1"/>
  <c r="B373" i="4"/>
  <c r="C373" i="3"/>
  <c r="C373" i="5" s="1"/>
  <c r="B372" i="4"/>
  <c r="C372" i="3"/>
  <c r="C372" i="5" s="1"/>
  <c r="B371" i="4"/>
  <c r="C371" i="3"/>
  <c r="C371" i="5" s="1"/>
  <c r="B370" i="4"/>
  <c r="C370" i="3"/>
  <c r="C370" i="5" s="1"/>
  <c r="B369" i="4"/>
  <c r="C369" i="3"/>
  <c r="C369" i="5" s="1"/>
  <c r="B368" i="4"/>
  <c r="C368" i="3"/>
  <c r="C368" i="5" s="1"/>
  <c r="B367" i="4"/>
  <c r="C367" i="3"/>
  <c r="C367" i="5" s="1"/>
  <c r="B366" i="4"/>
  <c r="C366" i="3"/>
  <c r="C366" i="5" s="1"/>
  <c r="B365" i="4"/>
  <c r="C365" i="3"/>
  <c r="C365" i="5" s="1"/>
  <c r="B364" i="4"/>
  <c r="C364" i="3"/>
  <c r="C364" i="5" s="1"/>
  <c r="B363" i="4"/>
  <c r="C363" i="3"/>
  <c r="C363" i="5" s="1"/>
  <c r="B362" i="4"/>
  <c r="C362" i="3"/>
  <c r="C362" i="5" s="1"/>
  <c r="B361" i="4"/>
  <c r="C361" i="3"/>
  <c r="C361" i="5" s="1"/>
  <c r="B360" i="4"/>
  <c r="C360" i="3"/>
  <c r="C360" i="5" s="1"/>
  <c r="B359" i="4"/>
  <c r="C359" i="3"/>
  <c r="C359" i="5" s="1"/>
  <c r="B358" i="4"/>
  <c r="C358" i="3"/>
  <c r="C358" i="5" s="1"/>
  <c r="B357" i="4"/>
  <c r="C357" i="3"/>
  <c r="C357" i="5" s="1"/>
  <c r="B356" i="4"/>
  <c r="C356" i="3"/>
  <c r="C356" i="5" s="1"/>
  <c r="B355" i="4"/>
  <c r="C355" i="3"/>
  <c r="C355" i="5" s="1"/>
  <c r="B354" i="4"/>
  <c r="C354" i="3"/>
  <c r="C354" i="5" s="1"/>
  <c r="B353" i="4"/>
  <c r="C353" i="3"/>
  <c r="C353" i="5" s="1"/>
  <c r="B352" i="4"/>
  <c r="C352" i="3"/>
  <c r="C352" i="5" s="1"/>
  <c r="B351" i="4"/>
  <c r="C351" i="3"/>
  <c r="C351" i="5" s="1"/>
  <c r="B350" i="4"/>
  <c r="C350" i="3"/>
  <c r="C350" i="5" s="1"/>
  <c r="B349" i="4"/>
  <c r="C349" i="3"/>
  <c r="C349" i="5" s="1"/>
  <c r="B348" i="4"/>
  <c r="C348" i="3"/>
  <c r="C348" i="5" s="1"/>
  <c r="B347" i="4"/>
  <c r="C347" i="3"/>
  <c r="C347" i="5" s="1"/>
  <c r="B346" i="4"/>
  <c r="C346" i="3"/>
  <c r="C346" i="5" s="1"/>
  <c r="B345" i="4"/>
  <c r="C345" i="3"/>
  <c r="C345" i="5" s="1"/>
  <c r="B344" i="4"/>
  <c r="C344" i="3"/>
  <c r="C344" i="5" s="1"/>
  <c r="B343" i="4"/>
  <c r="C343" i="3"/>
  <c r="C343" i="5" s="1"/>
  <c r="B342" i="4"/>
  <c r="C342" i="3"/>
  <c r="C342" i="5" s="1"/>
  <c r="B341" i="4"/>
  <c r="C341" i="3"/>
  <c r="C341" i="5" s="1"/>
  <c r="B340" i="4"/>
  <c r="C340" i="3"/>
  <c r="C340" i="5" s="1"/>
  <c r="B339" i="4"/>
  <c r="C339" i="3"/>
  <c r="C339" i="5" s="1"/>
  <c r="B338" i="4"/>
  <c r="C338" i="3"/>
  <c r="C338" i="5" s="1"/>
  <c r="B337" i="4"/>
  <c r="C337" i="3"/>
  <c r="C337" i="5" s="1"/>
  <c r="B336" i="4"/>
  <c r="C336" i="3"/>
  <c r="C336" i="5" s="1"/>
  <c r="B335" i="4"/>
  <c r="C335" i="3"/>
  <c r="C335" i="5" s="1"/>
  <c r="B334" i="4"/>
  <c r="C334" i="3"/>
  <c r="C334" i="5" s="1"/>
  <c r="B333" i="4"/>
  <c r="C333" i="3"/>
  <c r="C333" i="5" s="1"/>
  <c r="B332" i="4"/>
  <c r="C332" i="3"/>
  <c r="C332" i="5" s="1"/>
  <c r="B331" i="4"/>
  <c r="C331" i="3"/>
  <c r="C331" i="5" s="1"/>
  <c r="B330" i="4"/>
  <c r="C330" i="3"/>
  <c r="C330" i="5" s="1"/>
  <c r="B329" i="4"/>
  <c r="C329" i="3"/>
  <c r="C329" i="5" s="1"/>
  <c r="B328" i="4"/>
  <c r="C328" i="3"/>
  <c r="C328" i="5" s="1"/>
  <c r="B327" i="4"/>
  <c r="C327" i="3"/>
  <c r="C327" i="5" s="1"/>
  <c r="B326" i="4"/>
  <c r="C326" i="3"/>
  <c r="C326" i="5" s="1"/>
  <c r="B325" i="4"/>
  <c r="C325" i="3"/>
  <c r="C325" i="5" s="1"/>
  <c r="B324" i="4"/>
  <c r="C324" i="3"/>
  <c r="C324" i="5" s="1"/>
  <c r="B323" i="4"/>
  <c r="C323" i="3"/>
  <c r="C323" i="5" s="1"/>
  <c r="B322" i="4"/>
  <c r="C322" i="3"/>
  <c r="C322" i="5" s="1"/>
  <c r="B321" i="4"/>
  <c r="C321" i="3"/>
  <c r="C321" i="5" s="1"/>
  <c r="B320" i="4"/>
  <c r="C320" i="3"/>
  <c r="C320" i="5" s="1"/>
  <c r="B319" i="4"/>
  <c r="C319" i="3"/>
  <c r="C319" i="5" s="1"/>
  <c r="B318" i="4"/>
  <c r="C318" i="3"/>
  <c r="C318" i="5" s="1"/>
  <c r="B317" i="4"/>
  <c r="C317" i="3"/>
  <c r="C317" i="5" s="1"/>
  <c r="B316" i="4"/>
  <c r="C316" i="3"/>
  <c r="C316" i="5" s="1"/>
  <c r="B315" i="4"/>
  <c r="C315" i="3"/>
  <c r="C315" i="5" s="1"/>
  <c r="B314" i="4"/>
  <c r="C314" i="3"/>
  <c r="C314" i="5" s="1"/>
  <c r="B313" i="4"/>
  <c r="C313" i="3"/>
  <c r="C313" i="5" s="1"/>
  <c r="B312" i="4"/>
  <c r="C312" i="3"/>
  <c r="C312" i="5" s="1"/>
  <c r="B311" i="4"/>
  <c r="C311" i="3"/>
  <c r="C311" i="5" s="1"/>
  <c r="B310" i="4"/>
  <c r="C310" i="3"/>
  <c r="C310" i="5" s="1"/>
  <c r="B309" i="4"/>
  <c r="C309" i="3"/>
  <c r="C309" i="5" s="1"/>
  <c r="B308" i="4"/>
  <c r="C308" i="3"/>
  <c r="C308" i="5" s="1"/>
  <c r="B307" i="4"/>
  <c r="C307" i="3"/>
  <c r="C307" i="5" s="1"/>
  <c r="B306" i="4"/>
  <c r="C306" i="3"/>
  <c r="C306" i="5" s="1"/>
  <c r="B305" i="4"/>
  <c r="C305" i="3"/>
  <c r="C305" i="5" s="1"/>
  <c r="B304" i="4"/>
  <c r="C304" i="3"/>
  <c r="C304" i="5" s="1"/>
  <c r="B303" i="4"/>
  <c r="C303" i="3"/>
  <c r="C303" i="5" s="1"/>
  <c r="B302" i="4"/>
  <c r="C302" i="3"/>
  <c r="C302" i="5" s="1"/>
  <c r="B301" i="4"/>
  <c r="C301" i="3"/>
  <c r="C301" i="5" s="1"/>
  <c r="B300" i="4"/>
  <c r="C300" i="3"/>
  <c r="C300" i="5" s="1"/>
  <c r="B299" i="4"/>
  <c r="C299" i="3"/>
  <c r="C299" i="5" s="1"/>
  <c r="B298" i="4"/>
  <c r="C298" i="3"/>
  <c r="C298" i="5" s="1"/>
  <c r="B297" i="4"/>
  <c r="C297" i="3"/>
  <c r="C297" i="5" s="1"/>
  <c r="B296" i="4"/>
  <c r="C296" i="3"/>
  <c r="C296" i="5" s="1"/>
  <c r="B295" i="4"/>
  <c r="C295" i="3"/>
  <c r="C295" i="5" s="1"/>
  <c r="B294" i="4"/>
  <c r="C294" i="3"/>
  <c r="C294" i="5" s="1"/>
  <c r="B293" i="4"/>
  <c r="C293" i="3"/>
  <c r="C293" i="5" s="1"/>
  <c r="B292" i="4"/>
  <c r="C292" i="3"/>
  <c r="C292" i="5" s="1"/>
  <c r="B291" i="4"/>
  <c r="C291" i="3"/>
  <c r="C291" i="5" s="1"/>
  <c r="B290" i="4"/>
  <c r="C290" i="3"/>
  <c r="C290" i="5" s="1"/>
  <c r="B289" i="4"/>
  <c r="C289" i="3"/>
  <c r="C289" i="5" s="1"/>
  <c r="B288" i="4"/>
  <c r="C288" i="3"/>
  <c r="C288" i="5" s="1"/>
  <c r="B287" i="4"/>
  <c r="C287" i="3"/>
  <c r="C287" i="5" s="1"/>
  <c r="B286" i="4"/>
  <c r="C286" i="3"/>
  <c r="C286" i="5" s="1"/>
  <c r="B285" i="4"/>
  <c r="C285" i="3"/>
  <c r="C285" i="5" s="1"/>
  <c r="B284" i="4"/>
  <c r="C284" i="3"/>
  <c r="C284" i="5" s="1"/>
  <c r="B283" i="4"/>
  <c r="C283" i="3"/>
  <c r="C283" i="5" s="1"/>
  <c r="B282" i="4"/>
  <c r="C282" i="3"/>
  <c r="C282" i="5" s="1"/>
  <c r="B281" i="4"/>
  <c r="C281" i="3"/>
  <c r="C281" i="5" s="1"/>
  <c r="B280" i="4"/>
  <c r="C280" i="3"/>
  <c r="C280" i="5" s="1"/>
  <c r="B279" i="4"/>
  <c r="C279" i="3"/>
  <c r="C279" i="5" s="1"/>
  <c r="B278" i="4"/>
  <c r="C278" i="3"/>
  <c r="C278" i="5" s="1"/>
  <c r="B277" i="4"/>
  <c r="C277" i="3"/>
  <c r="C277" i="5" s="1"/>
  <c r="B276" i="4"/>
  <c r="C276" i="3"/>
  <c r="C276" i="5" s="1"/>
  <c r="B275" i="4"/>
  <c r="C275" i="3"/>
  <c r="C275" i="5" s="1"/>
  <c r="B274" i="4"/>
  <c r="C274" i="3"/>
  <c r="C274" i="5" s="1"/>
  <c r="B273" i="4"/>
  <c r="C273" i="3"/>
  <c r="C273" i="5" s="1"/>
  <c r="B272" i="4"/>
  <c r="C272" i="3"/>
  <c r="C272" i="5" s="1"/>
  <c r="B271" i="4"/>
  <c r="C271" i="3"/>
  <c r="C271" i="5" s="1"/>
  <c r="B270" i="4"/>
  <c r="C270" i="3"/>
  <c r="C270" i="5" s="1"/>
  <c r="B269" i="4"/>
  <c r="C269" i="3"/>
  <c r="C269" i="5" s="1"/>
  <c r="B268" i="4"/>
  <c r="C268" i="3"/>
  <c r="C268" i="5" s="1"/>
  <c r="B267" i="4"/>
  <c r="C267" i="3"/>
  <c r="C267" i="5" s="1"/>
  <c r="B266" i="4"/>
  <c r="C266" i="3"/>
  <c r="C266" i="5" s="1"/>
  <c r="B265" i="4"/>
  <c r="C265" i="3"/>
  <c r="C265" i="5" s="1"/>
  <c r="B264" i="4"/>
  <c r="C264" i="3"/>
  <c r="C264" i="5" s="1"/>
  <c r="B263" i="4"/>
  <c r="C263" i="3"/>
  <c r="C263" i="5" s="1"/>
  <c r="B262" i="4"/>
  <c r="C262" i="3"/>
  <c r="C262" i="5" s="1"/>
  <c r="B261" i="4"/>
  <c r="C261" i="3"/>
  <c r="C261" i="5" s="1"/>
  <c r="B260" i="4"/>
  <c r="C260" i="3"/>
  <c r="C260" i="5" s="1"/>
  <c r="B259" i="4"/>
  <c r="C259" i="3"/>
  <c r="C259" i="5" s="1"/>
  <c r="B258" i="4"/>
  <c r="C258" i="3"/>
  <c r="C258" i="5" s="1"/>
  <c r="B257" i="4"/>
  <c r="C257" i="3"/>
  <c r="C257" i="5" s="1"/>
  <c r="B256" i="4"/>
  <c r="C256" i="3"/>
  <c r="C256" i="5" s="1"/>
  <c r="B255" i="4"/>
  <c r="C255" i="3"/>
  <c r="C255" i="5" s="1"/>
  <c r="B254" i="4"/>
  <c r="C254" i="3"/>
  <c r="C254" i="5" s="1"/>
  <c r="B253" i="4"/>
  <c r="C253" i="3"/>
  <c r="C253" i="5" s="1"/>
  <c r="B252" i="4"/>
  <c r="C252" i="3"/>
  <c r="C252" i="5" s="1"/>
  <c r="B251" i="4"/>
  <c r="C251" i="3"/>
  <c r="C251" i="5" s="1"/>
  <c r="B250" i="4"/>
  <c r="C250" i="3"/>
  <c r="C250" i="5" s="1"/>
  <c r="B249" i="4"/>
  <c r="C249" i="3"/>
  <c r="C249" i="5" s="1"/>
  <c r="B248" i="4"/>
  <c r="C248" i="3"/>
  <c r="C248" i="5" s="1"/>
  <c r="B247" i="4"/>
  <c r="C247" i="3"/>
  <c r="C247" i="5" s="1"/>
  <c r="B246" i="4"/>
  <c r="C246" i="3"/>
  <c r="C246" i="5" s="1"/>
  <c r="B245" i="4"/>
  <c r="C245" i="3"/>
  <c r="C245" i="5" s="1"/>
  <c r="B244" i="4"/>
  <c r="C244" i="3"/>
  <c r="C244" i="5" s="1"/>
  <c r="B243" i="4"/>
  <c r="C243" i="3"/>
  <c r="C243" i="5" s="1"/>
  <c r="B242" i="4"/>
  <c r="C242" i="3"/>
  <c r="C242" i="5" s="1"/>
  <c r="B241" i="4"/>
  <c r="C241" i="3"/>
  <c r="C241" i="5" s="1"/>
  <c r="B240" i="4"/>
  <c r="C240" i="3"/>
  <c r="C240" i="5" s="1"/>
  <c r="B239" i="4"/>
  <c r="C239" i="3"/>
  <c r="C239" i="5" s="1"/>
  <c r="B238" i="4"/>
  <c r="C238" i="3"/>
  <c r="C238" i="5" s="1"/>
  <c r="B237" i="4"/>
  <c r="C237" i="3"/>
  <c r="C237" i="5" s="1"/>
  <c r="B236" i="4"/>
  <c r="C236" i="3"/>
  <c r="C236" i="5" s="1"/>
  <c r="B235" i="4"/>
  <c r="C235" i="3"/>
  <c r="C235" i="5" s="1"/>
  <c r="B234" i="4"/>
  <c r="C234" i="3"/>
  <c r="C234" i="5" s="1"/>
  <c r="B233" i="4"/>
  <c r="C233" i="3"/>
  <c r="C233" i="5" s="1"/>
  <c r="B232" i="4"/>
  <c r="C232" i="3"/>
  <c r="C232" i="5" s="1"/>
  <c r="B231" i="4"/>
  <c r="C231" i="3"/>
  <c r="C231" i="5" s="1"/>
  <c r="B230" i="4"/>
  <c r="C230" i="3"/>
  <c r="C230" i="5" s="1"/>
  <c r="B229" i="4"/>
  <c r="C229" i="3"/>
  <c r="C229" i="5" s="1"/>
  <c r="B228" i="4"/>
  <c r="C228" i="3"/>
  <c r="C228" i="5" s="1"/>
  <c r="B227" i="4"/>
  <c r="C227" i="3"/>
  <c r="C227" i="5" s="1"/>
  <c r="B226" i="4"/>
  <c r="C226" i="3"/>
  <c r="C226" i="5" s="1"/>
  <c r="B225" i="4"/>
  <c r="C225" i="3"/>
  <c r="C225" i="5" s="1"/>
  <c r="B224" i="4"/>
  <c r="C224" i="3"/>
  <c r="C224" i="5" s="1"/>
  <c r="B223" i="4"/>
  <c r="C223" i="3"/>
  <c r="C223" i="5" s="1"/>
  <c r="B222" i="4"/>
  <c r="C222" i="3"/>
  <c r="C222" i="5" s="1"/>
  <c r="B221" i="4"/>
  <c r="C221" i="3"/>
  <c r="C221" i="5" s="1"/>
  <c r="B220" i="4"/>
  <c r="C220" i="3"/>
  <c r="C220" i="5" s="1"/>
  <c r="B219" i="4"/>
  <c r="C219" i="3"/>
  <c r="C219" i="5" s="1"/>
  <c r="B218" i="4"/>
  <c r="C218" i="3"/>
  <c r="C218" i="5" s="1"/>
  <c r="B217" i="4"/>
  <c r="C217" i="3"/>
  <c r="C217" i="5" s="1"/>
  <c r="B216" i="4"/>
  <c r="C216" i="3"/>
  <c r="C216" i="5" s="1"/>
  <c r="B215" i="4"/>
  <c r="C215" i="3"/>
  <c r="C215" i="5" s="1"/>
  <c r="B214" i="4"/>
  <c r="C214" i="3"/>
  <c r="C214" i="5" s="1"/>
  <c r="B213" i="4"/>
  <c r="C213" i="3"/>
  <c r="C213" i="5" s="1"/>
  <c r="B212" i="4"/>
  <c r="C212" i="3"/>
  <c r="C212" i="5" s="1"/>
  <c r="B211" i="4"/>
  <c r="C211" i="3"/>
  <c r="C211" i="5" s="1"/>
  <c r="B210" i="4"/>
  <c r="C210" i="3"/>
  <c r="C210" i="5" s="1"/>
  <c r="B209" i="4"/>
  <c r="C209" i="3"/>
  <c r="C209" i="5" s="1"/>
  <c r="B208" i="4"/>
  <c r="C208" i="3"/>
  <c r="C208" i="5" s="1"/>
  <c r="B207" i="4"/>
  <c r="C207" i="3"/>
  <c r="C207" i="5" s="1"/>
  <c r="B206" i="4"/>
  <c r="C206" i="3"/>
  <c r="C206" i="5" s="1"/>
  <c r="B205" i="4"/>
  <c r="C205" i="3"/>
  <c r="C205" i="5" s="1"/>
  <c r="B204" i="4"/>
  <c r="C204" i="3"/>
  <c r="C204" i="5" s="1"/>
  <c r="B203" i="4"/>
  <c r="C203" i="3"/>
  <c r="C203" i="5" s="1"/>
  <c r="B202" i="4"/>
  <c r="C202" i="3"/>
  <c r="C202" i="5" s="1"/>
  <c r="B201" i="4"/>
  <c r="C201" i="3"/>
  <c r="C201" i="5" s="1"/>
  <c r="B200" i="4"/>
  <c r="C200" i="3"/>
  <c r="C200" i="5" s="1"/>
  <c r="B199" i="4"/>
  <c r="C199" i="3"/>
  <c r="C199" i="5" s="1"/>
  <c r="B198" i="4"/>
  <c r="C198" i="3"/>
  <c r="C198" i="5" s="1"/>
  <c r="B197" i="4"/>
  <c r="C197" i="3"/>
  <c r="C197" i="5" s="1"/>
  <c r="B196" i="4"/>
  <c r="C196" i="3"/>
  <c r="C196" i="5" s="1"/>
  <c r="B195" i="4"/>
  <c r="C195" i="3"/>
  <c r="C195" i="5" s="1"/>
  <c r="B194" i="4"/>
  <c r="C194" i="3"/>
  <c r="C194" i="5" s="1"/>
  <c r="B193" i="4"/>
  <c r="C193" i="3"/>
  <c r="C193" i="5" s="1"/>
  <c r="B192" i="4"/>
  <c r="C192" i="3"/>
  <c r="C192" i="5" s="1"/>
  <c r="B191" i="4"/>
  <c r="C191" i="3"/>
  <c r="C191" i="5" s="1"/>
  <c r="B190" i="4"/>
  <c r="C190" i="3"/>
  <c r="C190" i="5" s="1"/>
  <c r="B189" i="4"/>
  <c r="C189" i="3"/>
  <c r="C189" i="5" s="1"/>
  <c r="B188" i="4"/>
  <c r="C188" i="3"/>
  <c r="C188" i="5" s="1"/>
  <c r="B187" i="4"/>
  <c r="C187" i="3"/>
  <c r="C187" i="5" s="1"/>
  <c r="B186" i="4"/>
  <c r="C186" i="3"/>
  <c r="C186" i="5" s="1"/>
  <c r="B185" i="4"/>
  <c r="C185" i="3"/>
  <c r="C185" i="5" s="1"/>
  <c r="B184" i="4"/>
  <c r="C184" i="3"/>
  <c r="C184" i="5" s="1"/>
  <c r="B183" i="4"/>
  <c r="C183" i="3"/>
  <c r="C183" i="5" s="1"/>
  <c r="B182" i="4"/>
  <c r="C182" i="3"/>
  <c r="C182" i="5" s="1"/>
  <c r="B181" i="4"/>
  <c r="C181" i="3"/>
  <c r="C181" i="5" s="1"/>
  <c r="B180" i="4"/>
  <c r="C180" i="3"/>
  <c r="C180" i="5" s="1"/>
  <c r="B179" i="4"/>
  <c r="C179" i="3"/>
  <c r="C179" i="5" s="1"/>
  <c r="B178" i="4"/>
  <c r="C178" i="3"/>
  <c r="C178" i="5" s="1"/>
  <c r="B177" i="4"/>
  <c r="C177" i="3"/>
  <c r="C177" i="5" s="1"/>
  <c r="B176" i="4"/>
  <c r="C176" i="3"/>
  <c r="C176" i="5" s="1"/>
  <c r="B175" i="4"/>
  <c r="C175" i="3"/>
  <c r="C175" i="5" s="1"/>
  <c r="B174" i="4"/>
  <c r="C174" i="3"/>
  <c r="C174" i="5" s="1"/>
  <c r="B173" i="4"/>
  <c r="C173" i="3"/>
  <c r="C173" i="5" s="1"/>
  <c r="B172" i="4"/>
  <c r="C172" i="3"/>
  <c r="C172" i="5" s="1"/>
  <c r="B171" i="4"/>
  <c r="C171" i="3"/>
  <c r="C171" i="5" s="1"/>
  <c r="B170" i="4"/>
  <c r="C170" i="3"/>
  <c r="C170" i="5" s="1"/>
  <c r="B169" i="4"/>
  <c r="C169" i="3"/>
  <c r="C169" i="5" s="1"/>
  <c r="B168" i="4"/>
  <c r="C168" i="3"/>
  <c r="C168" i="5" s="1"/>
  <c r="B167" i="4"/>
  <c r="C167" i="3"/>
  <c r="C167" i="5" s="1"/>
  <c r="B166" i="4"/>
  <c r="C166" i="3"/>
  <c r="C166" i="5" s="1"/>
  <c r="B165" i="4"/>
  <c r="C165" i="3"/>
  <c r="C165" i="5" s="1"/>
  <c r="B164" i="4"/>
  <c r="C164" i="3"/>
  <c r="C164" i="5" s="1"/>
  <c r="B163" i="4"/>
  <c r="C163" i="3"/>
  <c r="C163" i="5" s="1"/>
  <c r="B162" i="4"/>
  <c r="C162" i="3"/>
  <c r="C162" i="5" s="1"/>
  <c r="B161" i="4"/>
  <c r="C161" i="3"/>
  <c r="C161" i="5" s="1"/>
  <c r="B160" i="4"/>
  <c r="C160" i="3"/>
  <c r="C160" i="5" s="1"/>
  <c r="B159" i="4"/>
  <c r="C159" i="3"/>
  <c r="C159" i="5" s="1"/>
  <c r="B158" i="4"/>
  <c r="C158" i="3"/>
  <c r="C158" i="5" s="1"/>
  <c r="B157" i="4"/>
  <c r="C157" i="3"/>
  <c r="C157" i="5" s="1"/>
  <c r="B156" i="4"/>
  <c r="C156" i="3"/>
  <c r="C156" i="5" s="1"/>
  <c r="B155" i="4"/>
  <c r="C155" i="3"/>
  <c r="C155" i="5" s="1"/>
  <c r="B154" i="4"/>
  <c r="C154" i="3"/>
  <c r="C154" i="5" s="1"/>
  <c r="B153" i="4"/>
  <c r="C153" i="3"/>
  <c r="C153" i="5" s="1"/>
  <c r="B152" i="4"/>
  <c r="C152" i="3"/>
  <c r="C152" i="5" s="1"/>
  <c r="B151" i="4"/>
  <c r="C151" i="3"/>
  <c r="C151" i="5" s="1"/>
  <c r="B150" i="4"/>
  <c r="C150" i="3"/>
  <c r="C150" i="5" s="1"/>
  <c r="B149" i="4"/>
  <c r="C149" i="3"/>
  <c r="C149" i="5" s="1"/>
  <c r="B148" i="4"/>
  <c r="C148" i="3"/>
  <c r="C148" i="5" s="1"/>
  <c r="B147" i="4"/>
  <c r="C147" i="3"/>
  <c r="C147" i="5" s="1"/>
  <c r="B146" i="4"/>
  <c r="C146" i="3"/>
  <c r="C146" i="5" s="1"/>
  <c r="B145" i="4"/>
  <c r="C145" i="3"/>
  <c r="C145" i="5" s="1"/>
  <c r="B144" i="4"/>
  <c r="C144" i="3"/>
  <c r="C144" i="5" s="1"/>
  <c r="B143" i="4"/>
  <c r="C143" i="3"/>
  <c r="C143" i="5" s="1"/>
  <c r="B142" i="4"/>
  <c r="C142" i="3"/>
  <c r="C142" i="5" s="1"/>
  <c r="B141" i="4"/>
  <c r="C141" i="3"/>
  <c r="C141" i="5" s="1"/>
  <c r="B140" i="4"/>
  <c r="C140" i="3"/>
  <c r="C140" i="5" s="1"/>
  <c r="B139" i="4"/>
  <c r="C139" i="3"/>
  <c r="C139" i="5" s="1"/>
  <c r="B138" i="4"/>
  <c r="C138" i="3"/>
  <c r="C138" i="5" s="1"/>
  <c r="B137" i="4"/>
  <c r="C137" i="3"/>
  <c r="C137" i="5" s="1"/>
  <c r="B136" i="4"/>
  <c r="C136" i="3"/>
  <c r="C136" i="5" s="1"/>
  <c r="B135" i="4"/>
  <c r="C135" i="3"/>
  <c r="C135" i="5" s="1"/>
  <c r="B134" i="4"/>
  <c r="C134" i="3"/>
  <c r="C134" i="5" s="1"/>
  <c r="B133" i="4"/>
  <c r="C133" i="3"/>
  <c r="C133" i="5" s="1"/>
  <c r="B132" i="4"/>
  <c r="C132" i="3"/>
  <c r="C132" i="5" s="1"/>
  <c r="B131" i="4"/>
  <c r="C131" i="3"/>
  <c r="C131" i="5" s="1"/>
  <c r="B130" i="4"/>
  <c r="C130" i="3"/>
  <c r="C130" i="5" s="1"/>
  <c r="B129" i="4"/>
  <c r="C129" i="3"/>
  <c r="C129" i="5" s="1"/>
  <c r="B128" i="4"/>
  <c r="C128" i="3"/>
  <c r="C128" i="5" s="1"/>
  <c r="B127" i="4"/>
  <c r="C127" i="3"/>
  <c r="C127" i="5" s="1"/>
  <c r="B126" i="4"/>
  <c r="C126" i="3"/>
  <c r="C126" i="5" s="1"/>
  <c r="B125" i="4"/>
  <c r="C125" i="3"/>
  <c r="C125" i="5" s="1"/>
  <c r="B124" i="4"/>
  <c r="C124" i="3"/>
  <c r="C124" i="5" s="1"/>
  <c r="B123" i="4"/>
  <c r="C123" i="3"/>
  <c r="C123" i="5" s="1"/>
  <c r="B122" i="4"/>
  <c r="C122" i="3"/>
  <c r="C122" i="5" s="1"/>
  <c r="B121" i="4"/>
  <c r="C121" i="3"/>
  <c r="C121" i="5" s="1"/>
  <c r="B120" i="4"/>
  <c r="C120" i="3"/>
  <c r="C120" i="5" s="1"/>
  <c r="B119" i="4"/>
  <c r="C119" i="3"/>
  <c r="C119" i="5" s="1"/>
  <c r="B118" i="4"/>
  <c r="C118" i="3"/>
  <c r="C118" i="5" s="1"/>
  <c r="B117" i="4"/>
  <c r="C117" i="3"/>
  <c r="C117" i="5" s="1"/>
  <c r="B116" i="4"/>
  <c r="C116" i="3"/>
  <c r="C116" i="5" s="1"/>
  <c r="B115" i="4"/>
  <c r="C115" i="3"/>
  <c r="C115" i="5" s="1"/>
  <c r="B114" i="4"/>
  <c r="C114" i="3"/>
  <c r="C114" i="5" s="1"/>
  <c r="B113" i="4"/>
  <c r="C113" i="3"/>
  <c r="C113" i="5" s="1"/>
  <c r="B112" i="4"/>
  <c r="C112" i="3"/>
  <c r="C112" i="5" s="1"/>
  <c r="B111" i="4"/>
  <c r="C111" i="3"/>
  <c r="C111" i="5" s="1"/>
  <c r="B110" i="4"/>
  <c r="C110" i="3"/>
  <c r="C110" i="5" s="1"/>
  <c r="B109" i="4"/>
  <c r="C109" i="3"/>
  <c r="C109" i="5" s="1"/>
  <c r="B108" i="4"/>
  <c r="C108" i="3"/>
  <c r="C108" i="5" s="1"/>
  <c r="B107" i="4"/>
  <c r="C107" i="3"/>
  <c r="C107" i="5" s="1"/>
  <c r="B106" i="4"/>
  <c r="C106" i="3"/>
  <c r="C106" i="5" s="1"/>
  <c r="B105" i="4"/>
  <c r="C105" i="3"/>
  <c r="C105" i="5" s="1"/>
  <c r="B104" i="4"/>
  <c r="C104" i="3"/>
  <c r="C104" i="5" s="1"/>
  <c r="B103" i="4"/>
  <c r="C103" i="3"/>
  <c r="C103" i="5" s="1"/>
  <c r="B102" i="4"/>
  <c r="C102" i="3"/>
  <c r="C102" i="5" s="1"/>
  <c r="B101" i="4"/>
  <c r="C101" i="3"/>
  <c r="C101" i="5" s="1"/>
  <c r="B100" i="4"/>
  <c r="C100" i="3"/>
  <c r="C100" i="5" s="1"/>
  <c r="B99" i="4"/>
  <c r="C99" i="3"/>
  <c r="C99" i="5" s="1"/>
  <c r="B98" i="4"/>
  <c r="C98" i="3"/>
  <c r="C98" i="5" s="1"/>
  <c r="B97" i="4"/>
  <c r="C97" i="3"/>
  <c r="C97" i="5" s="1"/>
  <c r="B96" i="4"/>
  <c r="C96" i="3"/>
  <c r="C96" i="5" s="1"/>
  <c r="B95" i="4"/>
  <c r="C95" i="3"/>
  <c r="C95" i="5" s="1"/>
  <c r="B94" i="4"/>
  <c r="C94" i="3"/>
  <c r="C94" i="5" s="1"/>
  <c r="B93" i="4"/>
  <c r="C93" i="3"/>
  <c r="C93" i="5" s="1"/>
  <c r="B92" i="4"/>
  <c r="C92" i="3"/>
  <c r="C92" i="5" s="1"/>
  <c r="B91" i="4"/>
  <c r="C91" i="3"/>
  <c r="C91" i="5" s="1"/>
  <c r="B90" i="4"/>
  <c r="C90" i="3"/>
  <c r="C90" i="5" s="1"/>
  <c r="B89" i="4"/>
  <c r="C89" i="3"/>
  <c r="C89" i="5" s="1"/>
  <c r="B88" i="4"/>
  <c r="C88" i="3"/>
  <c r="C88" i="5" s="1"/>
  <c r="B87" i="4"/>
  <c r="C87" i="3"/>
  <c r="C87" i="5" s="1"/>
  <c r="B86" i="4"/>
  <c r="C86" i="3"/>
  <c r="C86" i="5" s="1"/>
  <c r="B85" i="4"/>
  <c r="C85" i="3"/>
  <c r="C85" i="5" s="1"/>
  <c r="B84" i="4"/>
  <c r="C84" i="3"/>
  <c r="C84" i="5" s="1"/>
  <c r="B83" i="4"/>
  <c r="C83" i="3"/>
  <c r="C83" i="5" s="1"/>
  <c r="B82" i="4"/>
  <c r="C82" i="3"/>
  <c r="C82" i="5" s="1"/>
  <c r="B81" i="4"/>
  <c r="C81" i="3"/>
  <c r="C81" i="5" s="1"/>
  <c r="B80" i="4"/>
  <c r="C80" i="3"/>
  <c r="C80" i="5" s="1"/>
  <c r="B79" i="4"/>
  <c r="C79" i="3"/>
  <c r="C79" i="5" s="1"/>
  <c r="B78" i="4"/>
  <c r="C78" i="3"/>
  <c r="C78" i="5" s="1"/>
  <c r="B77" i="4"/>
  <c r="C77" i="3"/>
  <c r="C77" i="5" s="1"/>
  <c r="B76" i="4"/>
  <c r="C76" i="3"/>
  <c r="C76" i="5" s="1"/>
  <c r="B75" i="4"/>
  <c r="C75" i="3"/>
  <c r="C75" i="5" s="1"/>
  <c r="B74" i="4"/>
  <c r="C74" i="3"/>
  <c r="C74" i="5" s="1"/>
  <c r="B73" i="4"/>
  <c r="C73" i="3"/>
  <c r="C73" i="5" s="1"/>
  <c r="B72" i="4"/>
  <c r="C72" i="3"/>
  <c r="C72" i="5" s="1"/>
  <c r="B71" i="4"/>
  <c r="C71" i="3"/>
  <c r="C71" i="5" s="1"/>
  <c r="B70" i="4"/>
  <c r="C70" i="3"/>
  <c r="C70" i="5" s="1"/>
  <c r="B69" i="4"/>
  <c r="C69" i="3"/>
  <c r="C69" i="5" s="1"/>
  <c r="B68" i="4"/>
  <c r="C68" i="3"/>
  <c r="C68" i="5" s="1"/>
  <c r="B67" i="4"/>
  <c r="C67" i="3"/>
  <c r="C67" i="5" s="1"/>
  <c r="B66" i="4"/>
  <c r="C66" i="3"/>
  <c r="C66" i="5" s="1"/>
  <c r="B65" i="4"/>
  <c r="C65" i="3"/>
  <c r="C65" i="5" s="1"/>
  <c r="B64" i="4"/>
  <c r="C64" i="3"/>
  <c r="C64" i="5" s="1"/>
  <c r="B63" i="4"/>
  <c r="C63" i="3"/>
  <c r="C63" i="5" s="1"/>
  <c r="B62" i="4"/>
  <c r="C62" i="3"/>
  <c r="C62" i="5" s="1"/>
  <c r="B61" i="4"/>
  <c r="C61" i="3"/>
  <c r="C61" i="5" s="1"/>
  <c r="B60" i="4"/>
  <c r="C60" i="3"/>
  <c r="C60" i="5" s="1"/>
  <c r="B59" i="4"/>
  <c r="C59" i="3"/>
  <c r="C59" i="5" s="1"/>
  <c r="B58" i="4"/>
  <c r="C58" i="3"/>
  <c r="C58" i="5" s="1"/>
  <c r="B57" i="4"/>
  <c r="C57" i="5"/>
  <c r="B56" i="4"/>
  <c r="C56" i="5"/>
  <c r="B55" i="4"/>
  <c r="C55" i="3"/>
  <c r="C55" i="5" s="1"/>
  <c r="B54" i="4"/>
  <c r="C54" i="3"/>
  <c r="C54" i="5" s="1"/>
  <c r="B53" i="4"/>
  <c r="C53" i="3"/>
  <c r="C53" i="5" s="1"/>
  <c r="B52" i="4"/>
  <c r="C52" i="3"/>
  <c r="C52" i="5" s="1"/>
  <c r="B51" i="4"/>
  <c r="C51" i="3"/>
  <c r="C51" i="5" s="1"/>
  <c r="B50" i="4"/>
  <c r="C50" i="3"/>
  <c r="C50" i="5" s="1"/>
  <c r="B49" i="4"/>
  <c r="C49" i="3"/>
  <c r="C49" i="5" s="1"/>
  <c r="B48" i="4"/>
  <c r="C48" i="3"/>
  <c r="C48" i="5" s="1"/>
  <c r="B47" i="4"/>
  <c r="C47" i="3"/>
  <c r="C47" i="5" s="1"/>
  <c r="B46" i="4"/>
  <c r="C46" i="3"/>
  <c r="C46" i="5" s="1"/>
  <c r="B45" i="4"/>
  <c r="C45" i="3"/>
  <c r="C45" i="5" s="1"/>
  <c r="B44" i="4"/>
  <c r="C44" i="3"/>
  <c r="C44" i="5" s="1"/>
  <c r="B43" i="4"/>
  <c r="C43" i="3"/>
  <c r="C43" i="5" s="1"/>
  <c r="B42" i="4"/>
  <c r="C42" i="3"/>
  <c r="C42" i="5" s="1"/>
  <c r="B41" i="4"/>
  <c r="C41" i="3"/>
  <c r="C41" i="5" s="1"/>
  <c r="B40" i="4"/>
  <c r="C40" i="3"/>
  <c r="C40" i="5" s="1"/>
  <c r="B39" i="4"/>
  <c r="C39" i="3"/>
  <c r="C39" i="5" s="1"/>
  <c r="B38" i="4"/>
  <c r="C38" i="3"/>
  <c r="C38" i="5" s="1"/>
  <c r="B37" i="4"/>
  <c r="C37" i="3"/>
  <c r="C37" i="5" s="1"/>
  <c r="B36" i="4"/>
  <c r="C36" i="3"/>
  <c r="C36" i="5" s="1"/>
  <c r="B35" i="4"/>
  <c r="C35" i="3"/>
  <c r="C35" i="5" s="1"/>
  <c r="B34" i="4"/>
  <c r="C34" i="3"/>
  <c r="C34" i="5" s="1"/>
  <c r="B801" i="4"/>
  <c r="C801" i="3"/>
  <c r="C801" i="5" s="1"/>
  <c r="A2" i="7" a="1"/>
  <c r="A2" i="7" s="1"/>
  <c r="C4" i="4"/>
  <c r="C3" i="4"/>
  <c r="C2" i="4"/>
  <c r="B7" i="4"/>
  <c r="B6" i="4"/>
  <c r="B5" i="4"/>
  <c r="B4" i="4"/>
  <c r="B3" i="4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4"/>
  <c r="P799" i="3"/>
  <c r="A799" i="4"/>
  <c r="P791" i="3"/>
  <c r="A791" i="4"/>
  <c r="P783" i="3"/>
  <c r="A783" i="4"/>
  <c r="P775" i="3"/>
  <c r="A775" i="4"/>
  <c r="P767" i="3"/>
  <c r="A767" i="4"/>
  <c r="P759" i="3"/>
  <c r="A759" i="4"/>
  <c r="P751" i="3"/>
  <c r="A751" i="4"/>
  <c r="P743" i="3"/>
  <c r="A743" i="4"/>
  <c r="P735" i="3"/>
  <c r="A735" i="4"/>
  <c r="P727" i="3"/>
  <c r="A727" i="4"/>
  <c r="P726" i="3"/>
  <c r="A726" i="4"/>
  <c r="P719" i="3"/>
  <c r="A719" i="4"/>
  <c r="P718" i="3"/>
  <c r="A718" i="4"/>
  <c r="P710" i="3"/>
  <c r="A710" i="4"/>
  <c r="P702" i="3"/>
  <c r="A702" i="4"/>
  <c r="P694" i="3"/>
  <c r="A694" i="4"/>
  <c r="P686" i="3"/>
  <c r="A686" i="4"/>
  <c r="P678" i="3"/>
  <c r="A678" i="4"/>
  <c r="P670" i="3"/>
  <c r="A670" i="4"/>
  <c r="P662" i="3"/>
  <c r="A662" i="4"/>
  <c r="P654" i="3"/>
  <c r="A654" i="4"/>
  <c r="P646" i="3"/>
  <c r="A646" i="4"/>
  <c r="P638" i="3"/>
  <c r="A638" i="4"/>
  <c r="P630" i="3"/>
  <c r="A630" i="4"/>
  <c r="P622" i="3"/>
  <c r="A622" i="4"/>
  <c r="P614" i="3"/>
  <c r="A614" i="4"/>
  <c r="P606" i="3"/>
  <c r="A606" i="4"/>
  <c r="P598" i="3"/>
  <c r="A598" i="4"/>
  <c r="P590" i="3"/>
  <c r="A590" i="4"/>
  <c r="P582" i="3"/>
  <c r="A582" i="4"/>
  <c r="P574" i="3"/>
  <c r="A574" i="4"/>
  <c r="P566" i="3"/>
  <c r="A566" i="4"/>
  <c r="P558" i="3"/>
  <c r="A558" i="4"/>
  <c r="P550" i="3"/>
  <c r="A550" i="4"/>
  <c r="P542" i="3"/>
  <c r="A542" i="4"/>
  <c r="P534" i="3"/>
  <c r="A534" i="4"/>
  <c r="P526" i="3"/>
  <c r="A526" i="4"/>
  <c r="P518" i="3"/>
  <c r="A518" i="4"/>
  <c r="P510" i="3"/>
  <c r="A510" i="4"/>
  <c r="P502" i="3"/>
  <c r="A502" i="4"/>
  <c r="P494" i="3"/>
  <c r="A494" i="4"/>
  <c r="P493" i="3"/>
  <c r="A493" i="4"/>
  <c r="P486" i="3"/>
  <c r="A486" i="4"/>
  <c r="P485" i="3"/>
  <c r="A485" i="4"/>
  <c r="P478" i="3"/>
  <c r="A478" i="4"/>
  <c r="P477" i="3"/>
  <c r="A477" i="4"/>
  <c r="P470" i="3"/>
  <c r="A470" i="4"/>
  <c r="P469" i="3"/>
  <c r="A469" i="4"/>
  <c r="P462" i="3"/>
  <c r="A462" i="4"/>
  <c r="P453" i="3"/>
  <c r="A453" i="4"/>
  <c r="P446" i="3"/>
  <c r="A446" i="4"/>
  <c r="P445" i="3"/>
  <c r="A445" i="4"/>
  <c r="P438" i="3"/>
  <c r="A438" i="4"/>
  <c r="P437" i="3"/>
  <c r="A437" i="4"/>
  <c r="P430" i="3"/>
  <c r="A430" i="4"/>
  <c r="P429" i="3"/>
  <c r="A429" i="4"/>
  <c r="P422" i="3"/>
  <c r="A422" i="4"/>
  <c r="P421" i="3"/>
  <c r="A421" i="4"/>
  <c r="P414" i="3"/>
  <c r="A414" i="4"/>
  <c r="P413" i="3"/>
  <c r="A413" i="4"/>
  <c r="P406" i="3"/>
  <c r="A406" i="4"/>
  <c r="P405" i="3"/>
  <c r="A405" i="4"/>
  <c r="P398" i="3"/>
  <c r="A398" i="4"/>
  <c r="P397" i="3"/>
  <c r="A397" i="4"/>
  <c r="P390" i="3"/>
  <c r="A390" i="4"/>
  <c r="P389" i="3"/>
  <c r="A389" i="4"/>
  <c r="P382" i="3"/>
  <c r="A382" i="4"/>
  <c r="P381" i="3"/>
  <c r="A381" i="4"/>
  <c r="P374" i="3"/>
  <c r="A374" i="4"/>
  <c r="P373" i="3"/>
  <c r="A373" i="4"/>
  <c r="P366" i="3"/>
  <c r="A366" i="4"/>
  <c r="P365" i="3"/>
  <c r="A365" i="4"/>
  <c r="P358" i="3"/>
  <c r="A358" i="4"/>
  <c r="P357" i="3"/>
  <c r="A357" i="4"/>
  <c r="P350" i="3"/>
  <c r="A350" i="4"/>
  <c r="P349" i="3"/>
  <c r="A349" i="4"/>
  <c r="P342" i="3"/>
  <c r="A342" i="4"/>
  <c r="P341" i="3"/>
  <c r="A341" i="4"/>
  <c r="P334" i="3"/>
  <c r="A334" i="4"/>
  <c r="P333" i="3"/>
  <c r="A333" i="4"/>
  <c r="P326" i="3"/>
  <c r="A326" i="4"/>
  <c r="P325" i="3"/>
  <c r="A325" i="4"/>
  <c r="P318" i="3"/>
  <c r="A318" i="4"/>
  <c r="P317" i="3"/>
  <c r="A317" i="4"/>
  <c r="P310" i="3"/>
  <c r="A310" i="4"/>
  <c r="P309" i="3"/>
  <c r="A309" i="4"/>
  <c r="P302" i="3"/>
  <c r="A302" i="4"/>
  <c r="P301" i="3"/>
  <c r="A301" i="4"/>
  <c r="P294" i="3"/>
  <c r="A294" i="4"/>
  <c r="P293" i="3"/>
  <c r="A293" i="4"/>
  <c r="P286" i="3"/>
  <c r="A286" i="4"/>
  <c r="P285" i="3"/>
  <c r="A285" i="4"/>
  <c r="P278" i="3"/>
  <c r="A278" i="4"/>
  <c r="P277" i="3"/>
  <c r="A277" i="4"/>
  <c r="P270" i="3"/>
  <c r="A270" i="4"/>
  <c r="P269" i="3"/>
  <c r="A269" i="4"/>
  <c r="P262" i="3"/>
  <c r="A262" i="4"/>
  <c r="P261" i="3"/>
  <c r="A261" i="4"/>
  <c r="P254" i="3"/>
  <c r="A254" i="4"/>
  <c r="P253" i="3"/>
  <c r="A253" i="4"/>
  <c r="P246" i="3"/>
  <c r="A246" i="4"/>
  <c r="P245" i="3"/>
  <c r="A245" i="4"/>
  <c r="P238" i="3"/>
  <c r="A238" i="4"/>
  <c r="P237" i="3"/>
  <c r="A237" i="4"/>
  <c r="P230" i="3"/>
  <c r="A230" i="4"/>
  <c r="P229" i="3"/>
  <c r="A229" i="4"/>
  <c r="P222" i="3"/>
  <c r="A222" i="4"/>
  <c r="P221" i="3"/>
  <c r="A221" i="4"/>
  <c r="P214" i="3"/>
  <c r="A214" i="4"/>
  <c r="P213" i="3"/>
  <c r="A213" i="4"/>
  <c r="P206" i="3"/>
  <c r="A206" i="4"/>
  <c r="P205" i="3"/>
  <c r="A205" i="4"/>
  <c r="P198" i="3"/>
  <c r="A198" i="4"/>
  <c r="P197" i="3"/>
  <c r="A197" i="4"/>
  <c r="P190" i="3"/>
  <c r="A190" i="4"/>
  <c r="P189" i="3"/>
  <c r="A189" i="4"/>
  <c r="P182" i="3"/>
  <c r="A182" i="4"/>
  <c r="P181" i="3"/>
  <c r="A181" i="4"/>
  <c r="P174" i="3"/>
  <c r="A174" i="4"/>
  <c r="P173" i="3"/>
  <c r="A173" i="4"/>
  <c r="P166" i="3"/>
  <c r="A166" i="4"/>
  <c r="P165" i="3"/>
  <c r="A165" i="4"/>
  <c r="P158" i="3"/>
  <c r="A158" i="4"/>
  <c r="P157" i="3"/>
  <c r="A157" i="4"/>
  <c r="P150" i="3"/>
  <c r="A150" i="4"/>
  <c r="P149" i="3"/>
  <c r="A149" i="4"/>
  <c r="P142" i="3"/>
  <c r="A142" i="4"/>
  <c r="P141" i="3"/>
  <c r="A141" i="4"/>
  <c r="P134" i="3"/>
  <c r="A134" i="4"/>
  <c r="P133" i="3"/>
  <c r="A133" i="4"/>
  <c r="P126" i="3"/>
  <c r="A126" i="4"/>
  <c r="P125" i="3"/>
  <c r="A125" i="4"/>
  <c r="P118" i="3"/>
  <c r="A118" i="4"/>
  <c r="P117" i="3"/>
  <c r="A117" i="4"/>
  <c r="P110" i="3"/>
  <c r="A110" i="4"/>
  <c r="P109" i="3"/>
  <c r="A109" i="4"/>
  <c r="P102" i="3"/>
  <c r="A102" i="4"/>
  <c r="P101" i="3"/>
  <c r="A101" i="4"/>
  <c r="P94" i="3"/>
  <c r="A94" i="4"/>
  <c r="P93" i="3"/>
  <c r="A93" i="4"/>
  <c r="P86" i="3"/>
  <c r="A86" i="4"/>
  <c r="P85" i="3"/>
  <c r="A85" i="4"/>
  <c r="P78" i="3"/>
  <c r="A78" i="4"/>
  <c r="P77" i="3"/>
  <c r="A77" i="4"/>
  <c r="P70" i="3"/>
  <c r="A70" i="4"/>
  <c r="P69" i="3"/>
  <c r="A69" i="4"/>
  <c r="P62" i="3"/>
  <c r="A62" i="4"/>
  <c r="P61" i="3"/>
  <c r="A61" i="4"/>
  <c r="P54" i="3"/>
  <c r="A54" i="4"/>
  <c r="P53" i="3"/>
  <c r="A53" i="4"/>
  <c r="P46" i="3"/>
  <c r="A46" i="4"/>
  <c r="P45" i="3"/>
  <c r="A45" i="4"/>
  <c r="P38" i="3"/>
  <c r="A38" i="4"/>
  <c r="P37" i="3"/>
  <c r="A37" i="4"/>
  <c r="P30" i="3"/>
  <c r="A30" i="4"/>
  <c r="P29" i="3"/>
  <c r="A29" i="4"/>
  <c r="P22" i="3"/>
  <c r="A22" i="4"/>
  <c r="P21" i="3"/>
  <c r="A21" i="4"/>
  <c r="P14" i="3"/>
  <c r="A14" i="4"/>
  <c r="P13" i="3"/>
  <c r="A13" i="4"/>
  <c r="P6" i="3"/>
  <c r="A6" i="4"/>
  <c r="P5" i="3"/>
  <c r="A5" i="4"/>
  <c r="I801" i="4"/>
  <c r="H801" i="4"/>
  <c r="K801" i="4" s="1"/>
  <c r="I800" i="4"/>
  <c r="H800" i="4"/>
  <c r="K800" i="4" s="1"/>
  <c r="I799" i="4"/>
  <c r="H799" i="4"/>
  <c r="K799" i="4" s="1"/>
  <c r="I798" i="4"/>
  <c r="H798" i="4"/>
  <c r="K798" i="4" s="1"/>
  <c r="I797" i="4"/>
  <c r="H797" i="4"/>
  <c r="K797" i="4" s="1"/>
  <c r="I796" i="4"/>
  <c r="H796" i="4"/>
  <c r="K796" i="4" s="1"/>
  <c r="I795" i="4"/>
  <c r="H795" i="4"/>
  <c r="K795" i="4" s="1"/>
  <c r="H794" i="4"/>
  <c r="K794" i="4" s="1"/>
  <c r="I794" i="4"/>
  <c r="H793" i="4"/>
  <c r="K793" i="4" s="1"/>
  <c r="I793" i="4"/>
  <c r="I792" i="4"/>
  <c r="H792" i="4"/>
  <c r="K792" i="4" s="1"/>
  <c r="I791" i="4"/>
  <c r="H791" i="4"/>
  <c r="K791" i="4" s="1"/>
  <c r="I790" i="4"/>
  <c r="H790" i="4"/>
  <c r="K790" i="4" s="1"/>
  <c r="I789" i="4"/>
  <c r="H789" i="4"/>
  <c r="K789" i="4" s="1"/>
  <c r="I788" i="4"/>
  <c r="H788" i="4"/>
  <c r="K788" i="4" s="1"/>
  <c r="I787" i="4"/>
  <c r="H787" i="4"/>
  <c r="K787" i="4" s="1"/>
  <c r="I786" i="4"/>
  <c r="H786" i="4"/>
  <c r="K786" i="4" s="1"/>
  <c r="I785" i="4"/>
  <c r="H785" i="4"/>
  <c r="K785" i="4" s="1"/>
  <c r="I784" i="4"/>
  <c r="H784" i="4"/>
  <c r="K784" i="4" s="1"/>
  <c r="I783" i="4"/>
  <c r="H783" i="4"/>
  <c r="K783" i="4" s="1"/>
  <c r="I782" i="4"/>
  <c r="H782" i="4"/>
  <c r="K782" i="4" s="1"/>
  <c r="I781" i="4"/>
  <c r="H781" i="4"/>
  <c r="K781" i="4" s="1"/>
  <c r="I780" i="4"/>
  <c r="H780" i="4"/>
  <c r="K780" i="4" s="1"/>
  <c r="I779" i="4"/>
  <c r="H779" i="4"/>
  <c r="K779" i="4" s="1"/>
  <c r="I778" i="4"/>
  <c r="H778" i="4"/>
  <c r="K778" i="4" s="1"/>
  <c r="I777" i="4"/>
  <c r="H777" i="4"/>
  <c r="K777" i="4" s="1"/>
  <c r="I776" i="4"/>
  <c r="H776" i="4"/>
  <c r="K776" i="4" s="1"/>
  <c r="I775" i="4"/>
  <c r="H775" i="4"/>
  <c r="K775" i="4" s="1"/>
  <c r="I774" i="4"/>
  <c r="H774" i="4"/>
  <c r="K774" i="4" s="1"/>
  <c r="I773" i="4"/>
  <c r="H773" i="4"/>
  <c r="K773" i="4" s="1"/>
  <c r="I772" i="4"/>
  <c r="H772" i="4"/>
  <c r="K772" i="4" s="1"/>
  <c r="I771" i="4"/>
  <c r="H771" i="4"/>
  <c r="K771" i="4" s="1"/>
  <c r="I770" i="4"/>
  <c r="H770" i="4"/>
  <c r="K770" i="4" s="1"/>
  <c r="H769" i="4"/>
  <c r="K769" i="4" s="1"/>
  <c r="I769" i="4"/>
  <c r="I768" i="4"/>
  <c r="H768" i="4"/>
  <c r="K768" i="4" s="1"/>
  <c r="I767" i="4"/>
  <c r="H767" i="4"/>
  <c r="K767" i="4" s="1"/>
  <c r="H766" i="4"/>
  <c r="K766" i="4" s="1"/>
  <c r="I766" i="4"/>
  <c r="I765" i="4"/>
  <c r="H765" i="4"/>
  <c r="K765" i="4" s="1"/>
  <c r="I764" i="4"/>
  <c r="H764" i="4"/>
  <c r="K764" i="4" s="1"/>
  <c r="I763" i="4"/>
  <c r="H763" i="4"/>
  <c r="K763" i="4" s="1"/>
  <c r="I762" i="4"/>
  <c r="H762" i="4"/>
  <c r="K762" i="4" s="1"/>
  <c r="I761" i="4"/>
  <c r="H761" i="4"/>
  <c r="K761" i="4" s="1"/>
  <c r="I760" i="4"/>
  <c r="H760" i="4"/>
  <c r="K760" i="4" s="1"/>
  <c r="I759" i="4"/>
  <c r="H759" i="4"/>
  <c r="K759" i="4" s="1"/>
  <c r="I758" i="4"/>
  <c r="H758" i="4"/>
  <c r="K758" i="4" s="1"/>
  <c r="I757" i="4"/>
  <c r="H757" i="4"/>
  <c r="K757" i="4" s="1"/>
  <c r="I756" i="4"/>
  <c r="H756" i="4"/>
  <c r="K756" i="4" s="1"/>
  <c r="I755" i="4"/>
  <c r="H755" i="4"/>
  <c r="K755" i="4" s="1"/>
  <c r="H754" i="4"/>
  <c r="K754" i="4" s="1"/>
  <c r="I754" i="4"/>
  <c r="I753" i="4"/>
  <c r="H753" i="4"/>
  <c r="K753" i="4" s="1"/>
  <c r="I752" i="4"/>
  <c r="H752" i="4"/>
  <c r="K752" i="4" s="1"/>
  <c r="I751" i="4"/>
  <c r="H751" i="4"/>
  <c r="K751" i="4" s="1"/>
  <c r="I750" i="4"/>
  <c r="H750" i="4"/>
  <c r="K750" i="4" s="1"/>
  <c r="I749" i="4"/>
  <c r="H749" i="4"/>
  <c r="K749" i="4" s="1"/>
  <c r="I748" i="4"/>
  <c r="H748" i="4"/>
  <c r="K748" i="4" s="1"/>
  <c r="I747" i="4"/>
  <c r="H747" i="4"/>
  <c r="K747" i="4" s="1"/>
  <c r="I746" i="4"/>
  <c r="H746" i="4"/>
  <c r="K746" i="4" s="1"/>
  <c r="I745" i="4"/>
  <c r="H745" i="4"/>
  <c r="K745" i="4" s="1"/>
  <c r="I744" i="4"/>
  <c r="H744" i="4"/>
  <c r="K744" i="4" s="1"/>
  <c r="I743" i="4"/>
  <c r="H743" i="4"/>
  <c r="K743" i="4" s="1"/>
  <c r="H742" i="4"/>
  <c r="K742" i="4" s="1"/>
  <c r="I742" i="4"/>
  <c r="I741" i="4"/>
  <c r="H741" i="4"/>
  <c r="K741" i="4" s="1"/>
  <c r="I740" i="4"/>
  <c r="H740" i="4"/>
  <c r="K740" i="4" s="1"/>
  <c r="I739" i="4"/>
  <c r="H739" i="4"/>
  <c r="K739" i="4" s="1"/>
  <c r="I738" i="4"/>
  <c r="H738" i="4"/>
  <c r="K738" i="4" s="1"/>
  <c r="I737" i="4"/>
  <c r="H737" i="4"/>
  <c r="K737" i="4" s="1"/>
  <c r="I736" i="4"/>
  <c r="H736" i="4"/>
  <c r="K736" i="4" s="1"/>
  <c r="I735" i="4"/>
  <c r="H735" i="4"/>
  <c r="K735" i="4" s="1"/>
  <c r="I734" i="4"/>
  <c r="H734" i="4"/>
  <c r="K734" i="4" s="1"/>
  <c r="I733" i="4"/>
  <c r="H733" i="4"/>
  <c r="K733" i="4" s="1"/>
  <c r="I732" i="4"/>
  <c r="H732" i="4"/>
  <c r="K732" i="4" s="1"/>
  <c r="I731" i="4"/>
  <c r="H731" i="4"/>
  <c r="K731" i="4" s="1"/>
  <c r="H730" i="4"/>
  <c r="K730" i="4" s="1"/>
  <c r="I730" i="4"/>
  <c r="H729" i="4"/>
  <c r="K729" i="4" s="1"/>
  <c r="I729" i="4"/>
  <c r="I728" i="4"/>
  <c r="H728" i="4"/>
  <c r="K728" i="4" s="1"/>
  <c r="I727" i="4"/>
  <c r="H727" i="4"/>
  <c r="K727" i="4" s="1"/>
  <c r="I726" i="4"/>
  <c r="H726" i="4"/>
  <c r="K726" i="4" s="1"/>
  <c r="I725" i="4"/>
  <c r="H725" i="4"/>
  <c r="K725" i="4" s="1"/>
  <c r="I724" i="4"/>
  <c r="H724" i="4"/>
  <c r="K724" i="4" s="1"/>
  <c r="I723" i="4"/>
  <c r="H723" i="4"/>
  <c r="K723" i="4" s="1"/>
  <c r="I722" i="4"/>
  <c r="H722" i="4"/>
  <c r="K722" i="4" s="1"/>
  <c r="I721" i="4"/>
  <c r="H721" i="4"/>
  <c r="K721" i="4" s="1"/>
  <c r="I720" i="4"/>
  <c r="H720" i="4"/>
  <c r="K720" i="4" s="1"/>
  <c r="I719" i="4"/>
  <c r="H719" i="4"/>
  <c r="K719" i="4" s="1"/>
  <c r="I718" i="4"/>
  <c r="H718" i="4"/>
  <c r="K718" i="4" s="1"/>
  <c r="I717" i="4"/>
  <c r="H717" i="4"/>
  <c r="K717" i="4" s="1"/>
  <c r="I716" i="4"/>
  <c r="H716" i="4"/>
  <c r="K716" i="4" s="1"/>
  <c r="I715" i="4"/>
  <c r="H715" i="4"/>
  <c r="K715" i="4" s="1"/>
  <c r="I714" i="4"/>
  <c r="H714" i="4"/>
  <c r="K714" i="4" s="1"/>
  <c r="I713" i="4"/>
  <c r="H713" i="4"/>
  <c r="K713" i="4" s="1"/>
  <c r="I712" i="4"/>
  <c r="H712" i="4"/>
  <c r="K712" i="4" s="1"/>
  <c r="I711" i="4"/>
  <c r="H711" i="4"/>
  <c r="K711" i="4" s="1"/>
  <c r="I710" i="4"/>
  <c r="H710" i="4"/>
  <c r="K710" i="4" s="1"/>
  <c r="I709" i="4"/>
  <c r="H709" i="4"/>
  <c r="K709" i="4" s="1"/>
  <c r="I708" i="4"/>
  <c r="H708" i="4"/>
  <c r="K708" i="4" s="1"/>
  <c r="I707" i="4"/>
  <c r="H707" i="4"/>
  <c r="K707" i="4" s="1"/>
  <c r="I706" i="4"/>
  <c r="H706" i="4"/>
  <c r="K706" i="4" s="1"/>
  <c r="H705" i="4"/>
  <c r="K705" i="4" s="1"/>
  <c r="I705" i="4"/>
  <c r="I704" i="4"/>
  <c r="H704" i="4"/>
  <c r="K704" i="4" s="1"/>
  <c r="I703" i="4"/>
  <c r="H703" i="4"/>
  <c r="K703" i="4" s="1"/>
  <c r="H702" i="4"/>
  <c r="K702" i="4" s="1"/>
  <c r="I702" i="4"/>
  <c r="I701" i="4"/>
  <c r="H701" i="4"/>
  <c r="K701" i="4" s="1"/>
  <c r="I700" i="4"/>
  <c r="H700" i="4"/>
  <c r="K700" i="4" s="1"/>
  <c r="I699" i="4"/>
  <c r="H699" i="4"/>
  <c r="K699" i="4" s="1"/>
  <c r="I698" i="4"/>
  <c r="H698" i="4"/>
  <c r="K698" i="4" s="1"/>
  <c r="I697" i="4"/>
  <c r="H697" i="4"/>
  <c r="K697" i="4" s="1"/>
  <c r="I696" i="4"/>
  <c r="H696" i="4"/>
  <c r="K696" i="4" s="1"/>
  <c r="I695" i="4"/>
  <c r="H695" i="4"/>
  <c r="K695" i="4" s="1"/>
  <c r="I694" i="4"/>
  <c r="H694" i="4"/>
  <c r="K694" i="4" s="1"/>
  <c r="I693" i="4"/>
  <c r="H693" i="4"/>
  <c r="K693" i="4" s="1"/>
  <c r="I692" i="4"/>
  <c r="H692" i="4"/>
  <c r="K692" i="4" s="1"/>
  <c r="I691" i="4"/>
  <c r="H691" i="4"/>
  <c r="K691" i="4" s="1"/>
  <c r="H690" i="4"/>
  <c r="K690" i="4" s="1"/>
  <c r="I690" i="4"/>
  <c r="I689" i="4"/>
  <c r="H689" i="4"/>
  <c r="K689" i="4" s="1"/>
  <c r="I688" i="4"/>
  <c r="H688" i="4"/>
  <c r="K688" i="4" s="1"/>
  <c r="I687" i="4"/>
  <c r="H687" i="4"/>
  <c r="K687" i="4" s="1"/>
  <c r="I686" i="4"/>
  <c r="H686" i="4"/>
  <c r="K686" i="4" s="1"/>
  <c r="I685" i="4"/>
  <c r="H685" i="4"/>
  <c r="K685" i="4" s="1"/>
  <c r="I684" i="4"/>
  <c r="H684" i="4"/>
  <c r="K684" i="4" s="1"/>
  <c r="I683" i="4"/>
  <c r="H683" i="4"/>
  <c r="K683" i="4" s="1"/>
  <c r="I682" i="4"/>
  <c r="H682" i="4"/>
  <c r="K682" i="4" s="1"/>
  <c r="I681" i="4"/>
  <c r="H681" i="4"/>
  <c r="K681" i="4" s="1"/>
  <c r="I680" i="4"/>
  <c r="H680" i="4"/>
  <c r="K680" i="4" s="1"/>
  <c r="I679" i="4"/>
  <c r="H679" i="4"/>
  <c r="K679" i="4" s="1"/>
  <c r="H678" i="4"/>
  <c r="K678" i="4" s="1"/>
  <c r="I678" i="4"/>
  <c r="I677" i="4"/>
  <c r="H677" i="4"/>
  <c r="K677" i="4" s="1"/>
  <c r="I676" i="4"/>
  <c r="H676" i="4"/>
  <c r="K676" i="4" s="1"/>
  <c r="I675" i="4"/>
  <c r="H675" i="4"/>
  <c r="K675" i="4" s="1"/>
  <c r="I674" i="4"/>
  <c r="H674" i="4"/>
  <c r="K674" i="4" s="1"/>
  <c r="I673" i="4"/>
  <c r="H673" i="4"/>
  <c r="K673" i="4" s="1"/>
  <c r="I672" i="4"/>
  <c r="H672" i="4"/>
  <c r="K672" i="4" s="1"/>
  <c r="I671" i="4"/>
  <c r="H671" i="4"/>
  <c r="K671" i="4" s="1"/>
  <c r="I670" i="4"/>
  <c r="H670" i="4"/>
  <c r="K670" i="4" s="1"/>
  <c r="I669" i="4"/>
  <c r="H669" i="4"/>
  <c r="K669" i="4" s="1"/>
  <c r="I668" i="4"/>
  <c r="H668" i="4"/>
  <c r="K668" i="4" s="1"/>
  <c r="I667" i="4"/>
  <c r="H667" i="4"/>
  <c r="K667" i="4" s="1"/>
  <c r="H666" i="4"/>
  <c r="K666" i="4" s="1"/>
  <c r="I666" i="4"/>
  <c r="H665" i="4"/>
  <c r="K665" i="4" s="1"/>
  <c r="I665" i="4"/>
  <c r="I664" i="4"/>
  <c r="H664" i="4"/>
  <c r="K664" i="4" s="1"/>
  <c r="I663" i="4"/>
  <c r="H663" i="4"/>
  <c r="K663" i="4" s="1"/>
  <c r="I662" i="4"/>
  <c r="H662" i="4"/>
  <c r="K662" i="4" s="1"/>
  <c r="I661" i="4"/>
  <c r="H661" i="4"/>
  <c r="K661" i="4" s="1"/>
  <c r="I660" i="4"/>
  <c r="H660" i="4"/>
  <c r="K660" i="4" s="1"/>
  <c r="I659" i="4"/>
  <c r="H659" i="4"/>
  <c r="K659" i="4" s="1"/>
  <c r="I658" i="4"/>
  <c r="H658" i="4"/>
  <c r="K658" i="4" s="1"/>
  <c r="I657" i="4"/>
  <c r="H657" i="4"/>
  <c r="K657" i="4" s="1"/>
  <c r="I656" i="4"/>
  <c r="H656" i="4"/>
  <c r="K656" i="4" s="1"/>
  <c r="I655" i="4"/>
  <c r="H655" i="4"/>
  <c r="K655" i="4" s="1"/>
  <c r="I654" i="4"/>
  <c r="H654" i="4"/>
  <c r="K654" i="4" s="1"/>
  <c r="I653" i="4"/>
  <c r="H653" i="4"/>
  <c r="K653" i="4" s="1"/>
  <c r="I652" i="4"/>
  <c r="H652" i="4"/>
  <c r="K652" i="4" s="1"/>
  <c r="I651" i="4"/>
  <c r="H651" i="4"/>
  <c r="K651" i="4" s="1"/>
  <c r="I650" i="4"/>
  <c r="H650" i="4"/>
  <c r="K650" i="4" s="1"/>
  <c r="I649" i="4"/>
  <c r="H649" i="4"/>
  <c r="K649" i="4" s="1"/>
  <c r="I648" i="4"/>
  <c r="H648" i="4"/>
  <c r="K648" i="4" s="1"/>
  <c r="I647" i="4"/>
  <c r="H647" i="4"/>
  <c r="K647" i="4" s="1"/>
  <c r="I646" i="4"/>
  <c r="H646" i="4"/>
  <c r="K646" i="4" s="1"/>
  <c r="I645" i="4"/>
  <c r="H645" i="4"/>
  <c r="K645" i="4" s="1"/>
  <c r="I644" i="4"/>
  <c r="H644" i="4"/>
  <c r="K644" i="4" s="1"/>
  <c r="I643" i="4"/>
  <c r="H643" i="4"/>
  <c r="K643" i="4" s="1"/>
  <c r="I642" i="4"/>
  <c r="H642" i="4"/>
  <c r="K642" i="4" s="1"/>
  <c r="H641" i="4"/>
  <c r="K641" i="4" s="1"/>
  <c r="I641" i="4"/>
  <c r="I640" i="4"/>
  <c r="H640" i="4"/>
  <c r="K640" i="4" s="1"/>
  <c r="I639" i="4"/>
  <c r="H639" i="4"/>
  <c r="K639" i="4" s="1"/>
  <c r="H638" i="4"/>
  <c r="K638" i="4" s="1"/>
  <c r="I638" i="4"/>
  <c r="I637" i="4"/>
  <c r="H637" i="4"/>
  <c r="K637" i="4" s="1"/>
  <c r="I636" i="4"/>
  <c r="H636" i="4"/>
  <c r="K636" i="4" s="1"/>
  <c r="I635" i="4"/>
  <c r="H635" i="4"/>
  <c r="K635" i="4" s="1"/>
  <c r="I634" i="4"/>
  <c r="H634" i="4"/>
  <c r="K634" i="4" s="1"/>
  <c r="I633" i="4"/>
  <c r="H633" i="4"/>
  <c r="K633" i="4" s="1"/>
  <c r="I632" i="4"/>
  <c r="H632" i="4"/>
  <c r="K632" i="4" s="1"/>
  <c r="I631" i="4"/>
  <c r="H631" i="4"/>
  <c r="K631" i="4" s="1"/>
  <c r="I630" i="4"/>
  <c r="H630" i="4"/>
  <c r="K630" i="4" s="1"/>
  <c r="I629" i="4"/>
  <c r="H629" i="4"/>
  <c r="K629" i="4" s="1"/>
  <c r="I628" i="4"/>
  <c r="H628" i="4"/>
  <c r="K628" i="4" s="1"/>
  <c r="I627" i="4"/>
  <c r="H627" i="4"/>
  <c r="K627" i="4" s="1"/>
  <c r="H626" i="4"/>
  <c r="K626" i="4" s="1"/>
  <c r="I626" i="4"/>
  <c r="I625" i="4"/>
  <c r="H625" i="4"/>
  <c r="K625" i="4" s="1"/>
  <c r="I624" i="4"/>
  <c r="H624" i="4"/>
  <c r="K624" i="4" s="1"/>
  <c r="I623" i="4"/>
  <c r="H623" i="4"/>
  <c r="K623" i="4" s="1"/>
  <c r="I622" i="4"/>
  <c r="H622" i="4"/>
  <c r="K622" i="4" s="1"/>
  <c r="I621" i="4"/>
  <c r="H621" i="4"/>
  <c r="K621" i="4" s="1"/>
  <c r="I620" i="4"/>
  <c r="H620" i="4"/>
  <c r="K620" i="4" s="1"/>
  <c r="I619" i="4"/>
  <c r="H619" i="4"/>
  <c r="K619" i="4" s="1"/>
  <c r="I618" i="4"/>
  <c r="H618" i="4"/>
  <c r="K618" i="4" s="1"/>
  <c r="I617" i="4"/>
  <c r="H617" i="4"/>
  <c r="K617" i="4" s="1"/>
  <c r="I616" i="4"/>
  <c r="H616" i="4"/>
  <c r="K616" i="4" s="1"/>
  <c r="I615" i="4"/>
  <c r="H615" i="4"/>
  <c r="K615" i="4" s="1"/>
  <c r="H614" i="4"/>
  <c r="K614" i="4" s="1"/>
  <c r="I614" i="4"/>
  <c r="I613" i="4"/>
  <c r="H613" i="4"/>
  <c r="K613" i="4" s="1"/>
  <c r="I612" i="4"/>
  <c r="H612" i="4"/>
  <c r="K612" i="4" s="1"/>
  <c r="I611" i="4"/>
  <c r="H611" i="4"/>
  <c r="K611" i="4" s="1"/>
  <c r="I610" i="4"/>
  <c r="H610" i="4"/>
  <c r="K610" i="4" s="1"/>
  <c r="I609" i="4"/>
  <c r="H609" i="4"/>
  <c r="K609" i="4" s="1"/>
  <c r="I608" i="4"/>
  <c r="H608" i="4"/>
  <c r="K608" i="4" s="1"/>
  <c r="I607" i="4"/>
  <c r="H607" i="4"/>
  <c r="K607" i="4" s="1"/>
  <c r="I606" i="4"/>
  <c r="H606" i="4"/>
  <c r="K606" i="4" s="1"/>
  <c r="I605" i="4"/>
  <c r="H605" i="4"/>
  <c r="K605" i="4" s="1"/>
  <c r="I604" i="4"/>
  <c r="H604" i="4"/>
  <c r="K604" i="4" s="1"/>
  <c r="I603" i="4"/>
  <c r="H603" i="4"/>
  <c r="K603" i="4" s="1"/>
  <c r="H602" i="4"/>
  <c r="K602" i="4" s="1"/>
  <c r="I602" i="4"/>
  <c r="H601" i="4"/>
  <c r="K601" i="4" s="1"/>
  <c r="I601" i="4"/>
  <c r="I600" i="4"/>
  <c r="H600" i="4"/>
  <c r="K600" i="4" s="1"/>
  <c r="I599" i="4"/>
  <c r="H599" i="4"/>
  <c r="K599" i="4" s="1"/>
  <c r="I598" i="4"/>
  <c r="H598" i="4"/>
  <c r="K598" i="4" s="1"/>
  <c r="I597" i="4"/>
  <c r="H597" i="4"/>
  <c r="K597" i="4" s="1"/>
  <c r="I596" i="4"/>
  <c r="H596" i="4"/>
  <c r="K596" i="4" s="1"/>
  <c r="I595" i="4"/>
  <c r="H595" i="4"/>
  <c r="K595" i="4" s="1"/>
  <c r="I594" i="4"/>
  <c r="H594" i="4"/>
  <c r="K594" i="4" s="1"/>
  <c r="I593" i="4"/>
  <c r="H593" i="4"/>
  <c r="K593" i="4" s="1"/>
  <c r="I592" i="4"/>
  <c r="H592" i="4"/>
  <c r="K592" i="4" s="1"/>
  <c r="I591" i="4"/>
  <c r="H591" i="4"/>
  <c r="K591" i="4" s="1"/>
  <c r="I590" i="4"/>
  <c r="H590" i="4"/>
  <c r="K590" i="4" s="1"/>
  <c r="I589" i="4"/>
  <c r="H589" i="4"/>
  <c r="K589" i="4" s="1"/>
  <c r="I588" i="4"/>
  <c r="H588" i="4"/>
  <c r="K588" i="4" s="1"/>
  <c r="I587" i="4"/>
  <c r="H587" i="4"/>
  <c r="K587" i="4" s="1"/>
  <c r="I586" i="4"/>
  <c r="H586" i="4"/>
  <c r="K586" i="4" s="1"/>
  <c r="I585" i="4"/>
  <c r="H585" i="4"/>
  <c r="K585" i="4" s="1"/>
  <c r="I584" i="4"/>
  <c r="H584" i="4"/>
  <c r="K584" i="4" s="1"/>
  <c r="I583" i="4"/>
  <c r="H583" i="4"/>
  <c r="K583" i="4" s="1"/>
  <c r="I582" i="4"/>
  <c r="H582" i="4"/>
  <c r="K582" i="4" s="1"/>
  <c r="I581" i="4"/>
  <c r="H581" i="4"/>
  <c r="K581" i="4" s="1"/>
  <c r="I580" i="4"/>
  <c r="H580" i="4"/>
  <c r="K580" i="4" s="1"/>
  <c r="I579" i="4"/>
  <c r="H579" i="4"/>
  <c r="K579" i="4" s="1"/>
  <c r="I578" i="4"/>
  <c r="H578" i="4"/>
  <c r="K578" i="4" s="1"/>
  <c r="H577" i="4"/>
  <c r="K577" i="4" s="1"/>
  <c r="I577" i="4"/>
  <c r="I576" i="4"/>
  <c r="H576" i="4"/>
  <c r="K576" i="4" s="1"/>
  <c r="I575" i="4"/>
  <c r="H575" i="4"/>
  <c r="K575" i="4" s="1"/>
  <c r="H574" i="4"/>
  <c r="K574" i="4" s="1"/>
  <c r="I574" i="4"/>
  <c r="I573" i="4"/>
  <c r="H573" i="4"/>
  <c r="K573" i="4" s="1"/>
  <c r="I572" i="4"/>
  <c r="H572" i="4"/>
  <c r="K572" i="4" s="1"/>
  <c r="I571" i="4"/>
  <c r="H571" i="4"/>
  <c r="K571" i="4" s="1"/>
  <c r="I570" i="4"/>
  <c r="H570" i="4"/>
  <c r="K570" i="4" s="1"/>
  <c r="I569" i="4"/>
  <c r="H569" i="4"/>
  <c r="K569" i="4" s="1"/>
  <c r="I568" i="4"/>
  <c r="H568" i="4"/>
  <c r="K568" i="4" s="1"/>
  <c r="I567" i="4"/>
  <c r="H567" i="4"/>
  <c r="K567" i="4" s="1"/>
  <c r="I566" i="4"/>
  <c r="H566" i="4"/>
  <c r="K566" i="4" s="1"/>
  <c r="I565" i="4"/>
  <c r="H565" i="4"/>
  <c r="K565" i="4" s="1"/>
  <c r="I564" i="4"/>
  <c r="H564" i="4"/>
  <c r="K564" i="4" s="1"/>
  <c r="I563" i="4"/>
  <c r="H563" i="4"/>
  <c r="K563" i="4" s="1"/>
  <c r="H562" i="4"/>
  <c r="K562" i="4" s="1"/>
  <c r="I562" i="4"/>
  <c r="I561" i="4"/>
  <c r="H561" i="4"/>
  <c r="K561" i="4" s="1"/>
  <c r="I560" i="4"/>
  <c r="H560" i="4"/>
  <c r="K560" i="4" s="1"/>
  <c r="I559" i="4"/>
  <c r="H559" i="4"/>
  <c r="K559" i="4" s="1"/>
  <c r="I558" i="4"/>
  <c r="H558" i="4"/>
  <c r="K558" i="4" s="1"/>
  <c r="I557" i="4"/>
  <c r="H557" i="4"/>
  <c r="K557" i="4" s="1"/>
  <c r="I556" i="4"/>
  <c r="H556" i="4"/>
  <c r="K556" i="4" s="1"/>
  <c r="I555" i="4"/>
  <c r="H555" i="4"/>
  <c r="K555" i="4" s="1"/>
  <c r="I554" i="4"/>
  <c r="H554" i="4"/>
  <c r="K554" i="4" s="1"/>
  <c r="I553" i="4"/>
  <c r="H553" i="4"/>
  <c r="K553" i="4" s="1"/>
  <c r="I552" i="4"/>
  <c r="H552" i="4"/>
  <c r="K552" i="4" s="1"/>
  <c r="I551" i="4"/>
  <c r="H551" i="4"/>
  <c r="K551" i="4" s="1"/>
  <c r="H550" i="4"/>
  <c r="K550" i="4" s="1"/>
  <c r="I550" i="4"/>
  <c r="I549" i="4"/>
  <c r="H549" i="4"/>
  <c r="K549" i="4" s="1"/>
  <c r="I548" i="4"/>
  <c r="H548" i="4"/>
  <c r="K548" i="4" s="1"/>
  <c r="I547" i="4"/>
  <c r="H547" i="4"/>
  <c r="K547" i="4" s="1"/>
  <c r="I546" i="4"/>
  <c r="H546" i="4"/>
  <c r="K546" i="4" s="1"/>
  <c r="I545" i="4"/>
  <c r="H545" i="4"/>
  <c r="K545" i="4" s="1"/>
  <c r="I544" i="4"/>
  <c r="H544" i="4"/>
  <c r="K544" i="4" s="1"/>
  <c r="I543" i="4"/>
  <c r="H543" i="4"/>
  <c r="K543" i="4" s="1"/>
  <c r="I542" i="4"/>
  <c r="H542" i="4"/>
  <c r="K542" i="4" s="1"/>
  <c r="I541" i="4"/>
  <c r="H541" i="4"/>
  <c r="K541" i="4" s="1"/>
  <c r="I540" i="4"/>
  <c r="H540" i="4"/>
  <c r="K540" i="4" s="1"/>
  <c r="I539" i="4"/>
  <c r="H539" i="4"/>
  <c r="K539" i="4" s="1"/>
  <c r="H538" i="4"/>
  <c r="K538" i="4" s="1"/>
  <c r="I538" i="4"/>
  <c r="H537" i="4"/>
  <c r="K537" i="4" s="1"/>
  <c r="I537" i="4"/>
  <c r="I536" i="4"/>
  <c r="H536" i="4"/>
  <c r="K536" i="4" s="1"/>
  <c r="I535" i="4"/>
  <c r="H535" i="4"/>
  <c r="K535" i="4" s="1"/>
  <c r="I534" i="4"/>
  <c r="H534" i="4"/>
  <c r="K534" i="4" s="1"/>
  <c r="I533" i="4"/>
  <c r="H533" i="4"/>
  <c r="K533" i="4" s="1"/>
  <c r="I532" i="4"/>
  <c r="H532" i="4"/>
  <c r="K532" i="4" s="1"/>
  <c r="I531" i="4"/>
  <c r="H531" i="4"/>
  <c r="K531" i="4" s="1"/>
  <c r="I530" i="4"/>
  <c r="H530" i="4"/>
  <c r="K530" i="4" s="1"/>
  <c r="I529" i="4"/>
  <c r="H529" i="4"/>
  <c r="K529" i="4" s="1"/>
  <c r="I528" i="4"/>
  <c r="H528" i="4"/>
  <c r="K528" i="4" s="1"/>
  <c r="I527" i="4"/>
  <c r="H527" i="4"/>
  <c r="K527" i="4" s="1"/>
  <c r="I526" i="4"/>
  <c r="H526" i="4"/>
  <c r="K526" i="4" s="1"/>
  <c r="I525" i="4"/>
  <c r="H525" i="4"/>
  <c r="K525" i="4" s="1"/>
  <c r="I524" i="4"/>
  <c r="H524" i="4"/>
  <c r="K524" i="4" s="1"/>
  <c r="I523" i="4"/>
  <c r="H523" i="4"/>
  <c r="K523" i="4" s="1"/>
  <c r="I522" i="4"/>
  <c r="H522" i="4"/>
  <c r="K522" i="4" s="1"/>
  <c r="I521" i="4"/>
  <c r="H521" i="4"/>
  <c r="K521" i="4" s="1"/>
  <c r="I520" i="4"/>
  <c r="H520" i="4"/>
  <c r="K520" i="4" s="1"/>
  <c r="I519" i="4"/>
  <c r="H519" i="4"/>
  <c r="K519" i="4" s="1"/>
  <c r="I518" i="4"/>
  <c r="H518" i="4"/>
  <c r="K518" i="4" s="1"/>
  <c r="I517" i="4"/>
  <c r="H517" i="4"/>
  <c r="K517" i="4" s="1"/>
  <c r="I516" i="4"/>
  <c r="H516" i="4"/>
  <c r="K516" i="4" s="1"/>
  <c r="I515" i="4"/>
  <c r="H515" i="4"/>
  <c r="K515" i="4" s="1"/>
  <c r="I514" i="4"/>
  <c r="H514" i="4"/>
  <c r="K514" i="4" s="1"/>
  <c r="H513" i="4"/>
  <c r="K513" i="4" s="1"/>
  <c r="I513" i="4"/>
  <c r="I512" i="4"/>
  <c r="H512" i="4"/>
  <c r="K512" i="4" s="1"/>
  <c r="I511" i="4"/>
  <c r="H511" i="4"/>
  <c r="K511" i="4" s="1"/>
  <c r="H510" i="4"/>
  <c r="K510" i="4" s="1"/>
  <c r="I510" i="4"/>
  <c r="I509" i="4"/>
  <c r="H509" i="4"/>
  <c r="K509" i="4" s="1"/>
  <c r="I508" i="4"/>
  <c r="H508" i="4"/>
  <c r="K508" i="4" s="1"/>
  <c r="I507" i="4"/>
  <c r="H507" i="4"/>
  <c r="K507" i="4" s="1"/>
  <c r="I506" i="4"/>
  <c r="H506" i="4"/>
  <c r="K506" i="4" s="1"/>
  <c r="I505" i="4"/>
  <c r="H505" i="4"/>
  <c r="K505" i="4" s="1"/>
  <c r="I504" i="4"/>
  <c r="H504" i="4"/>
  <c r="K504" i="4" s="1"/>
  <c r="I503" i="4"/>
  <c r="H503" i="4"/>
  <c r="K503" i="4" s="1"/>
  <c r="I502" i="4"/>
  <c r="H502" i="4"/>
  <c r="K502" i="4" s="1"/>
  <c r="I501" i="4"/>
  <c r="H501" i="4"/>
  <c r="K501" i="4" s="1"/>
  <c r="I500" i="4"/>
  <c r="H500" i="4"/>
  <c r="K500" i="4" s="1"/>
  <c r="I499" i="4"/>
  <c r="H499" i="4"/>
  <c r="K499" i="4" s="1"/>
  <c r="H498" i="4"/>
  <c r="K498" i="4" s="1"/>
  <c r="I498" i="4"/>
  <c r="I497" i="4"/>
  <c r="H497" i="4"/>
  <c r="K497" i="4" s="1"/>
  <c r="I496" i="4"/>
  <c r="H496" i="4"/>
  <c r="K496" i="4" s="1"/>
  <c r="I495" i="4"/>
  <c r="H495" i="4"/>
  <c r="K495" i="4" s="1"/>
  <c r="I494" i="4"/>
  <c r="H494" i="4"/>
  <c r="K494" i="4" s="1"/>
  <c r="I493" i="4"/>
  <c r="H493" i="4"/>
  <c r="K493" i="4" s="1"/>
  <c r="I492" i="4"/>
  <c r="H492" i="4"/>
  <c r="K492" i="4" s="1"/>
  <c r="I491" i="4"/>
  <c r="H491" i="4"/>
  <c r="K491" i="4" s="1"/>
  <c r="I490" i="4"/>
  <c r="H490" i="4"/>
  <c r="K490" i="4" s="1"/>
  <c r="I489" i="4"/>
  <c r="H489" i="4"/>
  <c r="K489" i="4" s="1"/>
  <c r="I488" i="4"/>
  <c r="H488" i="4"/>
  <c r="K488" i="4" s="1"/>
  <c r="I487" i="4"/>
  <c r="H487" i="4"/>
  <c r="K487" i="4" s="1"/>
  <c r="H486" i="4"/>
  <c r="K486" i="4" s="1"/>
  <c r="I486" i="4"/>
  <c r="I485" i="4"/>
  <c r="H485" i="4"/>
  <c r="K485" i="4" s="1"/>
  <c r="I484" i="4"/>
  <c r="H484" i="4"/>
  <c r="K484" i="4" s="1"/>
  <c r="I483" i="4"/>
  <c r="H483" i="4"/>
  <c r="K483" i="4" s="1"/>
  <c r="I482" i="4"/>
  <c r="H482" i="4"/>
  <c r="K482" i="4" s="1"/>
  <c r="I481" i="4"/>
  <c r="H481" i="4"/>
  <c r="K481" i="4" s="1"/>
  <c r="I480" i="4"/>
  <c r="H480" i="4"/>
  <c r="K480" i="4" s="1"/>
  <c r="I479" i="4"/>
  <c r="H479" i="4"/>
  <c r="K479" i="4" s="1"/>
  <c r="I478" i="4"/>
  <c r="H478" i="4"/>
  <c r="K478" i="4" s="1"/>
  <c r="I477" i="4"/>
  <c r="H477" i="4"/>
  <c r="K477" i="4" s="1"/>
  <c r="I476" i="4"/>
  <c r="H476" i="4"/>
  <c r="K476" i="4" s="1"/>
  <c r="I475" i="4"/>
  <c r="H475" i="4"/>
  <c r="K475" i="4" s="1"/>
  <c r="I474" i="4"/>
  <c r="H474" i="4"/>
  <c r="K474" i="4" s="1"/>
  <c r="H473" i="4"/>
  <c r="K473" i="4" s="1"/>
  <c r="I473" i="4"/>
  <c r="I472" i="4"/>
  <c r="H472" i="4"/>
  <c r="K472" i="4" s="1"/>
  <c r="I471" i="4"/>
  <c r="H471" i="4"/>
  <c r="K471" i="4" s="1"/>
  <c r="I470" i="4"/>
  <c r="H470" i="4"/>
  <c r="K470" i="4" s="1"/>
  <c r="I469" i="4"/>
  <c r="H469" i="4"/>
  <c r="K469" i="4" s="1"/>
  <c r="I468" i="4"/>
  <c r="H468" i="4"/>
  <c r="K468" i="4" s="1"/>
  <c r="I467" i="4"/>
  <c r="H467" i="4"/>
  <c r="K467" i="4" s="1"/>
  <c r="I466" i="4"/>
  <c r="H466" i="4"/>
  <c r="K466" i="4" s="1"/>
  <c r="I465" i="4"/>
  <c r="H465" i="4"/>
  <c r="K465" i="4" s="1"/>
  <c r="I464" i="4"/>
  <c r="H464" i="4"/>
  <c r="K464" i="4" s="1"/>
  <c r="I463" i="4"/>
  <c r="H463" i="4"/>
  <c r="K463" i="4" s="1"/>
  <c r="I462" i="4"/>
  <c r="H462" i="4"/>
  <c r="K462" i="4" s="1"/>
  <c r="I461" i="4"/>
  <c r="H461" i="4"/>
  <c r="K461" i="4" s="1"/>
  <c r="I460" i="4"/>
  <c r="H460" i="4"/>
  <c r="K460" i="4" s="1"/>
  <c r="I459" i="4"/>
  <c r="H459" i="4"/>
  <c r="K459" i="4" s="1"/>
  <c r="I458" i="4"/>
  <c r="H458" i="4"/>
  <c r="K458" i="4" s="1"/>
  <c r="H457" i="4"/>
  <c r="K457" i="4" s="1"/>
  <c r="I457" i="4"/>
  <c r="I456" i="4"/>
  <c r="H456" i="4"/>
  <c r="K456" i="4" s="1"/>
  <c r="I455" i="4"/>
  <c r="H455" i="4"/>
  <c r="K455" i="4" s="1"/>
  <c r="I454" i="4"/>
  <c r="H454" i="4"/>
  <c r="K454" i="4" s="1"/>
  <c r="I453" i="4"/>
  <c r="H453" i="4"/>
  <c r="K453" i="4" s="1"/>
  <c r="I452" i="4"/>
  <c r="H452" i="4"/>
  <c r="K452" i="4" s="1"/>
  <c r="I451" i="4"/>
  <c r="H451" i="4"/>
  <c r="K451" i="4" s="1"/>
  <c r="I450" i="4"/>
  <c r="H450" i="4"/>
  <c r="K450" i="4" s="1"/>
  <c r="I449" i="4"/>
  <c r="H449" i="4"/>
  <c r="K449" i="4" s="1"/>
  <c r="I448" i="4"/>
  <c r="H448" i="4"/>
  <c r="K448" i="4" s="1"/>
  <c r="I447" i="4"/>
  <c r="H447" i="4"/>
  <c r="K447" i="4" s="1"/>
  <c r="I446" i="4"/>
  <c r="H446" i="4"/>
  <c r="K446" i="4" s="1"/>
  <c r="I445" i="4"/>
  <c r="H445" i="4"/>
  <c r="K445" i="4" s="1"/>
  <c r="I444" i="4"/>
  <c r="H444" i="4"/>
  <c r="K444" i="4" s="1"/>
  <c r="I443" i="4"/>
  <c r="H443" i="4"/>
  <c r="K443" i="4" s="1"/>
  <c r="I442" i="4"/>
  <c r="H442" i="4"/>
  <c r="K442" i="4" s="1"/>
  <c r="H441" i="4"/>
  <c r="K441" i="4" s="1"/>
  <c r="I441" i="4"/>
  <c r="I440" i="4"/>
  <c r="H440" i="4"/>
  <c r="K440" i="4" s="1"/>
  <c r="I439" i="4"/>
  <c r="H439" i="4"/>
  <c r="K439" i="4" s="1"/>
  <c r="I438" i="4"/>
  <c r="H438" i="4"/>
  <c r="K438" i="4" s="1"/>
  <c r="I437" i="4"/>
  <c r="H437" i="4"/>
  <c r="K437" i="4" s="1"/>
  <c r="I436" i="4"/>
  <c r="H436" i="4"/>
  <c r="K436" i="4" s="1"/>
  <c r="I435" i="4"/>
  <c r="H435" i="4"/>
  <c r="K435" i="4" s="1"/>
  <c r="I434" i="4"/>
  <c r="H434" i="4"/>
  <c r="K434" i="4" s="1"/>
  <c r="I433" i="4"/>
  <c r="H433" i="4"/>
  <c r="K433" i="4" s="1"/>
  <c r="I432" i="4"/>
  <c r="H432" i="4"/>
  <c r="K432" i="4" s="1"/>
  <c r="I431" i="4"/>
  <c r="H431" i="4"/>
  <c r="K431" i="4" s="1"/>
  <c r="I430" i="4"/>
  <c r="H430" i="4"/>
  <c r="K430" i="4" s="1"/>
  <c r="I429" i="4"/>
  <c r="H429" i="4"/>
  <c r="K429" i="4" s="1"/>
  <c r="I428" i="4"/>
  <c r="H428" i="4"/>
  <c r="K428" i="4" s="1"/>
  <c r="I427" i="4"/>
  <c r="H427" i="4"/>
  <c r="K427" i="4" s="1"/>
  <c r="I426" i="4"/>
  <c r="H426" i="4"/>
  <c r="K426" i="4" s="1"/>
  <c r="H425" i="4"/>
  <c r="K425" i="4" s="1"/>
  <c r="I425" i="4"/>
  <c r="I424" i="4"/>
  <c r="H424" i="4"/>
  <c r="K424" i="4" s="1"/>
  <c r="I423" i="4"/>
  <c r="H423" i="4"/>
  <c r="K423" i="4" s="1"/>
  <c r="I422" i="4"/>
  <c r="H422" i="4"/>
  <c r="K422" i="4" s="1"/>
  <c r="I421" i="4"/>
  <c r="H421" i="4"/>
  <c r="K421" i="4" s="1"/>
  <c r="I420" i="4"/>
  <c r="H420" i="4"/>
  <c r="K420" i="4" s="1"/>
  <c r="I419" i="4"/>
  <c r="H419" i="4"/>
  <c r="K419" i="4" s="1"/>
  <c r="I418" i="4"/>
  <c r="H418" i="4"/>
  <c r="K418" i="4" s="1"/>
  <c r="I417" i="4"/>
  <c r="H417" i="4"/>
  <c r="K417" i="4" s="1"/>
  <c r="I416" i="4"/>
  <c r="H416" i="4"/>
  <c r="K416" i="4" s="1"/>
  <c r="I415" i="4"/>
  <c r="H415" i="4"/>
  <c r="K415" i="4" s="1"/>
  <c r="I414" i="4"/>
  <c r="H414" i="4"/>
  <c r="K414" i="4" s="1"/>
  <c r="I413" i="4"/>
  <c r="H413" i="4"/>
  <c r="K413" i="4" s="1"/>
  <c r="I412" i="4"/>
  <c r="H412" i="4"/>
  <c r="K412" i="4" s="1"/>
  <c r="I411" i="4"/>
  <c r="H411" i="4"/>
  <c r="K411" i="4" s="1"/>
  <c r="I410" i="4"/>
  <c r="H410" i="4"/>
  <c r="K410" i="4" s="1"/>
  <c r="H409" i="4"/>
  <c r="K409" i="4" s="1"/>
  <c r="I409" i="4"/>
  <c r="I408" i="4"/>
  <c r="H408" i="4"/>
  <c r="K408" i="4" s="1"/>
  <c r="I407" i="4"/>
  <c r="H407" i="4"/>
  <c r="K407" i="4" s="1"/>
  <c r="I406" i="4"/>
  <c r="H406" i="4"/>
  <c r="K406" i="4" s="1"/>
  <c r="I405" i="4"/>
  <c r="H405" i="4"/>
  <c r="K405" i="4" s="1"/>
  <c r="I404" i="4"/>
  <c r="H404" i="4"/>
  <c r="K404" i="4" s="1"/>
  <c r="I403" i="4"/>
  <c r="H403" i="4"/>
  <c r="K403" i="4" s="1"/>
  <c r="I402" i="4"/>
  <c r="H402" i="4"/>
  <c r="K402" i="4" s="1"/>
  <c r="I401" i="4"/>
  <c r="H401" i="4"/>
  <c r="K401" i="4" s="1"/>
  <c r="I400" i="4"/>
  <c r="H400" i="4"/>
  <c r="K400" i="4" s="1"/>
  <c r="I399" i="4"/>
  <c r="H399" i="4"/>
  <c r="K399" i="4" s="1"/>
  <c r="I398" i="4"/>
  <c r="H398" i="4"/>
  <c r="K398" i="4" s="1"/>
  <c r="I397" i="4"/>
  <c r="H397" i="4"/>
  <c r="K397" i="4" s="1"/>
  <c r="I396" i="4"/>
  <c r="H396" i="4"/>
  <c r="K396" i="4" s="1"/>
  <c r="I395" i="4"/>
  <c r="H395" i="4"/>
  <c r="K395" i="4" s="1"/>
  <c r="I394" i="4"/>
  <c r="H394" i="4"/>
  <c r="K394" i="4" s="1"/>
  <c r="H393" i="4"/>
  <c r="K393" i="4" s="1"/>
  <c r="I393" i="4"/>
  <c r="I392" i="4"/>
  <c r="H392" i="4"/>
  <c r="K392" i="4" s="1"/>
  <c r="I391" i="4"/>
  <c r="H391" i="4"/>
  <c r="K391" i="4" s="1"/>
  <c r="I390" i="4"/>
  <c r="H390" i="4"/>
  <c r="K390" i="4" s="1"/>
  <c r="I389" i="4"/>
  <c r="H389" i="4"/>
  <c r="K389" i="4" s="1"/>
  <c r="I388" i="4"/>
  <c r="H388" i="4"/>
  <c r="K388" i="4" s="1"/>
  <c r="I387" i="4"/>
  <c r="H387" i="4"/>
  <c r="K387" i="4" s="1"/>
  <c r="I386" i="4"/>
  <c r="H386" i="4"/>
  <c r="K386" i="4" s="1"/>
  <c r="I385" i="4"/>
  <c r="H385" i="4"/>
  <c r="K385" i="4" s="1"/>
  <c r="I384" i="4"/>
  <c r="H384" i="4"/>
  <c r="K384" i="4" s="1"/>
  <c r="I383" i="4"/>
  <c r="H383" i="4"/>
  <c r="K383" i="4" s="1"/>
  <c r="I382" i="4"/>
  <c r="H382" i="4"/>
  <c r="K382" i="4" s="1"/>
  <c r="I381" i="4"/>
  <c r="H381" i="4"/>
  <c r="K381" i="4" s="1"/>
  <c r="I380" i="4"/>
  <c r="H380" i="4"/>
  <c r="K380" i="4" s="1"/>
  <c r="I379" i="4"/>
  <c r="H379" i="4"/>
  <c r="K379" i="4" s="1"/>
  <c r="I378" i="4"/>
  <c r="H378" i="4"/>
  <c r="K378" i="4" s="1"/>
  <c r="H377" i="4"/>
  <c r="K377" i="4" s="1"/>
  <c r="I377" i="4"/>
  <c r="I376" i="4"/>
  <c r="H376" i="4"/>
  <c r="K376" i="4" s="1"/>
  <c r="I375" i="4"/>
  <c r="H375" i="4"/>
  <c r="K375" i="4" s="1"/>
  <c r="I374" i="4"/>
  <c r="H374" i="4"/>
  <c r="K374" i="4" s="1"/>
  <c r="I373" i="4"/>
  <c r="H373" i="4"/>
  <c r="K373" i="4" s="1"/>
  <c r="I372" i="4"/>
  <c r="H372" i="4"/>
  <c r="K372" i="4" s="1"/>
  <c r="I371" i="4"/>
  <c r="H371" i="4"/>
  <c r="K371" i="4" s="1"/>
  <c r="I370" i="4"/>
  <c r="H370" i="4"/>
  <c r="K370" i="4" s="1"/>
  <c r="I369" i="4"/>
  <c r="H369" i="4"/>
  <c r="K369" i="4" s="1"/>
  <c r="I368" i="4"/>
  <c r="H368" i="4"/>
  <c r="K368" i="4" s="1"/>
  <c r="I367" i="4"/>
  <c r="H367" i="4"/>
  <c r="K367" i="4" s="1"/>
  <c r="I366" i="4"/>
  <c r="H366" i="4"/>
  <c r="K366" i="4" s="1"/>
  <c r="I365" i="4"/>
  <c r="H365" i="4"/>
  <c r="K365" i="4" s="1"/>
  <c r="I364" i="4"/>
  <c r="H364" i="4"/>
  <c r="K364" i="4" s="1"/>
  <c r="I363" i="4"/>
  <c r="H363" i="4"/>
  <c r="K363" i="4" s="1"/>
  <c r="I362" i="4"/>
  <c r="H362" i="4"/>
  <c r="K362" i="4" s="1"/>
  <c r="H361" i="4"/>
  <c r="K361" i="4" s="1"/>
  <c r="I361" i="4"/>
  <c r="I360" i="4"/>
  <c r="H360" i="4"/>
  <c r="K360" i="4" s="1"/>
  <c r="I359" i="4"/>
  <c r="H359" i="4"/>
  <c r="K359" i="4" s="1"/>
  <c r="I358" i="4"/>
  <c r="H358" i="4"/>
  <c r="K358" i="4" s="1"/>
  <c r="I357" i="4"/>
  <c r="H357" i="4"/>
  <c r="K357" i="4" s="1"/>
  <c r="I356" i="4"/>
  <c r="H356" i="4"/>
  <c r="K356" i="4" s="1"/>
  <c r="I355" i="4"/>
  <c r="H355" i="4"/>
  <c r="K355" i="4" s="1"/>
  <c r="I354" i="4"/>
  <c r="H354" i="4"/>
  <c r="K354" i="4" s="1"/>
  <c r="I353" i="4"/>
  <c r="H353" i="4"/>
  <c r="K353" i="4" s="1"/>
  <c r="I352" i="4"/>
  <c r="H352" i="4"/>
  <c r="K352" i="4" s="1"/>
  <c r="I351" i="4"/>
  <c r="H351" i="4"/>
  <c r="K351" i="4" s="1"/>
  <c r="I350" i="4"/>
  <c r="H350" i="4"/>
  <c r="K350" i="4" s="1"/>
  <c r="I349" i="4"/>
  <c r="H349" i="4"/>
  <c r="K349" i="4" s="1"/>
  <c r="I348" i="4"/>
  <c r="H348" i="4"/>
  <c r="K348" i="4" s="1"/>
  <c r="I347" i="4"/>
  <c r="H347" i="4"/>
  <c r="K347" i="4" s="1"/>
  <c r="I346" i="4"/>
  <c r="H346" i="4"/>
  <c r="K346" i="4" s="1"/>
  <c r="H345" i="4"/>
  <c r="K345" i="4" s="1"/>
  <c r="I345" i="4"/>
  <c r="I344" i="4"/>
  <c r="H344" i="4"/>
  <c r="K344" i="4" s="1"/>
  <c r="I343" i="4"/>
  <c r="H343" i="4"/>
  <c r="K343" i="4" s="1"/>
  <c r="I342" i="4"/>
  <c r="H342" i="4"/>
  <c r="K342" i="4" s="1"/>
  <c r="I341" i="4"/>
  <c r="H341" i="4"/>
  <c r="K341" i="4" s="1"/>
  <c r="I340" i="4"/>
  <c r="H340" i="4"/>
  <c r="K340" i="4" s="1"/>
  <c r="H339" i="4"/>
  <c r="K339" i="4" s="1"/>
  <c r="I339" i="4"/>
  <c r="I338" i="4"/>
  <c r="H338" i="4"/>
  <c r="K338" i="4" s="1"/>
  <c r="I337" i="4"/>
  <c r="H337" i="4"/>
  <c r="K337" i="4" s="1"/>
  <c r="I336" i="4"/>
  <c r="H336" i="4"/>
  <c r="K336" i="4" s="1"/>
  <c r="I335" i="4"/>
  <c r="H335" i="4"/>
  <c r="K335" i="4" s="1"/>
  <c r="I334" i="4"/>
  <c r="H334" i="4"/>
  <c r="K334" i="4" s="1"/>
  <c r="I333" i="4"/>
  <c r="H333" i="4"/>
  <c r="K333" i="4" s="1"/>
  <c r="I332" i="4"/>
  <c r="H332" i="4"/>
  <c r="K332" i="4" s="1"/>
  <c r="I331" i="4"/>
  <c r="H331" i="4"/>
  <c r="K331" i="4" s="1"/>
  <c r="I330" i="4"/>
  <c r="H330" i="4"/>
  <c r="K330" i="4" s="1"/>
  <c r="I329" i="4"/>
  <c r="H329" i="4"/>
  <c r="K329" i="4" s="1"/>
  <c r="I328" i="4"/>
  <c r="H328" i="4"/>
  <c r="K328" i="4" s="1"/>
  <c r="I327" i="4"/>
  <c r="H327" i="4"/>
  <c r="K327" i="4" s="1"/>
  <c r="I326" i="4"/>
  <c r="H326" i="4"/>
  <c r="K326" i="4" s="1"/>
  <c r="I325" i="4"/>
  <c r="H325" i="4"/>
  <c r="K325" i="4" s="1"/>
  <c r="I324" i="4"/>
  <c r="H324" i="4"/>
  <c r="K324" i="4" s="1"/>
  <c r="I323" i="4"/>
  <c r="H323" i="4"/>
  <c r="K323" i="4" s="1"/>
  <c r="I322" i="4"/>
  <c r="H322" i="4"/>
  <c r="K322" i="4" s="1"/>
  <c r="I321" i="4"/>
  <c r="H321" i="4"/>
  <c r="K321" i="4" s="1"/>
  <c r="I320" i="4"/>
  <c r="H320" i="4"/>
  <c r="K320" i="4" s="1"/>
  <c r="I319" i="4"/>
  <c r="H319" i="4"/>
  <c r="K319" i="4" s="1"/>
  <c r="I318" i="4"/>
  <c r="H318" i="4"/>
  <c r="K318" i="4" s="1"/>
  <c r="I317" i="4"/>
  <c r="H317" i="4"/>
  <c r="K317" i="4" s="1"/>
  <c r="I316" i="4"/>
  <c r="H316" i="4"/>
  <c r="K316" i="4" s="1"/>
  <c r="H315" i="4"/>
  <c r="K315" i="4" s="1"/>
  <c r="I315" i="4"/>
  <c r="I314" i="4"/>
  <c r="H314" i="4"/>
  <c r="K314" i="4" s="1"/>
  <c r="I313" i="4"/>
  <c r="H313" i="4"/>
  <c r="K313" i="4" s="1"/>
  <c r="I312" i="4"/>
  <c r="H312" i="4"/>
  <c r="K312" i="4" s="1"/>
  <c r="I311" i="4"/>
  <c r="H311" i="4"/>
  <c r="K311" i="4" s="1"/>
  <c r="I310" i="4"/>
  <c r="H310" i="4"/>
  <c r="K310" i="4" s="1"/>
  <c r="I309" i="4"/>
  <c r="H309" i="4"/>
  <c r="K309" i="4" s="1"/>
  <c r="I308" i="4"/>
  <c r="H308" i="4"/>
  <c r="K308" i="4" s="1"/>
  <c r="H307" i="4"/>
  <c r="K307" i="4" s="1"/>
  <c r="I307" i="4"/>
  <c r="I306" i="4"/>
  <c r="H306" i="4"/>
  <c r="K306" i="4" s="1"/>
  <c r="I305" i="4"/>
  <c r="H305" i="4"/>
  <c r="K305" i="4" s="1"/>
  <c r="I304" i="4"/>
  <c r="H304" i="4"/>
  <c r="K304" i="4" s="1"/>
  <c r="I303" i="4"/>
  <c r="H303" i="4"/>
  <c r="K303" i="4" s="1"/>
  <c r="I302" i="4"/>
  <c r="H302" i="4"/>
  <c r="K302" i="4" s="1"/>
  <c r="I301" i="4"/>
  <c r="H301" i="4"/>
  <c r="K301" i="4" s="1"/>
  <c r="I300" i="4"/>
  <c r="H300" i="4"/>
  <c r="K300" i="4" s="1"/>
  <c r="I299" i="4"/>
  <c r="H299" i="4"/>
  <c r="K299" i="4" s="1"/>
  <c r="I298" i="4"/>
  <c r="H298" i="4"/>
  <c r="K298" i="4" s="1"/>
  <c r="I297" i="4"/>
  <c r="H297" i="4"/>
  <c r="K297" i="4" s="1"/>
  <c r="I296" i="4"/>
  <c r="H296" i="4"/>
  <c r="K296" i="4" s="1"/>
  <c r="I295" i="4"/>
  <c r="H295" i="4"/>
  <c r="K295" i="4" s="1"/>
  <c r="I294" i="4"/>
  <c r="H294" i="4"/>
  <c r="K294" i="4" s="1"/>
  <c r="I293" i="4"/>
  <c r="H293" i="4"/>
  <c r="K293" i="4" s="1"/>
  <c r="I292" i="4"/>
  <c r="H292" i="4"/>
  <c r="K292" i="4" s="1"/>
  <c r="I291" i="4"/>
  <c r="H291" i="4"/>
  <c r="K291" i="4" s="1"/>
  <c r="I290" i="4"/>
  <c r="H290" i="4"/>
  <c r="K290" i="4" s="1"/>
  <c r="I289" i="4"/>
  <c r="H289" i="4"/>
  <c r="K289" i="4" s="1"/>
  <c r="I288" i="4"/>
  <c r="H288" i="4"/>
  <c r="K288" i="4" s="1"/>
  <c r="I287" i="4"/>
  <c r="H287" i="4"/>
  <c r="K287" i="4" s="1"/>
  <c r="I286" i="4"/>
  <c r="H286" i="4"/>
  <c r="K286" i="4" s="1"/>
  <c r="I285" i="4"/>
  <c r="H285" i="4"/>
  <c r="K285" i="4" s="1"/>
  <c r="I284" i="4"/>
  <c r="H284" i="4"/>
  <c r="K284" i="4" s="1"/>
  <c r="H283" i="4"/>
  <c r="K283" i="4" s="1"/>
  <c r="I283" i="4"/>
  <c r="I282" i="4"/>
  <c r="H282" i="4"/>
  <c r="K282" i="4" s="1"/>
  <c r="I281" i="4"/>
  <c r="H281" i="4"/>
  <c r="K281" i="4" s="1"/>
  <c r="I280" i="4"/>
  <c r="H280" i="4"/>
  <c r="K280" i="4" s="1"/>
  <c r="I279" i="4"/>
  <c r="H279" i="4"/>
  <c r="K279" i="4" s="1"/>
  <c r="I278" i="4"/>
  <c r="H278" i="4"/>
  <c r="K278" i="4" s="1"/>
  <c r="I277" i="4"/>
  <c r="H277" i="4"/>
  <c r="K277" i="4" s="1"/>
  <c r="I276" i="4"/>
  <c r="H276" i="4"/>
  <c r="K276" i="4" s="1"/>
  <c r="H275" i="4"/>
  <c r="K275" i="4" s="1"/>
  <c r="I275" i="4"/>
  <c r="I274" i="4"/>
  <c r="H274" i="4"/>
  <c r="K274" i="4" s="1"/>
  <c r="I273" i="4"/>
  <c r="H273" i="4"/>
  <c r="K273" i="4" s="1"/>
  <c r="I272" i="4"/>
  <c r="H272" i="4"/>
  <c r="K272" i="4" s="1"/>
  <c r="I271" i="4"/>
  <c r="H271" i="4"/>
  <c r="K271" i="4" s="1"/>
  <c r="I270" i="4"/>
  <c r="H270" i="4"/>
  <c r="K270" i="4" s="1"/>
  <c r="I269" i="4"/>
  <c r="H269" i="4"/>
  <c r="K269" i="4" s="1"/>
  <c r="I268" i="4"/>
  <c r="H268" i="4"/>
  <c r="K268" i="4" s="1"/>
  <c r="I267" i="4"/>
  <c r="H267" i="4"/>
  <c r="K267" i="4" s="1"/>
  <c r="I266" i="4"/>
  <c r="H266" i="4"/>
  <c r="K266" i="4" s="1"/>
  <c r="I265" i="4"/>
  <c r="H265" i="4"/>
  <c r="K265" i="4" s="1"/>
  <c r="I264" i="4"/>
  <c r="H264" i="4"/>
  <c r="K264" i="4" s="1"/>
  <c r="I263" i="4"/>
  <c r="H263" i="4"/>
  <c r="K263" i="4" s="1"/>
  <c r="I262" i="4"/>
  <c r="H262" i="4"/>
  <c r="K262" i="4" s="1"/>
  <c r="I261" i="4"/>
  <c r="H261" i="4"/>
  <c r="K261" i="4" s="1"/>
  <c r="I260" i="4"/>
  <c r="H260" i="4"/>
  <c r="K260" i="4" s="1"/>
  <c r="I259" i="4"/>
  <c r="H259" i="4"/>
  <c r="K259" i="4" s="1"/>
  <c r="I258" i="4"/>
  <c r="H258" i="4"/>
  <c r="K258" i="4" s="1"/>
  <c r="I257" i="4"/>
  <c r="H257" i="4"/>
  <c r="K257" i="4" s="1"/>
  <c r="I256" i="4"/>
  <c r="H256" i="4"/>
  <c r="K256" i="4" s="1"/>
  <c r="I255" i="4"/>
  <c r="H255" i="4"/>
  <c r="K255" i="4" s="1"/>
  <c r="I254" i="4"/>
  <c r="H254" i="4"/>
  <c r="K254" i="4" s="1"/>
  <c r="I253" i="4"/>
  <c r="H253" i="4"/>
  <c r="K253" i="4" s="1"/>
  <c r="I252" i="4"/>
  <c r="H252" i="4"/>
  <c r="K252" i="4" s="1"/>
  <c r="I251" i="4"/>
  <c r="H251" i="4"/>
  <c r="K251" i="4" s="1"/>
  <c r="I250" i="4"/>
  <c r="H250" i="4"/>
  <c r="K250" i="4" s="1"/>
  <c r="I249" i="4"/>
  <c r="H249" i="4"/>
  <c r="K249" i="4" s="1"/>
  <c r="I248" i="4"/>
  <c r="H248" i="4"/>
  <c r="K248" i="4" s="1"/>
  <c r="H247" i="4"/>
  <c r="K247" i="4" s="1"/>
  <c r="I247" i="4"/>
  <c r="I246" i="4"/>
  <c r="H246" i="4"/>
  <c r="K246" i="4" s="1"/>
  <c r="I245" i="4"/>
  <c r="H245" i="4"/>
  <c r="K245" i="4" s="1"/>
  <c r="I244" i="4"/>
  <c r="H244" i="4"/>
  <c r="K244" i="4" s="1"/>
  <c r="I243" i="4"/>
  <c r="H243" i="4"/>
  <c r="K243" i="4" s="1"/>
  <c r="I242" i="4"/>
  <c r="H242" i="4"/>
  <c r="K242" i="4" s="1"/>
  <c r="I241" i="4"/>
  <c r="H241" i="4"/>
  <c r="K241" i="4" s="1"/>
  <c r="I240" i="4"/>
  <c r="H240" i="4"/>
  <c r="K240" i="4" s="1"/>
  <c r="I239" i="4"/>
  <c r="H239" i="4"/>
  <c r="K239" i="4" s="1"/>
  <c r="I238" i="4"/>
  <c r="H238" i="4"/>
  <c r="K238" i="4" s="1"/>
  <c r="I237" i="4"/>
  <c r="H237" i="4"/>
  <c r="K237" i="4" s="1"/>
  <c r="I236" i="4"/>
  <c r="H236" i="4"/>
  <c r="K236" i="4" s="1"/>
  <c r="I235" i="4"/>
  <c r="H235" i="4"/>
  <c r="K235" i="4" s="1"/>
  <c r="I234" i="4"/>
  <c r="H234" i="4"/>
  <c r="K234" i="4" s="1"/>
  <c r="I233" i="4"/>
  <c r="H233" i="4"/>
  <c r="K233" i="4" s="1"/>
  <c r="I232" i="4"/>
  <c r="H232" i="4"/>
  <c r="K232" i="4" s="1"/>
  <c r="I231" i="4"/>
  <c r="H231" i="4"/>
  <c r="K231" i="4" s="1"/>
  <c r="I230" i="4"/>
  <c r="H230" i="4"/>
  <c r="K230" i="4" s="1"/>
  <c r="I229" i="4"/>
  <c r="H229" i="4"/>
  <c r="K229" i="4" s="1"/>
  <c r="I228" i="4"/>
  <c r="H228" i="4"/>
  <c r="K228" i="4" s="1"/>
  <c r="I227" i="4"/>
  <c r="H227" i="4"/>
  <c r="K227" i="4" s="1"/>
  <c r="I226" i="4"/>
  <c r="H226" i="4"/>
  <c r="K226" i="4" s="1"/>
  <c r="I225" i="4"/>
  <c r="H225" i="4"/>
  <c r="K225" i="4" s="1"/>
  <c r="I224" i="4"/>
  <c r="H224" i="4"/>
  <c r="K224" i="4" s="1"/>
  <c r="I223" i="4"/>
  <c r="H223" i="4"/>
  <c r="K223" i="4" s="1"/>
  <c r="I222" i="4"/>
  <c r="H222" i="4"/>
  <c r="K222" i="4" s="1"/>
  <c r="I221" i="4"/>
  <c r="H221" i="4"/>
  <c r="K221" i="4" s="1"/>
  <c r="I220" i="4"/>
  <c r="H220" i="4"/>
  <c r="K220" i="4" s="1"/>
  <c r="I219" i="4"/>
  <c r="H219" i="4"/>
  <c r="K219" i="4" s="1"/>
  <c r="I218" i="4"/>
  <c r="H218" i="4"/>
  <c r="K218" i="4" s="1"/>
  <c r="I217" i="4"/>
  <c r="H217" i="4"/>
  <c r="K217" i="4" s="1"/>
  <c r="I216" i="4"/>
  <c r="H216" i="4"/>
  <c r="K216" i="4" s="1"/>
  <c r="I215" i="4"/>
  <c r="H215" i="4"/>
  <c r="K215" i="4" s="1"/>
  <c r="I214" i="4"/>
  <c r="H214" i="4"/>
  <c r="K214" i="4" s="1"/>
  <c r="I213" i="4"/>
  <c r="H213" i="4"/>
  <c r="K213" i="4" s="1"/>
  <c r="I212" i="4"/>
  <c r="H212" i="4"/>
  <c r="K212" i="4" s="1"/>
  <c r="I211" i="4"/>
  <c r="H211" i="4"/>
  <c r="K211" i="4" s="1"/>
  <c r="I210" i="4"/>
  <c r="H210" i="4"/>
  <c r="K210" i="4" s="1"/>
  <c r="I209" i="4"/>
  <c r="H209" i="4"/>
  <c r="K209" i="4" s="1"/>
  <c r="I208" i="4"/>
  <c r="H208" i="4"/>
  <c r="K208" i="4" s="1"/>
  <c r="I207" i="4"/>
  <c r="H207" i="4"/>
  <c r="K207" i="4" s="1"/>
  <c r="I206" i="4"/>
  <c r="H206" i="4"/>
  <c r="K206" i="4" s="1"/>
  <c r="I205" i="4"/>
  <c r="H205" i="4"/>
  <c r="K205" i="4" s="1"/>
  <c r="I204" i="4"/>
  <c r="H204" i="4"/>
  <c r="K204" i="4" s="1"/>
  <c r="I203" i="4"/>
  <c r="H203" i="4"/>
  <c r="K203" i="4" s="1"/>
  <c r="I202" i="4"/>
  <c r="H202" i="4"/>
  <c r="K202" i="4" s="1"/>
  <c r="I201" i="4"/>
  <c r="H201" i="4"/>
  <c r="K201" i="4" s="1"/>
  <c r="I200" i="4"/>
  <c r="H200" i="4"/>
  <c r="K200" i="4" s="1"/>
  <c r="I199" i="4"/>
  <c r="H199" i="4"/>
  <c r="K199" i="4" s="1"/>
  <c r="I198" i="4"/>
  <c r="H198" i="4"/>
  <c r="K198" i="4" s="1"/>
  <c r="I197" i="4"/>
  <c r="H197" i="4"/>
  <c r="K197" i="4" s="1"/>
  <c r="I196" i="4"/>
  <c r="H196" i="4"/>
  <c r="K196" i="4" s="1"/>
  <c r="I195" i="4"/>
  <c r="H195" i="4"/>
  <c r="K195" i="4" s="1"/>
  <c r="I194" i="4"/>
  <c r="H194" i="4"/>
  <c r="K194" i="4" s="1"/>
  <c r="I193" i="4"/>
  <c r="H193" i="4"/>
  <c r="K193" i="4" s="1"/>
  <c r="I192" i="4"/>
  <c r="H192" i="4"/>
  <c r="K192" i="4" s="1"/>
  <c r="I191" i="4"/>
  <c r="H191" i="4"/>
  <c r="K191" i="4" s="1"/>
  <c r="I190" i="4"/>
  <c r="H190" i="4"/>
  <c r="K190" i="4" s="1"/>
  <c r="I189" i="4"/>
  <c r="H189" i="4"/>
  <c r="K189" i="4" s="1"/>
  <c r="I188" i="4"/>
  <c r="H188" i="4"/>
  <c r="K188" i="4" s="1"/>
  <c r="I187" i="4"/>
  <c r="H187" i="4"/>
  <c r="K187" i="4" s="1"/>
  <c r="I186" i="4"/>
  <c r="H186" i="4"/>
  <c r="K186" i="4" s="1"/>
  <c r="I185" i="4"/>
  <c r="H185" i="4"/>
  <c r="K185" i="4" s="1"/>
  <c r="I184" i="4"/>
  <c r="H184" i="4"/>
  <c r="K184" i="4" s="1"/>
  <c r="I183" i="4"/>
  <c r="H183" i="4"/>
  <c r="K183" i="4" s="1"/>
  <c r="I182" i="4"/>
  <c r="H182" i="4"/>
  <c r="K182" i="4" s="1"/>
  <c r="I181" i="4"/>
  <c r="H181" i="4"/>
  <c r="K181" i="4" s="1"/>
  <c r="I180" i="4"/>
  <c r="H180" i="4"/>
  <c r="K180" i="4" s="1"/>
  <c r="I179" i="4"/>
  <c r="H179" i="4"/>
  <c r="K179" i="4" s="1"/>
  <c r="I178" i="4"/>
  <c r="H178" i="4"/>
  <c r="K178" i="4" s="1"/>
  <c r="I177" i="4"/>
  <c r="H177" i="4"/>
  <c r="K177" i="4" s="1"/>
  <c r="I176" i="4"/>
  <c r="H176" i="4"/>
  <c r="K176" i="4" s="1"/>
  <c r="I175" i="4"/>
  <c r="H175" i="4"/>
  <c r="K175" i="4" s="1"/>
  <c r="I174" i="4"/>
  <c r="H174" i="4"/>
  <c r="K174" i="4" s="1"/>
  <c r="I173" i="4"/>
  <c r="H173" i="4"/>
  <c r="K173" i="4" s="1"/>
  <c r="I172" i="4"/>
  <c r="H172" i="4"/>
  <c r="K172" i="4" s="1"/>
  <c r="I171" i="4"/>
  <c r="H171" i="4"/>
  <c r="K171" i="4" s="1"/>
  <c r="I170" i="4"/>
  <c r="H170" i="4"/>
  <c r="K170" i="4" s="1"/>
  <c r="I169" i="4"/>
  <c r="H169" i="4"/>
  <c r="K169" i="4" s="1"/>
  <c r="I168" i="4"/>
  <c r="H168" i="4"/>
  <c r="K168" i="4" s="1"/>
  <c r="I167" i="4"/>
  <c r="H167" i="4"/>
  <c r="K167" i="4" s="1"/>
  <c r="I166" i="4"/>
  <c r="H166" i="4"/>
  <c r="K166" i="4" s="1"/>
  <c r="I165" i="4"/>
  <c r="H165" i="4"/>
  <c r="K165" i="4" s="1"/>
  <c r="I164" i="4"/>
  <c r="H164" i="4"/>
  <c r="K164" i="4" s="1"/>
  <c r="I163" i="4"/>
  <c r="H163" i="4"/>
  <c r="K163" i="4" s="1"/>
  <c r="I162" i="4"/>
  <c r="H162" i="4"/>
  <c r="K162" i="4" s="1"/>
  <c r="I161" i="4"/>
  <c r="H161" i="4"/>
  <c r="K161" i="4" s="1"/>
  <c r="I160" i="4"/>
  <c r="H160" i="4"/>
  <c r="K160" i="4" s="1"/>
  <c r="I159" i="4"/>
  <c r="H159" i="4"/>
  <c r="K159" i="4" s="1"/>
  <c r="I158" i="4"/>
  <c r="H158" i="4"/>
  <c r="K158" i="4" s="1"/>
  <c r="I157" i="4"/>
  <c r="H157" i="4"/>
  <c r="K157" i="4" s="1"/>
  <c r="I156" i="4"/>
  <c r="H156" i="4"/>
  <c r="K156" i="4" s="1"/>
  <c r="I155" i="4"/>
  <c r="H155" i="4"/>
  <c r="K155" i="4" s="1"/>
  <c r="I154" i="4"/>
  <c r="H154" i="4"/>
  <c r="K154" i="4" s="1"/>
  <c r="I153" i="4"/>
  <c r="H153" i="4"/>
  <c r="K153" i="4" s="1"/>
  <c r="I152" i="4"/>
  <c r="H152" i="4"/>
  <c r="K152" i="4" s="1"/>
  <c r="I151" i="4"/>
  <c r="H151" i="4"/>
  <c r="K151" i="4" s="1"/>
  <c r="I150" i="4"/>
  <c r="H150" i="4"/>
  <c r="K150" i="4" s="1"/>
  <c r="I149" i="4"/>
  <c r="H149" i="4"/>
  <c r="K149" i="4" s="1"/>
  <c r="I148" i="4"/>
  <c r="H148" i="4"/>
  <c r="K148" i="4" s="1"/>
  <c r="I147" i="4"/>
  <c r="H147" i="4"/>
  <c r="K147" i="4" s="1"/>
  <c r="I146" i="4"/>
  <c r="H146" i="4"/>
  <c r="K146" i="4" s="1"/>
  <c r="I145" i="4"/>
  <c r="H145" i="4"/>
  <c r="K145" i="4" s="1"/>
  <c r="I144" i="4"/>
  <c r="H144" i="4"/>
  <c r="K144" i="4" s="1"/>
  <c r="I143" i="4"/>
  <c r="H143" i="4"/>
  <c r="K143" i="4" s="1"/>
  <c r="I142" i="4"/>
  <c r="H142" i="4"/>
  <c r="K142" i="4" s="1"/>
  <c r="I141" i="4"/>
  <c r="H141" i="4"/>
  <c r="K141" i="4" s="1"/>
  <c r="I140" i="4"/>
  <c r="H140" i="4"/>
  <c r="K140" i="4" s="1"/>
  <c r="I139" i="4"/>
  <c r="H139" i="4"/>
  <c r="K139" i="4" s="1"/>
  <c r="I138" i="4"/>
  <c r="H138" i="4"/>
  <c r="K138" i="4" s="1"/>
  <c r="I137" i="4"/>
  <c r="H137" i="4"/>
  <c r="K137" i="4" s="1"/>
  <c r="I136" i="4"/>
  <c r="H136" i="4"/>
  <c r="K136" i="4" s="1"/>
  <c r="I135" i="4"/>
  <c r="H135" i="4"/>
  <c r="K135" i="4" s="1"/>
  <c r="I134" i="4"/>
  <c r="H134" i="4"/>
  <c r="K134" i="4" s="1"/>
  <c r="I133" i="4"/>
  <c r="H133" i="4"/>
  <c r="K133" i="4" s="1"/>
  <c r="I132" i="4"/>
  <c r="H132" i="4"/>
  <c r="K132" i="4" s="1"/>
  <c r="I131" i="4"/>
  <c r="H131" i="4"/>
  <c r="K131" i="4" s="1"/>
  <c r="I130" i="4"/>
  <c r="H130" i="4"/>
  <c r="K130" i="4" s="1"/>
  <c r="I129" i="4"/>
  <c r="H129" i="4"/>
  <c r="K129" i="4" s="1"/>
  <c r="I128" i="4"/>
  <c r="H128" i="4"/>
  <c r="K128" i="4" s="1"/>
  <c r="I127" i="4"/>
  <c r="H127" i="4"/>
  <c r="K127" i="4" s="1"/>
  <c r="I126" i="4"/>
  <c r="H126" i="4"/>
  <c r="K126" i="4" s="1"/>
  <c r="I125" i="4"/>
  <c r="H125" i="4"/>
  <c r="K125" i="4" s="1"/>
  <c r="I124" i="4"/>
  <c r="H124" i="4"/>
  <c r="K124" i="4" s="1"/>
  <c r="I123" i="4"/>
  <c r="H123" i="4"/>
  <c r="K123" i="4" s="1"/>
  <c r="I122" i="4"/>
  <c r="H122" i="4"/>
  <c r="K122" i="4" s="1"/>
  <c r="I121" i="4"/>
  <c r="H121" i="4"/>
  <c r="K121" i="4" s="1"/>
  <c r="I120" i="4"/>
  <c r="H120" i="4"/>
  <c r="K120" i="4" s="1"/>
  <c r="I119" i="4"/>
  <c r="H119" i="4"/>
  <c r="K119" i="4" s="1"/>
  <c r="I118" i="4"/>
  <c r="H118" i="4"/>
  <c r="K118" i="4" s="1"/>
  <c r="I117" i="4"/>
  <c r="H117" i="4"/>
  <c r="K117" i="4" s="1"/>
  <c r="I116" i="4"/>
  <c r="H116" i="4"/>
  <c r="K116" i="4" s="1"/>
  <c r="I115" i="4"/>
  <c r="H115" i="4"/>
  <c r="K115" i="4" s="1"/>
  <c r="I114" i="4"/>
  <c r="H114" i="4"/>
  <c r="K114" i="4" s="1"/>
  <c r="I113" i="4"/>
  <c r="H113" i="4"/>
  <c r="K113" i="4" s="1"/>
  <c r="I112" i="4"/>
  <c r="H112" i="4"/>
  <c r="K112" i="4" s="1"/>
  <c r="I111" i="4"/>
  <c r="H111" i="4"/>
  <c r="K111" i="4" s="1"/>
  <c r="I110" i="4"/>
  <c r="H110" i="4"/>
  <c r="K110" i="4" s="1"/>
  <c r="I109" i="4"/>
  <c r="H109" i="4"/>
  <c r="K109" i="4" s="1"/>
  <c r="I108" i="4"/>
  <c r="H108" i="4"/>
  <c r="K108" i="4" s="1"/>
  <c r="I107" i="4"/>
  <c r="H107" i="4"/>
  <c r="K107" i="4" s="1"/>
  <c r="I106" i="4"/>
  <c r="H106" i="4"/>
  <c r="K106" i="4" s="1"/>
  <c r="I105" i="4"/>
  <c r="H105" i="4"/>
  <c r="K105" i="4" s="1"/>
  <c r="I104" i="4"/>
  <c r="H104" i="4"/>
  <c r="K104" i="4" s="1"/>
  <c r="I103" i="4"/>
  <c r="H103" i="4"/>
  <c r="K103" i="4" s="1"/>
  <c r="I102" i="4"/>
  <c r="H102" i="4"/>
  <c r="K102" i="4" s="1"/>
  <c r="I101" i="4"/>
  <c r="H101" i="4"/>
  <c r="K101" i="4" s="1"/>
  <c r="I100" i="4"/>
  <c r="H100" i="4"/>
  <c r="K100" i="4" s="1"/>
  <c r="I99" i="4"/>
  <c r="H99" i="4"/>
  <c r="K99" i="4" s="1"/>
  <c r="I98" i="4"/>
  <c r="H98" i="4"/>
  <c r="K98" i="4" s="1"/>
  <c r="I97" i="4"/>
  <c r="H97" i="4"/>
  <c r="K97" i="4" s="1"/>
  <c r="I96" i="4"/>
  <c r="H96" i="4"/>
  <c r="K96" i="4" s="1"/>
  <c r="I95" i="4"/>
  <c r="H95" i="4"/>
  <c r="K95" i="4" s="1"/>
  <c r="I94" i="4"/>
  <c r="H94" i="4"/>
  <c r="K94" i="4" s="1"/>
  <c r="I93" i="4"/>
  <c r="H93" i="4"/>
  <c r="K93" i="4" s="1"/>
  <c r="I92" i="4"/>
  <c r="H92" i="4"/>
  <c r="K92" i="4" s="1"/>
  <c r="I91" i="4"/>
  <c r="H91" i="4"/>
  <c r="K91" i="4" s="1"/>
  <c r="I90" i="4"/>
  <c r="H90" i="4"/>
  <c r="K90" i="4" s="1"/>
  <c r="I89" i="4"/>
  <c r="H89" i="4"/>
  <c r="K89" i="4" s="1"/>
  <c r="I88" i="4"/>
  <c r="H88" i="4"/>
  <c r="K88" i="4" s="1"/>
  <c r="I87" i="4"/>
  <c r="H87" i="4"/>
  <c r="K87" i="4" s="1"/>
  <c r="I86" i="4"/>
  <c r="H86" i="4"/>
  <c r="K86" i="4" s="1"/>
  <c r="I85" i="4"/>
  <c r="H85" i="4"/>
  <c r="K85" i="4" s="1"/>
  <c r="I84" i="4"/>
  <c r="H84" i="4"/>
  <c r="K84" i="4" s="1"/>
  <c r="H83" i="4"/>
  <c r="K83" i="4" s="1"/>
  <c r="I83" i="4"/>
  <c r="I82" i="4"/>
  <c r="H82" i="4"/>
  <c r="K82" i="4" s="1"/>
  <c r="I81" i="4"/>
  <c r="H81" i="4"/>
  <c r="K81" i="4" s="1"/>
  <c r="I80" i="4"/>
  <c r="H80" i="4"/>
  <c r="K80" i="4" s="1"/>
  <c r="I79" i="4"/>
  <c r="H79" i="4"/>
  <c r="K79" i="4" s="1"/>
  <c r="I78" i="4"/>
  <c r="H78" i="4"/>
  <c r="K78" i="4" s="1"/>
  <c r="I77" i="4"/>
  <c r="H77" i="4"/>
  <c r="K77" i="4" s="1"/>
  <c r="I76" i="4"/>
  <c r="H76" i="4"/>
  <c r="K76" i="4" s="1"/>
  <c r="I75" i="4"/>
  <c r="H75" i="4"/>
  <c r="K75" i="4" s="1"/>
  <c r="I74" i="4"/>
  <c r="H74" i="4"/>
  <c r="K74" i="4" s="1"/>
  <c r="I73" i="4"/>
  <c r="H73" i="4"/>
  <c r="K73" i="4" s="1"/>
  <c r="I72" i="4"/>
  <c r="H72" i="4"/>
  <c r="K72" i="4" s="1"/>
  <c r="I71" i="4"/>
  <c r="H71" i="4"/>
  <c r="K71" i="4" s="1"/>
  <c r="I70" i="4"/>
  <c r="H70" i="4"/>
  <c r="K70" i="4" s="1"/>
  <c r="I69" i="4"/>
  <c r="H69" i="4"/>
  <c r="K69" i="4" s="1"/>
  <c r="I68" i="4"/>
  <c r="H68" i="4"/>
  <c r="K68" i="4" s="1"/>
  <c r="I67" i="4"/>
  <c r="H67" i="4"/>
  <c r="K67" i="4" s="1"/>
  <c r="I66" i="4"/>
  <c r="H66" i="4"/>
  <c r="K66" i="4" s="1"/>
  <c r="I65" i="4"/>
  <c r="H65" i="4"/>
  <c r="K65" i="4" s="1"/>
  <c r="I64" i="4"/>
  <c r="H64" i="4"/>
  <c r="K64" i="4" s="1"/>
  <c r="I63" i="4"/>
  <c r="H63" i="4"/>
  <c r="K63" i="4" s="1"/>
  <c r="I62" i="4"/>
  <c r="H62" i="4"/>
  <c r="K62" i="4" s="1"/>
  <c r="I61" i="4"/>
  <c r="H61" i="4"/>
  <c r="K61" i="4" s="1"/>
  <c r="I60" i="4"/>
  <c r="H60" i="4"/>
  <c r="K60" i="4" s="1"/>
  <c r="I59" i="4"/>
  <c r="H59" i="4"/>
  <c r="K59" i="4" s="1"/>
  <c r="I58" i="4"/>
  <c r="H58" i="4"/>
  <c r="K58" i="4" s="1"/>
  <c r="I57" i="4"/>
  <c r="H57" i="4"/>
  <c r="K57" i="4" s="1"/>
  <c r="I56" i="4"/>
  <c r="H56" i="4"/>
  <c r="K56" i="4" s="1"/>
  <c r="I55" i="4"/>
  <c r="H55" i="4"/>
  <c r="K55" i="4" s="1"/>
  <c r="I54" i="4"/>
  <c r="H54" i="4"/>
  <c r="K54" i="4" s="1"/>
  <c r="I53" i="4"/>
  <c r="H53" i="4"/>
  <c r="K53" i="4" s="1"/>
  <c r="I52" i="4"/>
  <c r="H52" i="4"/>
  <c r="K52" i="4" s="1"/>
  <c r="I51" i="4"/>
  <c r="H51" i="4"/>
  <c r="K51" i="4" s="1"/>
  <c r="I50" i="4"/>
  <c r="H50" i="4"/>
  <c r="K50" i="4" s="1"/>
  <c r="I49" i="4"/>
  <c r="H49" i="4"/>
  <c r="K49" i="4" s="1"/>
  <c r="I48" i="4"/>
  <c r="H48" i="4"/>
  <c r="K48" i="4" s="1"/>
  <c r="I47" i="4"/>
  <c r="H47" i="4"/>
  <c r="K47" i="4" s="1"/>
  <c r="I46" i="4"/>
  <c r="H46" i="4"/>
  <c r="K46" i="4" s="1"/>
  <c r="I45" i="4"/>
  <c r="H45" i="4"/>
  <c r="K45" i="4" s="1"/>
  <c r="I44" i="4"/>
  <c r="H44" i="4"/>
  <c r="K44" i="4" s="1"/>
  <c r="H43" i="4"/>
  <c r="K43" i="4" s="1"/>
  <c r="I43" i="4"/>
  <c r="I42" i="4"/>
  <c r="H42" i="4"/>
  <c r="K42" i="4" s="1"/>
  <c r="I41" i="4"/>
  <c r="H41" i="4"/>
  <c r="K41" i="4" s="1"/>
  <c r="I40" i="4"/>
  <c r="H40" i="4"/>
  <c r="K40" i="4" s="1"/>
  <c r="I39" i="4"/>
  <c r="H39" i="4"/>
  <c r="K39" i="4" s="1"/>
  <c r="I38" i="4"/>
  <c r="H38" i="4"/>
  <c r="K38" i="4" s="1"/>
  <c r="I37" i="4"/>
  <c r="H37" i="4"/>
  <c r="K37" i="4" s="1"/>
  <c r="I36" i="4"/>
  <c r="H36" i="4"/>
  <c r="K36" i="4" s="1"/>
  <c r="I35" i="4"/>
  <c r="H35" i="4"/>
  <c r="K35" i="4" s="1"/>
  <c r="I34" i="4"/>
  <c r="H34" i="4"/>
  <c r="K34" i="4" s="1"/>
  <c r="I33" i="4"/>
  <c r="H33" i="4"/>
  <c r="K33" i="4" s="1"/>
  <c r="I32" i="4"/>
  <c r="H32" i="4"/>
  <c r="K32" i="4" s="1"/>
  <c r="I31" i="4"/>
  <c r="H31" i="4"/>
  <c r="K31" i="4" s="1"/>
  <c r="I30" i="4"/>
  <c r="H30" i="4"/>
  <c r="K30" i="4" s="1"/>
  <c r="I29" i="4"/>
  <c r="H29" i="4"/>
  <c r="K29" i="4" s="1"/>
  <c r="I28" i="4"/>
  <c r="H28" i="4"/>
  <c r="K28" i="4" s="1"/>
  <c r="I27" i="4"/>
  <c r="H27" i="4"/>
  <c r="K27" i="4" s="1"/>
  <c r="I26" i="4"/>
  <c r="H26" i="4"/>
  <c r="K26" i="4" s="1"/>
  <c r="I25" i="4"/>
  <c r="H25" i="4"/>
  <c r="K25" i="4" s="1"/>
  <c r="I24" i="4"/>
  <c r="H24" i="4"/>
  <c r="K24" i="4" s="1"/>
  <c r="I23" i="4"/>
  <c r="H23" i="4"/>
  <c r="K23" i="4" s="1"/>
  <c r="I22" i="4"/>
  <c r="H22" i="4"/>
  <c r="K22" i="4" s="1"/>
  <c r="I21" i="4"/>
  <c r="H21" i="4"/>
  <c r="K21" i="4" s="1"/>
  <c r="I20" i="4"/>
  <c r="H20" i="4"/>
  <c r="K20" i="4" s="1"/>
  <c r="H19" i="4"/>
  <c r="K19" i="4" s="1"/>
  <c r="I19" i="4"/>
  <c r="I18" i="4"/>
  <c r="H18" i="4"/>
  <c r="K18" i="4" s="1"/>
  <c r="I17" i="4"/>
  <c r="H17" i="4"/>
  <c r="K17" i="4" s="1"/>
  <c r="I16" i="4"/>
  <c r="H16" i="4"/>
  <c r="K16" i="4" s="1"/>
  <c r="I15" i="4"/>
  <c r="H15" i="4"/>
  <c r="K15" i="4" s="1"/>
  <c r="I14" i="4"/>
  <c r="H14" i="4"/>
  <c r="K14" i="4" s="1"/>
  <c r="I13" i="4"/>
  <c r="H13" i="4"/>
  <c r="K13" i="4" s="1"/>
  <c r="I12" i="4"/>
  <c r="H12" i="4"/>
  <c r="K12" i="4" s="1"/>
  <c r="H11" i="4"/>
  <c r="K11" i="4" s="1"/>
  <c r="I11" i="4"/>
  <c r="I10" i="4"/>
  <c r="H10" i="4"/>
  <c r="K10" i="4" s="1"/>
  <c r="I9" i="4"/>
  <c r="H9" i="4"/>
  <c r="K9" i="4" s="1"/>
  <c r="I8" i="4"/>
  <c r="H8" i="4"/>
  <c r="K8" i="4" s="1"/>
  <c r="I7" i="4"/>
  <c r="H7" i="4"/>
  <c r="K7" i="4" s="1"/>
  <c r="I6" i="4"/>
  <c r="H6" i="4"/>
  <c r="K6" i="4" s="1"/>
  <c r="I5" i="4"/>
  <c r="H5" i="4"/>
  <c r="K5" i="4" s="1"/>
  <c r="I4" i="4"/>
  <c r="H4" i="4"/>
  <c r="K4" i="4" s="1"/>
  <c r="I3" i="4"/>
  <c r="H3" i="4"/>
  <c r="K3" i="4" s="1"/>
  <c r="I2" i="4"/>
  <c r="H2" i="4"/>
  <c r="J819" i="4"/>
  <c r="N819" i="4" s="1"/>
  <c r="R819" i="3"/>
  <c r="J818" i="4"/>
  <c r="N818" i="4" s="1"/>
  <c r="R818" i="3"/>
  <c r="J817" i="4"/>
  <c r="N817" i="4" s="1"/>
  <c r="R817" i="3"/>
  <c r="J816" i="4"/>
  <c r="N816" i="4" s="1"/>
  <c r="R816" i="3"/>
  <c r="J815" i="4"/>
  <c r="N815" i="4" s="1"/>
  <c r="R815" i="3"/>
  <c r="J814" i="4"/>
  <c r="N814" i="4" s="1"/>
  <c r="R814" i="3"/>
  <c r="J813" i="4"/>
  <c r="N813" i="4" s="1"/>
  <c r="R813" i="3"/>
  <c r="J812" i="4"/>
  <c r="N812" i="4" s="1"/>
  <c r="R812" i="3"/>
  <c r="J811" i="4"/>
  <c r="N811" i="4" s="1"/>
  <c r="R811" i="3"/>
  <c r="J810" i="4"/>
  <c r="N810" i="4" s="1"/>
  <c r="R810" i="3"/>
  <c r="J809" i="4"/>
  <c r="N809" i="4" s="1"/>
  <c r="R809" i="3"/>
  <c r="J808" i="4"/>
  <c r="N808" i="4" s="1"/>
  <c r="R808" i="3"/>
  <c r="J807" i="4"/>
  <c r="N807" i="4" s="1"/>
  <c r="R807" i="3"/>
  <c r="J806" i="4"/>
  <c r="N806" i="4" s="1"/>
  <c r="R806" i="3"/>
  <c r="J805" i="4"/>
  <c r="N805" i="4" s="1"/>
  <c r="R805" i="3"/>
  <c r="J804" i="4"/>
  <c r="N804" i="4" s="1"/>
  <c r="R804" i="3"/>
  <c r="J803" i="4"/>
  <c r="N803" i="4" s="1"/>
  <c r="R803" i="3"/>
  <c r="J802" i="4"/>
  <c r="N802" i="4" s="1"/>
  <c r="R802" i="3"/>
  <c r="I818" i="4"/>
  <c r="H818" i="4"/>
  <c r="K818" i="4" s="1"/>
  <c r="I816" i="4"/>
  <c r="H816" i="4"/>
  <c r="K816" i="4" s="1"/>
  <c r="I815" i="4"/>
  <c r="H815" i="4"/>
  <c r="K815" i="4" s="1"/>
  <c r="I814" i="4"/>
  <c r="H814" i="4"/>
  <c r="K814" i="4" s="1"/>
  <c r="I812" i="4"/>
  <c r="H812" i="4"/>
  <c r="K812" i="4" s="1"/>
  <c r="I810" i="4"/>
  <c r="H810" i="4"/>
  <c r="K810" i="4" s="1"/>
  <c r="I808" i="4"/>
  <c r="H808" i="4"/>
  <c r="K808" i="4" s="1"/>
  <c r="I806" i="4"/>
  <c r="H806" i="4"/>
  <c r="K806" i="4" s="1"/>
  <c r="I804" i="4"/>
  <c r="H804" i="4"/>
  <c r="K804" i="4" s="1"/>
  <c r="I802" i="4"/>
  <c r="H802" i="4"/>
  <c r="K802" i="4" s="1"/>
  <c r="P758" i="3"/>
  <c r="P750" i="3"/>
  <c r="P454" i="3"/>
  <c r="P766" i="3"/>
  <c r="P781" i="3"/>
  <c r="P749" i="3"/>
  <c r="P725" i="3"/>
  <c r="P701" i="3"/>
  <c r="P685" i="3"/>
  <c r="P661" i="3"/>
  <c r="P645" i="3"/>
  <c r="P629" i="3"/>
  <c r="P613" i="3"/>
  <c r="P573" i="3"/>
  <c r="P557" i="3"/>
  <c r="P541" i="3"/>
  <c r="P525" i="3"/>
  <c r="P509" i="3"/>
  <c r="P461" i="3"/>
  <c r="P782" i="3"/>
  <c r="P797" i="3"/>
  <c r="P765" i="3"/>
  <c r="P741" i="3"/>
  <c r="P709" i="3"/>
  <c r="P693" i="3"/>
  <c r="P669" i="3"/>
  <c r="P653" i="3"/>
  <c r="P637" i="3"/>
  <c r="P621" i="3"/>
  <c r="P605" i="3"/>
  <c r="P597" i="3"/>
  <c r="P589" i="3"/>
  <c r="P581" i="3"/>
  <c r="P565" i="3"/>
  <c r="P549" i="3"/>
  <c r="P533" i="3"/>
  <c r="P517" i="3"/>
  <c r="P501" i="3"/>
  <c r="P796" i="3"/>
  <c r="P788" i="3"/>
  <c r="P780" i="3"/>
  <c r="P772" i="3"/>
  <c r="P764" i="3"/>
  <c r="P756" i="3"/>
  <c r="P748" i="3"/>
  <c r="P740" i="3"/>
  <c r="P732" i="3"/>
  <c r="P724" i="3"/>
  <c r="P716" i="3"/>
  <c r="P708" i="3"/>
  <c r="P700" i="3"/>
  <c r="P692" i="3"/>
  <c r="P684" i="3"/>
  <c r="P676" i="3"/>
  <c r="P668" i="3"/>
  <c r="P660" i="3"/>
  <c r="P652" i="3"/>
  <c r="P644" i="3"/>
  <c r="P636" i="3"/>
  <c r="P628" i="3"/>
  <c r="P620" i="3"/>
  <c r="P612" i="3"/>
  <c r="P604" i="3"/>
  <c r="P596" i="3"/>
  <c r="P588" i="3"/>
  <c r="P580" i="3"/>
  <c r="P572" i="3"/>
  <c r="P564" i="3"/>
  <c r="P556" i="3"/>
  <c r="P548" i="3"/>
  <c r="P540" i="3"/>
  <c r="P532" i="3"/>
  <c r="P524" i="3"/>
  <c r="P516" i="3"/>
  <c r="P508" i="3"/>
  <c r="P500" i="3"/>
  <c r="P492" i="3"/>
  <c r="P484" i="3"/>
  <c r="P476" i="3"/>
  <c r="P468" i="3"/>
  <c r="P460" i="3"/>
  <c r="P452" i="3"/>
  <c r="P444" i="3"/>
  <c r="P436" i="3"/>
  <c r="P428" i="3"/>
  <c r="P420" i="3"/>
  <c r="P412" i="3"/>
  <c r="P404" i="3"/>
  <c r="P396" i="3"/>
  <c r="P388" i="3"/>
  <c r="P380" i="3"/>
  <c r="P372" i="3"/>
  <c r="P364" i="3"/>
  <c r="P356" i="3"/>
  <c r="P348" i="3"/>
  <c r="P340" i="3"/>
  <c r="P332" i="3"/>
  <c r="P324" i="3"/>
  <c r="P316" i="3"/>
  <c r="P308" i="3"/>
  <c r="P300" i="3"/>
  <c r="P292" i="3"/>
  <c r="P284" i="3"/>
  <c r="P276" i="3"/>
  <c r="P268" i="3"/>
  <c r="P260" i="3"/>
  <c r="P252" i="3"/>
  <c r="P244" i="3"/>
  <c r="P236" i="3"/>
  <c r="P228" i="3"/>
  <c r="P220" i="3"/>
  <c r="P212" i="3"/>
  <c r="P204" i="3"/>
  <c r="P196" i="3"/>
  <c r="P188" i="3"/>
  <c r="P180" i="3"/>
  <c r="P172" i="3"/>
  <c r="P164" i="3"/>
  <c r="P156" i="3"/>
  <c r="P148" i="3"/>
  <c r="P140" i="3"/>
  <c r="P132" i="3"/>
  <c r="P124" i="3"/>
  <c r="P116" i="3"/>
  <c r="P108" i="3"/>
  <c r="P100" i="3"/>
  <c r="P92" i="3"/>
  <c r="P84" i="3"/>
  <c r="P76" i="3"/>
  <c r="P68" i="3"/>
  <c r="P60" i="3"/>
  <c r="P52" i="3"/>
  <c r="P44" i="3"/>
  <c r="P36" i="3"/>
  <c r="P28" i="3"/>
  <c r="P20" i="3"/>
  <c r="P12" i="3"/>
  <c r="P4" i="3"/>
  <c r="P774" i="3"/>
  <c r="P789" i="3"/>
  <c r="P757" i="3"/>
  <c r="P733" i="3"/>
  <c r="P677" i="3"/>
  <c r="P795" i="3"/>
  <c r="P787" i="3"/>
  <c r="P779" i="3"/>
  <c r="P771" i="3"/>
  <c r="P763" i="3"/>
  <c r="P755" i="3"/>
  <c r="P747" i="3"/>
  <c r="P739" i="3"/>
  <c r="P731" i="3"/>
  <c r="P723" i="3"/>
  <c r="P715" i="3"/>
  <c r="P707" i="3"/>
  <c r="P699" i="3"/>
  <c r="P691" i="3"/>
  <c r="P683" i="3"/>
  <c r="P675" i="3"/>
  <c r="P667" i="3"/>
  <c r="P659" i="3"/>
  <c r="P651" i="3"/>
  <c r="P643" i="3"/>
  <c r="P635" i="3"/>
  <c r="P627" i="3"/>
  <c r="P619" i="3"/>
  <c r="P611" i="3"/>
  <c r="P603" i="3"/>
  <c r="P595" i="3"/>
  <c r="P587" i="3"/>
  <c r="P579" i="3"/>
  <c r="P571" i="3"/>
  <c r="P563" i="3"/>
  <c r="P555" i="3"/>
  <c r="P547" i="3"/>
  <c r="P539" i="3"/>
  <c r="P531" i="3"/>
  <c r="P523" i="3"/>
  <c r="P515" i="3"/>
  <c r="P507" i="3"/>
  <c r="P499" i="3"/>
  <c r="P491" i="3"/>
  <c r="P483" i="3"/>
  <c r="P475" i="3"/>
  <c r="P467" i="3"/>
  <c r="P459" i="3"/>
  <c r="P451" i="3"/>
  <c r="P443" i="3"/>
  <c r="P435" i="3"/>
  <c r="P427" i="3"/>
  <c r="P419" i="3"/>
  <c r="P411" i="3"/>
  <c r="P403" i="3"/>
  <c r="P395" i="3"/>
  <c r="P387" i="3"/>
  <c r="P379" i="3"/>
  <c r="P371" i="3"/>
  <c r="P363" i="3"/>
  <c r="P355" i="3"/>
  <c r="P347" i="3"/>
  <c r="P339" i="3"/>
  <c r="P331" i="3"/>
  <c r="P323" i="3"/>
  <c r="P315" i="3"/>
  <c r="P307" i="3"/>
  <c r="P299" i="3"/>
  <c r="P291" i="3"/>
  <c r="P283" i="3"/>
  <c r="P275" i="3"/>
  <c r="P267" i="3"/>
  <c r="P259" i="3"/>
  <c r="P251" i="3"/>
  <c r="P243" i="3"/>
  <c r="P235" i="3"/>
  <c r="P227" i="3"/>
  <c r="P219" i="3"/>
  <c r="P211" i="3"/>
  <c r="P203" i="3"/>
  <c r="P195" i="3"/>
  <c r="P187" i="3"/>
  <c r="P179" i="3"/>
  <c r="P171" i="3"/>
  <c r="P163" i="3"/>
  <c r="P155" i="3"/>
  <c r="P147" i="3"/>
  <c r="P139" i="3"/>
  <c r="P131" i="3"/>
  <c r="P123" i="3"/>
  <c r="P115" i="3"/>
  <c r="P107" i="3"/>
  <c r="P99" i="3"/>
  <c r="P91" i="3"/>
  <c r="P83" i="3"/>
  <c r="P75" i="3"/>
  <c r="P67" i="3"/>
  <c r="P59" i="3"/>
  <c r="P51" i="3"/>
  <c r="P43" i="3"/>
  <c r="P35" i="3"/>
  <c r="P27" i="3"/>
  <c r="P19" i="3"/>
  <c r="P11" i="3"/>
  <c r="P3" i="3"/>
  <c r="P734" i="3"/>
  <c r="P773" i="3"/>
  <c r="P717" i="3"/>
  <c r="P2" i="3"/>
  <c r="P818" i="3"/>
  <c r="P819" i="3"/>
  <c r="P802" i="3"/>
  <c r="P803" i="3"/>
  <c r="P810" i="3"/>
  <c r="P811" i="3"/>
  <c r="P794" i="3"/>
  <c r="P786" i="3"/>
  <c r="P778" i="3"/>
  <c r="P770" i="3"/>
  <c r="P762" i="3"/>
  <c r="P754" i="3"/>
  <c r="P746" i="3"/>
  <c r="P738" i="3"/>
  <c r="P730" i="3"/>
  <c r="P722" i="3"/>
  <c r="P714" i="3"/>
  <c r="P706" i="3"/>
  <c r="P698" i="3"/>
  <c r="P690" i="3"/>
  <c r="P682" i="3"/>
  <c r="P674" i="3"/>
  <c r="P666" i="3"/>
  <c r="P658" i="3"/>
  <c r="P650" i="3"/>
  <c r="P642" i="3"/>
  <c r="P634" i="3"/>
  <c r="P626" i="3"/>
  <c r="P618" i="3"/>
  <c r="P610" i="3"/>
  <c r="P602" i="3"/>
  <c r="P594" i="3"/>
  <c r="P586" i="3"/>
  <c r="P578" i="3"/>
  <c r="P570" i="3"/>
  <c r="P562" i="3"/>
  <c r="P554" i="3"/>
  <c r="P546" i="3"/>
  <c r="P538" i="3"/>
  <c r="P530" i="3"/>
  <c r="P522" i="3"/>
  <c r="P514" i="3"/>
  <c r="P506" i="3"/>
  <c r="P498" i="3"/>
  <c r="P490" i="3"/>
  <c r="P482" i="3"/>
  <c r="P474" i="3"/>
  <c r="P466" i="3"/>
  <c r="P458" i="3"/>
  <c r="P450" i="3"/>
  <c r="P442" i="3"/>
  <c r="P434" i="3"/>
  <c r="P426" i="3"/>
  <c r="P418" i="3"/>
  <c r="P410" i="3"/>
  <c r="P402" i="3"/>
  <c r="P394" i="3"/>
  <c r="P386" i="3"/>
  <c r="P378" i="3"/>
  <c r="P370" i="3"/>
  <c r="P362" i="3"/>
  <c r="P354" i="3"/>
  <c r="P346" i="3"/>
  <c r="P338" i="3"/>
  <c r="P330" i="3"/>
  <c r="P322" i="3"/>
  <c r="P314" i="3"/>
  <c r="P306" i="3"/>
  <c r="P298" i="3"/>
  <c r="P290" i="3"/>
  <c r="P282" i="3"/>
  <c r="P274" i="3"/>
  <c r="P266" i="3"/>
  <c r="P258" i="3"/>
  <c r="P250" i="3"/>
  <c r="P242" i="3"/>
  <c r="P234" i="3"/>
  <c r="P226" i="3"/>
  <c r="P218" i="3"/>
  <c r="P210" i="3"/>
  <c r="P202" i="3"/>
  <c r="P194" i="3"/>
  <c r="P186" i="3"/>
  <c r="P178" i="3"/>
  <c r="P170" i="3"/>
  <c r="P162" i="3"/>
  <c r="P154" i="3"/>
  <c r="P146" i="3"/>
  <c r="P138" i="3"/>
  <c r="P130" i="3"/>
  <c r="P122" i="3"/>
  <c r="P114" i="3"/>
  <c r="P106" i="3"/>
  <c r="P98" i="3"/>
  <c r="P90" i="3"/>
  <c r="P82" i="3"/>
  <c r="P74" i="3"/>
  <c r="P66" i="3"/>
  <c r="P58" i="3"/>
  <c r="P50" i="3"/>
  <c r="P42" i="3"/>
  <c r="P34" i="3"/>
  <c r="P26" i="3"/>
  <c r="P18" i="3"/>
  <c r="P10" i="3"/>
  <c r="P817" i="3"/>
  <c r="P809" i="3"/>
  <c r="P790" i="3"/>
  <c r="P742" i="3"/>
  <c r="P801" i="3"/>
  <c r="P793" i="3"/>
  <c r="P785" i="3"/>
  <c r="P777" i="3"/>
  <c r="P769" i="3"/>
  <c r="P761" i="3"/>
  <c r="P753" i="3"/>
  <c r="P745" i="3"/>
  <c r="P737" i="3"/>
  <c r="P729" i="3"/>
  <c r="P721" i="3"/>
  <c r="P713" i="3"/>
  <c r="P705" i="3"/>
  <c r="P697" i="3"/>
  <c r="P689" i="3"/>
  <c r="P681" i="3"/>
  <c r="P673" i="3"/>
  <c r="P665" i="3"/>
  <c r="P657" i="3"/>
  <c r="P649" i="3"/>
  <c r="P641" i="3"/>
  <c r="P633" i="3"/>
  <c r="P625" i="3"/>
  <c r="P617" i="3"/>
  <c r="P609" i="3"/>
  <c r="P601" i="3"/>
  <c r="P593" i="3"/>
  <c r="P585" i="3"/>
  <c r="P577" i="3"/>
  <c r="P569" i="3"/>
  <c r="P561" i="3"/>
  <c r="P553" i="3"/>
  <c r="P545" i="3"/>
  <c r="P537" i="3"/>
  <c r="P529" i="3"/>
  <c r="P521" i="3"/>
  <c r="P513" i="3"/>
  <c r="P505" i="3"/>
  <c r="P497" i="3"/>
  <c r="P489" i="3"/>
  <c r="P481" i="3"/>
  <c r="P473" i="3"/>
  <c r="P465" i="3"/>
  <c r="P457" i="3"/>
  <c r="P449" i="3"/>
  <c r="P441" i="3"/>
  <c r="P433" i="3"/>
  <c r="P425" i="3"/>
  <c r="P417" i="3"/>
  <c r="P409" i="3"/>
  <c r="P401" i="3"/>
  <c r="P393" i="3"/>
  <c r="P385" i="3"/>
  <c r="P377" i="3"/>
  <c r="P369" i="3"/>
  <c r="P361" i="3"/>
  <c r="P353" i="3"/>
  <c r="P345" i="3"/>
  <c r="P337" i="3"/>
  <c r="P329" i="3"/>
  <c r="P321" i="3"/>
  <c r="P313" i="3"/>
  <c r="P305" i="3"/>
  <c r="P297" i="3"/>
  <c r="P289" i="3"/>
  <c r="P281" i="3"/>
  <c r="P273" i="3"/>
  <c r="P265" i="3"/>
  <c r="P257" i="3"/>
  <c r="P249" i="3"/>
  <c r="P241" i="3"/>
  <c r="P233" i="3"/>
  <c r="P225" i="3"/>
  <c r="P217" i="3"/>
  <c r="P209" i="3"/>
  <c r="P201" i="3"/>
  <c r="P193" i="3"/>
  <c r="P185" i="3"/>
  <c r="P177" i="3"/>
  <c r="P169" i="3"/>
  <c r="P161" i="3"/>
  <c r="P153" i="3"/>
  <c r="P145" i="3"/>
  <c r="P137" i="3"/>
  <c r="P129" i="3"/>
  <c r="P121" i="3"/>
  <c r="P113" i="3"/>
  <c r="P105" i="3"/>
  <c r="P97" i="3"/>
  <c r="P89" i="3"/>
  <c r="P81" i="3"/>
  <c r="P73" i="3"/>
  <c r="P65" i="3"/>
  <c r="P57" i="3"/>
  <c r="P49" i="3"/>
  <c r="P41" i="3"/>
  <c r="P33" i="3"/>
  <c r="P25" i="3"/>
  <c r="P17" i="3"/>
  <c r="P9" i="3"/>
  <c r="P798" i="3"/>
  <c r="P800" i="3"/>
  <c r="P792" i="3"/>
  <c r="P784" i="3"/>
  <c r="P776" i="3"/>
  <c r="P768" i="3"/>
  <c r="P760" i="3"/>
  <c r="P752" i="3"/>
  <c r="P744" i="3"/>
  <c r="P736" i="3"/>
  <c r="P728" i="3"/>
  <c r="P720" i="3"/>
  <c r="P712" i="3"/>
  <c r="P704" i="3"/>
  <c r="P696" i="3"/>
  <c r="P688" i="3"/>
  <c r="P680" i="3"/>
  <c r="P672" i="3"/>
  <c r="P664" i="3"/>
  <c r="P656" i="3"/>
  <c r="P648" i="3"/>
  <c r="P640" i="3"/>
  <c r="P632" i="3"/>
  <c r="P624" i="3"/>
  <c r="P616" i="3"/>
  <c r="P608" i="3"/>
  <c r="P600" i="3"/>
  <c r="P592" i="3"/>
  <c r="P584" i="3"/>
  <c r="P576" i="3"/>
  <c r="P568" i="3"/>
  <c r="P560" i="3"/>
  <c r="P552" i="3"/>
  <c r="P544" i="3"/>
  <c r="P536" i="3"/>
  <c r="P528" i="3"/>
  <c r="P520" i="3"/>
  <c r="P512" i="3"/>
  <c r="P504" i="3"/>
  <c r="P496" i="3"/>
  <c r="P488" i="3"/>
  <c r="P480" i="3"/>
  <c r="P472" i="3"/>
  <c r="P464" i="3"/>
  <c r="P456" i="3"/>
  <c r="P448" i="3"/>
  <c r="P440" i="3"/>
  <c r="P432" i="3"/>
  <c r="P424" i="3"/>
  <c r="P416" i="3"/>
  <c r="P408" i="3"/>
  <c r="P400" i="3"/>
  <c r="P392" i="3"/>
  <c r="P384" i="3"/>
  <c r="P376" i="3"/>
  <c r="P368" i="3"/>
  <c r="P360" i="3"/>
  <c r="P352" i="3"/>
  <c r="P344" i="3"/>
  <c r="P336" i="3"/>
  <c r="P328" i="3"/>
  <c r="P320" i="3"/>
  <c r="P312" i="3"/>
  <c r="P304" i="3"/>
  <c r="P296" i="3"/>
  <c r="P288" i="3"/>
  <c r="P280" i="3"/>
  <c r="P272" i="3"/>
  <c r="P264" i="3"/>
  <c r="P256" i="3"/>
  <c r="P248" i="3"/>
  <c r="P240" i="3"/>
  <c r="P232" i="3"/>
  <c r="P224" i="3"/>
  <c r="P216" i="3"/>
  <c r="P208" i="3"/>
  <c r="P200" i="3"/>
  <c r="P192" i="3"/>
  <c r="P184" i="3"/>
  <c r="P176" i="3"/>
  <c r="P168" i="3"/>
  <c r="P160" i="3"/>
  <c r="P152" i="3"/>
  <c r="P144" i="3"/>
  <c r="P136" i="3"/>
  <c r="P128" i="3"/>
  <c r="P120" i="3"/>
  <c r="P112" i="3"/>
  <c r="P104" i="3"/>
  <c r="P96" i="3"/>
  <c r="P88" i="3"/>
  <c r="P80" i="3"/>
  <c r="P72" i="3"/>
  <c r="P64" i="3"/>
  <c r="P56" i="3"/>
  <c r="P48" i="3"/>
  <c r="P40" i="3"/>
  <c r="P32" i="3"/>
  <c r="P24" i="3"/>
  <c r="P16" i="3"/>
  <c r="P8" i="3"/>
  <c r="P711" i="3"/>
  <c r="P703" i="3"/>
  <c r="P695" i="3"/>
  <c r="P687" i="3"/>
  <c r="P679" i="3"/>
  <c r="P671" i="3"/>
  <c r="P663" i="3"/>
  <c r="P655" i="3"/>
  <c r="P647" i="3"/>
  <c r="P639" i="3"/>
  <c r="P631" i="3"/>
  <c r="P623" i="3"/>
  <c r="P615" i="3"/>
  <c r="P607" i="3"/>
  <c r="P599" i="3"/>
  <c r="P591" i="3"/>
  <c r="P583" i="3"/>
  <c r="P575" i="3"/>
  <c r="P567" i="3"/>
  <c r="P559" i="3"/>
  <c r="P551" i="3"/>
  <c r="P543" i="3"/>
  <c r="P535" i="3"/>
  <c r="P527" i="3"/>
  <c r="P519" i="3"/>
  <c r="P511" i="3"/>
  <c r="P503" i="3"/>
  <c r="P495" i="3"/>
  <c r="P487" i="3"/>
  <c r="P479" i="3"/>
  <c r="P471" i="3"/>
  <c r="P463" i="3"/>
  <c r="P455" i="3"/>
  <c r="P447" i="3"/>
  <c r="P439" i="3"/>
  <c r="P431" i="3"/>
  <c r="P423" i="3"/>
  <c r="P415" i="3"/>
  <c r="P407" i="3"/>
  <c r="P399" i="3"/>
  <c r="P391" i="3"/>
  <c r="P383" i="3"/>
  <c r="P375" i="3"/>
  <c r="P367" i="3"/>
  <c r="P359" i="3"/>
  <c r="P351" i="3"/>
  <c r="P343" i="3"/>
  <c r="P335" i="3"/>
  <c r="P327" i="3"/>
  <c r="P319" i="3"/>
  <c r="P311" i="3"/>
  <c r="P303" i="3"/>
  <c r="P295" i="3"/>
  <c r="P287" i="3"/>
  <c r="P279" i="3"/>
  <c r="P271" i="3"/>
  <c r="P263" i="3"/>
  <c r="P255" i="3"/>
  <c r="P247" i="3"/>
  <c r="P239" i="3"/>
  <c r="P231" i="3"/>
  <c r="P223" i="3"/>
  <c r="P215" i="3"/>
  <c r="P207" i="3"/>
  <c r="P199" i="3"/>
  <c r="P191" i="3"/>
  <c r="P183" i="3"/>
  <c r="P175" i="3"/>
  <c r="P167" i="3"/>
  <c r="P159" i="3"/>
  <c r="P151" i="3"/>
  <c r="P143" i="3"/>
  <c r="P135" i="3"/>
  <c r="P127" i="3"/>
  <c r="P119" i="3"/>
  <c r="P111" i="3"/>
  <c r="P103" i="3"/>
  <c r="P95" i="3"/>
  <c r="P87" i="3"/>
  <c r="P79" i="3"/>
  <c r="P71" i="3"/>
  <c r="P63" i="3"/>
  <c r="P55" i="3"/>
  <c r="P47" i="3"/>
  <c r="P39" i="3"/>
  <c r="P31" i="3"/>
  <c r="P23" i="3"/>
  <c r="P15" i="3"/>
  <c r="P7" i="3"/>
  <c r="P816" i="3"/>
  <c r="P808" i="3"/>
  <c r="P815" i="3"/>
  <c r="P807" i="3"/>
  <c r="P814" i="3"/>
  <c r="P806" i="3"/>
  <c r="P813" i="3"/>
  <c r="P805" i="3"/>
  <c r="P812" i="3"/>
  <c r="P804" i="3"/>
  <c r="G771" i="3"/>
  <c r="E771" i="4" s="1"/>
  <c r="G723" i="3"/>
  <c r="E723" i="4" s="1"/>
  <c r="G683" i="3"/>
  <c r="E683" i="4" s="1"/>
  <c r="G635" i="3"/>
  <c r="E635" i="4" s="1"/>
  <c r="G571" i="3"/>
  <c r="E571" i="4" s="1"/>
  <c r="G515" i="3"/>
  <c r="E515" i="4" s="1"/>
  <c r="G459" i="3"/>
  <c r="E459" i="4" s="1"/>
  <c r="G403" i="3"/>
  <c r="E403" i="4" s="1"/>
  <c r="G347" i="3"/>
  <c r="E347" i="4" s="1"/>
  <c r="G291" i="3"/>
  <c r="E291" i="4" s="1"/>
  <c r="G235" i="3"/>
  <c r="E235" i="4" s="1"/>
  <c r="G171" i="3"/>
  <c r="E171" i="4" s="1"/>
  <c r="G115" i="3"/>
  <c r="E115" i="4" s="1"/>
  <c r="G91" i="3"/>
  <c r="E91" i="4" s="1"/>
  <c r="G35" i="3"/>
  <c r="E35" i="4" s="1"/>
  <c r="G32" i="3"/>
  <c r="E32" i="4" s="1"/>
  <c r="G795" i="3"/>
  <c r="E795" i="4" s="1"/>
  <c r="G747" i="3"/>
  <c r="E747" i="4" s="1"/>
  <c r="G699" i="3"/>
  <c r="E699" i="4" s="1"/>
  <c r="G651" i="3"/>
  <c r="E651" i="4" s="1"/>
  <c r="G603" i="3"/>
  <c r="E603" i="4" s="1"/>
  <c r="G547" i="3"/>
  <c r="E547" i="4" s="1"/>
  <c r="G483" i="3"/>
  <c r="E483" i="4" s="1"/>
  <c r="G427" i="3"/>
  <c r="E427" i="4" s="1"/>
  <c r="G371" i="3"/>
  <c r="E371" i="4" s="1"/>
  <c r="G323" i="3"/>
  <c r="E323" i="4" s="1"/>
  <c r="G267" i="3"/>
  <c r="E267" i="4" s="1"/>
  <c r="G211" i="3"/>
  <c r="E211" i="4" s="1"/>
  <c r="G139" i="3"/>
  <c r="E139" i="4" s="1"/>
  <c r="G67" i="3"/>
  <c r="E67" i="4" s="1"/>
  <c r="G24" i="3"/>
  <c r="E24" i="4" s="1"/>
  <c r="G739" i="3"/>
  <c r="E739" i="4" s="1"/>
  <c r="G675" i="3"/>
  <c r="E675" i="4" s="1"/>
  <c r="G539" i="3"/>
  <c r="E539" i="4" s="1"/>
  <c r="G475" i="3"/>
  <c r="E475" i="4" s="1"/>
  <c r="G419" i="3"/>
  <c r="E419" i="4" s="1"/>
  <c r="G363" i="3"/>
  <c r="E363" i="4" s="1"/>
  <c r="G307" i="3"/>
  <c r="E307" i="4" s="1"/>
  <c r="G251" i="3"/>
  <c r="E251" i="4" s="1"/>
  <c r="G187" i="3"/>
  <c r="E187" i="4" s="1"/>
  <c r="G123" i="3"/>
  <c r="E123" i="4" s="1"/>
  <c r="G59" i="3"/>
  <c r="E59" i="4" s="1"/>
  <c r="G779" i="3"/>
  <c r="E779" i="4" s="1"/>
  <c r="G731" i="3"/>
  <c r="E731" i="4" s="1"/>
  <c r="G691" i="3"/>
  <c r="E691" i="4" s="1"/>
  <c r="G643" i="3"/>
  <c r="E643" i="4" s="1"/>
  <c r="G587" i="3"/>
  <c r="E587" i="4" s="1"/>
  <c r="G523" i="3"/>
  <c r="E523" i="4" s="1"/>
  <c r="G467" i="3"/>
  <c r="E467" i="4" s="1"/>
  <c r="G411" i="3"/>
  <c r="E411" i="4" s="1"/>
  <c r="G355" i="3"/>
  <c r="E355" i="4" s="1"/>
  <c r="G299" i="3"/>
  <c r="E299" i="4" s="1"/>
  <c r="G243" i="3"/>
  <c r="E243" i="4" s="1"/>
  <c r="G195" i="3"/>
  <c r="E195" i="4" s="1"/>
  <c r="G155" i="3"/>
  <c r="E155" i="4" s="1"/>
  <c r="G107" i="3"/>
  <c r="E107" i="4" s="1"/>
  <c r="G43" i="3"/>
  <c r="E43" i="4" s="1"/>
  <c r="G18" i="3"/>
  <c r="E18" i="4" s="1"/>
  <c r="G797" i="3"/>
  <c r="E797" i="4" s="1"/>
  <c r="G789" i="3"/>
  <c r="E789" i="4" s="1"/>
  <c r="G781" i="3"/>
  <c r="E781" i="4" s="1"/>
  <c r="G765" i="3"/>
  <c r="E765" i="4" s="1"/>
  <c r="G757" i="3"/>
  <c r="E757" i="4" s="1"/>
  <c r="G749" i="3"/>
  <c r="E749" i="4" s="1"/>
  <c r="G741" i="3"/>
  <c r="E741" i="4" s="1"/>
  <c r="G733" i="3"/>
  <c r="E733" i="4" s="1"/>
  <c r="G725" i="3"/>
  <c r="E725" i="4" s="1"/>
  <c r="G717" i="3"/>
  <c r="E717" i="4" s="1"/>
  <c r="G709" i="3"/>
  <c r="E709" i="4" s="1"/>
  <c r="G701" i="3"/>
  <c r="E701" i="4" s="1"/>
  <c r="G693" i="3"/>
  <c r="E693" i="4" s="1"/>
  <c r="G685" i="3"/>
  <c r="E685" i="4" s="1"/>
  <c r="G677" i="3"/>
  <c r="E677" i="4" s="1"/>
  <c r="G669" i="3"/>
  <c r="E669" i="4" s="1"/>
  <c r="G16" i="3"/>
  <c r="E16" i="4" s="1"/>
  <c r="G755" i="3"/>
  <c r="E755" i="4" s="1"/>
  <c r="G707" i="3"/>
  <c r="E707" i="4" s="1"/>
  <c r="G667" i="3"/>
  <c r="E667" i="4" s="1"/>
  <c r="G619" i="3"/>
  <c r="E619" i="4" s="1"/>
  <c r="G579" i="3"/>
  <c r="E579" i="4" s="1"/>
  <c r="G531" i="3"/>
  <c r="E531" i="4" s="1"/>
  <c r="G491" i="3"/>
  <c r="E491" i="4" s="1"/>
  <c r="G443" i="3"/>
  <c r="E443" i="4" s="1"/>
  <c r="G387" i="3"/>
  <c r="E387" i="4" s="1"/>
  <c r="G331" i="3"/>
  <c r="E331" i="4" s="1"/>
  <c r="G283" i="3"/>
  <c r="E283" i="4" s="1"/>
  <c r="G227" i="3"/>
  <c r="E227" i="4" s="1"/>
  <c r="G179" i="3"/>
  <c r="E179" i="4" s="1"/>
  <c r="G131" i="3"/>
  <c r="E131" i="4" s="1"/>
  <c r="G99" i="3"/>
  <c r="E99" i="4" s="1"/>
  <c r="G51" i="3"/>
  <c r="E51" i="4" s="1"/>
  <c r="G26" i="3"/>
  <c r="E26" i="4" s="1"/>
  <c r="G10" i="3"/>
  <c r="E10" i="4" s="1"/>
  <c r="G773" i="3"/>
  <c r="E773" i="4" s="1"/>
  <c r="G8" i="3"/>
  <c r="E8" i="4" s="1"/>
  <c r="G763" i="3"/>
  <c r="E763" i="4" s="1"/>
  <c r="G611" i="3"/>
  <c r="E611" i="4" s="1"/>
  <c r="G555" i="3"/>
  <c r="E555" i="4" s="1"/>
  <c r="G499" i="3"/>
  <c r="E499" i="4" s="1"/>
  <c r="G435" i="3"/>
  <c r="E435" i="4" s="1"/>
  <c r="G379" i="3"/>
  <c r="E379" i="4" s="1"/>
  <c r="G315" i="3"/>
  <c r="E315" i="4" s="1"/>
  <c r="G259" i="3"/>
  <c r="E259" i="4" s="1"/>
  <c r="G203" i="3"/>
  <c r="E203" i="4" s="1"/>
  <c r="G147" i="3"/>
  <c r="E147" i="4" s="1"/>
  <c r="G75" i="3"/>
  <c r="E75" i="4" s="1"/>
  <c r="G787" i="3"/>
  <c r="E787" i="4" s="1"/>
  <c r="G715" i="3"/>
  <c r="E715" i="4" s="1"/>
  <c r="G563" i="3"/>
  <c r="E563" i="4" s="1"/>
  <c r="G507" i="3"/>
  <c r="E507" i="4" s="1"/>
  <c r="G451" i="3"/>
  <c r="E451" i="4" s="1"/>
  <c r="G395" i="3"/>
  <c r="E395" i="4" s="1"/>
  <c r="G339" i="3"/>
  <c r="E339" i="4" s="1"/>
  <c r="G275" i="3"/>
  <c r="E275" i="4" s="1"/>
  <c r="G219" i="3"/>
  <c r="E219" i="4" s="1"/>
  <c r="G163" i="3"/>
  <c r="E163" i="4" s="1"/>
  <c r="G83" i="3"/>
  <c r="E83" i="4" s="1"/>
  <c r="G676" i="3"/>
  <c r="E676" i="4" s="1"/>
  <c r="G668" i="3"/>
  <c r="E668" i="4" s="1"/>
  <c r="G660" i="3"/>
  <c r="E660" i="4" s="1"/>
  <c r="G652" i="3"/>
  <c r="E652" i="4" s="1"/>
  <c r="G644" i="3"/>
  <c r="E644" i="4" s="1"/>
  <c r="G636" i="3"/>
  <c r="E636" i="4" s="1"/>
  <c r="G628" i="3"/>
  <c r="E628" i="4" s="1"/>
  <c r="G620" i="3"/>
  <c r="E620" i="4" s="1"/>
  <c r="G612" i="3"/>
  <c r="E612" i="4" s="1"/>
  <c r="G604" i="3"/>
  <c r="E604" i="4" s="1"/>
  <c r="G596" i="3"/>
  <c r="E596" i="4" s="1"/>
  <c r="G588" i="3"/>
  <c r="E588" i="4" s="1"/>
  <c r="G580" i="3"/>
  <c r="E580" i="4" s="1"/>
  <c r="G572" i="3"/>
  <c r="E572" i="4" s="1"/>
  <c r="G564" i="3"/>
  <c r="E564" i="4" s="1"/>
  <c r="G556" i="3"/>
  <c r="E556" i="4" s="1"/>
  <c r="G548" i="3"/>
  <c r="E548" i="4" s="1"/>
  <c r="G540" i="3"/>
  <c r="E540" i="4" s="1"/>
  <c r="G532" i="3"/>
  <c r="E532" i="4" s="1"/>
  <c r="G524" i="3"/>
  <c r="E524" i="4" s="1"/>
  <c r="G516" i="3"/>
  <c r="E516" i="4" s="1"/>
  <c r="G508" i="3"/>
  <c r="E508" i="4" s="1"/>
  <c r="G500" i="3"/>
  <c r="E500" i="4" s="1"/>
  <c r="G492" i="3"/>
  <c r="E492" i="4" s="1"/>
  <c r="G484" i="3"/>
  <c r="E484" i="4" s="1"/>
  <c r="G476" i="3"/>
  <c r="E476" i="4" s="1"/>
  <c r="G468" i="3"/>
  <c r="E468" i="4" s="1"/>
  <c r="G460" i="3"/>
  <c r="E460" i="4" s="1"/>
  <c r="G452" i="3"/>
  <c r="E452" i="4" s="1"/>
  <c r="G444" i="3"/>
  <c r="E444" i="4" s="1"/>
  <c r="G436" i="3"/>
  <c r="E436" i="4" s="1"/>
  <c r="G428" i="3"/>
  <c r="E428" i="4" s="1"/>
  <c r="G420" i="3"/>
  <c r="E420" i="4" s="1"/>
  <c r="G412" i="3"/>
  <c r="E412" i="4" s="1"/>
  <c r="G404" i="3"/>
  <c r="E404" i="4" s="1"/>
  <c r="G396" i="3"/>
  <c r="E396" i="4" s="1"/>
  <c r="G388" i="3"/>
  <c r="E388" i="4" s="1"/>
  <c r="G380" i="3"/>
  <c r="E380" i="4" s="1"/>
  <c r="G372" i="3"/>
  <c r="E372" i="4" s="1"/>
  <c r="G364" i="3"/>
  <c r="E364" i="4" s="1"/>
  <c r="G356" i="3"/>
  <c r="E356" i="4" s="1"/>
  <c r="G348" i="3"/>
  <c r="E348" i="4" s="1"/>
  <c r="G340" i="3"/>
  <c r="E340" i="4" s="1"/>
  <c r="G332" i="3"/>
  <c r="E332" i="4" s="1"/>
  <c r="G324" i="3"/>
  <c r="E324" i="4" s="1"/>
  <c r="G316" i="3"/>
  <c r="E316" i="4" s="1"/>
  <c r="G308" i="3"/>
  <c r="E308" i="4" s="1"/>
  <c r="G300" i="3"/>
  <c r="E300" i="4" s="1"/>
  <c r="G292" i="3"/>
  <c r="E292" i="4" s="1"/>
  <c r="G284" i="3"/>
  <c r="E284" i="4" s="1"/>
  <c r="G276" i="3"/>
  <c r="E276" i="4" s="1"/>
  <c r="G268" i="3"/>
  <c r="E268" i="4" s="1"/>
  <c r="G260" i="3"/>
  <c r="E260" i="4" s="1"/>
  <c r="G252" i="3"/>
  <c r="E252" i="4" s="1"/>
  <c r="G244" i="3"/>
  <c r="E244" i="4" s="1"/>
  <c r="G236" i="3"/>
  <c r="E236" i="4" s="1"/>
  <c r="G228" i="3"/>
  <c r="E228" i="4" s="1"/>
  <c r="G220" i="3"/>
  <c r="E220" i="4" s="1"/>
  <c r="G212" i="3"/>
  <c r="E212" i="4" s="1"/>
  <c r="G204" i="3"/>
  <c r="E204" i="4" s="1"/>
  <c r="G196" i="3"/>
  <c r="E196" i="4" s="1"/>
  <c r="G188" i="3"/>
  <c r="E188" i="4" s="1"/>
  <c r="G180" i="3"/>
  <c r="E180" i="4" s="1"/>
  <c r="G172" i="3"/>
  <c r="E172" i="4" s="1"/>
  <c r="G164" i="3"/>
  <c r="E164" i="4" s="1"/>
  <c r="G156" i="3"/>
  <c r="E156" i="4" s="1"/>
  <c r="G148" i="3"/>
  <c r="E148" i="4" s="1"/>
  <c r="G140" i="3"/>
  <c r="E140" i="4" s="1"/>
  <c r="G132" i="3"/>
  <c r="E132" i="4" s="1"/>
  <c r="G124" i="3"/>
  <c r="E124" i="4" s="1"/>
  <c r="G116" i="3"/>
  <c r="E116" i="4" s="1"/>
  <c r="G108" i="3"/>
  <c r="E108" i="4" s="1"/>
  <c r="G100" i="3"/>
  <c r="E100" i="4" s="1"/>
  <c r="G92" i="3"/>
  <c r="E92" i="4" s="1"/>
  <c r="G84" i="3"/>
  <c r="E84" i="4" s="1"/>
  <c r="G76" i="3"/>
  <c r="E76" i="4" s="1"/>
  <c r="G68" i="3"/>
  <c r="E68" i="4" s="1"/>
  <c r="G60" i="3"/>
  <c r="E60" i="4" s="1"/>
  <c r="G52" i="3"/>
  <c r="E52" i="4" s="1"/>
  <c r="G44" i="3"/>
  <c r="E44" i="4" s="1"/>
  <c r="G36" i="3"/>
  <c r="E36" i="4" s="1"/>
  <c r="G7" i="3"/>
  <c r="E7" i="4" s="1"/>
  <c r="G370" i="3"/>
  <c r="E370" i="4" s="1"/>
  <c r="G362" i="3"/>
  <c r="E362" i="4" s="1"/>
  <c r="G354" i="3"/>
  <c r="E354" i="4" s="1"/>
  <c r="G346" i="3"/>
  <c r="E346" i="4" s="1"/>
  <c r="G338" i="3"/>
  <c r="E338" i="4" s="1"/>
  <c r="G330" i="3"/>
  <c r="E330" i="4" s="1"/>
  <c r="G322" i="3"/>
  <c r="E322" i="4" s="1"/>
  <c r="G314" i="3"/>
  <c r="E314" i="4" s="1"/>
  <c r="G306" i="3"/>
  <c r="E306" i="4" s="1"/>
  <c r="G298" i="3"/>
  <c r="E298" i="4" s="1"/>
  <c r="G290" i="3"/>
  <c r="E290" i="4" s="1"/>
  <c r="G282" i="3"/>
  <c r="E282" i="4" s="1"/>
  <c r="G274" i="3"/>
  <c r="E274" i="4" s="1"/>
  <c r="G266" i="3"/>
  <c r="E266" i="4" s="1"/>
  <c r="G258" i="3"/>
  <c r="E258" i="4" s="1"/>
  <c r="G250" i="3"/>
  <c r="E250" i="4" s="1"/>
  <c r="G242" i="3"/>
  <c r="E242" i="4" s="1"/>
  <c r="G234" i="3"/>
  <c r="E234" i="4" s="1"/>
  <c r="G226" i="3"/>
  <c r="E226" i="4" s="1"/>
  <c r="G218" i="3"/>
  <c r="E218" i="4" s="1"/>
  <c r="G210" i="3"/>
  <c r="E210" i="4" s="1"/>
  <c r="G202" i="3"/>
  <c r="E202" i="4" s="1"/>
  <c r="G194" i="3"/>
  <c r="E194" i="4" s="1"/>
  <c r="G186" i="3"/>
  <c r="E186" i="4" s="1"/>
  <c r="G178" i="3"/>
  <c r="E178" i="4" s="1"/>
  <c r="G170" i="3"/>
  <c r="E170" i="4" s="1"/>
  <c r="G162" i="3"/>
  <c r="E162" i="4" s="1"/>
  <c r="G154" i="3"/>
  <c r="E154" i="4" s="1"/>
  <c r="G146" i="3"/>
  <c r="E146" i="4" s="1"/>
  <c r="G138" i="3"/>
  <c r="E138" i="4" s="1"/>
  <c r="G130" i="3"/>
  <c r="E130" i="4" s="1"/>
  <c r="G122" i="3"/>
  <c r="E122" i="4" s="1"/>
  <c r="G114" i="3"/>
  <c r="E114" i="4" s="1"/>
  <c r="G106" i="3"/>
  <c r="E106" i="4" s="1"/>
  <c r="G98" i="3"/>
  <c r="E98" i="4" s="1"/>
  <c r="G90" i="3"/>
  <c r="E90" i="4" s="1"/>
  <c r="G82" i="3"/>
  <c r="E82" i="4" s="1"/>
  <c r="G74" i="3"/>
  <c r="E74" i="4" s="1"/>
  <c r="G66" i="3"/>
  <c r="E66" i="4" s="1"/>
  <c r="G58" i="3"/>
  <c r="E58" i="4" s="1"/>
  <c r="G50" i="3"/>
  <c r="E50" i="4" s="1"/>
  <c r="G42" i="3"/>
  <c r="E42" i="4" s="1"/>
  <c r="G34" i="3"/>
  <c r="E34" i="4" s="1"/>
  <c r="G14" i="3"/>
  <c r="E14" i="4" s="1"/>
  <c r="G22" i="3"/>
  <c r="E22" i="4" s="1"/>
  <c r="G29" i="3"/>
  <c r="E29" i="4" s="1"/>
  <c r="G21" i="3"/>
  <c r="E21" i="4" s="1"/>
  <c r="G13" i="3"/>
  <c r="E13" i="4" s="1"/>
  <c r="G5" i="3"/>
  <c r="E5" i="4" s="1"/>
  <c r="G680" i="3"/>
  <c r="E680" i="4" s="1"/>
  <c r="G672" i="3"/>
  <c r="E672" i="4" s="1"/>
  <c r="G664" i="3"/>
  <c r="E664" i="4" s="1"/>
  <c r="G656" i="3"/>
  <c r="E656" i="4" s="1"/>
  <c r="G648" i="3"/>
  <c r="E648" i="4" s="1"/>
  <c r="G640" i="3"/>
  <c r="E640" i="4" s="1"/>
  <c r="G632" i="3"/>
  <c r="E632" i="4" s="1"/>
  <c r="G624" i="3"/>
  <c r="E624" i="4" s="1"/>
  <c r="G616" i="3"/>
  <c r="E616" i="4" s="1"/>
  <c r="G608" i="3"/>
  <c r="E608" i="4" s="1"/>
  <c r="G600" i="3"/>
  <c r="E600" i="4" s="1"/>
  <c r="G592" i="3"/>
  <c r="E592" i="4" s="1"/>
  <c r="G584" i="3"/>
  <c r="E584" i="4" s="1"/>
  <c r="G576" i="3"/>
  <c r="E576" i="4" s="1"/>
  <c r="G568" i="3"/>
  <c r="E568" i="4" s="1"/>
  <c r="G560" i="3"/>
  <c r="E560" i="4" s="1"/>
  <c r="G552" i="3"/>
  <c r="E552" i="4" s="1"/>
  <c r="G544" i="3"/>
  <c r="E544" i="4" s="1"/>
  <c r="G536" i="3"/>
  <c r="E536" i="4" s="1"/>
  <c r="G528" i="3"/>
  <c r="E528" i="4" s="1"/>
  <c r="G520" i="3"/>
  <c r="E520" i="4" s="1"/>
  <c r="G512" i="3"/>
  <c r="E512" i="4" s="1"/>
  <c r="G504" i="3"/>
  <c r="E504" i="4" s="1"/>
  <c r="G496" i="3"/>
  <c r="E496" i="4" s="1"/>
  <c r="G488" i="3"/>
  <c r="E488" i="4" s="1"/>
  <c r="G480" i="3"/>
  <c r="E480" i="4" s="1"/>
  <c r="G472" i="3"/>
  <c r="E472" i="4" s="1"/>
  <c r="G464" i="3"/>
  <c r="E464" i="4" s="1"/>
  <c r="G456" i="3"/>
  <c r="E456" i="4" s="1"/>
  <c r="G448" i="3"/>
  <c r="E448" i="4" s="1"/>
  <c r="G440" i="3"/>
  <c r="E440" i="4" s="1"/>
  <c r="G432" i="3"/>
  <c r="E432" i="4" s="1"/>
  <c r="G424" i="3"/>
  <c r="E424" i="4" s="1"/>
  <c r="G416" i="3"/>
  <c r="E416" i="4" s="1"/>
  <c r="G408" i="3"/>
  <c r="E408" i="4" s="1"/>
  <c r="G400" i="3"/>
  <c r="E400" i="4" s="1"/>
  <c r="G392" i="3"/>
  <c r="E392" i="4" s="1"/>
  <c r="G384" i="3"/>
  <c r="E384" i="4" s="1"/>
  <c r="G376" i="3"/>
  <c r="E376" i="4" s="1"/>
  <c r="G368" i="3"/>
  <c r="E368" i="4" s="1"/>
  <c r="G360" i="3"/>
  <c r="E360" i="4" s="1"/>
  <c r="G352" i="3"/>
  <c r="E352" i="4" s="1"/>
  <c r="G344" i="3"/>
  <c r="E344" i="4" s="1"/>
  <c r="G336" i="3"/>
  <c r="E336" i="4" s="1"/>
  <c r="G328" i="3"/>
  <c r="E328" i="4" s="1"/>
  <c r="G320" i="3"/>
  <c r="E320" i="4" s="1"/>
  <c r="G312" i="3"/>
  <c r="E312" i="4" s="1"/>
  <c r="G304" i="3"/>
  <c r="E304" i="4" s="1"/>
  <c r="G296" i="3"/>
  <c r="E296" i="4" s="1"/>
  <c r="G288" i="3"/>
  <c r="E288" i="4" s="1"/>
  <c r="G280" i="3"/>
  <c r="E280" i="4" s="1"/>
  <c r="G272" i="3"/>
  <c r="E272" i="4" s="1"/>
  <c r="G264" i="3"/>
  <c r="E264" i="4" s="1"/>
  <c r="G256" i="3"/>
  <c r="E256" i="4" s="1"/>
  <c r="G248" i="3"/>
  <c r="E248" i="4" s="1"/>
  <c r="G240" i="3"/>
  <c r="E240" i="4" s="1"/>
  <c r="G232" i="3"/>
  <c r="E232" i="4" s="1"/>
  <c r="G224" i="3"/>
  <c r="E224" i="4" s="1"/>
  <c r="G216" i="3"/>
  <c r="E216" i="4" s="1"/>
  <c r="G208" i="3"/>
  <c r="E208" i="4" s="1"/>
  <c r="G200" i="3"/>
  <c r="E200" i="4" s="1"/>
  <c r="G192" i="3"/>
  <c r="E192" i="4" s="1"/>
  <c r="G184" i="3"/>
  <c r="E184" i="4" s="1"/>
  <c r="G176" i="3"/>
  <c r="E176" i="4" s="1"/>
  <c r="G168" i="3"/>
  <c r="E168" i="4" s="1"/>
  <c r="G160" i="3"/>
  <c r="E160" i="4" s="1"/>
  <c r="G152" i="3"/>
  <c r="E152" i="4" s="1"/>
  <c r="G144" i="3"/>
  <c r="E144" i="4" s="1"/>
  <c r="G136" i="3"/>
  <c r="E136" i="4" s="1"/>
  <c r="G128" i="3"/>
  <c r="E128" i="4" s="1"/>
  <c r="G120" i="3"/>
  <c r="E120" i="4" s="1"/>
  <c r="G112" i="3"/>
  <c r="E112" i="4" s="1"/>
  <c r="G104" i="3"/>
  <c r="E104" i="4" s="1"/>
  <c r="G96" i="3"/>
  <c r="E96" i="4" s="1"/>
  <c r="G88" i="3"/>
  <c r="E88" i="4" s="1"/>
  <c r="G80" i="3"/>
  <c r="E80" i="4" s="1"/>
  <c r="G72" i="3"/>
  <c r="E72" i="4" s="1"/>
  <c r="G64" i="3"/>
  <c r="E64" i="4" s="1"/>
  <c r="G56" i="3"/>
  <c r="E56" i="4" s="1"/>
  <c r="G48" i="3"/>
  <c r="E48" i="4" s="1"/>
  <c r="G40" i="3"/>
  <c r="E40" i="4" s="1"/>
  <c r="G30" i="3"/>
  <c r="E30" i="4" s="1"/>
  <c r="G6" i="3"/>
  <c r="E6" i="4" s="1"/>
  <c r="G28" i="3"/>
  <c r="E28" i="4" s="1"/>
  <c r="G20" i="3"/>
  <c r="E20" i="4" s="1"/>
  <c r="G12" i="3"/>
  <c r="E12" i="4" s="1"/>
  <c r="G4" i="3"/>
  <c r="E4" i="4" s="1"/>
  <c r="G27" i="3"/>
  <c r="E27" i="4" s="1"/>
  <c r="G19" i="3"/>
  <c r="E19" i="4" s="1"/>
  <c r="G11" i="3"/>
  <c r="E11" i="4" s="1"/>
  <c r="G3" i="3"/>
  <c r="E3" i="4" s="1"/>
  <c r="G430" i="3"/>
  <c r="E430" i="4" s="1"/>
  <c r="G422" i="3"/>
  <c r="E422" i="4" s="1"/>
  <c r="G414" i="3"/>
  <c r="E414" i="4" s="1"/>
  <c r="G406" i="3"/>
  <c r="E406" i="4" s="1"/>
  <c r="G398" i="3"/>
  <c r="E398" i="4" s="1"/>
  <c r="G390" i="3"/>
  <c r="E390" i="4" s="1"/>
  <c r="G382" i="3"/>
  <c r="E382" i="4" s="1"/>
  <c r="G374" i="3"/>
  <c r="E374" i="4" s="1"/>
  <c r="G366" i="3"/>
  <c r="E366" i="4" s="1"/>
  <c r="G358" i="3"/>
  <c r="E358" i="4" s="1"/>
  <c r="G350" i="3"/>
  <c r="E350" i="4" s="1"/>
  <c r="G342" i="3"/>
  <c r="E342" i="4" s="1"/>
  <c r="G334" i="3"/>
  <c r="E334" i="4" s="1"/>
  <c r="G326" i="3"/>
  <c r="E326" i="4" s="1"/>
  <c r="G318" i="3"/>
  <c r="E318" i="4" s="1"/>
  <c r="G310" i="3"/>
  <c r="E310" i="4" s="1"/>
  <c r="G302" i="3"/>
  <c r="E302" i="4" s="1"/>
  <c r="G294" i="3"/>
  <c r="E294" i="4" s="1"/>
  <c r="G286" i="3"/>
  <c r="E286" i="4" s="1"/>
  <c r="G278" i="3"/>
  <c r="E278" i="4" s="1"/>
  <c r="G270" i="3"/>
  <c r="E270" i="4" s="1"/>
  <c r="G262" i="3"/>
  <c r="E262" i="4" s="1"/>
  <c r="G254" i="3"/>
  <c r="E254" i="4" s="1"/>
  <c r="G246" i="3"/>
  <c r="E246" i="4" s="1"/>
  <c r="G238" i="3"/>
  <c r="E238" i="4" s="1"/>
  <c r="G230" i="3"/>
  <c r="E230" i="4" s="1"/>
  <c r="G222" i="3"/>
  <c r="E222" i="4" s="1"/>
  <c r="G214" i="3"/>
  <c r="E214" i="4" s="1"/>
  <c r="G206" i="3"/>
  <c r="E206" i="4" s="1"/>
  <c r="G198" i="3"/>
  <c r="E198" i="4" s="1"/>
  <c r="G190" i="3"/>
  <c r="E190" i="4" s="1"/>
  <c r="G182" i="3"/>
  <c r="E182" i="4" s="1"/>
  <c r="G174" i="3"/>
  <c r="E174" i="4" s="1"/>
  <c r="G166" i="3"/>
  <c r="E166" i="4" s="1"/>
  <c r="G158" i="3"/>
  <c r="E158" i="4" s="1"/>
  <c r="G150" i="3"/>
  <c r="E150" i="4" s="1"/>
  <c r="G142" i="3"/>
  <c r="E142" i="4" s="1"/>
  <c r="G134" i="3"/>
  <c r="E134" i="4" s="1"/>
  <c r="G126" i="3"/>
  <c r="E126" i="4" s="1"/>
  <c r="G118" i="3"/>
  <c r="E118" i="4" s="1"/>
  <c r="G110" i="3"/>
  <c r="E110" i="4" s="1"/>
  <c r="G102" i="3"/>
  <c r="E102" i="4" s="1"/>
  <c r="G94" i="3"/>
  <c r="E94" i="4" s="1"/>
  <c r="G86" i="3"/>
  <c r="E86" i="4" s="1"/>
  <c r="G78" i="3"/>
  <c r="E78" i="4" s="1"/>
  <c r="G70" i="3"/>
  <c r="E70" i="4" s="1"/>
  <c r="G62" i="3"/>
  <c r="E62" i="4" s="1"/>
  <c r="G54" i="3"/>
  <c r="E54" i="4" s="1"/>
  <c r="G46" i="3"/>
  <c r="E46" i="4" s="1"/>
  <c r="G38" i="3"/>
  <c r="E38" i="4" s="1"/>
  <c r="G317" i="3"/>
  <c r="E317" i="4" s="1"/>
  <c r="G309" i="3"/>
  <c r="E309" i="4" s="1"/>
  <c r="G301" i="3"/>
  <c r="E301" i="4" s="1"/>
  <c r="G293" i="3"/>
  <c r="E293" i="4" s="1"/>
  <c r="G285" i="3"/>
  <c r="E285" i="4" s="1"/>
  <c r="G277" i="3"/>
  <c r="E277" i="4" s="1"/>
  <c r="G269" i="3"/>
  <c r="E269" i="4" s="1"/>
  <c r="G261" i="3"/>
  <c r="E261" i="4" s="1"/>
  <c r="G253" i="3"/>
  <c r="E253" i="4" s="1"/>
  <c r="G245" i="3"/>
  <c r="E245" i="4" s="1"/>
  <c r="G237" i="3"/>
  <c r="E237" i="4" s="1"/>
  <c r="G229" i="3"/>
  <c r="E229" i="4" s="1"/>
  <c r="G221" i="3"/>
  <c r="E221" i="4" s="1"/>
  <c r="G213" i="3"/>
  <c r="E213" i="4" s="1"/>
  <c r="G205" i="3"/>
  <c r="E205" i="4" s="1"/>
  <c r="G197" i="3"/>
  <c r="E197" i="4" s="1"/>
  <c r="G189" i="3"/>
  <c r="E189" i="4" s="1"/>
  <c r="G181" i="3"/>
  <c r="E181" i="4" s="1"/>
  <c r="G173" i="3"/>
  <c r="E173" i="4" s="1"/>
  <c r="G165" i="3"/>
  <c r="E165" i="4" s="1"/>
  <c r="G157" i="3"/>
  <c r="E157" i="4" s="1"/>
  <c r="G109" i="3"/>
  <c r="E109" i="4" s="1"/>
  <c r="G93" i="3"/>
  <c r="E93" i="4" s="1"/>
  <c r="G53" i="3"/>
  <c r="E53" i="4" s="1"/>
  <c r="I786" i="1"/>
  <c r="I786" i="3" s="1"/>
  <c r="G786" i="4" s="1"/>
  <c r="S786" i="4" s="1"/>
  <c r="I722" i="1"/>
  <c r="I722" i="3" s="1"/>
  <c r="G722" i="4" s="1"/>
  <c r="S722" i="4" s="1"/>
  <c r="I666" i="1"/>
  <c r="I666" i="3" s="1"/>
  <c r="G666" i="4" s="1"/>
  <c r="S666" i="4" s="1"/>
  <c r="I594" i="1"/>
  <c r="I594" i="3" s="1"/>
  <c r="G594" i="4" s="1"/>
  <c r="S594" i="4" s="1"/>
  <c r="I530" i="1"/>
  <c r="I530" i="3" s="1"/>
  <c r="G530" i="4" s="1"/>
  <c r="S530" i="4" s="1"/>
  <c r="I466" i="1"/>
  <c r="I466" i="3" s="1"/>
  <c r="G466" i="4" s="1"/>
  <c r="S466" i="4" s="1"/>
  <c r="I418" i="1"/>
  <c r="I418" i="3" s="1"/>
  <c r="G418" i="4" s="1"/>
  <c r="S418" i="4" s="1"/>
  <c r="I354" i="1"/>
  <c r="I354" i="3" s="1"/>
  <c r="G354" i="4" s="1"/>
  <c r="S354" i="4" s="1"/>
  <c r="I282" i="1"/>
  <c r="I282" i="3" s="1"/>
  <c r="G282" i="4" s="1"/>
  <c r="S282" i="4" s="1"/>
  <c r="I210" i="1"/>
  <c r="I210" i="3" s="1"/>
  <c r="G210" i="4" s="1"/>
  <c r="S210" i="4" s="1"/>
  <c r="I154" i="1"/>
  <c r="I154" i="3" s="1"/>
  <c r="G154" i="4" s="1"/>
  <c r="S154" i="4" s="1"/>
  <c r="I74" i="1"/>
  <c r="I74" i="3" s="1"/>
  <c r="G74" i="4" s="1"/>
  <c r="S74" i="4" s="1"/>
  <c r="I778" i="1"/>
  <c r="I778" i="3" s="1"/>
  <c r="G778" i="4" s="1"/>
  <c r="S778" i="4" s="1"/>
  <c r="I746" i="1"/>
  <c r="I746" i="3" s="1"/>
  <c r="G746" i="4" s="1"/>
  <c r="S746" i="4" s="1"/>
  <c r="I714" i="1"/>
  <c r="I714" i="3" s="1"/>
  <c r="G714" i="4" s="1"/>
  <c r="S714" i="4" s="1"/>
  <c r="I690" i="1"/>
  <c r="I690" i="3" s="1"/>
  <c r="G690" i="4" s="1"/>
  <c r="S690" i="4" s="1"/>
  <c r="I658" i="1"/>
  <c r="I658" i="3" s="1"/>
  <c r="G658" i="4" s="1"/>
  <c r="S658" i="4" s="1"/>
  <c r="I634" i="1"/>
  <c r="I634" i="3" s="1"/>
  <c r="G634" i="4" s="1"/>
  <c r="S634" i="4" s="1"/>
  <c r="I610" i="1"/>
  <c r="I610" i="3" s="1"/>
  <c r="G610" i="4" s="1"/>
  <c r="S610" i="4" s="1"/>
  <c r="I570" i="1"/>
  <c r="I570" i="3" s="1"/>
  <c r="G570" i="4" s="1"/>
  <c r="S570" i="4" s="1"/>
  <c r="I538" i="1"/>
  <c r="I538" i="3" s="1"/>
  <c r="G538" i="4" s="1"/>
  <c r="S538" i="4" s="1"/>
  <c r="I506" i="1"/>
  <c r="I506" i="3" s="1"/>
  <c r="G506" i="4" s="1"/>
  <c r="S506" i="4" s="1"/>
  <c r="I474" i="1"/>
  <c r="I474" i="3" s="1"/>
  <c r="G474" i="4" s="1"/>
  <c r="S474" i="4" s="1"/>
  <c r="I442" i="1"/>
  <c r="I442" i="3" s="1"/>
  <c r="G442" i="4" s="1"/>
  <c r="S442" i="4" s="1"/>
  <c r="I410" i="1"/>
  <c r="I410" i="3" s="1"/>
  <c r="G410" i="4" s="1"/>
  <c r="S410" i="4" s="1"/>
  <c r="I386" i="1"/>
  <c r="I386" i="3" s="1"/>
  <c r="G386" i="4" s="1"/>
  <c r="S386" i="4" s="1"/>
  <c r="I362" i="1"/>
  <c r="I362" i="3" s="1"/>
  <c r="G362" i="4" s="1"/>
  <c r="S362" i="4" s="1"/>
  <c r="I330" i="1"/>
  <c r="I330" i="3" s="1"/>
  <c r="G330" i="4" s="1"/>
  <c r="S330" i="4" s="1"/>
  <c r="I306" i="1"/>
  <c r="I306" i="3" s="1"/>
  <c r="G306" i="4" s="1"/>
  <c r="S306" i="4" s="1"/>
  <c r="I274" i="1"/>
  <c r="I274" i="3" s="1"/>
  <c r="G274" i="4" s="1"/>
  <c r="S274" i="4" s="1"/>
  <c r="I250" i="1"/>
  <c r="I250" i="3" s="1"/>
  <c r="G250" i="4" s="1"/>
  <c r="S250" i="4" s="1"/>
  <c r="I218" i="1"/>
  <c r="I218" i="3" s="1"/>
  <c r="G218" i="4" s="1"/>
  <c r="S218" i="4" s="1"/>
  <c r="I186" i="1"/>
  <c r="I186" i="3" s="1"/>
  <c r="G186" i="4" s="1"/>
  <c r="S186" i="4" s="1"/>
  <c r="I170" i="1"/>
  <c r="I170" i="3" s="1"/>
  <c r="G170" i="4" s="1"/>
  <c r="S170" i="4" s="1"/>
  <c r="I138" i="1"/>
  <c r="I138" i="3" s="1"/>
  <c r="G138" i="4" s="1"/>
  <c r="S138" i="4" s="1"/>
  <c r="I122" i="1"/>
  <c r="I122" i="3" s="1"/>
  <c r="G122" i="4" s="1"/>
  <c r="S122" i="4" s="1"/>
  <c r="I98" i="1"/>
  <c r="I98" i="3" s="1"/>
  <c r="G98" i="4" s="1"/>
  <c r="S98" i="4" s="1"/>
  <c r="I66" i="1"/>
  <c r="I66" i="3" s="1"/>
  <c r="G66" i="4" s="1"/>
  <c r="S66" i="4" s="1"/>
  <c r="I42" i="1"/>
  <c r="I42" i="3" s="1"/>
  <c r="G42" i="4" s="1"/>
  <c r="S42" i="4" s="1"/>
  <c r="I793" i="1"/>
  <c r="I793" i="3" s="1"/>
  <c r="G793" i="4" s="1"/>
  <c r="S793" i="4" s="1"/>
  <c r="I785" i="1"/>
  <c r="I785" i="3" s="1"/>
  <c r="G785" i="4" s="1"/>
  <c r="S785" i="4" s="1"/>
  <c r="I777" i="1"/>
  <c r="I777" i="3" s="1"/>
  <c r="G777" i="4" s="1"/>
  <c r="S777" i="4" s="1"/>
  <c r="I769" i="1"/>
  <c r="I769" i="3" s="1"/>
  <c r="G769" i="4" s="1"/>
  <c r="S769" i="4" s="1"/>
  <c r="I761" i="1"/>
  <c r="I761" i="3" s="1"/>
  <c r="G761" i="4" s="1"/>
  <c r="S761" i="4" s="1"/>
  <c r="I753" i="1"/>
  <c r="I753" i="3" s="1"/>
  <c r="G753" i="4" s="1"/>
  <c r="S753" i="4" s="1"/>
  <c r="I745" i="1"/>
  <c r="I745" i="3" s="1"/>
  <c r="G745" i="4" s="1"/>
  <c r="S745" i="4" s="1"/>
  <c r="I737" i="1"/>
  <c r="I737" i="3" s="1"/>
  <c r="G737" i="4" s="1"/>
  <c r="S737" i="4" s="1"/>
  <c r="I729" i="1"/>
  <c r="I729" i="3" s="1"/>
  <c r="G729" i="4" s="1"/>
  <c r="S729" i="4" s="1"/>
  <c r="I721" i="1"/>
  <c r="I721" i="3" s="1"/>
  <c r="G721" i="4" s="1"/>
  <c r="S721" i="4" s="1"/>
  <c r="I713" i="1"/>
  <c r="I713" i="3" s="1"/>
  <c r="G713" i="4" s="1"/>
  <c r="S713" i="4" s="1"/>
  <c r="I705" i="1"/>
  <c r="I705" i="3" s="1"/>
  <c r="G705" i="4" s="1"/>
  <c r="S705" i="4" s="1"/>
  <c r="I697" i="1"/>
  <c r="I697" i="3" s="1"/>
  <c r="G697" i="4" s="1"/>
  <c r="S697" i="4" s="1"/>
  <c r="I689" i="1"/>
  <c r="I689" i="3" s="1"/>
  <c r="G689" i="4" s="1"/>
  <c r="S689" i="4" s="1"/>
  <c r="I794" i="1"/>
  <c r="I794" i="3" s="1"/>
  <c r="G794" i="4" s="1"/>
  <c r="S794" i="4" s="1"/>
  <c r="I762" i="1"/>
  <c r="I762" i="3" s="1"/>
  <c r="G762" i="4" s="1"/>
  <c r="S762" i="4" s="1"/>
  <c r="I738" i="1"/>
  <c r="I738" i="3" s="1"/>
  <c r="G738" i="4" s="1"/>
  <c r="S738" i="4" s="1"/>
  <c r="I706" i="1"/>
  <c r="I706" i="3" s="1"/>
  <c r="G706" i="4" s="1"/>
  <c r="S706" i="4" s="1"/>
  <c r="I682" i="1"/>
  <c r="I682" i="3" s="1"/>
  <c r="G682" i="4" s="1"/>
  <c r="S682" i="4" s="1"/>
  <c r="I650" i="1"/>
  <c r="I650" i="3" s="1"/>
  <c r="G650" i="4" s="1"/>
  <c r="S650" i="4" s="1"/>
  <c r="I618" i="1"/>
  <c r="I618" i="3" s="1"/>
  <c r="G618" i="4" s="1"/>
  <c r="S618" i="4" s="1"/>
  <c r="I586" i="1"/>
  <c r="I586" i="3" s="1"/>
  <c r="G586" i="4" s="1"/>
  <c r="S586" i="4" s="1"/>
  <c r="I562" i="1"/>
  <c r="I562" i="3" s="1"/>
  <c r="G562" i="4" s="1"/>
  <c r="S562" i="4" s="1"/>
  <c r="I546" i="1"/>
  <c r="I546" i="3" s="1"/>
  <c r="G546" i="4" s="1"/>
  <c r="S546" i="4" s="1"/>
  <c r="I514" i="1"/>
  <c r="I514" i="3" s="1"/>
  <c r="G514" i="4" s="1"/>
  <c r="S514" i="4" s="1"/>
  <c r="I490" i="1"/>
  <c r="I490" i="3" s="1"/>
  <c r="G490" i="4" s="1"/>
  <c r="S490" i="4" s="1"/>
  <c r="I458" i="1"/>
  <c r="I458" i="3" s="1"/>
  <c r="G458" i="4" s="1"/>
  <c r="S458" i="4" s="1"/>
  <c r="I434" i="1"/>
  <c r="I434" i="3" s="1"/>
  <c r="G434" i="4" s="1"/>
  <c r="S434" i="4" s="1"/>
  <c r="I402" i="1"/>
  <c r="I402" i="3" s="1"/>
  <c r="G402" i="4" s="1"/>
  <c r="S402" i="4" s="1"/>
  <c r="I378" i="1"/>
  <c r="I378" i="3" s="1"/>
  <c r="G378" i="4" s="1"/>
  <c r="S378" i="4" s="1"/>
  <c r="I346" i="1"/>
  <c r="I346" i="3" s="1"/>
  <c r="G346" i="4" s="1"/>
  <c r="S346" i="4" s="1"/>
  <c r="I314" i="1"/>
  <c r="I314" i="3" s="1"/>
  <c r="G314" i="4" s="1"/>
  <c r="S314" i="4" s="1"/>
  <c r="I290" i="1"/>
  <c r="I290" i="3" s="1"/>
  <c r="G290" i="4" s="1"/>
  <c r="S290" i="4" s="1"/>
  <c r="I258" i="1"/>
  <c r="I258" i="3" s="1"/>
  <c r="G258" i="4" s="1"/>
  <c r="S258" i="4" s="1"/>
  <c r="I234" i="1"/>
  <c r="I234" i="3" s="1"/>
  <c r="G234" i="4" s="1"/>
  <c r="S234" i="4" s="1"/>
  <c r="I202" i="1"/>
  <c r="I202" i="3" s="1"/>
  <c r="G202" i="4" s="1"/>
  <c r="S202" i="4" s="1"/>
  <c r="I178" i="1"/>
  <c r="I178" i="3" s="1"/>
  <c r="G178" i="4" s="1"/>
  <c r="S178" i="4" s="1"/>
  <c r="I146" i="1"/>
  <c r="I146" i="3" s="1"/>
  <c r="G146" i="4" s="1"/>
  <c r="S146" i="4" s="1"/>
  <c r="I106" i="1"/>
  <c r="I106" i="3" s="1"/>
  <c r="G106" i="4" s="1"/>
  <c r="S106" i="4" s="1"/>
  <c r="I82" i="1"/>
  <c r="I82" i="3" s="1"/>
  <c r="G82" i="4" s="1"/>
  <c r="S82" i="4" s="1"/>
  <c r="I50" i="1"/>
  <c r="I50" i="3" s="1"/>
  <c r="G50" i="4" s="1"/>
  <c r="S50" i="4" s="1"/>
  <c r="I800" i="1"/>
  <c r="I800" i="3" s="1"/>
  <c r="G800" i="4" s="1"/>
  <c r="S800" i="4" s="1"/>
  <c r="I792" i="1"/>
  <c r="I792" i="3" s="1"/>
  <c r="G792" i="4" s="1"/>
  <c r="S792" i="4" s="1"/>
  <c r="I784" i="1"/>
  <c r="I784" i="3" s="1"/>
  <c r="G784" i="4" s="1"/>
  <c r="S784" i="4" s="1"/>
  <c r="I776" i="1"/>
  <c r="I776" i="3" s="1"/>
  <c r="G776" i="4" s="1"/>
  <c r="S776" i="4" s="1"/>
  <c r="I768" i="1"/>
  <c r="I768" i="3" s="1"/>
  <c r="G768" i="4" s="1"/>
  <c r="S768" i="4" s="1"/>
  <c r="I760" i="1"/>
  <c r="I760" i="3" s="1"/>
  <c r="G760" i="4" s="1"/>
  <c r="S760" i="4" s="1"/>
  <c r="I752" i="1"/>
  <c r="I752" i="3" s="1"/>
  <c r="G752" i="4" s="1"/>
  <c r="S752" i="4" s="1"/>
  <c r="I744" i="1"/>
  <c r="I744" i="3" s="1"/>
  <c r="G744" i="4" s="1"/>
  <c r="S744" i="4" s="1"/>
  <c r="I736" i="1"/>
  <c r="I736" i="3" s="1"/>
  <c r="G736" i="4" s="1"/>
  <c r="S736" i="4" s="1"/>
  <c r="I728" i="1"/>
  <c r="I728" i="3" s="1"/>
  <c r="G728" i="4" s="1"/>
  <c r="S728" i="4" s="1"/>
  <c r="I720" i="1"/>
  <c r="I720" i="3" s="1"/>
  <c r="G720" i="4" s="1"/>
  <c r="S720" i="4" s="1"/>
  <c r="I712" i="1"/>
  <c r="I712" i="3" s="1"/>
  <c r="G712" i="4" s="1"/>
  <c r="S712" i="4" s="1"/>
  <c r="I704" i="1"/>
  <c r="I704" i="3" s="1"/>
  <c r="G704" i="4" s="1"/>
  <c r="S704" i="4" s="1"/>
  <c r="I696" i="1"/>
  <c r="I696" i="3" s="1"/>
  <c r="G696" i="4" s="1"/>
  <c r="S696" i="4" s="1"/>
  <c r="I688" i="1"/>
  <c r="I688" i="3" s="1"/>
  <c r="G688" i="4" s="1"/>
  <c r="S688" i="4" s="1"/>
  <c r="I770" i="1"/>
  <c r="I770" i="3" s="1"/>
  <c r="G770" i="4" s="1"/>
  <c r="S770" i="4" s="1"/>
  <c r="I754" i="1"/>
  <c r="I754" i="3" s="1"/>
  <c r="G754" i="4" s="1"/>
  <c r="S754" i="4" s="1"/>
  <c r="I730" i="1"/>
  <c r="I730" i="3" s="1"/>
  <c r="G730" i="4" s="1"/>
  <c r="S730" i="4" s="1"/>
  <c r="I698" i="1"/>
  <c r="I698" i="3" s="1"/>
  <c r="G698" i="4" s="1"/>
  <c r="S698" i="4" s="1"/>
  <c r="I674" i="1"/>
  <c r="I674" i="3" s="1"/>
  <c r="G674" i="4" s="1"/>
  <c r="S674" i="4" s="1"/>
  <c r="I642" i="1"/>
  <c r="I642" i="3" s="1"/>
  <c r="G642" i="4" s="1"/>
  <c r="S642" i="4" s="1"/>
  <c r="I626" i="1"/>
  <c r="I626" i="3" s="1"/>
  <c r="G626" i="4" s="1"/>
  <c r="S626" i="4" s="1"/>
  <c r="I602" i="1"/>
  <c r="I602" i="3" s="1"/>
  <c r="G602" i="4" s="1"/>
  <c r="S602" i="4" s="1"/>
  <c r="I578" i="1"/>
  <c r="I578" i="3" s="1"/>
  <c r="G578" i="4" s="1"/>
  <c r="S578" i="4" s="1"/>
  <c r="I554" i="1"/>
  <c r="I554" i="3" s="1"/>
  <c r="G554" i="4" s="1"/>
  <c r="S554" i="4" s="1"/>
  <c r="I522" i="1"/>
  <c r="I522" i="3" s="1"/>
  <c r="G522" i="4" s="1"/>
  <c r="S522" i="4" s="1"/>
  <c r="I498" i="1"/>
  <c r="I498" i="3" s="1"/>
  <c r="G498" i="4" s="1"/>
  <c r="S498" i="4" s="1"/>
  <c r="I482" i="1"/>
  <c r="I482" i="3" s="1"/>
  <c r="G482" i="4" s="1"/>
  <c r="S482" i="4" s="1"/>
  <c r="I450" i="1"/>
  <c r="I450" i="3" s="1"/>
  <c r="G450" i="4" s="1"/>
  <c r="S450" i="4" s="1"/>
  <c r="I426" i="1"/>
  <c r="I426" i="3" s="1"/>
  <c r="G426" i="4" s="1"/>
  <c r="S426" i="4" s="1"/>
  <c r="I394" i="1"/>
  <c r="I394" i="3" s="1"/>
  <c r="G394" i="4" s="1"/>
  <c r="S394" i="4" s="1"/>
  <c r="I370" i="1"/>
  <c r="I370" i="3" s="1"/>
  <c r="G370" i="4" s="1"/>
  <c r="S370" i="4" s="1"/>
  <c r="I338" i="1"/>
  <c r="I338" i="3" s="1"/>
  <c r="G338" i="4" s="1"/>
  <c r="S338" i="4" s="1"/>
  <c r="I322" i="1"/>
  <c r="I322" i="3" s="1"/>
  <c r="G322" i="4" s="1"/>
  <c r="S322" i="4" s="1"/>
  <c r="I298" i="1"/>
  <c r="I298" i="3" s="1"/>
  <c r="G298" i="4" s="1"/>
  <c r="S298" i="4" s="1"/>
  <c r="I266" i="1"/>
  <c r="I266" i="3" s="1"/>
  <c r="G266" i="4" s="1"/>
  <c r="S266" i="4" s="1"/>
  <c r="I242" i="1"/>
  <c r="I242" i="3" s="1"/>
  <c r="G242" i="4" s="1"/>
  <c r="S242" i="4" s="1"/>
  <c r="I226" i="1"/>
  <c r="I226" i="3" s="1"/>
  <c r="G226" i="4" s="1"/>
  <c r="S226" i="4" s="1"/>
  <c r="I194" i="1"/>
  <c r="I194" i="3" s="1"/>
  <c r="G194" i="4" s="1"/>
  <c r="S194" i="4" s="1"/>
  <c r="I162" i="1"/>
  <c r="I162" i="3" s="1"/>
  <c r="G162" i="4" s="1"/>
  <c r="S162" i="4" s="1"/>
  <c r="I130" i="1"/>
  <c r="I130" i="3" s="1"/>
  <c r="G130" i="4" s="1"/>
  <c r="S130" i="4" s="1"/>
  <c r="I114" i="1"/>
  <c r="I114" i="3" s="1"/>
  <c r="G114" i="4" s="1"/>
  <c r="S114" i="4" s="1"/>
  <c r="I90" i="1"/>
  <c r="I90" i="3" s="1"/>
  <c r="G90" i="4" s="1"/>
  <c r="S90" i="4" s="1"/>
  <c r="I58" i="1"/>
  <c r="I58" i="3" s="1"/>
  <c r="G58" i="4" s="1"/>
  <c r="S58" i="4" s="1"/>
  <c r="I34" i="1"/>
  <c r="I34" i="3" s="1"/>
  <c r="G34" i="4" s="1"/>
  <c r="S34" i="4" s="1"/>
  <c r="I799" i="1"/>
  <c r="I799" i="3" s="1"/>
  <c r="G799" i="4" s="1"/>
  <c r="S799" i="4" s="1"/>
  <c r="I791" i="1"/>
  <c r="I791" i="3" s="1"/>
  <c r="G791" i="4" s="1"/>
  <c r="S791" i="4" s="1"/>
  <c r="I783" i="1"/>
  <c r="I783" i="3" s="1"/>
  <c r="G783" i="4" s="1"/>
  <c r="S783" i="4" s="1"/>
  <c r="I775" i="1"/>
  <c r="I775" i="3" s="1"/>
  <c r="G775" i="4" s="1"/>
  <c r="S775" i="4" s="1"/>
  <c r="I767" i="1"/>
  <c r="I767" i="3" s="1"/>
  <c r="G767" i="4" s="1"/>
  <c r="S767" i="4" s="1"/>
  <c r="I759" i="1"/>
  <c r="I759" i="3" s="1"/>
  <c r="G759" i="4" s="1"/>
  <c r="S759" i="4" s="1"/>
  <c r="I751" i="1"/>
  <c r="I751" i="3" s="1"/>
  <c r="G751" i="4" s="1"/>
  <c r="S751" i="4" s="1"/>
  <c r="I743" i="1"/>
  <c r="I743" i="3" s="1"/>
  <c r="G743" i="4" s="1"/>
  <c r="S743" i="4" s="1"/>
  <c r="I735" i="1"/>
  <c r="I735" i="3" s="1"/>
  <c r="G735" i="4" s="1"/>
  <c r="S735" i="4" s="1"/>
  <c r="I727" i="1"/>
  <c r="I727" i="3" s="1"/>
  <c r="G727" i="4" s="1"/>
  <c r="S727" i="4" s="1"/>
  <c r="I719" i="1"/>
  <c r="I719" i="3" s="1"/>
  <c r="G719" i="4" s="1"/>
  <c r="S719" i="4" s="1"/>
  <c r="I711" i="1"/>
  <c r="I711" i="3" s="1"/>
  <c r="G711" i="4" s="1"/>
  <c r="S711" i="4" s="1"/>
  <c r="I703" i="1"/>
  <c r="I703" i="3" s="1"/>
  <c r="G703" i="4" s="1"/>
  <c r="S703" i="4" s="1"/>
  <c r="I695" i="1"/>
  <c r="I695" i="3" s="1"/>
  <c r="G695" i="4" s="1"/>
  <c r="S695" i="4" s="1"/>
  <c r="I687" i="1"/>
  <c r="I687" i="3" s="1"/>
  <c r="G687" i="4" s="1"/>
  <c r="S687" i="4" s="1"/>
  <c r="I679" i="1"/>
  <c r="I679" i="3" s="1"/>
  <c r="G679" i="4" s="1"/>
  <c r="S679" i="4" s="1"/>
  <c r="I671" i="1"/>
  <c r="I671" i="3" s="1"/>
  <c r="G671" i="4" s="1"/>
  <c r="S671" i="4" s="1"/>
  <c r="I663" i="1"/>
  <c r="I663" i="3" s="1"/>
  <c r="G663" i="4" s="1"/>
  <c r="S663" i="4" s="1"/>
  <c r="I655" i="1"/>
  <c r="I655" i="3" s="1"/>
  <c r="G655" i="4" s="1"/>
  <c r="S655" i="4" s="1"/>
  <c r="I647" i="1"/>
  <c r="I647" i="3" s="1"/>
  <c r="G647" i="4" s="1"/>
  <c r="S647" i="4" s="1"/>
  <c r="I639" i="1"/>
  <c r="I639" i="3" s="1"/>
  <c r="G639" i="4" s="1"/>
  <c r="S639" i="4" s="1"/>
  <c r="I631" i="1"/>
  <c r="I631" i="3" s="1"/>
  <c r="G631" i="4" s="1"/>
  <c r="S631" i="4" s="1"/>
  <c r="I623" i="1"/>
  <c r="I623" i="3" s="1"/>
  <c r="G623" i="4" s="1"/>
  <c r="S623" i="4" s="1"/>
  <c r="I615" i="1"/>
  <c r="I615" i="3" s="1"/>
  <c r="G615" i="4" s="1"/>
  <c r="S615" i="4" s="1"/>
  <c r="I607" i="1"/>
  <c r="I607" i="3" s="1"/>
  <c r="G607" i="4" s="1"/>
  <c r="S607" i="4" s="1"/>
  <c r="I599" i="1"/>
  <c r="I599" i="3" s="1"/>
  <c r="G599" i="4" s="1"/>
  <c r="S599" i="4" s="1"/>
  <c r="I591" i="1"/>
  <c r="I591" i="3" s="1"/>
  <c r="G591" i="4" s="1"/>
  <c r="S591" i="4" s="1"/>
  <c r="I583" i="1"/>
  <c r="I583" i="3" s="1"/>
  <c r="G583" i="4" s="1"/>
  <c r="S583" i="4" s="1"/>
  <c r="I575" i="1"/>
  <c r="I575" i="3" s="1"/>
  <c r="G575" i="4" s="1"/>
  <c r="S575" i="4" s="1"/>
  <c r="I567" i="1"/>
  <c r="I567" i="3" s="1"/>
  <c r="G567" i="4" s="1"/>
  <c r="S567" i="4" s="1"/>
  <c r="I559" i="1"/>
  <c r="I559" i="3" s="1"/>
  <c r="G559" i="4" s="1"/>
  <c r="S559" i="4" s="1"/>
  <c r="I26" i="1"/>
  <c r="I26" i="3" s="1"/>
  <c r="G26" i="4" s="1"/>
  <c r="S26" i="4" s="1"/>
  <c r="I10" i="1"/>
  <c r="I10" i="3" s="1"/>
  <c r="G10" i="4" s="1"/>
  <c r="S10" i="4" s="1"/>
  <c r="I796" i="1"/>
  <c r="I796" i="3" s="1"/>
  <c r="G796" i="4" s="1"/>
  <c r="S796" i="4" s="1"/>
  <c r="I788" i="1"/>
  <c r="I788" i="3" s="1"/>
  <c r="G788" i="4" s="1"/>
  <c r="S788" i="4" s="1"/>
  <c r="I780" i="1"/>
  <c r="I780" i="3" s="1"/>
  <c r="G780" i="4" s="1"/>
  <c r="S780" i="4" s="1"/>
  <c r="I772" i="1"/>
  <c r="I772" i="3" s="1"/>
  <c r="G772" i="4" s="1"/>
  <c r="S772" i="4" s="1"/>
  <c r="I764" i="1"/>
  <c r="I764" i="3" s="1"/>
  <c r="G764" i="4" s="1"/>
  <c r="S764" i="4" s="1"/>
  <c r="I756" i="1"/>
  <c r="I756" i="3" s="1"/>
  <c r="G756" i="4" s="1"/>
  <c r="S756" i="4" s="1"/>
  <c r="I748" i="1"/>
  <c r="I748" i="3" s="1"/>
  <c r="G748" i="4" s="1"/>
  <c r="S748" i="4" s="1"/>
  <c r="I740" i="1"/>
  <c r="I740" i="3" s="1"/>
  <c r="G740" i="4" s="1"/>
  <c r="S740" i="4" s="1"/>
  <c r="I732" i="1"/>
  <c r="I732" i="3" s="1"/>
  <c r="G732" i="4" s="1"/>
  <c r="S732" i="4" s="1"/>
  <c r="I724" i="1"/>
  <c r="I724" i="3" s="1"/>
  <c r="G724" i="4" s="1"/>
  <c r="S724" i="4" s="1"/>
  <c r="I716" i="1"/>
  <c r="I716" i="3" s="1"/>
  <c r="G716" i="4" s="1"/>
  <c r="S716" i="4" s="1"/>
  <c r="I708" i="1"/>
  <c r="I708" i="3" s="1"/>
  <c r="G708" i="4" s="1"/>
  <c r="S708" i="4" s="1"/>
  <c r="I700" i="1"/>
  <c r="I700" i="3" s="1"/>
  <c r="G700" i="4" s="1"/>
  <c r="S700" i="4" s="1"/>
  <c r="I692" i="1"/>
  <c r="I692" i="3" s="1"/>
  <c r="G692" i="4" s="1"/>
  <c r="S692" i="4" s="1"/>
  <c r="I684" i="1"/>
  <c r="I684" i="3" s="1"/>
  <c r="G684" i="4" s="1"/>
  <c r="S684" i="4" s="1"/>
  <c r="I2" i="1"/>
  <c r="I2" i="3" s="1"/>
  <c r="G2" i="4" s="1"/>
  <c r="S2" i="4" s="1"/>
  <c r="I18" i="1"/>
  <c r="I18" i="3" s="1"/>
  <c r="G18" i="4" s="1"/>
  <c r="S18" i="4" s="1"/>
  <c r="I795" i="1"/>
  <c r="I795" i="3" s="1"/>
  <c r="G795" i="4" s="1"/>
  <c r="S795" i="4" s="1"/>
  <c r="I787" i="1"/>
  <c r="I787" i="3" s="1"/>
  <c r="G787" i="4" s="1"/>
  <c r="S787" i="4" s="1"/>
  <c r="I779" i="1"/>
  <c r="I779" i="3" s="1"/>
  <c r="G779" i="4" s="1"/>
  <c r="S779" i="4" s="1"/>
  <c r="I771" i="1"/>
  <c r="I771" i="3" s="1"/>
  <c r="G771" i="4" s="1"/>
  <c r="S771" i="4" s="1"/>
  <c r="I763" i="1"/>
  <c r="I763" i="3" s="1"/>
  <c r="G763" i="4" s="1"/>
  <c r="S763" i="4" s="1"/>
  <c r="I755" i="1"/>
  <c r="I755" i="3" s="1"/>
  <c r="G755" i="4" s="1"/>
  <c r="S755" i="4" s="1"/>
  <c r="I747" i="1"/>
  <c r="I747" i="3" s="1"/>
  <c r="G747" i="4" s="1"/>
  <c r="S747" i="4" s="1"/>
  <c r="I739" i="1"/>
  <c r="I739" i="3" s="1"/>
  <c r="G739" i="4" s="1"/>
  <c r="S739" i="4" s="1"/>
  <c r="I731" i="1"/>
  <c r="I731" i="3" s="1"/>
  <c r="G731" i="4" s="1"/>
  <c r="S731" i="4" s="1"/>
  <c r="I723" i="1"/>
  <c r="I723" i="3" s="1"/>
  <c r="G723" i="4" s="1"/>
  <c r="S723" i="4" s="1"/>
  <c r="I715" i="1"/>
  <c r="I715" i="3" s="1"/>
  <c r="G715" i="4" s="1"/>
  <c r="S715" i="4" s="1"/>
  <c r="I707" i="1"/>
  <c r="I707" i="3" s="1"/>
  <c r="G707" i="4" s="1"/>
  <c r="S707" i="4" s="1"/>
  <c r="I699" i="1"/>
  <c r="I699" i="3" s="1"/>
  <c r="G699" i="4" s="1"/>
  <c r="S699" i="4" s="1"/>
  <c r="I691" i="1"/>
  <c r="I691" i="3" s="1"/>
  <c r="G691" i="4" s="1"/>
  <c r="S691" i="4" s="1"/>
  <c r="I683" i="1"/>
  <c r="I683" i="3" s="1"/>
  <c r="G683" i="4" s="1"/>
  <c r="S683" i="4" s="1"/>
  <c r="I675" i="1"/>
  <c r="I675" i="3" s="1"/>
  <c r="G675" i="4" s="1"/>
  <c r="S675" i="4" s="1"/>
  <c r="I667" i="1"/>
  <c r="I667" i="3" s="1"/>
  <c r="G667" i="4" s="1"/>
  <c r="S667" i="4" s="1"/>
  <c r="I659" i="1"/>
  <c r="I659" i="3" s="1"/>
  <c r="G659" i="4" s="1"/>
  <c r="S659" i="4" s="1"/>
  <c r="I651" i="1"/>
  <c r="I651" i="3" s="1"/>
  <c r="G651" i="4" s="1"/>
  <c r="S651" i="4" s="1"/>
  <c r="I643" i="1"/>
  <c r="I643" i="3" s="1"/>
  <c r="G643" i="4" s="1"/>
  <c r="S643" i="4" s="1"/>
  <c r="I635" i="1"/>
  <c r="I635" i="3" s="1"/>
  <c r="G635" i="4" s="1"/>
  <c r="S635" i="4" s="1"/>
  <c r="I627" i="1"/>
  <c r="I627" i="3" s="1"/>
  <c r="G627" i="4" s="1"/>
  <c r="S627" i="4" s="1"/>
  <c r="I619" i="1"/>
  <c r="I619" i="3" s="1"/>
  <c r="G619" i="4" s="1"/>
  <c r="S619" i="4" s="1"/>
  <c r="I611" i="1"/>
  <c r="I611" i="3" s="1"/>
  <c r="G611" i="4" s="1"/>
  <c r="S611" i="4" s="1"/>
  <c r="I603" i="1"/>
  <c r="I603" i="3" s="1"/>
  <c r="G603" i="4" s="1"/>
  <c r="S603" i="4" s="1"/>
  <c r="I595" i="1"/>
  <c r="I595" i="3" s="1"/>
  <c r="G595" i="4" s="1"/>
  <c r="S595" i="4" s="1"/>
  <c r="I587" i="1"/>
  <c r="I587" i="3" s="1"/>
  <c r="G587" i="4" s="1"/>
  <c r="S587" i="4" s="1"/>
  <c r="I579" i="1"/>
  <c r="I579" i="3" s="1"/>
  <c r="G579" i="4" s="1"/>
  <c r="S579" i="4" s="1"/>
  <c r="I571" i="1"/>
  <c r="I571" i="3" s="1"/>
  <c r="G571" i="4" s="1"/>
  <c r="S571" i="4" s="1"/>
  <c r="I563" i="1"/>
  <c r="I563" i="3" s="1"/>
  <c r="G563" i="4" s="1"/>
  <c r="S563" i="4" s="1"/>
  <c r="I555" i="1"/>
  <c r="I555" i="3" s="1"/>
  <c r="G555" i="4" s="1"/>
  <c r="S555" i="4" s="1"/>
  <c r="I547" i="1"/>
  <c r="I547" i="3" s="1"/>
  <c r="G547" i="4" s="1"/>
  <c r="S547" i="4" s="1"/>
  <c r="I539" i="1"/>
  <c r="I539" i="3" s="1"/>
  <c r="G539" i="4" s="1"/>
  <c r="S539" i="4" s="1"/>
  <c r="I531" i="1"/>
  <c r="I531" i="3" s="1"/>
  <c r="G531" i="4" s="1"/>
  <c r="S531" i="4" s="1"/>
  <c r="I523" i="1"/>
  <c r="I523" i="3" s="1"/>
  <c r="G523" i="4" s="1"/>
  <c r="S523" i="4" s="1"/>
  <c r="I515" i="1"/>
  <c r="I515" i="3" s="1"/>
  <c r="G515" i="4" s="1"/>
  <c r="S515" i="4" s="1"/>
  <c r="I507" i="1"/>
  <c r="I507" i="3" s="1"/>
  <c r="G507" i="4" s="1"/>
  <c r="S507" i="4" s="1"/>
  <c r="I499" i="1"/>
  <c r="I499" i="3" s="1"/>
  <c r="G499" i="4" s="1"/>
  <c r="S499" i="4" s="1"/>
  <c r="I491" i="1"/>
  <c r="I491" i="3" s="1"/>
  <c r="G491" i="4" s="1"/>
  <c r="S491" i="4" s="1"/>
  <c r="I483" i="1"/>
  <c r="I483" i="3" s="1"/>
  <c r="G483" i="4" s="1"/>
  <c r="S483" i="4" s="1"/>
  <c r="I475" i="1"/>
  <c r="I475" i="3" s="1"/>
  <c r="G475" i="4" s="1"/>
  <c r="S475" i="4" s="1"/>
  <c r="I467" i="1"/>
  <c r="I467" i="3" s="1"/>
  <c r="G467" i="4" s="1"/>
  <c r="S467" i="4" s="1"/>
  <c r="I459" i="1"/>
  <c r="I459" i="3" s="1"/>
  <c r="G459" i="4" s="1"/>
  <c r="S459" i="4" s="1"/>
  <c r="I451" i="1"/>
  <c r="I451" i="3" s="1"/>
  <c r="G451" i="4" s="1"/>
  <c r="S451" i="4" s="1"/>
  <c r="I443" i="1"/>
  <c r="I443" i="3" s="1"/>
  <c r="G443" i="4" s="1"/>
  <c r="S443" i="4" s="1"/>
  <c r="I435" i="1"/>
  <c r="I435" i="3" s="1"/>
  <c r="G435" i="4" s="1"/>
  <c r="S435" i="4" s="1"/>
  <c r="I427" i="1"/>
  <c r="I427" i="3" s="1"/>
  <c r="G427" i="4" s="1"/>
  <c r="S427" i="4" s="1"/>
  <c r="I419" i="1"/>
  <c r="I419" i="3" s="1"/>
  <c r="G419" i="4" s="1"/>
  <c r="S419" i="4" s="1"/>
  <c r="I411" i="1"/>
  <c r="I411" i="3" s="1"/>
  <c r="G411" i="4" s="1"/>
  <c r="S411" i="4" s="1"/>
  <c r="I403" i="1"/>
  <c r="I403" i="3" s="1"/>
  <c r="G403" i="4" s="1"/>
  <c r="S403" i="4" s="1"/>
  <c r="I395" i="1"/>
  <c r="I395" i="3" s="1"/>
  <c r="G395" i="4" s="1"/>
  <c r="S395" i="4" s="1"/>
  <c r="I387" i="1"/>
  <c r="I387" i="3" s="1"/>
  <c r="G387" i="4" s="1"/>
  <c r="S387" i="4" s="1"/>
  <c r="I379" i="1"/>
  <c r="I379" i="3" s="1"/>
  <c r="G379" i="4" s="1"/>
  <c r="S379" i="4" s="1"/>
  <c r="I371" i="1"/>
  <c r="I371" i="3" s="1"/>
  <c r="G371" i="4" s="1"/>
  <c r="S371" i="4" s="1"/>
  <c r="I801" i="1"/>
  <c r="I801" i="3" s="1"/>
  <c r="G801" i="4" s="1"/>
  <c r="S801" i="4" s="1"/>
  <c r="I551" i="1"/>
  <c r="I551" i="3" s="1"/>
  <c r="G551" i="4" s="1"/>
  <c r="S551" i="4" s="1"/>
  <c r="I543" i="1"/>
  <c r="I543" i="3" s="1"/>
  <c r="G543" i="4" s="1"/>
  <c r="S543" i="4" s="1"/>
  <c r="I535" i="1"/>
  <c r="I535" i="3" s="1"/>
  <c r="G535" i="4" s="1"/>
  <c r="S535" i="4" s="1"/>
  <c r="I527" i="1"/>
  <c r="I527" i="3" s="1"/>
  <c r="G527" i="4" s="1"/>
  <c r="S527" i="4" s="1"/>
  <c r="I519" i="1"/>
  <c r="I519" i="3" s="1"/>
  <c r="G519" i="4" s="1"/>
  <c r="S519" i="4" s="1"/>
  <c r="I511" i="1"/>
  <c r="I511" i="3" s="1"/>
  <c r="G511" i="4" s="1"/>
  <c r="S511" i="4" s="1"/>
  <c r="I487" i="1"/>
  <c r="I487" i="3" s="1"/>
  <c r="G487" i="4" s="1"/>
  <c r="S487" i="4" s="1"/>
  <c r="I479" i="1"/>
  <c r="I479" i="3" s="1"/>
  <c r="G479" i="4" s="1"/>
  <c r="S479" i="4" s="1"/>
  <c r="I471" i="1"/>
  <c r="I471" i="3" s="1"/>
  <c r="G471" i="4" s="1"/>
  <c r="S471" i="4" s="1"/>
  <c r="I463" i="1"/>
  <c r="I463" i="3" s="1"/>
  <c r="G463" i="4" s="1"/>
  <c r="S463" i="4" s="1"/>
  <c r="I455" i="1"/>
  <c r="I455" i="3" s="1"/>
  <c r="G455" i="4" s="1"/>
  <c r="S455" i="4" s="1"/>
  <c r="I447" i="1"/>
  <c r="I447" i="3" s="1"/>
  <c r="G447" i="4" s="1"/>
  <c r="S447" i="4" s="1"/>
  <c r="I439" i="1"/>
  <c r="I439" i="3" s="1"/>
  <c r="G439" i="4" s="1"/>
  <c r="S439" i="4" s="1"/>
  <c r="I431" i="1"/>
  <c r="I431" i="3" s="1"/>
  <c r="G431" i="4" s="1"/>
  <c r="S431" i="4" s="1"/>
  <c r="I423" i="1"/>
  <c r="I423" i="3" s="1"/>
  <c r="G423" i="4" s="1"/>
  <c r="S423" i="4" s="1"/>
  <c r="I415" i="1"/>
  <c r="I415" i="3" s="1"/>
  <c r="G415" i="4" s="1"/>
  <c r="S415" i="4" s="1"/>
  <c r="I391" i="1"/>
  <c r="I391" i="3" s="1"/>
  <c r="G391" i="4" s="1"/>
  <c r="S391" i="4" s="1"/>
  <c r="I383" i="1"/>
  <c r="I383" i="3" s="1"/>
  <c r="G383" i="4" s="1"/>
  <c r="S383" i="4" s="1"/>
  <c r="I375" i="1"/>
  <c r="I375" i="3" s="1"/>
  <c r="G375" i="4" s="1"/>
  <c r="S375" i="4" s="1"/>
  <c r="I367" i="1"/>
  <c r="I367" i="3" s="1"/>
  <c r="G367" i="4" s="1"/>
  <c r="S367" i="4" s="1"/>
  <c r="I359" i="1"/>
  <c r="I359" i="3" s="1"/>
  <c r="G359" i="4" s="1"/>
  <c r="S359" i="4" s="1"/>
  <c r="I351" i="1"/>
  <c r="I351" i="3" s="1"/>
  <c r="G351" i="4" s="1"/>
  <c r="S351" i="4" s="1"/>
  <c r="I343" i="1"/>
  <c r="I343" i="3" s="1"/>
  <c r="G343" i="4" s="1"/>
  <c r="S343" i="4" s="1"/>
  <c r="I335" i="1"/>
  <c r="I335" i="3" s="1"/>
  <c r="G335" i="4" s="1"/>
  <c r="S335" i="4" s="1"/>
  <c r="I327" i="1"/>
  <c r="I327" i="3" s="1"/>
  <c r="G327" i="4" s="1"/>
  <c r="S327" i="4" s="1"/>
  <c r="I495" i="1"/>
  <c r="I495" i="3" s="1"/>
  <c r="G495" i="4" s="1"/>
  <c r="S495" i="4" s="1"/>
  <c r="I399" i="1"/>
  <c r="I399" i="3" s="1"/>
  <c r="G399" i="4" s="1"/>
  <c r="S399" i="4" s="1"/>
  <c r="I798" i="1"/>
  <c r="I798" i="3" s="1"/>
  <c r="G798" i="4" s="1"/>
  <c r="S798" i="4" s="1"/>
  <c r="I790" i="1"/>
  <c r="I790" i="3" s="1"/>
  <c r="G790" i="4" s="1"/>
  <c r="S790" i="4" s="1"/>
  <c r="I782" i="1"/>
  <c r="I782" i="3" s="1"/>
  <c r="G782" i="4" s="1"/>
  <c r="S782" i="4" s="1"/>
  <c r="I774" i="1"/>
  <c r="I774" i="3" s="1"/>
  <c r="G774" i="4" s="1"/>
  <c r="S774" i="4" s="1"/>
  <c r="I766" i="1"/>
  <c r="I766" i="3" s="1"/>
  <c r="G766" i="4" s="1"/>
  <c r="S766" i="4" s="1"/>
  <c r="I758" i="1"/>
  <c r="I758" i="3" s="1"/>
  <c r="G758" i="4" s="1"/>
  <c r="S758" i="4" s="1"/>
  <c r="I750" i="1"/>
  <c r="I750" i="3" s="1"/>
  <c r="G750" i="4" s="1"/>
  <c r="S750" i="4" s="1"/>
  <c r="I742" i="1"/>
  <c r="I742" i="3" s="1"/>
  <c r="G742" i="4" s="1"/>
  <c r="S742" i="4" s="1"/>
  <c r="I734" i="1"/>
  <c r="I734" i="3" s="1"/>
  <c r="G734" i="4" s="1"/>
  <c r="S734" i="4" s="1"/>
  <c r="I726" i="1"/>
  <c r="I726" i="3" s="1"/>
  <c r="G726" i="4" s="1"/>
  <c r="S726" i="4" s="1"/>
  <c r="I718" i="1"/>
  <c r="I718" i="3" s="1"/>
  <c r="G718" i="4" s="1"/>
  <c r="S718" i="4" s="1"/>
  <c r="I710" i="1"/>
  <c r="I710" i="3" s="1"/>
  <c r="G710" i="4" s="1"/>
  <c r="S710" i="4" s="1"/>
  <c r="I702" i="1"/>
  <c r="I702" i="3" s="1"/>
  <c r="G702" i="4" s="1"/>
  <c r="S702" i="4" s="1"/>
  <c r="I694" i="1"/>
  <c r="I694" i="3" s="1"/>
  <c r="G694" i="4" s="1"/>
  <c r="S694" i="4" s="1"/>
  <c r="I686" i="1"/>
  <c r="I686" i="3" s="1"/>
  <c r="G686" i="4" s="1"/>
  <c r="S686" i="4" s="1"/>
  <c r="I503" i="1"/>
  <c r="I503" i="3" s="1"/>
  <c r="G503" i="4" s="1"/>
  <c r="S503" i="4" s="1"/>
  <c r="I797" i="1"/>
  <c r="I797" i="3" s="1"/>
  <c r="G797" i="4" s="1"/>
  <c r="S797" i="4" s="1"/>
  <c r="I789" i="1"/>
  <c r="I789" i="3" s="1"/>
  <c r="G789" i="4" s="1"/>
  <c r="S789" i="4" s="1"/>
  <c r="I781" i="1"/>
  <c r="I781" i="3" s="1"/>
  <c r="G781" i="4" s="1"/>
  <c r="S781" i="4" s="1"/>
  <c r="I773" i="1"/>
  <c r="I773" i="3" s="1"/>
  <c r="G773" i="4" s="1"/>
  <c r="S773" i="4" s="1"/>
  <c r="I765" i="1"/>
  <c r="I765" i="3" s="1"/>
  <c r="G765" i="4" s="1"/>
  <c r="S765" i="4" s="1"/>
  <c r="I757" i="1"/>
  <c r="I757" i="3" s="1"/>
  <c r="G757" i="4" s="1"/>
  <c r="S757" i="4" s="1"/>
  <c r="I749" i="1"/>
  <c r="I749" i="3" s="1"/>
  <c r="G749" i="4" s="1"/>
  <c r="S749" i="4" s="1"/>
  <c r="I741" i="1"/>
  <c r="I741" i="3" s="1"/>
  <c r="G741" i="4" s="1"/>
  <c r="S741" i="4" s="1"/>
  <c r="I733" i="1"/>
  <c r="I733" i="3" s="1"/>
  <c r="G733" i="4" s="1"/>
  <c r="S733" i="4" s="1"/>
  <c r="I725" i="1"/>
  <c r="I725" i="3" s="1"/>
  <c r="G725" i="4" s="1"/>
  <c r="S725" i="4" s="1"/>
  <c r="I717" i="1"/>
  <c r="I717" i="3" s="1"/>
  <c r="G717" i="4" s="1"/>
  <c r="S717" i="4" s="1"/>
  <c r="I709" i="1"/>
  <c r="I709" i="3" s="1"/>
  <c r="G709" i="4" s="1"/>
  <c r="S709" i="4" s="1"/>
  <c r="I701" i="1"/>
  <c r="I701" i="3" s="1"/>
  <c r="G701" i="4" s="1"/>
  <c r="S701" i="4" s="1"/>
  <c r="I693" i="1"/>
  <c r="I693" i="3" s="1"/>
  <c r="G693" i="4" s="1"/>
  <c r="S693" i="4" s="1"/>
  <c r="I685" i="1"/>
  <c r="I685" i="3" s="1"/>
  <c r="G685" i="4" s="1"/>
  <c r="S685" i="4" s="1"/>
  <c r="I407" i="1"/>
  <c r="I407" i="3" s="1"/>
  <c r="G407" i="4" s="1"/>
  <c r="S407" i="4" s="1"/>
  <c r="S744" i="1"/>
  <c r="S655" i="1"/>
  <c r="S399" i="1"/>
  <c r="S800" i="1"/>
  <c r="S736" i="1"/>
  <c r="S634" i="1"/>
  <c r="S378" i="1"/>
  <c r="S792" i="1"/>
  <c r="S728" i="1"/>
  <c r="S591" i="1"/>
  <c r="S351" i="1"/>
  <c r="S784" i="1"/>
  <c r="S720" i="1"/>
  <c r="S570" i="1"/>
  <c r="S314" i="1"/>
  <c r="S776" i="1"/>
  <c r="S712" i="1"/>
  <c r="S527" i="1"/>
  <c r="S250" i="1"/>
  <c r="S768" i="1"/>
  <c r="S704" i="1"/>
  <c r="S506" i="1"/>
  <c r="S186" i="1"/>
  <c r="S760" i="1"/>
  <c r="S696" i="1"/>
  <c r="S463" i="1"/>
  <c r="S122" i="1"/>
  <c r="S752" i="1"/>
  <c r="S688" i="1"/>
  <c r="S442" i="1"/>
  <c r="S58" i="1"/>
  <c r="I662" i="1"/>
  <c r="I662" i="3" s="1"/>
  <c r="G662" i="4" s="1"/>
  <c r="S662" i="4" s="1"/>
  <c r="S662" i="1"/>
  <c r="I646" i="1"/>
  <c r="I646" i="3" s="1"/>
  <c r="G646" i="4" s="1"/>
  <c r="S646" i="4" s="1"/>
  <c r="S646" i="1"/>
  <c r="I638" i="1"/>
  <c r="I638" i="3" s="1"/>
  <c r="G638" i="4" s="1"/>
  <c r="S638" i="4" s="1"/>
  <c r="S638" i="1"/>
  <c r="I630" i="1"/>
  <c r="I630" i="3" s="1"/>
  <c r="G630" i="4" s="1"/>
  <c r="S630" i="4" s="1"/>
  <c r="S630" i="1"/>
  <c r="I622" i="1"/>
  <c r="I622" i="3" s="1"/>
  <c r="G622" i="4" s="1"/>
  <c r="S622" i="4" s="1"/>
  <c r="S622" i="1"/>
  <c r="I574" i="1"/>
  <c r="I574" i="3" s="1"/>
  <c r="G574" i="4" s="1"/>
  <c r="S574" i="4" s="1"/>
  <c r="S574" i="1"/>
  <c r="I566" i="1"/>
  <c r="I566" i="3" s="1"/>
  <c r="G566" i="4" s="1"/>
  <c r="S566" i="4" s="1"/>
  <c r="S566" i="1"/>
  <c r="I558" i="1"/>
  <c r="I558" i="3" s="1"/>
  <c r="G558" i="4" s="1"/>
  <c r="S558" i="4" s="1"/>
  <c r="S558" i="1"/>
  <c r="I550" i="1"/>
  <c r="I550" i="3" s="1"/>
  <c r="G550" i="4" s="1"/>
  <c r="S550" i="4" s="1"/>
  <c r="S550" i="1"/>
  <c r="I542" i="1"/>
  <c r="I542" i="3" s="1"/>
  <c r="G542" i="4" s="1"/>
  <c r="S542" i="4" s="1"/>
  <c r="S542" i="1"/>
  <c r="I534" i="1"/>
  <c r="I534" i="3" s="1"/>
  <c r="G534" i="4" s="1"/>
  <c r="S534" i="4" s="1"/>
  <c r="S534" i="1"/>
  <c r="I526" i="1"/>
  <c r="I526" i="3" s="1"/>
  <c r="G526" i="4" s="1"/>
  <c r="S526" i="4" s="1"/>
  <c r="S526" i="1"/>
  <c r="I518" i="1"/>
  <c r="I518" i="3" s="1"/>
  <c r="G518" i="4" s="1"/>
  <c r="S518" i="4" s="1"/>
  <c r="S518" i="1"/>
  <c r="I510" i="1"/>
  <c r="I510" i="3" s="1"/>
  <c r="G510" i="4" s="1"/>
  <c r="S510" i="4" s="1"/>
  <c r="S510" i="1"/>
  <c r="I502" i="1"/>
  <c r="I502" i="3" s="1"/>
  <c r="G502" i="4" s="1"/>
  <c r="S502" i="4" s="1"/>
  <c r="S502" i="1"/>
  <c r="I494" i="1"/>
  <c r="I494" i="3" s="1"/>
  <c r="G494" i="4" s="1"/>
  <c r="S494" i="4" s="1"/>
  <c r="S494" i="1"/>
  <c r="I486" i="1"/>
  <c r="I486" i="3" s="1"/>
  <c r="G486" i="4" s="1"/>
  <c r="S486" i="4" s="1"/>
  <c r="S486" i="1"/>
  <c r="I478" i="1"/>
  <c r="I478" i="3" s="1"/>
  <c r="G478" i="4" s="1"/>
  <c r="S478" i="4" s="1"/>
  <c r="S478" i="1"/>
  <c r="I470" i="1"/>
  <c r="I470" i="3" s="1"/>
  <c r="G470" i="4" s="1"/>
  <c r="S470" i="4" s="1"/>
  <c r="S470" i="1"/>
  <c r="I462" i="1"/>
  <c r="I462" i="3" s="1"/>
  <c r="G462" i="4" s="1"/>
  <c r="S462" i="4" s="1"/>
  <c r="S462" i="1"/>
  <c r="I454" i="1"/>
  <c r="I454" i="3" s="1"/>
  <c r="G454" i="4" s="1"/>
  <c r="S454" i="4" s="1"/>
  <c r="S454" i="1"/>
  <c r="I446" i="1"/>
  <c r="I446" i="3" s="1"/>
  <c r="G446" i="4" s="1"/>
  <c r="S446" i="4" s="1"/>
  <c r="S446" i="1"/>
  <c r="I438" i="1"/>
  <c r="I438" i="3" s="1"/>
  <c r="G438" i="4" s="1"/>
  <c r="S438" i="4" s="1"/>
  <c r="S438" i="1"/>
  <c r="I430" i="1"/>
  <c r="I430" i="3" s="1"/>
  <c r="G430" i="4" s="1"/>
  <c r="S430" i="4" s="1"/>
  <c r="S430" i="1"/>
  <c r="I422" i="1"/>
  <c r="I422" i="3" s="1"/>
  <c r="G422" i="4" s="1"/>
  <c r="S422" i="4" s="1"/>
  <c r="S422" i="1"/>
  <c r="I414" i="1"/>
  <c r="I414" i="3" s="1"/>
  <c r="G414" i="4" s="1"/>
  <c r="S414" i="4" s="1"/>
  <c r="S414" i="1"/>
  <c r="I406" i="1"/>
  <c r="I406" i="3" s="1"/>
  <c r="G406" i="4" s="1"/>
  <c r="S406" i="4" s="1"/>
  <c r="S406" i="1"/>
  <c r="I398" i="1"/>
  <c r="I398" i="3" s="1"/>
  <c r="G398" i="4" s="1"/>
  <c r="S398" i="4" s="1"/>
  <c r="S398" i="1"/>
  <c r="I390" i="1"/>
  <c r="I390" i="3" s="1"/>
  <c r="G390" i="4" s="1"/>
  <c r="S390" i="4" s="1"/>
  <c r="S390" i="1"/>
  <c r="I382" i="1"/>
  <c r="I382" i="3" s="1"/>
  <c r="G382" i="4" s="1"/>
  <c r="S382" i="4" s="1"/>
  <c r="S382" i="1"/>
  <c r="I374" i="1"/>
  <c r="I374" i="3" s="1"/>
  <c r="G374" i="4" s="1"/>
  <c r="S374" i="4" s="1"/>
  <c r="S374" i="1"/>
  <c r="I366" i="1"/>
  <c r="I366" i="3" s="1"/>
  <c r="G366" i="4" s="1"/>
  <c r="S366" i="4" s="1"/>
  <c r="S366" i="1"/>
  <c r="I358" i="1"/>
  <c r="I358" i="3" s="1"/>
  <c r="G358" i="4" s="1"/>
  <c r="S358" i="4" s="1"/>
  <c r="S358" i="1"/>
  <c r="I350" i="1"/>
  <c r="I350" i="3" s="1"/>
  <c r="G350" i="4" s="1"/>
  <c r="S350" i="4" s="1"/>
  <c r="S350" i="1"/>
  <c r="I342" i="1"/>
  <c r="I342" i="3" s="1"/>
  <c r="G342" i="4" s="1"/>
  <c r="S342" i="4" s="1"/>
  <c r="S342" i="1"/>
  <c r="I334" i="1"/>
  <c r="I334" i="3" s="1"/>
  <c r="G334" i="4" s="1"/>
  <c r="S334" i="4" s="1"/>
  <c r="S334" i="1"/>
  <c r="I326" i="1"/>
  <c r="I326" i="3" s="1"/>
  <c r="G326" i="4" s="1"/>
  <c r="S326" i="4" s="1"/>
  <c r="S326" i="1"/>
  <c r="I318" i="1"/>
  <c r="I318" i="3" s="1"/>
  <c r="G318" i="4" s="1"/>
  <c r="S318" i="4" s="1"/>
  <c r="S318" i="1"/>
  <c r="I310" i="1"/>
  <c r="I310" i="3" s="1"/>
  <c r="G310" i="4" s="1"/>
  <c r="S310" i="4" s="1"/>
  <c r="S310" i="1"/>
  <c r="I302" i="1"/>
  <c r="I302" i="3" s="1"/>
  <c r="G302" i="4" s="1"/>
  <c r="S302" i="4" s="1"/>
  <c r="S302" i="1"/>
  <c r="I294" i="1"/>
  <c r="I294" i="3" s="1"/>
  <c r="G294" i="4" s="1"/>
  <c r="S294" i="4" s="1"/>
  <c r="S294" i="1"/>
  <c r="I286" i="1"/>
  <c r="I286" i="3" s="1"/>
  <c r="G286" i="4" s="1"/>
  <c r="S286" i="4" s="1"/>
  <c r="S286" i="1"/>
  <c r="I278" i="1"/>
  <c r="I278" i="3" s="1"/>
  <c r="G278" i="4" s="1"/>
  <c r="S278" i="4" s="1"/>
  <c r="S278" i="1"/>
  <c r="I270" i="1"/>
  <c r="I270" i="3" s="1"/>
  <c r="G270" i="4" s="1"/>
  <c r="S270" i="4" s="1"/>
  <c r="S270" i="1"/>
  <c r="I262" i="1"/>
  <c r="I262" i="3" s="1"/>
  <c r="G262" i="4" s="1"/>
  <c r="S262" i="4" s="1"/>
  <c r="S262" i="1"/>
  <c r="I254" i="1"/>
  <c r="I254" i="3" s="1"/>
  <c r="G254" i="4" s="1"/>
  <c r="S254" i="4" s="1"/>
  <c r="S254" i="1"/>
  <c r="I246" i="1"/>
  <c r="I246" i="3" s="1"/>
  <c r="G246" i="4" s="1"/>
  <c r="S246" i="4" s="1"/>
  <c r="S246" i="1"/>
  <c r="I238" i="1"/>
  <c r="I238" i="3" s="1"/>
  <c r="G238" i="4" s="1"/>
  <c r="S238" i="4" s="1"/>
  <c r="S238" i="1"/>
  <c r="I230" i="1"/>
  <c r="I230" i="3" s="1"/>
  <c r="G230" i="4" s="1"/>
  <c r="S230" i="4" s="1"/>
  <c r="S230" i="1"/>
  <c r="I222" i="1"/>
  <c r="I222" i="3" s="1"/>
  <c r="G222" i="4" s="1"/>
  <c r="S222" i="4" s="1"/>
  <c r="S222" i="1"/>
  <c r="I214" i="1"/>
  <c r="I214" i="3" s="1"/>
  <c r="G214" i="4" s="1"/>
  <c r="S214" i="4" s="1"/>
  <c r="S214" i="1"/>
  <c r="I206" i="1"/>
  <c r="I206" i="3" s="1"/>
  <c r="G206" i="4" s="1"/>
  <c r="S206" i="4" s="1"/>
  <c r="S206" i="1"/>
  <c r="I198" i="1"/>
  <c r="I198" i="3" s="1"/>
  <c r="G198" i="4" s="1"/>
  <c r="S198" i="4" s="1"/>
  <c r="S198" i="1"/>
  <c r="I190" i="1"/>
  <c r="I190" i="3" s="1"/>
  <c r="G190" i="4" s="1"/>
  <c r="S190" i="4" s="1"/>
  <c r="S190" i="1"/>
  <c r="I182" i="1"/>
  <c r="I182" i="3" s="1"/>
  <c r="G182" i="4" s="1"/>
  <c r="S182" i="4" s="1"/>
  <c r="S182" i="1"/>
  <c r="I174" i="1"/>
  <c r="I174" i="3" s="1"/>
  <c r="G174" i="4" s="1"/>
  <c r="S174" i="4" s="1"/>
  <c r="S174" i="1"/>
  <c r="I166" i="1"/>
  <c r="I166" i="3" s="1"/>
  <c r="G166" i="4" s="1"/>
  <c r="S166" i="4" s="1"/>
  <c r="S166" i="1"/>
  <c r="I158" i="1"/>
  <c r="I158" i="3" s="1"/>
  <c r="G158" i="4" s="1"/>
  <c r="S158" i="4" s="1"/>
  <c r="S158" i="1"/>
  <c r="I150" i="1"/>
  <c r="I150" i="3" s="1"/>
  <c r="G150" i="4" s="1"/>
  <c r="S150" i="4" s="1"/>
  <c r="S150" i="1"/>
  <c r="I142" i="1"/>
  <c r="I142" i="3" s="1"/>
  <c r="G142" i="4" s="1"/>
  <c r="S142" i="4" s="1"/>
  <c r="S142" i="1"/>
  <c r="I134" i="1"/>
  <c r="I134" i="3" s="1"/>
  <c r="G134" i="4" s="1"/>
  <c r="S134" i="4" s="1"/>
  <c r="S134" i="1"/>
  <c r="I126" i="1"/>
  <c r="I126" i="3" s="1"/>
  <c r="G126" i="4" s="1"/>
  <c r="S126" i="4" s="1"/>
  <c r="S126" i="1"/>
  <c r="I118" i="1"/>
  <c r="I118" i="3" s="1"/>
  <c r="G118" i="4" s="1"/>
  <c r="S118" i="4" s="1"/>
  <c r="S118" i="1"/>
  <c r="I110" i="1"/>
  <c r="I110" i="3" s="1"/>
  <c r="G110" i="4" s="1"/>
  <c r="S110" i="4" s="1"/>
  <c r="S110" i="1"/>
  <c r="I102" i="1"/>
  <c r="I102" i="3" s="1"/>
  <c r="G102" i="4" s="1"/>
  <c r="S102" i="4" s="1"/>
  <c r="S102" i="1"/>
  <c r="I94" i="1"/>
  <c r="I94" i="3" s="1"/>
  <c r="G94" i="4" s="1"/>
  <c r="S94" i="4" s="1"/>
  <c r="S94" i="1"/>
  <c r="I86" i="1"/>
  <c r="I86" i="3" s="1"/>
  <c r="G86" i="4" s="1"/>
  <c r="S86" i="4" s="1"/>
  <c r="S86" i="1"/>
  <c r="I78" i="1"/>
  <c r="I78" i="3" s="1"/>
  <c r="G78" i="4" s="1"/>
  <c r="S78" i="4" s="1"/>
  <c r="S78" i="1"/>
  <c r="I70" i="1"/>
  <c r="I70" i="3" s="1"/>
  <c r="G70" i="4" s="1"/>
  <c r="S70" i="4" s="1"/>
  <c r="S70" i="1"/>
  <c r="I62" i="1"/>
  <c r="I62" i="3" s="1"/>
  <c r="G62" i="4" s="1"/>
  <c r="S62" i="4" s="1"/>
  <c r="S62" i="1"/>
  <c r="I54" i="1"/>
  <c r="I54" i="3" s="1"/>
  <c r="G54" i="4" s="1"/>
  <c r="S54" i="4" s="1"/>
  <c r="S54" i="1"/>
  <c r="I46" i="1"/>
  <c r="I46" i="3" s="1"/>
  <c r="G46" i="4" s="1"/>
  <c r="S46" i="4" s="1"/>
  <c r="S46" i="1"/>
  <c r="I38" i="1"/>
  <c r="I38" i="3" s="1"/>
  <c r="G38" i="4" s="1"/>
  <c r="S38" i="4" s="1"/>
  <c r="S38" i="1"/>
  <c r="S801" i="1"/>
  <c r="S793" i="1"/>
  <c r="S785" i="1"/>
  <c r="S777" i="1"/>
  <c r="S769" i="1"/>
  <c r="S761" i="1"/>
  <c r="S753" i="1"/>
  <c r="S745" i="1"/>
  <c r="S737" i="1"/>
  <c r="S729" i="1"/>
  <c r="S721" i="1"/>
  <c r="S713" i="1"/>
  <c r="S705" i="1"/>
  <c r="S697" i="1"/>
  <c r="S689" i="1"/>
  <c r="S679" i="1"/>
  <c r="S658" i="1"/>
  <c r="S635" i="1"/>
  <c r="S615" i="1"/>
  <c r="S594" i="1"/>
  <c r="S571" i="1"/>
  <c r="S551" i="1"/>
  <c r="S530" i="1"/>
  <c r="S507" i="1"/>
  <c r="S487" i="1"/>
  <c r="S466" i="1"/>
  <c r="S443" i="1"/>
  <c r="S423" i="1"/>
  <c r="S402" i="1"/>
  <c r="S379" i="1"/>
  <c r="S354" i="1"/>
  <c r="S322" i="1"/>
  <c r="S258" i="1"/>
  <c r="S194" i="1"/>
  <c r="S130" i="1"/>
  <c r="S66" i="1"/>
  <c r="I11" i="1"/>
  <c r="I11" i="3" s="1"/>
  <c r="G11" i="4" s="1"/>
  <c r="S11" i="4" s="1"/>
  <c r="S11" i="1"/>
  <c r="I670" i="1"/>
  <c r="I670" i="3" s="1"/>
  <c r="G670" i="4" s="1"/>
  <c r="S670" i="4" s="1"/>
  <c r="S670" i="1"/>
  <c r="I590" i="1"/>
  <c r="I590" i="3" s="1"/>
  <c r="G590" i="4" s="1"/>
  <c r="S590" i="4" s="1"/>
  <c r="S590" i="1"/>
  <c r="I669" i="1"/>
  <c r="I669" i="3" s="1"/>
  <c r="G669" i="4" s="1"/>
  <c r="S669" i="4" s="1"/>
  <c r="S669" i="1"/>
  <c r="I645" i="1"/>
  <c r="I645" i="3" s="1"/>
  <c r="G645" i="4" s="1"/>
  <c r="S645" i="4" s="1"/>
  <c r="S645" i="1"/>
  <c r="I613" i="1"/>
  <c r="I613" i="3" s="1"/>
  <c r="G613" i="4" s="1"/>
  <c r="S613" i="4" s="1"/>
  <c r="S613" i="1"/>
  <c r="I589" i="1"/>
  <c r="I589" i="3" s="1"/>
  <c r="G589" i="4" s="1"/>
  <c r="S589" i="4" s="1"/>
  <c r="S589" i="1"/>
  <c r="I557" i="1"/>
  <c r="I557" i="3" s="1"/>
  <c r="G557" i="4" s="1"/>
  <c r="S557" i="4" s="1"/>
  <c r="S557" i="1"/>
  <c r="I541" i="1"/>
  <c r="I541" i="3" s="1"/>
  <c r="G541" i="4" s="1"/>
  <c r="S541" i="4" s="1"/>
  <c r="S541" i="1"/>
  <c r="I501" i="1"/>
  <c r="I501" i="3" s="1"/>
  <c r="G501" i="4" s="1"/>
  <c r="S501" i="4" s="1"/>
  <c r="S501" i="1"/>
  <c r="I469" i="1"/>
  <c r="I469" i="3" s="1"/>
  <c r="G469" i="4" s="1"/>
  <c r="S469" i="4" s="1"/>
  <c r="S469" i="1"/>
  <c r="I445" i="1"/>
  <c r="I445" i="3" s="1"/>
  <c r="G445" i="4" s="1"/>
  <c r="S445" i="4" s="1"/>
  <c r="S445" i="1"/>
  <c r="I405" i="1"/>
  <c r="I405" i="3" s="1"/>
  <c r="G405" i="4" s="1"/>
  <c r="S405" i="4" s="1"/>
  <c r="S405" i="1"/>
  <c r="I373" i="1"/>
  <c r="I373" i="3" s="1"/>
  <c r="G373" i="4" s="1"/>
  <c r="S373" i="4" s="1"/>
  <c r="S373" i="1"/>
  <c r="I349" i="1"/>
  <c r="I349" i="3" s="1"/>
  <c r="G349" i="4" s="1"/>
  <c r="S349" i="4" s="1"/>
  <c r="S349" i="1"/>
  <c r="I309" i="1"/>
  <c r="I309" i="3" s="1"/>
  <c r="G309" i="4" s="1"/>
  <c r="S309" i="4" s="1"/>
  <c r="S309" i="1"/>
  <c r="I277" i="1"/>
  <c r="I277" i="3" s="1"/>
  <c r="G277" i="4" s="1"/>
  <c r="S277" i="4" s="1"/>
  <c r="S277" i="1"/>
  <c r="I253" i="1"/>
  <c r="I253" i="3" s="1"/>
  <c r="G253" i="4" s="1"/>
  <c r="S253" i="4" s="1"/>
  <c r="S253" i="1"/>
  <c r="I205" i="1"/>
  <c r="I205" i="3" s="1"/>
  <c r="G205" i="4" s="1"/>
  <c r="S205" i="4" s="1"/>
  <c r="S205" i="1"/>
  <c r="I157" i="1"/>
  <c r="I157" i="3" s="1"/>
  <c r="G157" i="4" s="1"/>
  <c r="S157" i="4" s="1"/>
  <c r="S157" i="1"/>
  <c r="I109" i="1"/>
  <c r="I109" i="3" s="1"/>
  <c r="G109" i="4" s="1"/>
  <c r="S109" i="4" s="1"/>
  <c r="S109" i="1"/>
  <c r="I53" i="1"/>
  <c r="I53" i="3" s="1"/>
  <c r="G53" i="4" s="1"/>
  <c r="S53" i="4" s="1"/>
  <c r="S53" i="1"/>
  <c r="S675" i="1"/>
  <c r="S611" i="1"/>
  <c r="S547" i="1"/>
  <c r="S483" i="1"/>
  <c r="S419" i="1"/>
  <c r="I33" i="1"/>
  <c r="I33" i="3" s="1"/>
  <c r="G33" i="4" s="1"/>
  <c r="S33" i="4" s="1"/>
  <c r="S33" i="1"/>
  <c r="I25" i="1"/>
  <c r="I25" i="3" s="1"/>
  <c r="G25" i="4" s="1"/>
  <c r="S25" i="4" s="1"/>
  <c r="S25" i="1"/>
  <c r="I17" i="1"/>
  <c r="I17" i="3" s="1"/>
  <c r="G17" i="4" s="1"/>
  <c r="S17" i="4" s="1"/>
  <c r="S17" i="1"/>
  <c r="I9" i="1"/>
  <c r="I9" i="3" s="1"/>
  <c r="G9" i="4" s="1"/>
  <c r="S9" i="4" s="1"/>
  <c r="S9" i="1"/>
  <c r="I676" i="1"/>
  <c r="I676" i="3" s="1"/>
  <c r="G676" i="4" s="1"/>
  <c r="S676" i="4" s="1"/>
  <c r="S676" i="1"/>
  <c r="I668" i="1"/>
  <c r="I668" i="3" s="1"/>
  <c r="G668" i="4" s="1"/>
  <c r="S668" i="4" s="1"/>
  <c r="S668" i="1"/>
  <c r="I660" i="1"/>
  <c r="I660" i="3" s="1"/>
  <c r="G660" i="4" s="1"/>
  <c r="S660" i="4" s="1"/>
  <c r="S660" i="1"/>
  <c r="I652" i="1"/>
  <c r="I652" i="3" s="1"/>
  <c r="G652" i="4" s="1"/>
  <c r="S652" i="4" s="1"/>
  <c r="S652" i="1"/>
  <c r="I644" i="1"/>
  <c r="I644" i="3" s="1"/>
  <c r="G644" i="4" s="1"/>
  <c r="S644" i="4" s="1"/>
  <c r="S644" i="1"/>
  <c r="I636" i="1"/>
  <c r="I636" i="3" s="1"/>
  <c r="G636" i="4" s="1"/>
  <c r="S636" i="4" s="1"/>
  <c r="S636" i="1"/>
  <c r="I628" i="1"/>
  <c r="I628" i="3" s="1"/>
  <c r="G628" i="4" s="1"/>
  <c r="S628" i="4" s="1"/>
  <c r="S628" i="1"/>
  <c r="I620" i="1"/>
  <c r="I620" i="3" s="1"/>
  <c r="G620" i="4" s="1"/>
  <c r="S620" i="4" s="1"/>
  <c r="S620" i="1"/>
  <c r="I612" i="1"/>
  <c r="I612" i="3" s="1"/>
  <c r="G612" i="4" s="1"/>
  <c r="S612" i="4" s="1"/>
  <c r="S612" i="1"/>
  <c r="I604" i="1"/>
  <c r="I604" i="3" s="1"/>
  <c r="G604" i="4" s="1"/>
  <c r="S604" i="4" s="1"/>
  <c r="S604" i="1"/>
  <c r="I596" i="1"/>
  <c r="I596" i="3" s="1"/>
  <c r="G596" i="4" s="1"/>
  <c r="S596" i="4" s="1"/>
  <c r="S596" i="1"/>
  <c r="I588" i="1"/>
  <c r="I588" i="3" s="1"/>
  <c r="G588" i="4" s="1"/>
  <c r="S588" i="4" s="1"/>
  <c r="S588" i="1"/>
  <c r="I580" i="1"/>
  <c r="I580" i="3" s="1"/>
  <c r="G580" i="4" s="1"/>
  <c r="S580" i="4" s="1"/>
  <c r="S580" i="1"/>
  <c r="I572" i="1"/>
  <c r="I572" i="3" s="1"/>
  <c r="G572" i="4" s="1"/>
  <c r="S572" i="4" s="1"/>
  <c r="S572" i="1"/>
  <c r="I564" i="1"/>
  <c r="I564" i="3" s="1"/>
  <c r="G564" i="4" s="1"/>
  <c r="S564" i="4" s="1"/>
  <c r="S564" i="1"/>
  <c r="I556" i="1"/>
  <c r="I556" i="3" s="1"/>
  <c r="G556" i="4" s="1"/>
  <c r="S556" i="4" s="1"/>
  <c r="S556" i="1"/>
  <c r="I548" i="1"/>
  <c r="I548" i="3" s="1"/>
  <c r="G548" i="4" s="1"/>
  <c r="S548" i="4" s="1"/>
  <c r="S548" i="1"/>
  <c r="I540" i="1"/>
  <c r="I540" i="3" s="1"/>
  <c r="G540" i="4" s="1"/>
  <c r="S540" i="4" s="1"/>
  <c r="S540" i="1"/>
  <c r="I532" i="1"/>
  <c r="I532" i="3" s="1"/>
  <c r="G532" i="4" s="1"/>
  <c r="S532" i="4" s="1"/>
  <c r="S532" i="1"/>
  <c r="I524" i="1"/>
  <c r="I524" i="3" s="1"/>
  <c r="G524" i="4" s="1"/>
  <c r="S524" i="4" s="1"/>
  <c r="S524" i="1"/>
  <c r="I516" i="1"/>
  <c r="I516" i="3" s="1"/>
  <c r="G516" i="4" s="1"/>
  <c r="S516" i="4" s="1"/>
  <c r="S516" i="1"/>
  <c r="I508" i="1"/>
  <c r="I508" i="3" s="1"/>
  <c r="G508" i="4" s="1"/>
  <c r="S508" i="4" s="1"/>
  <c r="S508" i="1"/>
  <c r="I500" i="1"/>
  <c r="I500" i="3" s="1"/>
  <c r="G500" i="4" s="1"/>
  <c r="S500" i="4" s="1"/>
  <c r="S500" i="1"/>
  <c r="I492" i="1"/>
  <c r="I492" i="3" s="1"/>
  <c r="G492" i="4" s="1"/>
  <c r="S492" i="4" s="1"/>
  <c r="S492" i="1"/>
  <c r="I484" i="1"/>
  <c r="I484" i="3" s="1"/>
  <c r="G484" i="4" s="1"/>
  <c r="S484" i="4" s="1"/>
  <c r="S484" i="1"/>
  <c r="I476" i="1"/>
  <c r="I476" i="3" s="1"/>
  <c r="G476" i="4" s="1"/>
  <c r="S476" i="4" s="1"/>
  <c r="S476" i="1"/>
  <c r="I468" i="1"/>
  <c r="I468" i="3" s="1"/>
  <c r="G468" i="4" s="1"/>
  <c r="S468" i="4" s="1"/>
  <c r="S468" i="1"/>
  <c r="I460" i="1"/>
  <c r="I460" i="3" s="1"/>
  <c r="G460" i="4" s="1"/>
  <c r="S460" i="4" s="1"/>
  <c r="S460" i="1"/>
  <c r="I452" i="1"/>
  <c r="I452" i="3" s="1"/>
  <c r="G452" i="4" s="1"/>
  <c r="S452" i="4" s="1"/>
  <c r="S452" i="1"/>
  <c r="I444" i="1"/>
  <c r="I444" i="3" s="1"/>
  <c r="G444" i="4" s="1"/>
  <c r="S444" i="4" s="1"/>
  <c r="S444" i="1"/>
  <c r="I436" i="1"/>
  <c r="I436" i="3" s="1"/>
  <c r="G436" i="4" s="1"/>
  <c r="S436" i="4" s="1"/>
  <c r="S436" i="1"/>
  <c r="I428" i="1"/>
  <c r="I428" i="3" s="1"/>
  <c r="G428" i="4" s="1"/>
  <c r="S428" i="4" s="1"/>
  <c r="S428" i="1"/>
  <c r="I420" i="1"/>
  <c r="I420" i="3" s="1"/>
  <c r="G420" i="4" s="1"/>
  <c r="S420" i="4" s="1"/>
  <c r="S420" i="1"/>
  <c r="I412" i="1"/>
  <c r="I412" i="3" s="1"/>
  <c r="G412" i="4" s="1"/>
  <c r="S412" i="4" s="1"/>
  <c r="S412" i="1"/>
  <c r="I404" i="1"/>
  <c r="I404" i="3" s="1"/>
  <c r="G404" i="4" s="1"/>
  <c r="S404" i="4" s="1"/>
  <c r="S404" i="1"/>
  <c r="I396" i="1"/>
  <c r="I396" i="3" s="1"/>
  <c r="G396" i="4" s="1"/>
  <c r="S396" i="4" s="1"/>
  <c r="S396" i="1"/>
  <c r="I388" i="1"/>
  <c r="I388" i="3" s="1"/>
  <c r="G388" i="4" s="1"/>
  <c r="S388" i="4" s="1"/>
  <c r="S388" i="1"/>
  <c r="I380" i="1"/>
  <c r="I380" i="3" s="1"/>
  <c r="G380" i="4" s="1"/>
  <c r="S380" i="4" s="1"/>
  <c r="S380" i="1"/>
  <c r="I372" i="1"/>
  <c r="I372" i="3" s="1"/>
  <c r="G372" i="4" s="1"/>
  <c r="S372" i="4" s="1"/>
  <c r="S372" i="1"/>
  <c r="I364" i="1"/>
  <c r="I364" i="3" s="1"/>
  <c r="G364" i="4" s="1"/>
  <c r="S364" i="4" s="1"/>
  <c r="S364" i="1"/>
  <c r="I356" i="1"/>
  <c r="I356" i="3" s="1"/>
  <c r="G356" i="4" s="1"/>
  <c r="S356" i="4" s="1"/>
  <c r="S356" i="1"/>
  <c r="I348" i="1"/>
  <c r="I348" i="3" s="1"/>
  <c r="G348" i="4" s="1"/>
  <c r="S348" i="4" s="1"/>
  <c r="S348" i="1"/>
  <c r="I340" i="1"/>
  <c r="I340" i="3" s="1"/>
  <c r="G340" i="4" s="1"/>
  <c r="S340" i="4" s="1"/>
  <c r="S340" i="1"/>
  <c r="I332" i="1"/>
  <c r="I332" i="3" s="1"/>
  <c r="G332" i="4" s="1"/>
  <c r="S332" i="4" s="1"/>
  <c r="S332" i="1"/>
  <c r="I324" i="1"/>
  <c r="I324" i="3" s="1"/>
  <c r="G324" i="4" s="1"/>
  <c r="S324" i="4" s="1"/>
  <c r="S324" i="1"/>
  <c r="I316" i="1"/>
  <c r="I316" i="3" s="1"/>
  <c r="G316" i="4" s="1"/>
  <c r="S316" i="4" s="1"/>
  <c r="S316" i="1"/>
  <c r="I308" i="1"/>
  <c r="I308" i="3" s="1"/>
  <c r="G308" i="4" s="1"/>
  <c r="S308" i="4" s="1"/>
  <c r="S308" i="1"/>
  <c r="I300" i="1"/>
  <c r="I300" i="3" s="1"/>
  <c r="G300" i="4" s="1"/>
  <c r="S300" i="4" s="1"/>
  <c r="S300" i="1"/>
  <c r="I292" i="1"/>
  <c r="I292" i="3" s="1"/>
  <c r="G292" i="4" s="1"/>
  <c r="S292" i="4" s="1"/>
  <c r="S292" i="1"/>
  <c r="I284" i="1"/>
  <c r="I284" i="3" s="1"/>
  <c r="G284" i="4" s="1"/>
  <c r="S284" i="4" s="1"/>
  <c r="S284" i="1"/>
  <c r="I276" i="1"/>
  <c r="I276" i="3" s="1"/>
  <c r="G276" i="4" s="1"/>
  <c r="S276" i="4" s="1"/>
  <c r="S276" i="1"/>
  <c r="I268" i="1"/>
  <c r="I268" i="3" s="1"/>
  <c r="G268" i="4" s="1"/>
  <c r="S268" i="4" s="1"/>
  <c r="S268" i="1"/>
  <c r="I260" i="1"/>
  <c r="I260" i="3" s="1"/>
  <c r="G260" i="4" s="1"/>
  <c r="S260" i="4" s="1"/>
  <c r="S260" i="1"/>
  <c r="I252" i="1"/>
  <c r="I252" i="3" s="1"/>
  <c r="G252" i="4" s="1"/>
  <c r="S252" i="4" s="1"/>
  <c r="S252" i="1"/>
  <c r="I244" i="1"/>
  <c r="I244" i="3" s="1"/>
  <c r="G244" i="4" s="1"/>
  <c r="S244" i="4" s="1"/>
  <c r="S244" i="1"/>
  <c r="I236" i="1"/>
  <c r="I236" i="3" s="1"/>
  <c r="G236" i="4" s="1"/>
  <c r="S236" i="4" s="1"/>
  <c r="S236" i="1"/>
  <c r="I228" i="1"/>
  <c r="I228" i="3" s="1"/>
  <c r="G228" i="4" s="1"/>
  <c r="S228" i="4" s="1"/>
  <c r="S228" i="1"/>
  <c r="I220" i="1"/>
  <c r="I220" i="3" s="1"/>
  <c r="G220" i="4" s="1"/>
  <c r="S220" i="4" s="1"/>
  <c r="S220" i="1"/>
  <c r="I212" i="1"/>
  <c r="I212" i="3" s="1"/>
  <c r="G212" i="4" s="1"/>
  <c r="S212" i="4" s="1"/>
  <c r="S212" i="1"/>
  <c r="I204" i="1"/>
  <c r="I204" i="3" s="1"/>
  <c r="G204" i="4" s="1"/>
  <c r="S204" i="4" s="1"/>
  <c r="S204" i="1"/>
  <c r="I196" i="1"/>
  <c r="I196" i="3" s="1"/>
  <c r="G196" i="4" s="1"/>
  <c r="S196" i="4" s="1"/>
  <c r="S196" i="1"/>
  <c r="I188" i="1"/>
  <c r="I188" i="3" s="1"/>
  <c r="G188" i="4" s="1"/>
  <c r="S188" i="4" s="1"/>
  <c r="S188" i="1"/>
  <c r="I180" i="1"/>
  <c r="I180" i="3" s="1"/>
  <c r="G180" i="4" s="1"/>
  <c r="S180" i="4" s="1"/>
  <c r="S180" i="1"/>
  <c r="I172" i="1"/>
  <c r="I172" i="3" s="1"/>
  <c r="G172" i="4" s="1"/>
  <c r="S172" i="4" s="1"/>
  <c r="S172" i="1"/>
  <c r="I164" i="1"/>
  <c r="I164" i="3" s="1"/>
  <c r="G164" i="4" s="1"/>
  <c r="S164" i="4" s="1"/>
  <c r="S164" i="1"/>
  <c r="I156" i="1"/>
  <c r="I156" i="3" s="1"/>
  <c r="G156" i="4" s="1"/>
  <c r="S156" i="4" s="1"/>
  <c r="S156" i="1"/>
  <c r="I148" i="1"/>
  <c r="I148" i="3" s="1"/>
  <c r="G148" i="4" s="1"/>
  <c r="S148" i="4" s="1"/>
  <c r="S148" i="1"/>
  <c r="I140" i="1"/>
  <c r="I140" i="3" s="1"/>
  <c r="G140" i="4" s="1"/>
  <c r="S140" i="4" s="1"/>
  <c r="S140" i="1"/>
  <c r="I132" i="1"/>
  <c r="I132" i="3" s="1"/>
  <c r="G132" i="4" s="1"/>
  <c r="S132" i="4" s="1"/>
  <c r="S132" i="1"/>
  <c r="I124" i="1"/>
  <c r="I124" i="3" s="1"/>
  <c r="G124" i="4" s="1"/>
  <c r="S124" i="4" s="1"/>
  <c r="S124" i="1"/>
  <c r="I116" i="1"/>
  <c r="I116" i="3" s="1"/>
  <c r="G116" i="4" s="1"/>
  <c r="S116" i="4" s="1"/>
  <c r="S116" i="1"/>
  <c r="I108" i="1"/>
  <c r="I108" i="3" s="1"/>
  <c r="G108" i="4" s="1"/>
  <c r="S108" i="4" s="1"/>
  <c r="S108" i="1"/>
  <c r="I100" i="1"/>
  <c r="I100" i="3" s="1"/>
  <c r="G100" i="4" s="1"/>
  <c r="S100" i="4" s="1"/>
  <c r="S100" i="1"/>
  <c r="I92" i="1"/>
  <c r="I92" i="3" s="1"/>
  <c r="G92" i="4" s="1"/>
  <c r="S92" i="4" s="1"/>
  <c r="S92" i="1"/>
  <c r="I84" i="1"/>
  <c r="I84" i="3" s="1"/>
  <c r="G84" i="4" s="1"/>
  <c r="S84" i="4" s="1"/>
  <c r="S84" i="1"/>
  <c r="I76" i="1"/>
  <c r="I76" i="3" s="1"/>
  <c r="G76" i="4" s="1"/>
  <c r="S76" i="4" s="1"/>
  <c r="S76" i="1"/>
  <c r="I68" i="1"/>
  <c r="I68" i="3" s="1"/>
  <c r="G68" i="4" s="1"/>
  <c r="S68" i="4" s="1"/>
  <c r="S68" i="1"/>
  <c r="I60" i="1"/>
  <c r="I60" i="3" s="1"/>
  <c r="G60" i="4" s="1"/>
  <c r="S60" i="4" s="1"/>
  <c r="S60" i="1"/>
  <c r="I52" i="1"/>
  <c r="I52" i="3" s="1"/>
  <c r="G52" i="4" s="1"/>
  <c r="S52" i="4" s="1"/>
  <c r="S52" i="1"/>
  <c r="I44" i="1"/>
  <c r="I44" i="3" s="1"/>
  <c r="G44" i="4" s="1"/>
  <c r="S44" i="4" s="1"/>
  <c r="S44" i="1"/>
  <c r="I36" i="1"/>
  <c r="I36" i="3" s="1"/>
  <c r="G36" i="4" s="1"/>
  <c r="S36" i="4" s="1"/>
  <c r="S36" i="1"/>
  <c r="S799" i="1"/>
  <c r="S791" i="1"/>
  <c r="S783" i="1"/>
  <c r="S775" i="1"/>
  <c r="S767" i="1"/>
  <c r="S759" i="1"/>
  <c r="S751" i="1"/>
  <c r="S743" i="1"/>
  <c r="S735" i="1"/>
  <c r="S727" i="1"/>
  <c r="S719" i="1"/>
  <c r="S711" i="1"/>
  <c r="S703" i="1"/>
  <c r="S695" i="1"/>
  <c r="S687" i="1"/>
  <c r="S674" i="1"/>
  <c r="S651" i="1"/>
  <c r="S631" i="1"/>
  <c r="S610" i="1"/>
  <c r="S587" i="1"/>
  <c r="S567" i="1"/>
  <c r="S546" i="1"/>
  <c r="S523" i="1"/>
  <c r="S503" i="1"/>
  <c r="S482" i="1"/>
  <c r="S459" i="1"/>
  <c r="S439" i="1"/>
  <c r="S418" i="1"/>
  <c r="S395" i="1"/>
  <c r="S375" i="1"/>
  <c r="S346" i="1"/>
  <c r="S306" i="1"/>
  <c r="S242" i="1"/>
  <c r="S178" i="1"/>
  <c r="S114" i="1"/>
  <c r="S50" i="1"/>
  <c r="I637" i="1"/>
  <c r="I637" i="3" s="1"/>
  <c r="G637" i="4" s="1"/>
  <c r="S637" i="4" s="1"/>
  <c r="S637" i="1"/>
  <c r="I565" i="1"/>
  <c r="I565" i="3" s="1"/>
  <c r="G565" i="4" s="1"/>
  <c r="S565" i="4" s="1"/>
  <c r="S565" i="1"/>
  <c r="I493" i="1"/>
  <c r="I493" i="3" s="1"/>
  <c r="G493" i="4" s="1"/>
  <c r="S493" i="4" s="1"/>
  <c r="S493" i="1"/>
  <c r="I413" i="1"/>
  <c r="I413" i="3" s="1"/>
  <c r="G413" i="4" s="1"/>
  <c r="S413" i="4" s="1"/>
  <c r="S413" i="1"/>
  <c r="I341" i="1"/>
  <c r="I341" i="3" s="1"/>
  <c r="G341" i="4" s="1"/>
  <c r="S341" i="4" s="1"/>
  <c r="S341" i="1"/>
  <c r="I245" i="1"/>
  <c r="I245" i="3" s="1"/>
  <c r="G245" i="4" s="1"/>
  <c r="S245" i="4" s="1"/>
  <c r="S245" i="1"/>
  <c r="I149" i="1"/>
  <c r="I149" i="3" s="1"/>
  <c r="G149" i="4" s="1"/>
  <c r="S149" i="4" s="1"/>
  <c r="S149" i="1"/>
  <c r="I37" i="1"/>
  <c r="I37" i="3" s="1"/>
  <c r="G37" i="4" s="1"/>
  <c r="S37" i="4" s="1"/>
  <c r="S37" i="1"/>
  <c r="I331" i="1"/>
  <c r="I331" i="3" s="1"/>
  <c r="G331" i="4" s="1"/>
  <c r="S331" i="4" s="1"/>
  <c r="S331" i="1"/>
  <c r="I291" i="1"/>
  <c r="I291" i="3" s="1"/>
  <c r="G291" i="4" s="1"/>
  <c r="S291" i="4" s="1"/>
  <c r="S291" i="1"/>
  <c r="I243" i="1"/>
  <c r="I243" i="3" s="1"/>
  <c r="G243" i="4" s="1"/>
  <c r="S243" i="4" s="1"/>
  <c r="S243" i="1"/>
  <c r="I211" i="1"/>
  <c r="I211" i="3" s="1"/>
  <c r="G211" i="4" s="1"/>
  <c r="S211" i="4" s="1"/>
  <c r="S211" i="1"/>
  <c r="I155" i="1"/>
  <c r="I155" i="3" s="1"/>
  <c r="G155" i="4" s="1"/>
  <c r="S155" i="4" s="1"/>
  <c r="S155" i="1"/>
  <c r="I107" i="1"/>
  <c r="I107" i="3" s="1"/>
  <c r="G107" i="4" s="1"/>
  <c r="S107" i="4" s="1"/>
  <c r="S107" i="1"/>
  <c r="I51" i="1"/>
  <c r="I51" i="3" s="1"/>
  <c r="G51" i="4" s="1"/>
  <c r="S51" i="4" s="1"/>
  <c r="S51" i="1"/>
  <c r="S798" i="1"/>
  <c r="S790" i="1"/>
  <c r="S782" i="1"/>
  <c r="S774" i="1"/>
  <c r="S766" i="1"/>
  <c r="S758" i="1"/>
  <c r="S750" i="1"/>
  <c r="S742" i="1"/>
  <c r="S734" i="1"/>
  <c r="S726" i="1"/>
  <c r="S718" i="1"/>
  <c r="S710" i="1"/>
  <c r="S702" i="1"/>
  <c r="S694" i="1"/>
  <c r="S686" i="1"/>
  <c r="S671" i="1"/>
  <c r="S650" i="1"/>
  <c r="S627" i="1"/>
  <c r="S607" i="1"/>
  <c r="S586" i="1"/>
  <c r="S563" i="1"/>
  <c r="S543" i="1"/>
  <c r="S522" i="1"/>
  <c r="S499" i="1"/>
  <c r="S479" i="1"/>
  <c r="S458" i="1"/>
  <c r="S435" i="1"/>
  <c r="S415" i="1"/>
  <c r="S394" i="1"/>
  <c r="S371" i="1"/>
  <c r="S343" i="1"/>
  <c r="S298" i="1"/>
  <c r="S234" i="1"/>
  <c r="S170" i="1"/>
  <c r="S106" i="1"/>
  <c r="S42" i="1"/>
  <c r="I19" i="1"/>
  <c r="I19" i="3" s="1"/>
  <c r="G19" i="4" s="1"/>
  <c r="S19" i="4" s="1"/>
  <c r="S19" i="1"/>
  <c r="I654" i="1"/>
  <c r="I654" i="3" s="1"/>
  <c r="G654" i="4" s="1"/>
  <c r="S654" i="4" s="1"/>
  <c r="S654" i="1"/>
  <c r="I582" i="1"/>
  <c r="I582" i="3" s="1"/>
  <c r="G582" i="4" s="1"/>
  <c r="S582" i="4" s="1"/>
  <c r="S582" i="1"/>
  <c r="I325" i="1"/>
  <c r="I325" i="3" s="1"/>
  <c r="G325" i="4" s="1"/>
  <c r="S325" i="4" s="1"/>
  <c r="S325" i="1"/>
  <c r="I285" i="1"/>
  <c r="I285" i="3" s="1"/>
  <c r="G285" i="4" s="1"/>
  <c r="S285" i="4" s="1"/>
  <c r="S285" i="1"/>
  <c r="I237" i="1"/>
  <c r="I237" i="3" s="1"/>
  <c r="G237" i="4" s="1"/>
  <c r="S237" i="4" s="1"/>
  <c r="S237" i="1"/>
  <c r="I197" i="1"/>
  <c r="I197" i="3" s="1"/>
  <c r="G197" i="4" s="1"/>
  <c r="S197" i="4" s="1"/>
  <c r="S197" i="1"/>
  <c r="I133" i="1"/>
  <c r="I133" i="3" s="1"/>
  <c r="G133" i="4" s="1"/>
  <c r="S133" i="4" s="1"/>
  <c r="S133" i="1"/>
  <c r="I93" i="1"/>
  <c r="I93" i="3" s="1"/>
  <c r="G93" i="4" s="1"/>
  <c r="S93" i="4" s="1"/>
  <c r="S93" i="1"/>
  <c r="I61" i="1"/>
  <c r="I61" i="3" s="1"/>
  <c r="G61" i="4" s="1"/>
  <c r="S61" i="4" s="1"/>
  <c r="S61" i="1"/>
  <c r="I8" i="1"/>
  <c r="I8" i="3" s="1"/>
  <c r="G8" i="4" s="1"/>
  <c r="S8" i="4" s="1"/>
  <c r="S8" i="1"/>
  <c r="I355" i="1"/>
  <c r="I355" i="3" s="1"/>
  <c r="G355" i="4" s="1"/>
  <c r="S355" i="4" s="1"/>
  <c r="S355" i="1"/>
  <c r="I339" i="1"/>
  <c r="I339" i="3" s="1"/>
  <c r="G339" i="4" s="1"/>
  <c r="S339" i="4" s="1"/>
  <c r="S339" i="1"/>
  <c r="I315" i="1"/>
  <c r="I315" i="3" s="1"/>
  <c r="G315" i="4" s="1"/>
  <c r="S315" i="4" s="1"/>
  <c r="S315" i="1"/>
  <c r="I299" i="1"/>
  <c r="I299" i="3" s="1"/>
  <c r="G299" i="4" s="1"/>
  <c r="S299" i="4" s="1"/>
  <c r="S299" i="1"/>
  <c r="I275" i="1"/>
  <c r="I275" i="3" s="1"/>
  <c r="G275" i="4" s="1"/>
  <c r="S275" i="4" s="1"/>
  <c r="S275" i="1"/>
  <c r="I251" i="1"/>
  <c r="I251" i="3" s="1"/>
  <c r="G251" i="4" s="1"/>
  <c r="S251" i="4" s="1"/>
  <c r="S251" i="1"/>
  <c r="I227" i="1"/>
  <c r="I227" i="3" s="1"/>
  <c r="G227" i="4" s="1"/>
  <c r="S227" i="4" s="1"/>
  <c r="S227" i="1"/>
  <c r="I203" i="1"/>
  <c r="I203" i="3" s="1"/>
  <c r="G203" i="4" s="1"/>
  <c r="S203" i="4" s="1"/>
  <c r="S203" i="1"/>
  <c r="I187" i="1"/>
  <c r="I187" i="3" s="1"/>
  <c r="G187" i="4" s="1"/>
  <c r="S187" i="4" s="1"/>
  <c r="S187" i="1"/>
  <c r="I171" i="1"/>
  <c r="I171" i="3" s="1"/>
  <c r="G171" i="4" s="1"/>
  <c r="S171" i="4" s="1"/>
  <c r="S171" i="1"/>
  <c r="I139" i="1"/>
  <c r="I139" i="3" s="1"/>
  <c r="G139" i="4" s="1"/>
  <c r="S139" i="4" s="1"/>
  <c r="S139" i="1"/>
  <c r="I123" i="1"/>
  <c r="I123" i="3" s="1"/>
  <c r="G123" i="4" s="1"/>
  <c r="S123" i="4" s="1"/>
  <c r="S123" i="1"/>
  <c r="I99" i="1"/>
  <c r="I99" i="3" s="1"/>
  <c r="G99" i="4" s="1"/>
  <c r="S99" i="4" s="1"/>
  <c r="S99" i="1"/>
  <c r="I75" i="1"/>
  <c r="I75" i="3" s="1"/>
  <c r="G75" i="4" s="1"/>
  <c r="S75" i="4" s="1"/>
  <c r="S75" i="1"/>
  <c r="I59" i="1"/>
  <c r="I59" i="3" s="1"/>
  <c r="G59" i="4" s="1"/>
  <c r="S59" i="4" s="1"/>
  <c r="S59" i="1"/>
  <c r="I35" i="1"/>
  <c r="I35" i="3" s="1"/>
  <c r="G35" i="4" s="1"/>
  <c r="S35" i="4" s="1"/>
  <c r="S35" i="1"/>
  <c r="I31" i="1"/>
  <c r="I31" i="3" s="1"/>
  <c r="G31" i="4" s="1"/>
  <c r="S31" i="4" s="1"/>
  <c r="S31" i="1"/>
  <c r="I23" i="1"/>
  <c r="I23" i="3" s="1"/>
  <c r="G23" i="4" s="1"/>
  <c r="S23" i="4" s="1"/>
  <c r="S23" i="1"/>
  <c r="I15" i="1"/>
  <c r="I15" i="3" s="1"/>
  <c r="G15" i="4" s="1"/>
  <c r="S15" i="4" s="1"/>
  <c r="S15" i="1"/>
  <c r="I7" i="1"/>
  <c r="I7" i="3" s="1"/>
  <c r="G7" i="4" s="1"/>
  <c r="S7" i="4" s="1"/>
  <c r="S7" i="1"/>
  <c r="S797" i="1"/>
  <c r="S789" i="1"/>
  <c r="S781" i="1"/>
  <c r="S773" i="1"/>
  <c r="S765" i="1"/>
  <c r="S757" i="1"/>
  <c r="S749" i="1"/>
  <c r="S741" i="1"/>
  <c r="S733" i="1"/>
  <c r="S725" i="1"/>
  <c r="S717" i="1"/>
  <c r="S709" i="1"/>
  <c r="S701" i="1"/>
  <c r="S693" i="1"/>
  <c r="S685" i="1"/>
  <c r="S667" i="1"/>
  <c r="S647" i="1"/>
  <c r="S626" i="1"/>
  <c r="S603" i="1"/>
  <c r="S583" i="1"/>
  <c r="S562" i="1"/>
  <c r="S539" i="1"/>
  <c r="S519" i="1"/>
  <c r="S498" i="1"/>
  <c r="S475" i="1"/>
  <c r="S455" i="1"/>
  <c r="S434" i="1"/>
  <c r="S411" i="1"/>
  <c r="S391" i="1"/>
  <c r="S370" i="1"/>
  <c r="S338" i="1"/>
  <c r="S290" i="1"/>
  <c r="S226" i="1"/>
  <c r="S162" i="1"/>
  <c r="S98" i="1"/>
  <c r="S34" i="1"/>
  <c r="I27" i="1"/>
  <c r="I27" i="3" s="1"/>
  <c r="G27" i="4" s="1"/>
  <c r="S27" i="4" s="1"/>
  <c r="S27" i="1"/>
  <c r="I614" i="1"/>
  <c r="I614" i="3" s="1"/>
  <c r="G614" i="4" s="1"/>
  <c r="S614" i="4" s="1"/>
  <c r="S614" i="1"/>
  <c r="I661" i="1"/>
  <c r="I661" i="3" s="1"/>
  <c r="G661" i="4" s="1"/>
  <c r="S661" i="4" s="1"/>
  <c r="S661" i="1"/>
  <c r="I629" i="1"/>
  <c r="I629" i="3" s="1"/>
  <c r="G629" i="4" s="1"/>
  <c r="S629" i="4" s="1"/>
  <c r="S629" i="1"/>
  <c r="I605" i="1"/>
  <c r="I605" i="3" s="1"/>
  <c r="G605" i="4" s="1"/>
  <c r="S605" i="4" s="1"/>
  <c r="S605" i="1"/>
  <c r="I581" i="1"/>
  <c r="I581" i="3" s="1"/>
  <c r="G581" i="4" s="1"/>
  <c r="S581" i="4" s="1"/>
  <c r="S581" i="1"/>
  <c r="I549" i="1"/>
  <c r="I549" i="3" s="1"/>
  <c r="G549" i="4" s="1"/>
  <c r="S549" i="4" s="1"/>
  <c r="S549" i="1"/>
  <c r="I525" i="1"/>
  <c r="I525" i="3" s="1"/>
  <c r="G525" i="4" s="1"/>
  <c r="S525" i="4" s="1"/>
  <c r="S525" i="1"/>
  <c r="I509" i="1"/>
  <c r="I509" i="3" s="1"/>
  <c r="G509" i="4" s="1"/>
  <c r="S509" i="4" s="1"/>
  <c r="S509" i="1"/>
  <c r="I477" i="1"/>
  <c r="I477" i="3" s="1"/>
  <c r="G477" i="4" s="1"/>
  <c r="S477" i="4" s="1"/>
  <c r="S477" i="1"/>
  <c r="I453" i="1"/>
  <c r="I453" i="3" s="1"/>
  <c r="G453" i="4" s="1"/>
  <c r="S453" i="4" s="1"/>
  <c r="S453" i="1"/>
  <c r="I429" i="1"/>
  <c r="I429" i="3" s="1"/>
  <c r="G429" i="4" s="1"/>
  <c r="S429" i="4" s="1"/>
  <c r="S429" i="1"/>
  <c r="I397" i="1"/>
  <c r="I397" i="3" s="1"/>
  <c r="G397" i="4" s="1"/>
  <c r="S397" i="4" s="1"/>
  <c r="S397" i="1"/>
  <c r="I381" i="1"/>
  <c r="I381" i="3" s="1"/>
  <c r="G381" i="4" s="1"/>
  <c r="S381" i="4" s="1"/>
  <c r="S381" i="1"/>
  <c r="I357" i="1"/>
  <c r="I357" i="3" s="1"/>
  <c r="G357" i="4" s="1"/>
  <c r="S357" i="4" s="1"/>
  <c r="S357" i="1"/>
  <c r="I317" i="1"/>
  <c r="I317" i="3" s="1"/>
  <c r="G317" i="4" s="1"/>
  <c r="S317" i="4" s="1"/>
  <c r="S317" i="1"/>
  <c r="I293" i="1"/>
  <c r="I293" i="3" s="1"/>
  <c r="G293" i="4" s="1"/>
  <c r="S293" i="4" s="1"/>
  <c r="S293" i="1"/>
  <c r="I269" i="1"/>
  <c r="I269" i="3" s="1"/>
  <c r="G269" i="4" s="1"/>
  <c r="S269" i="4" s="1"/>
  <c r="S269" i="1"/>
  <c r="I221" i="1"/>
  <c r="I221" i="3" s="1"/>
  <c r="G221" i="4" s="1"/>
  <c r="S221" i="4" s="1"/>
  <c r="S221" i="1"/>
  <c r="I181" i="1"/>
  <c r="I181" i="3" s="1"/>
  <c r="G181" i="4" s="1"/>
  <c r="S181" i="4" s="1"/>
  <c r="S181" i="1"/>
  <c r="I165" i="1"/>
  <c r="I165" i="3" s="1"/>
  <c r="G165" i="4" s="1"/>
  <c r="S165" i="4" s="1"/>
  <c r="S165" i="1"/>
  <c r="I117" i="1"/>
  <c r="I117" i="3" s="1"/>
  <c r="G117" i="4" s="1"/>
  <c r="S117" i="4" s="1"/>
  <c r="S117" i="1"/>
  <c r="I85" i="1"/>
  <c r="I85" i="3" s="1"/>
  <c r="G85" i="4" s="1"/>
  <c r="S85" i="4" s="1"/>
  <c r="S85" i="1"/>
  <c r="I45" i="1"/>
  <c r="I45" i="3" s="1"/>
  <c r="G45" i="4" s="1"/>
  <c r="S45" i="4" s="1"/>
  <c r="S45" i="1"/>
  <c r="I16" i="1"/>
  <c r="I16" i="3" s="1"/>
  <c r="G16" i="4" s="1"/>
  <c r="S16" i="4" s="1"/>
  <c r="S16" i="1"/>
  <c r="I363" i="1"/>
  <c r="I363" i="3" s="1"/>
  <c r="G363" i="4" s="1"/>
  <c r="S363" i="4" s="1"/>
  <c r="S363" i="1"/>
  <c r="I347" i="1"/>
  <c r="I347" i="3" s="1"/>
  <c r="G347" i="4" s="1"/>
  <c r="S347" i="4" s="1"/>
  <c r="S347" i="1"/>
  <c r="I323" i="1"/>
  <c r="I323" i="3" s="1"/>
  <c r="G323" i="4" s="1"/>
  <c r="S323" i="4" s="1"/>
  <c r="S323" i="1"/>
  <c r="I307" i="1"/>
  <c r="I307" i="3" s="1"/>
  <c r="G307" i="4" s="1"/>
  <c r="S307" i="4" s="1"/>
  <c r="S307" i="1"/>
  <c r="I283" i="1"/>
  <c r="I283" i="3" s="1"/>
  <c r="G283" i="4" s="1"/>
  <c r="S283" i="4" s="1"/>
  <c r="S283" i="1"/>
  <c r="I267" i="1"/>
  <c r="I267" i="3" s="1"/>
  <c r="G267" i="4" s="1"/>
  <c r="S267" i="4" s="1"/>
  <c r="S267" i="1"/>
  <c r="I259" i="1"/>
  <c r="I259" i="3" s="1"/>
  <c r="G259" i="4" s="1"/>
  <c r="S259" i="4" s="1"/>
  <c r="S259" i="1"/>
  <c r="I235" i="1"/>
  <c r="I235" i="3" s="1"/>
  <c r="G235" i="4" s="1"/>
  <c r="S235" i="4" s="1"/>
  <c r="S235" i="1"/>
  <c r="I219" i="1"/>
  <c r="I219" i="3" s="1"/>
  <c r="G219" i="4" s="1"/>
  <c r="S219" i="4" s="1"/>
  <c r="S219" i="1"/>
  <c r="I195" i="1"/>
  <c r="I195" i="3" s="1"/>
  <c r="G195" i="4" s="1"/>
  <c r="S195" i="4" s="1"/>
  <c r="S195" i="1"/>
  <c r="I179" i="1"/>
  <c r="I179" i="3" s="1"/>
  <c r="G179" i="4" s="1"/>
  <c r="S179" i="4" s="1"/>
  <c r="S179" i="1"/>
  <c r="I163" i="1"/>
  <c r="I163" i="3" s="1"/>
  <c r="G163" i="4" s="1"/>
  <c r="S163" i="4" s="1"/>
  <c r="S163" i="1"/>
  <c r="I147" i="1"/>
  <c r="I147" i="3" s="1"/>
  <c r="G147" i="4" s="1"/>
  <c r="S147" i="4" s="1"/>
  <c r="S147" i="1"/>
  <c r="I131" i="1"/>
  <c r="I131" i="3" s="1"/>
  <c r="G131" i="4" s="1"/>
  <c r="S131" i="4" s="1"/>
  <c r="S131" i="1"/>
  <c r="I115" i="1"/>
  <c r="I115" i="3" s="1"/>
  <c r="G115" i="4" s="1"/>
  <c r="S115" i="4" s="1"/>
  <c r="S115" i="1"/>
  <c r="I91" i="1"/>
  <c r="I91" i="3" s="1"/>
  <c r="G91" i="4" s="1"/>
  <c r="S91" i="4" s="1"/>
  <c r="S91" i="1"/>
  <c r="I83" i="1"/>
  <c r="I83" i="3" s="1"/>
  <c r="G83" i="4" s="1"/>
  <c r="S83" i="4" s="1"/>
  <c r="S83" i="1"/>
  <c r="I67" i="1"/>
  <c r="I67" i="3" s="1"/>
  <c r="G67" i="4" s="1"/>
  <c r="S67" i="4" s="1"/>
  <c r="S67" i="1"/>
  <c r="I43" i="1"/>
  <c r="I43" i="3" s="1"/>
  <c r="G43" i="4" s="1"/>
  <c r="S43" i="4" s="1"/>
  <c r="S43" i="1"/>
  <c r="I30" i="1"/>
  <c r="I30" i="3" s="1"/>
  <c r="G30" i="4" s="1"/>
  <c r="S30" i="4" s="1"/>
  <c r="S30" i="1"/>
  <c r="I22" i="1"/>
  <c r="I22" i="3" s="1"/>
  <c r="G22" i="4" s="1"/>
  <c r="S22" i="4" s="1"/>
  <c r="S22" i="1"/>
  <c r="I14" i="1"/>
  <c r="I14" i="3" s="1"/>
  <c r="G14" i="4" s="1"/>
  <c r="S14" i="4" s="1"/>
  <c r="S14" i="1"/>
  <c r="I6" i="1"/>
  <c r="I6" i="3" s="1"/>
  <c r="G6" i="4" s="1"/>
  <c r="S6" i="4" s="1"/>
  <c r="S6" i="1"/>
  <c r="I49" i="1"/>
  <c r="I49" i="3" s="1"/>
  <c r="G49" i="4" s="1"/>
  <c r="S49" i="4" s="1"/>
  <c r="S49" i="1"/>
  <c r="I681" i="1"/>
  <c r="I681" i="3" s="1"/>
  <c r="G681" i="4" s="1"/>
  <c r="S681" i="4" s="1"/>
  <c r="S681" i="1"/>
  <c r="I673" i="1"/>
  <c r="I673" i="3" s="1"/>
  <c r="G673" i="4" s="1"/>
  <c r="S673" i="4" s="1"/>
  <c r="S673" i="1"/>
  <c r="I665" i="1"/>
  <c r="I665" i="3" s="1"/>
  <c r="G665" i="4" s="1"/>
  <c r="S665" i="4" s="1"/>
  <c r="S665" i="1"/>
  <c r="I657" i="1"/>
  <c r="I657" i="3" s="1"/>
  <c r="G657" i="4" s="1"/>
  <c r="S657" i="4" s="1"/>
  <c r="S657" i="1"/>
  <c r="I649" i="1"/>
  <c r="I649" i="3" s="1"/>
  <c r="G649" i="4" s="1"/>
  <c r="S649" i="4" s="1"/>
  <c r="S649" i="1"/>
  <c r="I641" i="1"/>
  <c r="I641" i="3" s="1"/>
  <c r="G641" i="4" s="1"/>
  <c r="S641" i="4" s="1"/>
  <c r="S641" i="1"/>
  <c r="I633" i="1"/>
  <c r="I633" i="3" s="1"/>
  <c r="G633" i="4" s="1"/>
  <c r="S633" i="4" s="1"/>
  <c r="S633" i="1"/>
  <c r="I625" i="1"/>
  <c r="I625" i="3" s="1"/>
  <c r="G625" i="4" s="1"/>
  <c r="S625" i="4" s="1"/>
  <c r="S625" i="1"/>
  <c r="I617" i="1"/>
  <c r="I617" i="3" s="1"/>
  <c r="G617" i="4" s="1"/>
  <c r="S617" i="4" s="1"/>
  <c r="S617" i="1"/>
  <c r="I609" i="1"/>
  <c r="I609" i="3" s="1"/>
  <c r="G609" i="4" s="1"/>
  <c r="S609" i="4" s="1"/>
  <c r="S609" i="1"/>
  <c r="I601" i="1"/>
  <c r="I601" i="3" s="1"/>
  <c r="G601" i="4" s="1"/>
  <c r="S601" i="4" s="1"/>
  <c r="S601" i="1"/>
  <c r="I593" i="1"/>
  <c r="I593" i="3" s="1"/>
  <c r="G593" i="4" s="1"/>
  <c r="S593" i="4" s="1"/>
  <c r="S593" i="1"/>
  <c r="I585" i="1"/>
  <c r="I585" i="3" s="1"/>
  <c r="G585" i="4" s="1"/>
  <c r="S585" i="4" s="1"/>
  <c r="S585" i="1"/>
  <c r="I577" i="1"/>
  <c r="I577" i="3" s="1"/>
  <c r="G577" i="4" s="1"/>
  <c r="S577" i="4" s="1"/>
  <c r="S577" i="1"/>
  <c r="I569" i="1"/>
  <c r="I569" i="3" s="1"/>
  <c r="G569" i="4" s="1"/>
  <c r="S569" i="4" s="1"/>
  <c r="S569" i="1"/>
  <c r="I561" i="1"/>
  <c r="I561" i="3" s="1"/>
  <c r="G561" i="4" s="1"/>
  <c r="S561" i="4" s="1"/>
  <c r="S561" i="1"/>
  <c r="I553" i="1"/>
  <c r="I553" i="3" s="1"/>
  <c r="G553" i="4" s="1"/>
  <c r="S553" i="4" s="1"/>
  <c r="S553" i="1"/>
  <c r="I545" i="1"/>
  <c r="I545" i="3" s="1"/>
  <c r="G545" i="4" s="1"/>
  <c r="S545" i="4" s="1"/>
  <c r="S545" i="1"/>
  <c r="I537" i="1"/>
  <c r="I537" i="3" s="1"/>
  <c r="G537" i="4" s="1"/>
  <c r="S537" i="4" s="1"/>
  <c r="S537" i="1"/>
  <c r="I529" i="1"/>
  <c r="I529" i="3" s="1"/>
  <c r="G529" i="4" s="1"/>
  <c r="S529" i="4" s="1"/>
  <c r="S529" i="1"/>
  <c r="I521" i="1"/>
  <c r="I521" i="3" s="1"/>
  <c r="G521" i="4" s="1"/>
  <c r="S521" i="4" s="1"/>
  <c r="S521" i="1"/>
  <c r="I513" i="1"/>
  <c r="I513" i="3" s="1"/>
  <c r="G513" i="4" s="1"/>
  <c r="S513" i="4" s="1"/>
  <c r="S513" i="1"/>
  <c r="I505" i="1"/>
  <c r="I505" i="3" s="1"/>
  <c r="G505" i="4" s="1"/>
  <c r="S505" i="4" s="1"/>
  <c r="S505" i="1"/>
  <c r="I497" i="1"/>
  <c r="I497" i="3" s="1"/>
  <c r="G497" i="4" s="1"/>
  <c r="S497" i="4" s="1"/>
  <c r="S497" i="1"/>
  <c r="I489" i="1"/>
  <c r="I489" i="3" s="1"/>
  <c r="G489" i="4" s="1"/>
  <c r="S489" i="4" s="1"/>
  <c r="S489" i="1"/>
  <c r="I481" i="1"/>
  <c r="I481" i="3" s="1"/>
  <c r="G481" i="4" s="1"/>
  <c r="S481" i="4" s="1"/>
  <c r="S481" i="1"/>
  <c r="I473" i="1"/>
  <c r="I473" i="3" s="1"/>
  <c r="G473" i="4" s="1"/>
  <c r="S473" i="4" s="1"/>
  <c r="S473" i="1"/>
  <c r="I465" i="1"/>
  <c r="I465" i="3" s="1"/>
  <c r="G465" i="4" s="1"/>
  <c r="S465" i="4" s="1"/>
  <c r="S465" i="1"/>
  <c r="I457" i="1"/>
  <c r="I457" i="3" s="1"/>
  <c r="G457" i="4" s="1"/>
  <c r="S457" i="4" s="1"/>
  <c r="S457" i="1"/>
  <c r="I449" i="1"/>
  <c r="I449" i="3" s="1"/>
  <c r="G449" i="4" s="1"/>
  <c r="S449" i="4" s="1"/>
  <c r="S449" i="1"/>
  <c r="I441" i="1"/>
  <c r="I441" i="3" s="1"/>
  <c r="G441" i="4" s="1"/>
  <c r="S441" i="4" s="1"/>
  <c r="S441" i="1"/>
  <c r="I433" i="1"/>
  <c r="I433" i="3" s="1"/>
  <c r="G433" i="4" s="1"/>
  <c r="S433" i="4" s="1"/>
  <c r="S433" i="1"/>
  <c r="I425" i="1"/>
  <c r="I425" i="3" s="1"/>
  <c r="G425" i="4" s="1"/>
  <c r="S425" i="4" s="1"/>
  <c r="S425" i="1"/>
  <c r="I417" i="1"/>
  <c r="I417" i="3" s="1"/>
  <c r="G417" i="4" s="1"/>
  <c r="S417" i="4" s="1"/>
  <c r="S417" i="1"/>
  <c r="I409" i="1"/>
  <c r="I409" i="3" s="1"/>
  <c r="G409" i="4" s="1"/>
  <c r="S409" i="4" s="1"/>
  <c r="S409" i="1"/>
  <c r="I401" i="1"/>
  <c r="I401" i="3" s="1"/>
  <c r="G401" i="4" s="1"/>
  <c r="S401" i="4" s="1"/>
  <c r="S401" i="1"/>
  <c r="I393" i="1"/>
  <c r="I393" i="3" s="1"/>
  <c r="G393" i="4" s="1"/>
  <c r="S393" i="4" s="1"/>
  <c r="S393" i="1"/>
  <c r="I385" i="1"/>
  <c r="I385" i="3" s="1"/>
  <c r="G385" i="4" s="1"/>
  <c r="S385" i="4" s="1"/>
  <c r="S385" i="1"/>
  <c r="I377" i="1"/>
  <c r="I377" i="3" s="1"/>
  <c r="G377" i="4" s="1"/>
  <c r="S377" i="4" s="1"/>
  <c r="S377" i="1"/>
  <c r="I369" i="1"/>
  <c r="I369" i="3" s="1"/>
  <c r="G369" i="4" s="1"/>
  <c r="S369" i="4" s="1"/>
  <c r="S369" i="1"/>
  <c r="I361" i="1"/>
  <c r="I361" i="3" s="1"/>
  <c r="G361" i="4" s="1"/>
  <c r="S361" i="4" s="1"/>
  <c r="S361" i="1"/>
  <c r="I353" i="1"/>
  <c r="I353" i="3" s="1"/>
  <c r="G353" i="4" s="1"/>
  <c r="S353" i="4" s="1"/>
  <c r="S353" i="1"/>
  <c r="I345" i="1"/>
  <c r="I345" i="3" s="1"/>
  <c r="G345" i="4" s="1"/>
  <c r="S345" i="4" s="1"/>
  <c r="S345" i="1"/>
  <c r="I337" i="1"/>
  <c r="I337" i="3" s="1"/>
  <c r="G337" i="4" s="1"/>
  <c r="S337" i="4" s="1"/>
  <c r="S337" i="1"/>
  <c r="I329" i="1"/>
  <c r="I329" i="3" s="1"/>
  <c r="G329" i="4" s="1"/>
  <c r="S329" i="4" s="1"/>
  <c r="S329" i="1"/>
  <c r="I321" i="1"/>
  <c r="I321" i="3" s="1"/>
  <c r="G321" i="4" s="1"/>
  <c r="S321" i="4" s="1"/>
  <c r="S321" i="1"/>
  <c r="I313" i="1"/>
  <c r="I313" i="3" s="1"/>
  <c r="G313" i="4" s="1"/>
  <c r="S313" i="4" s="1"/>
  <c r="S313" i="1"/>
  <c r="I305" i="1"/>
  <c r="I305" i="3" s="1"/>
  <c r="G305" i="4" s="1"/>
  <c r="S305" i="4" s="1"/>
  <c r="S305" i="1"/>
  <c r="I297" i="1"/>
  <c r="I297" i="3" s="1"/>
  <c r="G297" i="4" s="1"/>
  <c r="S297" i="4" s="1"/>
  <c r="S297" i="1"/>
  <c r="I289" i="1"/>
  <c r="I289" i="3" s="1"/>
  <c r="G289" i="4" s="1"/>
  <c r="S289" i="4" s="1"/>
  <c r="S289" i="1"/>
  <c r="I281" i="1"/>
  <c r="I281" i="3" s="1"/>
  <c r="G281" i="4" s="1"/>
  <c r="S281" i="4" s="1"/>
  <c r="S281" i="1"/>
  <c r="I273" i="1"/>
  <c r="I273" i="3" s="1"/>
  <c r="G273" i="4" s="1"/>
  <c r="S273" i="4" s="1"/>
  <c r="S273" i="1"/>
  <c r="I265" i="1"/>
  <c r="I265" i="3" s="1"/>
  <c r="G265" i="4" s="1"/>
  <c r="S265" i="4" s="1"/>
  <c r="S265" i="1"/>
  <c r="I257" i="1"/>
  <c r="I257" i="3" s="1"/>
  <c r="G257" i="4" s="1"/>
  <c r="S257" i="4" s="1"/>
  <c r="S257" i="1"/>
  <c r="I249" i="1"/>
  <c r="I249" i="3" s="1"/>
  <c r="G249" i="4" s="1"/>
  <c r="S249" i="4" s="1"/>
  <c r="S249" i="1"/>
  <c r="I241" i="1"/>
  <c r="I241" i="3" s="1"/>
  <c r="G241" i="4" s="1"/>
  <c r="S241" i="4" s="1"/>
  <c r="S241" i="1"/>
  <c r="I233" i="1"/>
  <c r="I233" i="3" s="1"/>
  <c r="G233" i="4" s="1"/>
  <c r="S233" i="4" s="1"/>
  <c r="S233" i="1"/>
  <c r="I225" i="1"/>
  <c r="I225" i="3" s="1"/>
  <c r="G225" i="4" s="1"/>
  <c r="S225" i="4" s="1"/>
  <c r="S225" i="1"/>
  <c r="I217" i="1"/>
  <c r="I217" i="3" s="1"/>
  <c r="G217" i="4" s="1"/>
  <c r="S217" i="4" s="1"/>
  <c r="S217" i="1"/>
  <c r="I209" i="1"/>
  <c r="I209" i="3" s="1"/>
  <c r="G209" i="4" s="1"/>
  <c r="S209" i="4" s="1"/>
  <c r="S209" i="1"/>
  <c r="I201" i="1"/>
  <c r="I201" i="3" s="1"/>
  <c r="G201" i="4" s="1"/>
  <c r="S201" i="4" s="1"/>
  <c r="S201" i="1"/>
  <c r="I193" i="1"/>
  <c r="I193" i="3" s="1"/>
  <c r="G193" i="4" s="1"/>
  <c r="S193" i="4" s="1"/>
  <c r="S193" i="1"/>
  <c r="I185" i="1"/>
  <c r="I185" i="3" s="1"/>
  <c r="G185" i="4" s="1"/>
  <c r="S185" i="4" s="1"/>
  <c r="S185" i="1"/>
  <c r="I177" i="1"/>
  <c r="I177" i="3" s="1"/>
  <c r="G177" i="4" s="1"/>
  <c r="S177" i="4" s="1"/>
  <c r="S177" i="1"/>
  <c r="I169" i="1"/>
  <c r="I169" i="3" s="1"/>
  <c r="G169" i="4" s="1"/>
  <c r="S169" i="4" s="1"/>
  <c r="S169" i="1"/>
  <c r="I161" i="1"/>
  <c r="I161" i="3" s="1"/>
  <c r="G161" i="4" s="1"/>
  <c r="S161" i="4" s="1"/>
  <c r="S161" i="1"/>
  <c r="I153" i="1"/>
  <c r="I153" i="3" s="1"/>
  <c r="G153" i="4" s="1"/>
  <c r="S153" i="4" s="1"/>
  <c r="S153" i="1"/>
  <c r="I145" i="1"/>
  <c r="I145" i="3" s="1"/>
  <c r="G145" i="4" s="1"/>
  <c r="S145" i="4" s="1"/>
  <c r="S145" i="1"/>
  <c r="I137" i="1"/>
  <c r="I137" i="3" s="1"/>
  <c r="G137" i="4" s="1"/>
  <c r="S137" i="4" s="1"/>
  <c r="S137" i="1"/>
  <c r="I129" i="1"/>
  <c r="I129" i="3" s="1"/>
  <c r="G129" i="4" s="1"/>
  <c r="S129" i="4" s="1"/>
  <c r="S129" i="1"/>
  <c r="I121" i="1"/>
  <c r="I121" i="3" s="1"/>
  <c r="G121" i="4" s="1"/>
  <c r="S121" i="4" s="1"/>
  <c r="S121" i="1"/>
  <c r="I113" i="1"/>
  <c r="I113" i="3" s="1"/>
  <c r="G113" i="4" s="1"/>
  <c r="S113" i="4" s="1"/>
  <c r="S113" i="1"/>
  <c r="I105" i="1"/>
  <c r="I105" i="3" s="1"/>
  <c r="G105" i="4" s="1"/>
  <c r="S105" i="4" s="1"/>
  <c r="S105" i="1"/>
  <c r="I97" i="1"/>
  <c r="I97" i="3" s="1"/>
  <c r="G97" i="4" s="1"/>
  <c r="S97" i="4" s="1"/>
  <c r="S97" i="1"/>
  <c r="I89" i="1"/>
  <c r="I89" i="3" s="1"/>
  <c r="G89" i="4" s="1"/>
  <c r="S89" i="4" s="1"/>
  <c r="S89" i="1"/>
  <c r="I81" i="1"/>
  <c r="I81" i="3" s="1"/>
  <c r="G81" i="4" s="1"/>
  <c r="S81" i="4" s="1"/>
  <c r="S81" i="1"/>
  <c r="I73" i="1"/>
  <c r="I73" i="3" s="1"/>
  <c r="G73" i="4" s="1"/>
  <c r="S73" i="4" s="1"/>
  <c r="S73" i="1"/>
  <c r="I65" i="1"/>
  <c r="I65" i="3" s="1"/>
  <c r="G65" i="4" s="1"/>
  <c r="S65" i="4" s="1"/>
  <c r="S65" i="1"/>
  <c r="I57" i="1"/>
  <c r="I57" i="3" s="1"/>
  <c r="G57" i="4" s="1"/>
  <c r="S57" i="4" s="1"/>
  <c r="S57" i="1"/>
  <c r="I41" i="1"/>
  <c r="I41" i="3" s="1"/>
  <c r="G41" i="4" s="1"/>
  <c r="S41" i="4" s="1"/>
  <c r="S41" i="1"/>
  <c r="S796" i="1"/>
  <c r="S788" i="1"/>
  <c r="S780" i="1"/>
  <c r="S772" i="1"/>
  <c r="S764" i="1"/>
  <c r="S756" i="1"/>
  <c r="S748" i="1"/>
  <c r="S740" i="1"/>
  <c r="S732" i="1"/>
  <c r="S724" i="1"/>
  <c r="S716" i="1"/>
  <c r="S708" i="1"/>
  <c r="S700" i="1"/>
  <c r="S692" i="1"/>
  <c r="S684" i="1"/>
  <c r="S666" i="1"/>
  <c r="S643" i="1"/>
  <c r="S623" i="1"/>
  <c r="S602" i="1"/>
  <c r="S579" i="1"/>
  <c r="S559" i="1"/>
  <c r="S538" i="1"/>
  <c r="S515" i="1"/>
  <c r="S495" i="1"/>
  <c r="S474" i="1"/>
  <c r="S451" i="1"/>
  <c r="S431" i="1"/>
  <c r="S410" i="1"/>
  <c r="S387" i="1"/>
  <c r="S367" i="1"/>
  <c r="S335" i="1"/>
  <c r="S282" i="1"/>
  <c r="S218" i="1"/>
  <c r="S154" i="1"/>
  <c r="S90" i="1"/>
  <c r="S26" i="1"/>
  <c r="I3" i="1"/>
  <c r="I3" i="3" s="1"/>
  <c r="G3" i="4" s="1"/>
  <c r="S3" i="4" s="1"/>
  <c r="S3" i="1"/>
  <c r="I678" i="1"/>
  <c r="I678" i="3" s="1"/>
  <c r="G678" i="4" s="1"/>
  <c r="S678" i="4" s="1"/>
  <c r="S678" i="1"/>
  <c r="I598" i="1"/>
  <c r="I598" i="3" s="1"/>
  <c r="G598" i="4" s="1"/>
  <c r="S598" i="4" s="1"/>
  <c r="S598" i="1"/>
  <c r="I677" i="1"/>
  <c r="I677" i="3" s="1"/>
  <c r="G677" i="4" s="1"/>
  <c r="S677" i="4" s="1"/>
  <c r="S677" i="1"/>
  <c r="I653" i="1"/>
  <c r="I653" i="3" s="1"/>
  <c r="G653" i="4" s="1"/>
  <c r="S653" i="4" s="1"/>
  <c r="S653" i="1"/>
  <c r="I621" i="1"/>
  <c r="I621" i="3" s="1"/>
  <c r="G621" i="4" s="1"/>
  <c r="S621" i="4" s="1"/>
  <c r="S621" i="1"/>
  <c r="I597" i="1"/>
  <c r="I597" i="3" s="1"/>
  <c r="G597" i="4" s="1"/>
  <c r="S597" i="4" s="1"/>
  <c r="S597" i="1"/>
  <c r="I573" i="1"/>
  <c r="I573" i="3" s="1"/>
  <c r="G573" i="4" s="1"/>
  <c r="S573" i="4" s="1"/>
  <c r="S573" i="1"/>
  <c r="I533" i="1"/>
  <c r="I533" i="3" s="1"/>
  <c r="G533" i="4" s="1"/>
  <c r="S533" i="4" s="1"/>
  <c r="S533" i="1"/>
  <c r="I517" i="1"/>
  <c r="I517" i="3" s="1"/>
  <c r="G517" i="4" s="1"/>
  <c r="S517" i="4" s="1"/>
  <c r="S517" i="1"/>
  <c r="I485" i="1"/>
  <c r="I485" i="3" s="1"/>
  <c r="G485" i="4" s="1"/>
  <c r="S485" i="4" s="1"/>
  <c r="S485" i="1"/>
  <c r="I461" i="1"/>
  <c r="I461" i="3" s="1"/>
  <c r="G461" i="4" s="1"/>
  <c r="S461" i="4" s="1"/>
  <c r="S461" i="1"/>
  <c r="I437" i="1"/>
  <c r="I437" i="3" s="1"/>
  <c r="G437" i="4" s="1"/>
  <c r="S437" i="4" s="1"/>
  <c r="S437" i="1"/>
  <c r="I421" i="1"/>
  <c r="I421" i="3" s="1"/>
  <c r="G421" i="4" s="1"/>
  <c r="S421" i="4" s="1"/>
  <c r="S421" i="1"/>
  <c r="I389" i="1"/>
  <c r="I389" i="3" s="1"/>
  <c r="G389" i="4" s="1"/>
  <c r="S389" i="4" s="1"/>
  <c r="S389" i="1"/>
  <c r="I365" i="1"/>
  <c r="I365" i="3" s="1"/>
  <c r="G365" i="4" s="1"/>
  <c r="S365" i="4" s="1"/>
  <c r="S365" i="1"/>
  <c r="I333" i="1"/>
  <c r="I333" i="3" s="1"/>
  <c r="G333" i="4" s="1"/>
  <c r="S333" i="4" s="1"/>
  <c r="S333" i="1"/>
  <c r="I301" i="1"/>
  <c r="I301" i="3" s="1"/>
  <c r="G301" i="4" s="1"/>
  <c r="S301" i="4" s="1"/>
  <c r="S301" i="1"/>
  <c r="I261" i="1"/>
  <c r="I261" i="3" s="1"/>
  <c r="G261" i="4" s="1"/>
  <c r="S261" i="4" s="1"/>
  <c r="S261" i="1"/>
  <c r="I213" i="1"/>
  <c r="I213" i="3" s="1"/>
  <c r="G213" i="4" s="1"/>
  <c r="S213" i="4" s="1"/>
  <c r="S213" i="1"/>
  <c r="I173" i="1"/>
  <c r="I173" i="3" s="1"/>
  <c r="G173" i="4" s="1"/>
  <c r="S173" i="4" s="1"/>
  <c r="S173" i="1"/>
  <c r="I125" i="1"/>
  <c r="I125" i="3" s="1"/>
  <c r="G125" i="4" s="1"/>
  <c r="S125" i="4" s="1"/>
  <c r="S125" i="1"/>
  <c r="I77" i="1"/>
  <c r="I77" i="3" s="1"/>
  <c r="G77" i="4" s="1"/>
  <c r="S77" i="4" s="1"/>
  <c r="S77" i="1"/>
  <c r="I32" i="1"/>
  <c r="I32" i="3" s="1"/>
  <c r="G32" i="4" s="1"/>
  <c r="S32" i="4" s="1"/>
  <c r="S32" i="1"/>
  <c r="I29" i="1"/>
  <c r="I29" i="3" s="1"/>
  <c r="G29" i="4" s="1"/>
  <c r="S29" i="4" s="1"/>
  <c r="S29" i="1"/>
  <c r="I13" i="1"/>
  <c r="I13" i="3" s="1"/>
  <c r="G13" i="4" s="1"/>
  <c r="S13" i="4" s="1"/>
  <c r="S13" i="1"/>
  <c r="I680" i="1"/>
  <c r="I680" i="3" s="1"/>
  <c r="G680" i="4" s="1"/>
  <c r="S680" i="4" s="1"/>
  <c r="S680" i="1"/>
  <c r="I672" i="1"/>
  <c r="I672" i="3" s="1"/>
  <c r="G672" i="4" s="1"/>
  <c r="S672" i="4" s="1"/>
  <c r="S672" i="1"/>
  <c r="I664" i="1"/>
  <c r="I664" i="3" s="1"/>
  <c r="G664" i="4" s="1"/>
  <c r="S664" i="4" s="1"/>
  <c r="S664" i="1"/>
  <c r="I656" i="1"/>
  <c r="I656" i="3" s="1"/>
  <c r="G656" i="4" s="1"/>
  <c r="S656" i="4" s="1"/>
  <c r="S656" i="1"/>
  <c r="I648" i="1"/>
  <c r="I648" i="3" s="1"/>
  <c r="G648" i="4" s="1"/>
  <c r="S648" i="4" s="1"/>
  <c r="S648" i="1"/>
  <c r="I640" i="1"/>
  <c r="I640" i="3" s="1"/>
  <c r="G640" i="4" s="1"/>
  <c r="S640" i="4" s="1"/>
  <c r="S640" i="1"/>
  <c r="I632" i="1"/>
  <c r="I632" i="3" s="1"/>
  <c r="G632" i="4" s="1"/>
  <c r="S632" i="4" s="1"/>
  <c r="S632" i="1"/>
  <c r="I624" i="1"/>
  <c r="I624" i="3" s="1"/>
  <c r="G624" i="4" s="1"/>
  <c r="S624" i="4" s="1"/>
  <c r="S624" i="1"/>
  <c r="I616" i="1"/>
  <c r="I616" i="3" s="1"/>
  <c r="G616" i="4" s="1"/>
  <c r="S616" i="4" s="1"/>
  <c r="S616" i="1"/>
  <c r="I608" i="1"/>
  <c r="I608" i="3" s="1"/>
  <c r="G608" i="4" s="1"/>
  <c r="S608" i="4" s="1"/>
  <c r="S608" i="1"/>
  <c r="I600" i="1"/>
  <c r="I600" i="3" s="1"/>
  <c r="G600" i="4" s="1"/>
  <c r="S600" i="4" s="1"/>
  <c r="S600" i="1"/>
  <c r="I592" i="1"/>
  <c r="I592" i="3" s="1"/>
  <c r="G592" i="4" s="1"/>
  <c r="S592" i="4" s="1"/>
  <c r="S592" i="1"/>
  <c r="I584" i="1"/>
  <c r="I584" i="3" s="1"/>
  <c r="G584" i="4" s="1"/>
  <c r="S584" i="4" s="1"/>
  <c r="S584" i="1"/>
  <c r="I576" i="1"/>
  <c r="I576" i="3" s="1"/>
  <c r="G576" i="4" s="1"/>
  <c r="S576" i="4" s="1"/>
  <c r="S576" i="1"/>
  <c r="I568" i="1"/>
  <c r="I568" i="3" s="1"/>
  <c r="G568" i="4" s="1"/>
  <c r="S568" i="4" s="1"/>
  <c r="S568" i="1"/>
  <c r="I560" i="1"/>
  <c r="I560" i="3" s="1"/>
  <c r="G560" i="4" s="1"/>
  <c r="S560" i="4" s="1"/>
  <c r="S560" i="1"/>
  <c r="I552" i="1"/>
  <c r="I552" i="3" s="1"/>
  <c r="G552" i="4" s="1"/>
  <c r="S552" i="4" s="1"/>
  <c r="S552" i="1"/>
  <c r="I544" i="1"/>
  <c r="I544" i="3" s="1"/>
  <c r="G544" i="4" s="1"/>
  <c r="S544" i="4" s="1"/>
  <c r="S544" i="1"/>
  <c r="I536" i="1"/>
  <c r="I536" i="3" s="1"/>
  <c r="G536" i="4" s="1"/>
  <c r="S536" i="4" s="1"/>
  <c r="S536" i="1"/>
  <c r="I528" i="1"/>
  <c r="I528" i="3" s="1"/>
  <c r="G528" i="4" s="1"/>
  <c r="S528" i="4" s="1"/>
  <c r="S528" i="1"/>
  <c r="I520" i="1"/>
  <c r="I520" i="3" s="1"/>
  <c r="G520" i="4" s="1"/>
  <c r="S520" i="4" s="1"/>
  <c r="S520" i="1"/>
  <c r="I512" i="1"/>
  <c r="I512" i="3" s="1"/>
  <c r="G512" i="4" s="1"/>
  <c r="S512" i="4" s="1"/>
  <c r="S512" i="1"/>
  <c r="I504" i="1"/>
  <c r="I504" i="3" s="1"/>
  <c r="G504" i="4" s="1"/>
  <c r="S504" i="4" s="1"/>
  <c r="S504" i="1"/>
  <c r="I496" i="1"/>
  <c r="I496" i="3" s="1"/>
  <c r="G496" i="4" s="1"/>
  <c r="S496" i="4" s="1"/>
  <c r="S496" i="1"/>
  <c r="I488" i="1"/>
  <c r="I488" i="3" s="1"/>
  <c r="G488" i="4" s="1"/>
  <c r="S488" i="4" s="1"/>
  <c r="S488" i="1"/>
  <c r="I480" i="1"/>
  <c r="I480" i="3" s="1"/>
  <c r="G480" i="4" s="1"/>
  <c r="S480" i="4" s="1"/>
  <c r="S480" i="1"/>
  <c r="I472" i="1"/>
  <c r="I472" i="3" s="1"/>
  <c r="G472" i="4" s="1"/>
  <c r="S472" i="4" s="1"/>
  <c r="S472" i="1"/>
  <c r="I464" i="1"/>
  <c r="I464" i="3" s="1"/>
  <c r="G464" i="4" s="1"/>
  <c r="S464" i="4" s="1"/>
  <c r="S464" i="1"/>
  <c r="I456" i="1"/>
  <c r="I456" i="3" s="1"/>
  <c r="G456" i="4" s="1"/>
  <c r="S456" i="4" s="1"/>
  <c r="S456" i="1"/>
  <c r="I448" i="1"/>
  <c r="I448" i="3" s="1"/>
  <c r="G448" i="4" s="1"/>
  <c r="S448" i="4" s="1"/>
  <c r="S448" i="1"/>
  <c r="I440" i="1"/>
  <c r="I440" i="3" s="1"/>
  <c r="G440" i="4" s="1"/>
  <c r="S440" i="4" s="1"/>
  <c r="S440" i="1"/>
  <c r="I432" i="1"/>
  <c r="I432" i="3" s="1"/>
  <c r="G432" i="4" s="1"/>
  <c r="S432" i="4" s="1"/>
  <c r="S432" i="1"/>
  <c r="I424" i="1"/>
  <c r="I424" i="3" s="1"/>
  <c r="G424" i="4" s="1"/>
  <c r="S424" i="4" s="1"/>
  <c r="S424" i="1"/>
  <c r="I416" i="1"/>
  <c r="I416" i="3" s="1"/>
  <c r="G416" i="4" s="1"/>
  <c r="S416" i="4" s="1"/>
  <c r="S416" i="1"/>
  <c r="I408" i="1"/>
  <c r="I408" i="3" s="1"/>
  <c r="G408" i="4" s="1"/>
  <c r="S408" i="4" s="1"/>
  <c r="S408" i="1"/>
  <c r="I400" i="1"/>
  <c r="I400" i="3" s="1"/>
  <c r="G400" i="4" s="1"/>
  <c r="S400" i="4" s="1"/>
  <c r="S400" i="1"/>
  <c r="I392" i="1"/>
  <c r="I392" i="3" s="1"/>
  <c r="G392" i="4" s="1"/>
  <c r="S392" i="4" s="1"/>
  <c r="S392" i="1"/>
  <c r="I384" i="1"/>
  <c r="I384" i="3" s="1"/>
  <c r="G384" i="4" s="1"/>
  <c r="S384" i="4" s="1"/>
  <c r="S384" i="1"/>
  <c r="I376" i="1"/>
  <c r="I376" i="3" s="1"/>
  <c r="G376" i="4" s="1"/>
  <c r="S376" i="4" s="1"/>
  <c r="S376" i="1"/>
  <c r="I368" i="1"/>
  <c r="I368" i="3" s="1"/>
  <c r="G368" i="4" s="1"/>
  <c r="S368" i="4" s="1"/>
  <c r="S368" i="1"/>
  <c r="I360" i="1"/>
  <c r="I360" i="3" s="1"/>
  <c r="G360" i="4" s="1"/>
  <c r="S360" i="4" s="1"/>
  <c r="S360" i="1"/>
  <c r="I352" i="1"/>
  <c r="I352" i="3" s="1"/>
  <c r="G352" i="4" s="1"/>
  <c r="S352" i="4" s="1"/>
  <c r="S352" i="1"/>
  <c r="I344" i="1"/>
  <c r="I344" i="3" s="1"/>
  <c r="G344" i="4" s="1"/>
  <c r="S344" i="4" s="1"/>
  <c r="S344" i="1"/>
  <c r="I336" i="1"/>
  <c r="I336" i="3" s="1"/>
  <c r="G336" i="4" s="1"/>
  <c r="S336" i="4" s="1"/>
  <c r="S336" i="1"/>
  <c r="I328" i="1"/>
  <c r="I328" i="3" s="1"/>
  <c r="G328" i="4" s="1"/>
  <c r="S328" i="4" s="1"/>
  <c r="S328" i="1"/>
  <c r="I320" i="1"/>
  <c r="I320" i="3" s="1"/>
  <c r="G320" i="4" s="1"/>
  <c r="S320" i="4" s="1"/>
  <c r="S320" i="1"/>
  <c r="I312" i="1"/>
  <c r="I312" i="3" s="1"/>
  <c r="G312" i="4" s="1"/>
  <c r="S312" i="4" s="1"/>
  <c r="S312" i="1"/>
  <c r="I304" i="1"/>
  <c r="I304" i="3" s="1"/>
  <c r="G304" i="4" s="1"/>
  <c r="S304" i="4" s="1"/>
  <c r="S304" i="1"/>
  <c r="I296" i="1"/>
  <c r="I296" i="3" s="1"/>
  <c r="G296" i="4" s="1"/>
  <c r="S296" i="4" s="1"/>
  <c r="S296" i="1"/>
  <c r="I288" i="1"/>
  <c r="I288" i="3" s="1"/>
  <c r="G288" i="4" s="1"/>
  <c r="S288" i="4" s="1"/>
  <c r="S288" i="1"/>
  <c r="I280" i="1"/>
  <c r="I280" i="3" s="1"/>
  <c r="G280" i="4" s="1"/>
  <c r="S280" i="4" s="1"/>
  <c r="S280" i="1"/>
  <c r="I272" i="1"/>
  <c r="I272" i="3" s="1"/>
  <c r="G272" i="4" s="1"/>
  <c r="S272" i="4" s="1"/>
  <c r="S272" i="1"/>
  <c r="I264" i="1"/>
  <c r="I264" i="3" s="1"/>
  <c r="G264" i="4" s="1"/>
  <c r="S264" i="4" s="1"/>
  <c r="S264" i="1"/>
  <c r="I256" i="1"/>
  <c r="I256" i="3" s="1"/>
  <c r="G256" i="4" s="1"/>
  <c r="S256" i="4" s="1"/>
  <c r="S256" i="1"/>
  <c r="I248" i="1"/>
  <c r="I248" i="3" s="1"/>
  <c r="G248" i="4" s="1"/>
  <c r="S248" i="4" s="1"/>
  <c r="S248" i="1"/>
  <c r="I240" i="1"/>
  <c r="I240" i="3" s="1"/>
  <c r="G240" i="4" s="1"/>
  <c r="S240" i="4" s="1"/>
  <c r="S240" i="1"/>
  <c r="I232" i="1"/>
  <c r="I232" i="3" s="1"/>
  <c r="G232" i="4" s="1"/>
  <c r="S232" i="4" s="1"/>
  <c r="S232" i="1"/>
  <c r="I224" i="1"/>
  <c r="I224" i="3" s="1"/>
  <c r="G224" i="4" s="1"/>
  <c r="S224" i="4" s="1"/>
  <c r="S224" i="1"/>
  <c r="I216" i="1"/>
  <c r="I216" i="3" s="1"/>
  <c r="G216" i="4" s="1"/>
  <c r="S216" i="4" s="1"/>
  <c r="S216" i="1"/>
  <c r="I208" i="1"/>
  <c r="I208" i="3" s="1"/>
  <c r="G208" i="4" s="1"/>
  <c r="S208" i="4" s="1"/>
  <c r="S208" i="1"/>
  <c r="I200" i="1"/>
  <c r="I200" i="3" s="1"/>
  <c r="G200" i="4" s="1"/>
  <c r="S200" i="4" s="1"/>
  <c r="S200" i="1"/>
  <c r="I192" i="1"/>
  <c r="I192" i="3" s="1"/>
  <c r="G192" i="4" s="1"/>
  <c r="S192" i="4" s="1"/>
  <c r="S192" i="1"/>
  <c r="I184" i="1"/>
  <c r="I184" i="3" s="1"/>
  <c r="G184" i="4" s="1"/>
  <c r="S184" i="4" s="1"/>
  <c r="S184" i="1"/>
  <c r="I176" i="1"/>
  <c r="I176" i="3" s="1"/>
  <c r="G176" i="4" s="1"/>
  <c r="S176" i="4" s="1"/>
  <c r="S176" i="1"/>
  <c r="I168" i="1"/>
  <c r="I168" i="3" s="1"/>
  <c r="G168" i="4" s="1"/>
  <c r="S168" i="4" s="1"/>
  <c r="S168" i="1"/>
  <c r="I160" i="1"/>
  <c r="I160" i="3" s="1"/>
  <c r="G160" i="4" s="1"/>
  <c r="S160" i="4" s="1"/>
  <c r="S160" i="1"/>
  <c r="I152" i="1"/>
  <c r="I152" i="3" s="1"/>
  <c r="G152" i="4" s="1"/>
  <c r="S152" i="4" s="1"/>
  <c r="S152" i="1"/>
  <c r="I144" i="1"/>
  <c r="I144" i="3" s="1"/>
  <c r="G144" i="4" s="1"/>
  <c r="S144" i="4" s="1"/>
  <c r="S144" i="1"/>
  <c r="I136" i="1"/>
  <c r="I136" i="3" s="1"/>
  <c r="G136" i="4" s="1"/>
  <c r="S136" i="4" s="1"/>
  <c r="S136" i="1"/>
  <c r="I128" i="1"/>
  <c r="I128" i="3" s="1"/>
  <c r="G128" i="4" s="1"/>
  <c r="S128" i="4" s="1"/>
  <c r="S128" i="1"/>
  <c r="I120" i="1"/>
  <c r="I120" i="3" s="1"/>
  <c r="G120" i="4" s="1"/>
  <c r="S120" i="4" s="1"/>
  <c r="S120" i="1"/>
  <c r="I112" i="1"/>
  <c r="I112" i="3" s="1"/>
  <c r="G112" i="4" s="1"/>
  <c r="S112" i="4" s="1"/>
  <c r="S112" i="1"/>
  <c r="I104" i="1"/>
  <c r="I104" i="3" s="1"/>
  <c r="G104" i="4" s="1"/>
  <c r="S104" i="4" s="1"/>
  <c r="S104" i="1"/>
  <c r="I96" i="1"/>
  <c r="I96" i="3" s="1"/>
  <c r="G96" i="4" s="1"/>
  <c r="S96" i="4" s="1"/>
  <c r="S96" i="1"/>
  <c r="I88" i="1"/>
  <c r="I88" i="3" s="1"/>
  <c r="G88" i="4" s="1"/>
  <c r="S88" i="4" s="1"/>
  <c r="S88" i="1"/>
  <c r="I80" i="1"/>
  <c r="I80" i="3" s="1"/>
  <c r="G80" i="4" s="1"/>
  <c r="S80" i="4" s="1"/>
  <c r="S80" i="1"/>
  <c r="I72" i="1"/>
  <c r="I72" i="3" s="1"/>
  <c r="G72" i="4" s="1"/>
  <c r="S72" i="4" s="1"/>
  <c r="S72" i="1"/>
  <c r="I64" i="1"/>
  <c r="I64" i="3" s="1"/>
  <c r="G64" i="4" s="1"/>
  <c r="S64" i="4" s="1"/>
  <c r="S64" i="1"/>
  <c r="I56" i="1"/>
  <c r="I56" i="3" s="1"/>
  <c r="G56" i="4" s="1"/>
  <c r="S56" i="4" s="1"/>
  <c r="S56" i="1"/>
  <c r="I48" i="1"/>
  <c r="I48" i="3" s="1"/>
  <c r="G48" i="4" s="1"/>
  <c r="S48" i="4" s="1"/>
  <c r="S48" i="1"/>
  <c r="I40" i="1"/>
  <c r="I40" i="3" s="1"/>
  <c r="G40" i="4" s="1"/>
  <c r="S40" i="4" s="1"/>
  <c r="S40" i="1"/>
  <c r="S795" i="1"/>
  <c r="S787" i="1"/>
  <c r="S779" i="1"/>
  <c r="S771" i="1"/>
  <c r="S763" i="1"/>
  <c r="S755" i="1"/>
  <c r="S747" i="1"/>
  <c r="S739" i="1"/>
  <c r="S731" i="1"/>
  <c r="S723" i="1"/>
  <c r="S715" i="1"/>
  <c r="S707" i="1"/>
  <c r="S699" i="1"/>
  <c r="S691" i="1"/>
  <c r="S683" i="1"/>
  <c r="S663" i="1"/>
  <c r="S642" i="1"/>
  <c r="S619" i="1"/>
  <c r="S599" i="1"/>
  <c r="S578" i="1"/>
  <c r="S555" i="1"/>
  <c r="S535" i="1"/>
  <c r="S514" i="1"/>
  <c r="S491" i="1"/>
  <c r="S471" i="1"/>
  <c r="S450" i="1"/>
  <c r="S427" i="1"/>
  <c r="S407" i="1"/>
  <c r="S386" i="1"/>
  <c r="S362" i="1"/>
  <c r="S330" i="1"/>
  <c r="S274" i="1"/>
  <c r="S210" i="1"/>
  <c r="S146" i="1"/>
  <c r="S82" i="1"/>
  <c r="S18" i="1"/>
  <c r="I606" i="1"/>
  <c r="I606" i="3" s="1"/>
  <c r="G606" i="4" s="1"/>
  <c r="S606" i="4" s="1"/>
  <c r="S606" i="1"/>
  <c r="I229" i="1"/>
  <c r="I229" i="3" s="1"/>
  <c r="G229" i="4" s="1"/>
  <c r="S229" i="4" s="1"/>
  <c r="S229" i="1"/>
  <c r="I189" i="1"/>
  <c r="I189" i="3" s="1"/>
  <c r="G189" i="4" s="1"/>
  <c r="S189" i="4" s="1"/>
  <c r="S189" i="1"/>
  <c r="I141" i="1"/>
  <c r="I141" i="3" s="1"/>
  <c r="G141" i="4" s="1"/>
  <c r="S141" i="4" s="1"/>
  <c r="S141" i="1"/>
  <c r="I101" i="1"/>
  <c r="I101" i="3" s="1"/>
  <c r="G101" i="4" s="1"/>
  <c r="S101" i="4" s="1"/>
  <c r="S101" i="1"/>
  <c r="I69" i="1"/>
  <c r="I69" i="3" s="1"/>
  <c r="G69" i="4" s="1"/>
  <c r="S69" i="4" s="1"/>
  <c r="S69" i="1"/>
  <c r="I24" i="1"/>
  <c r="I24" i="3" s="1"/>
  <c r="G24" i="4" s="1"/>
  <c r="S24" i="4" s="1"/>
  <c r="S24" i="1"/>
  <c r="I21" i="1"/>
  <c r="I21" i="3" s="1"/>
  <c r="G21" i="4" s="1"/>
  <c r="S21" i="4" s="1"/>
  <c r="S21" i="1"/>
  <c r="I5" i="1"/>
  <c r="I5" i="3" s="1"/>
  <c r="G5" i="4" s="1"/>
  <c r="S5" i="4" s="1"/>
  <c r="S5" i="1"/>
  <c r="I28" i="1"/>
  <c r="I28" i="3" s="1"/>
  <c r="G28" i="4" s="1"/>
  <c r="S28" i="4" s="1"/>
  <c r="S28" i="1"/>
  <c r="I20" i="1"/>
  <c r="I20" i="3" s="1"/>
  <c r="G20" i="4" s="1"/>
  <c r="S20" i="4" s="1"/>
  <c r="S20" i="1"/>
  <c r="I12" i="1"/>
  <c r="I12" i="3" s="1"/>
  <c r="G12" i="4" s="1"/>
  <c r="S12" i="4" s="1"/>
  <c r="S12" i="1"/>
  <c r="I4" i="1"/>
  <c r="I4" i="3" s="1"/>
  <c r="G4" i="4" s="1"/>
  <c r="S4" i="4" s="1"/>
  <c r="S4" i="1"/>
  <c r="I319" i="1"/>
  <c r="I319" i="3" s="1"/>
  <c r="G319" i="4" s="1"/>
  <c r="S319" i="4" s="1"/>
  <c r="S319" i="1"/>
  <c r="I311" i="1"/>
  <c r="I311" i="3" s="1"/>
  <c r="G311" i="4" s="1"/>
  <c r="S311" i="4" s="1"/>
  <c r="S311" i="1"/>
  <c r="I303" i="1"/>
  <c r="I303" i="3" s="1"/>
  <c r="G303" i="4" s="1"/>
  <c r="S303" i="4" s="1"/>
  <c r="S303" i="1"/>
  <c r="I295" i="1"/>
  <c r="I295" i="3" s="1"/>
  <c r="G295" i="4" s="1"/>
  <c r="S295" i="4" s="1"/>
  <c r="S295" i="1"/>
  <c r="I287" i="1"/>
  <c r="I287" i="3" s="1"/>
  <c r="G287" i="4" s="1"/>
  <c r="S287" i="4" s="1"/>
  <c r="S287" i="1"/>
  <c r="I279" i="1"/>
  <c r="I279" i="3" s="1"/>
  <c r="G279" i="4" s="1"/>
  <c r="S279" i="4" s="1"/>
  <c r="S279" i="1"/>
  <c r="I271" i="1"/>
  <c r="I271" i="3" s="1"/>
  <c r="G271" i="4" s="1"/>
  <c r="S271" i="4" s="1"/>
  <c r="S271" i="1"/>
  <c r="I263" i="1"/>
  <c r="I263" i="3" s="1"/>
  <c r="G263" i="4" s="1"/>
  <c r="S263" i="4" s="1"/>
  <c r="S263" i="1"/>
  <c r="I255" i="1"/>
  <c r="I255" i="3" s="1"/>
  <c r="G255" i="4" s="1"/>
  <c r="S255" i="4" s="1"/>
  <c r="S255" i="1"/>
  <c r="I247" i="1"/>
  <c r="I247" i="3" s="1"/>
  <c r="G247" i="4" s="1"/>
  <c r="S247" i="4" s="1"/>
  <c r="S247" i="1"/>
  <c r="I239" i="1"/>
  <c r="I239" i="3" s="1"/>
  <c r="G239" i="4" s="1"/>
  <c r="S239" i="4" s="1"/>
  <c r="S239" i="1"/>
  <c r="I231" i="1"/>
  <c r="I231" i="3" s="1"/>
  <c r="G231" i="4" s="1"/>
  <c r="S231" i="4" s="1"/>
  <c r="S231" i="1"/>
  <c r="I223" i="1"/>
  <c r="I223" i="3" s="1"/>
  <c r="G223" i="4" s="1"/>
  <c r="S223" i="4" s="1"/>
  <c r="S223" i="1"/>
  <c r="I215" i="1"/>
  <c r="I215" i="3" s="1"/>
  <c r="G215" i="4" s="1"/>
  <c r="S215" i="4" s="1"/>
  <c r="S215" i="1"/>
  <c r="I207" i="1"/>
  <c r="I207" i="3" s="1"/>
  <c r="G207" i="4" s="1"/>
  <c r="S207" i="4" s="1"/>
  <c r="S207" i="1"/>
  <c r="I199" i="1"/>
  <c r="I199" i="3" s="1"/>
  <c r="G199" i="4" s="1"/>
  <c r="S199" i="4" s="1"/>
  <c r="S199" i="1"/>
  <c r="I191" i="1"/>
  <c r="I191" i="3" s="1"/>
  <c r="G191" i="4" s="1"/>
  <c r="S191" i="4" s="1"/>
  <c r="S191" i="1"/>
  <c r="I183" i="1"/>
  <c r="I183" i="3" s="1"/>
  <c r="G183" i="4" s="1"/>
  <c r="S183" i="4" s="1"/>
  <c r="S183" i="1"/>
  <c r="I175" i="1"/>
  <c r="I175" i="3" s="1"/>
  <c r="G175" i="4" s="1"/>
  <c r="S175" i="4" s="1"/>
  <c r="S175" i="1"/>
  <c r="I167" i="1"/>
  <c r="I167" i="3" s="1"/>
  <c r="G167" i="4" s="1"/>
  <c r="S167" i="4" s="1"/>
  <c r="S167" i="1"/>
  <c r="I159" i="1"/>
  <c r="I159" i="3" s="1"/>
  <c r="G159" i="4" s="1"/>
  <c r="S159" i="4" s="1"/>
  <c r="S159" i="1"/>
  <c r="I151" i="1"/>
  <c r="I151" i="3" s="1"/>
  <c r="G151" i="4" s="1"/>
  <c r="S151" i="4" s="1"/>
  <c r="S151" i="1"/>
  <c r="I143" i="1"/>
  <c r="I143" i="3" s="1"/>
  <c r="G143" i="4" s="1"/>
  <c r="S143" i="4" s="1"/>
  <c r="S143" i="1"/>
  <c r="I135" i="1"/>
  <c r="I135" i="3" s="1"/>
  <c r="G135" i="4" s="1"/>
  <c r="S135" i="4" s="1"/>
  <c r="S135" i="1"/>
  <c r="I127" i="1"/>
  <c r="I127" i="3" s="1"/>
  <c r="G127" i="4" s="1"/>
  <c r="S127" i="4" s="1"/>
  <c r="S127" i="1"/>
  <c r="I119" i="1"/>
  <c r="I119" i="3" s="1"/>
  <c r="G119" i="4" s="1"/>
  <c r="S119" i="4" s="1"/>
  <c r="S119" i="1"/>
  <c r="I111" i="1"/>
  <c r="I111" i="3" s="1"/>
  <c r="G111" i="4" s="1"/>
  <c r="S111" i="4" s="1"/>
  <c r="S111" i="1"/>
  <c r="I103" i="1"/>
  <c r="I103" i="3" s="1"/>
  <c r="G103" i="4" s="1"/>
  <c r="S103" i="4" s="1"/>
  <c r="S103" i="1"/>
  <c r="I95" i="1"/>
  <c r="I95" i="3" s="1"/>
  <c r="G95" i="4" s="1"/>
  <c r="S95" i="4" s="1"/>
  <c r="S95" i="1"/>
  <c r="I87" i="1"/>
  <c r="I87" i="3" s="1"/>
  <c r="G87" i="4" s="1"/>
  <c r="S87" i="4" s="1"/>
  <c r="S87" i="1"/>
  <c r="I79" i="1"/>
  <c r="I79" i="3" s="1"/>
  <c r="G79" i="4" s="1"/>
  <c r="S79" i="4" s="1"/>
  <c r="S79" i="1"/>
  <c r="I71" i="1"/>
  <c r="I71" i="3" s="1"/>
  <c r="G71" i="4" s="1"/>
  <c r="S71" i="4" s="1"/>
  <c r="S71" i="1"/>
  <c r="I63" i="1"/>
  <c r="I63" i="3" s="1"/>
  <c r="G63" i="4" s="1"/>
  <c r="S63" i="4" s="1"/>
  <c r="S63" i="1"/>
  <c r="I55" i="1"/>
  <c r="I55" i="3" s="1"/>
  <c r="G55" i="4" s="1"/>
  <c r="S55" i="4" s="1"/>
  <c r="S55" i="1"/>
  <c r="I47" i="1"/>
  <c r="I47" i="3" s="1"/>
  <c r="G47" i="4" s="1"/>
  <c r="S47" i="4" s="1"/>
  <c r="S47" i="1"/>
  <c r="I39" i="1"/>
  <c r="I39" i="3" s="1"/>
  <c r="G39" i="4" s="1"/>
  <c r="S39" i="4" s="1"/>
  <c r="S39" i="1"/>
  <c r="S794" i="1"/>
  <c r="S786" i="1"/>
  <c r="S778" i="1"/>
  <c r="S770" i="1"/>
  <c r="S762" i="1"/>
  <c r="S754" i="1"/>
  <c r="S746" i="1"/>
  <c r="S738" i="1"/>
  <c r="S730" i="1"/>
  <c r="S722" i="1"/>
  <c r="S714" i="1"/>
  <c r="S706" i="1"/>
  <c r="S698" i="1"/>
  <c r="S690" i="1"/>
  <c r="S682" i="1"/>
  <c r="S659" i="1"/>
  <c r="S639" i="1"/>
  <c r="S618" i="1"/>
  <c r="S595" i="1"/>
  <c r="S575" i="1"/>
  <c r="S554" i="1"/>
  <c r="S531" i="1"/>
  <c r="S511" i="1"/>
  <c r="S490" i="1"/>
  <c r="S467" i="1"/>
  <c r="S447" i="1"/>
  <c r="S426" i="1"/>
  <c r="S403" i="1"/>
  <c r="S383" i="1"/>
  <c r="S359" i="1"/>
  <c r="S327" i="1"/>
  <c r="S266" i="1"/>
  <c r="S202" i="1"/>
  <c r="S138" i="1"/>
  <c r="S74" i="1"/>
  <c r="S10" i="1"/>
  <c r="S2" i="1"/>
  <c r="G149" i="3"/>
  <c r="E149" i="4" s="1"/>
  <c r="G101" i="3"/>
  <c r="E101" i="4" s="1"/>
  <c r="G77" i="3"/>
  <c r="E77" i="4" s="1"/>
  <c r="G45" i="3"/>
  <c r="E45" i="4" s="1"/>
  <c r="G117" i="3"/>
  <c r="E117" i="4" s="1"/>
  <c r="G61" i="3"/>
  <c r="E61" i="4" s="1"/>
  <c r="G37" i="3"/>
  <c r="E37" i="4" s="1"/>
  <c r="G141" i="3"/>
  <c r="E141" i="4" s="1"/>
  <c r="G85" i="3"/>
  <c r="E85" i="4" s="1"/>
  <c r="G125" i="3"/>
  <c r="E125" i="4" s="1"/>
  <c r="G133" i="3"/>
  <c r="E133" i="4" s="1"/>
  <c r="G69" i="3"/>
  <c r="E69" i="4" s="1"/>
  <c r="O802" i="4" l="1"/>
  <c r="P802" i="4"/>
  <c r="Q802" i="4" s="1"/>
  <c r="U802" i="4" s="1"/>
  <c r="O803" i="4"/>
  <c r="P803" i="4"/>
  <c r="Q803" i="4" s="1"/>
  <c r="U803" i="4" s="1"/>
  <c r="O804" i="4"/>
  <c r="P804" i="4"/>
  <c r="Q804" i="4" s="1"/>
  <c r="U804" i="4" s="1"/>
  <c r="O805" i="4"/>
  <c r="P805" i="4"/>
  <c r="Q805" i="4" s="1"/>
  <c r="U805" i="4" s="1"/>
  <c r="O806" i="4"/>
  <c r="P806" i="4"/>
  <c r="Q806" i="4" s="1"/>
  <c r="U806" i="4" s="1"/>
  <c r="O807" i="4"/>
  <c r="P807" i="4"/>
  <c r="Q807" i="4" s="1"/>
  <c r="U807" i="4" s="1"/>
  <c r="O808" i="4"/>
  <c r="P808" i="4"/>
  <c r="Q808" i="4" s="1"/>
  <c r="U808" i="4" s="1"/>
  <c r="O809" i="4"/>
  <c r="P809" i="4"/>
  <c r="Q809" i="4" s="1"/>
  <c r="U809" i="4" s="1"/>
  <c r="O810" i="4"/>
  <c r="P810" i="4"/>
  <c r="Q810" i="4" s="1"/>
  <c r="U810" i="4" s="1"/>
  <c r="O811" i="4"/>
  <c r="P811" i="4"/>
  <c r="Q811" i="4" s="1"/>
  <c r="U811" i="4" s="1"/>
  <c r="O812" i="4"/>
  <c r="P812" i="4"/>
  <c r="Q812" i="4" s="1"/>
  <c r="U812" i="4" s="1"/>
  <c r="O813" i="4"/>
  <c r="P813" i="4"/>
  <c r="Q813" i="4" s="1"/>
  <c r="U813" i="4" s="1"/>
  <c r="O814" i="4"/>
  <c r="P814" i="4"/>
  <c r="Q814" i="4" s="1"/>
  <c r="U814" i="4" s="1"/>
  <c r="O815" i="4"/>
  <c r="P815" i="4"/>
  <c r="Q815" i="4" s="1"/>
  <c r="U815" i="4" s="1"/>
  <c r="O816" i="4"/>
  <c r="P816" i="4"/>
  <c r="Q816" i="4" s="1"/>
  <c r="U816" i="4" s="1"/>
  <c r="O817" i="4"/>
  <c r="P817" i="4"/>
  <c r="Q817" i="4" s="1"/>
  <c r="U817" i="4" s="1"/>
  <c r="O818" i="4"/>
  <c r="P818" i="4"/>
  <c r="Q818" i="4" s="1"/>
  <c r="U818" i="4" s="1"/>
  <c r="O819" i="4"/>
  <c r="P819" i="4"/>
  <c r="Q819" i="4" s="1"/>
  <c r="U819" i="4" s="1"/>
  <c r="L768" i="4"/>
  <c r="K2" i="4"/>
  <c r="L5" i="4"/>
  <c r="L813" i="4"/>
  <c r="L396" i="4"/>
  <c r="L252" i="4"/>
  <c r="L204" i="4"/>
  <c r="L156" i="4"/>
  <c r="L108" i="4"/>
  <c r="L60" i="4"/>
  <c r="L12" i="4"/>
  <c r="C28" i="5"/>
  <c r="C30" i="5"/>
  <c r="C32" i="5"/>
  <c r="B26" i="5"/>
  <c r="B38" i="5"/>
  <c r="B50" i="5"/>
  <c r="B62" i="5"/>
  <c r="B74" i="5"/>
  <c r="B86" i="5"/>
  <c r="B98" i="5"/>
  <c r="B110" i="5"/>
  <c r="B122" i="5"/>
  <c r="B134" i="5"/>
  <c r="B146" i="5"/>
  <c r="B158" i="5"/>
  <c r="B170" i="5"/>
  <c r="B182" i="5"/>
  <c r="B194" i="5"/>
  <c r="B206" i="5"/>
  <c r="B218" i="5"/>
  <c r="B230" i="5"/>
  <c r="B242" i="5"/>
  <c r="B254" i="5"/>
  <c r="B266" i="5"/>
  <c r="B278" i="5"/>
  <c r="B290" i="5"/>
  <c r="B302" i="5"/>
  <c r="B314" i="5"/>
  <c r="B326" i="5"/>
  <c r="B338" i="5"/>
  <c r="B350" i="5"/>
  <c r="B362" i="5"/>
  <c r="B374" i="5"/>
  <c r="B386" i="5"/>
  <c r="B398" i="5"/>
  <c r="B410" i="5"/>
  <c r="B422" i="5"/>
  <c r="B434" i="5"/>
  <c r="B446" i="5"/>
  <c r="B28" i="5"/>
  <c r="B52" i="5"/>
  <c r="B76" i="5"/>
  <c r="B100" i="5"/>
  <c r="B124" i="5"/>
  <c r="B148" i="5"/>
  <c r="B172" i="5"/>
  <c r="B196" i="5"/>
  <c r="B220" i="5"/>
  <c r="B244" i="5"/>
  <c r="B268" i="5"/>
  <c r="B292" i="5"/>
  <c r="B316" i="5"/>
  <c r="B340" i="5"/>
  <c r="B364" i="5"/>
  <c r="B388" i="5"/>
  <c r="B412" i="5"/>
  <c r="B436" i="5"/>
  <c r="B456" i="5"/>
  <c r="B472" i="5"/>
  <c r="B488" i="5"/>
  <c r="B504" i="5"/>
  <c r="B520" i="5"/>
  <c r="B536" i="5"/>
  <c r="B552" i="5"/>
  <c r="B568" i="5"/>
  <c r="B584" i="5"/>
  <c r="B600" i="5"/>
  <c r="B616" i="5"/>
  <c r="B632" i="5"/>
  <c r="B648" i="5"/>
  <c r="B664" i="5"/>
  <c r="B680" i="5"/>
  <c r="B696" i="5"/>
  <c r="B712" i="5"/>
  <c r="B728" i="5"/>
  <c r="B744" i="5"/>
  <c r="B760" i="5"/>
  <c r="B776" i="5"/>
  <c r="B792" i="5"/>
  <c r="D38" i="5"/>
  <c r="D54" i="5"/>
  <c r="D70" i="5"/>
  <c r="D86" i="5"/>
  <c r="D102" i="5"/>
  <c r="D118" i="5"/>
  <c r="D134" i="5"/>
  <c r="D150" i="5"/>
  <c r="D166" i="5"/>
  <c r="D182" i="5"/>
  <c r="D198" i="5"/>
  <c r="D214" i="5"/>
  <c r="D230" i="5"/>
  <c r="D246" i="5"/>
  <c r="D262" i="5"/>
  <c r="D278" i="5"/>
  <c r="D294" i="5"/>
  <c r="D310" i="5"/>
  <c r="D326" i="5"/>
  <c r="D342" i="5"/>
  <c r="D358" i="5"/>
  <c r="D374" i="5"/>
  <c r="D390" i="5"/>
  <c r="D406" i="5"/>
  <c r="D422" i="5"/>
  <c r="D438" i="5"/>
  <c r="D454" i="5"/>
  <c r="D470" i="5"/>
  <c r="D486" i="5"/>
  <c r="D502" i="5"/>
  <c r="D518" i="5"/>
  <c r="D534" i="5"/>
  <c r="D550" i="5"/>
  <c r="D566" i="5"/>
  <c r="D582" i="5"/>
  <c r="D598" i="5"/>
  <c r="D614" i="5"/>
  <c r="D630" i="5"/>
  <c r="D646" i="5"/>
  <c r="D662" i="5"/>
  <c r="D678" i="5"/>
  <c r="D694" i="5"/>
  <c r="D710" i="5"/>
  <c r="D726" i="5"/>
  <c r="D742" i="5"/>
  <c r="D758" i="5"/>
  <c r="D774" i="5"/>
  <c r="D790" i="5"/>
  <c r="L8" i="4"/>
  <c r="L24" i="4"/>
  <c r="L40" i="4"/>
  <c r="L56" i="4"/>
  <c r="L72" i="4"/>
  <c r="L88" i="4"/>
  <c r="L104" i="4"/>
  <c r="L120" i="4"/>
  <c r="L136" i="4"/>
  <c r="L152" i="4"/>
  <c r="L168" i="4"/>
  <c r="L184" i="4"/>
  <c r="L200" i="4"/>
  <c r="L216" i="4"/>
  <c r="L232" i="4"/>
  <c r="L248" i="4"/>
  <c r="L268" i="4"/>
  <c r="L288" i="4"/>
  <c r="L308" i="4"/>
  <c r="L328" i="4"/>
  <c r="L352" i="4"/>
  <c r="L368" i="4"/>
  <c r="L392" i="4"/>
  <c r="L412" i="4"/>
  <c r="L432" i="4"/>
  <c r="L452" i="4"/>
  <c r="L804" i="4"/>
  <c r="B34" i="5"/>
  <c r="B58" i="5"/>
  <c r="B82" i="5"/>
  <c r="B21" i="5"/>
  <c r="B45" i="5"/>
  <c r="B69" i="5"/>
  <c r="L802" i="4"/>
  <c r="L816" i="4"/>
  <c r="B109" i="5"/>
  <c r="B133" i="5"/>
  <c r="B157" i="5"/>
  <c r="B181" i="5"/>
  <c r="B205" i="5"/>
  <c r="B229" i="5"/>
  <c r="B253" i="5"/>
  <c r="B277" i="5"/>
  <c r="B301" i="5"/>
  <c r="B325" i="5"/>
  <c r="B349" i="5"/>
  <c r="B94" i="5"/>
  <c r="B118" i="5"/>
  <c r="B142" i="5"/>
  <c r="B166" i="5"/>
  <c r="B190" i="5"/>
  <c r="B214" i="5"/>
  <c r="B238" i="5"/>
  <c r="B262" i="5"/>
  <c r="B286" i="5"/>
  <c r="B310" i="5"/>
  <c r="B334" i="5"/>
  <c r="B358" i="5"/>
  <c r="B382" i="5"/>
  <c r="B27" i="5"/>
  <c r="B51" i="5"/>
  <c r="B75" i="5"/>
  <c r="B99" i="5"/>
  <c r="B123" i="5"/>
  <c r="B147" i="5"/>
  <c r="B171" i="5"/>
  <c r="B195" i="5"/>
  <c r="B219" i="5"/>
  <c r="B243" i="5"/>
  <c r="B267" i="5"/>
  <c r="B291" i="5"/>
  <c r="B315" i="5"/>
  <c r="B339" i="5"/>
  <c r="B363" i="5"/>
  <c r="B387" i="5"/>
  <c r="B411" i="5"/>
  <c r="B435" i="5"/>
  <c r="B455" i="5"/>
  <c r="B471" i="5"/>
  <c r="B487" i="5"/>
  <c r="B503" i="5"/>
  <c r="B519" i="5"/>
  <c r="B535" i="5"/>
  <c r="B551" i="5"/>
  <c r="B567" i="5"/>
  <c r="B583" i="5"/>
  <c r="B599" i="5"/>
  <c r="B615" i="5"/>
  <c r="B631" i="5"/>
  <c r="B647" i="5"/>
  <c r="B663" i="5"/>
  <c r="B679" i="5"/>
  <c r="B695" i="5"/>
  <c r="B711" i="5"/>
  <c r="B727" i="5"/>
  <c r="B743" i="5"/>
  <c r="B759" i="5"/>
  <c r="B775" i="5"/>
  <c r="B791" i="5"/>
  <c r="L312" i="4"/>
  <c r="L456" i="4"/>
  <c r="L476" i="4"/>
  <c r="L492" i="4"/>
  <c r="L508" i="4"/>
  <c r="L524" i="4"/>
  <c r="L540" i="4"/>
  <c r="L556" i="4"/>
  <c r="L572" i="4"/>
  <c r="L588" i="4"/>
  <c r="L604" i="4"/>
  <c r="L620" i="4"/>
  <c r="L636" i="4"/>
  <c r="L652" i="4"/>
  <c r="L668" i="4"/>
  <c r="L684" i="4"/>
  <c r="L700" i="4"/>
  <c r="L716" i="4"/>
  <c r="L732" i="4"/>
  <c r="L752" i="4"/>
  <c r="B369" i="5"/>
  <c r="B417" i="5"/>
  <c r="B461" i="5"/>
  <c r="B493" i="5"/>
  <c r="B525" i="5"/>
  <c r="B557" i="5"/>
  <c r="B617" i="5"/>
  <c r="B681" i="5"/>
  <c r="B745" i="5"/>
  <c r="B394" i="5"/>
  <c r="B478" i="5"/>
  <c r="B542" i="5"/>
  <c r="B606" i="5"/>
  <c r="B670" i="5"/>
  <c r="B734" i="5"/>
  <c r="B798" i="5"/>
  <c r="L784" i="4"/>
  <c r="L13" i="4"/>
  <c r="L21" i="4"/>
  <c r="L29" i="4"/>
  <c r="L37" i="4"/>
  <c r="L45" i="4"/>
  <c r="L53" i="4"/>
  <c r="L61" i="4"/>
  <c r="L69" i="4"/>
  <c r="L77" i="4"/>
  <c r="L85" i="4"/>
  <c r="L93" i="4"/>
  <c r="L101" i="4"/>
  <c r="L109" i="4"/>
  <c r="L117" i="4"/>
  <c r="L125" i="4"/>
  <c r="L133" i="4"/>
  <c r="L141" i="4"/>
  <c r="L149" i="4"/>
  <c r="L157" i="4"/>
  <c r="L165" i="4"/>
  <c r="L173" i="4"/>
  <c r="L181" i="4"/>
  <c r="L189" i="4"/>
  <c r="L197" i="4"/>
  <c r="L205" i="4"/>
  <c r="L213" i="4"/>
  <c r="L221" i="4"/>
  <c r="L229" i="4"/>
  <c r="L237" i="4"/>
  <c r="L245" i="4"/>
  <c r="L253" i="4"/>
  <c r="L261" i="4"/>
  <c r="L269" i="4"/>
  <c r="L277" i="4"/>
  <c r="L285" i="4"/>
  <c r="L293" i="4"/>
  <c r="L301" i="4"/>
  <c r="L309" i="4"/>
  <c r="L317" i="4"/>
  <c r="L325" i="4"/>
  <c r="L333" i="4"/>
  <c r="L341" i="4"/>
  <c r="L349" i="4"/>
  <c r="L357" i="4"/>
  <c r="L365" i="4"/>
  <c r="L373" i="4"/>
  <c r="L381" i="4"/>
  <c r="L389" i="4"/>
  <c r="L397" i="4"/>
  <c r="L405" i="4"/>
  <c r="L413" i="4"/>
  <c r="L421" i="4"/>
  <c r="L429" i="4"/>
  <c r="L437" i="4"/>
  <c r="L445" i="4"/>
  <c r="L453" i="4"/>
  <c r="L469" i="4"/>
  <c r="L477" i="4"/>
  <c r="L485" i="4"/>
  <c r="L493" i="4"/>
  <c r="L502" i="4"/>
  <c r="L518" i="4"/>
  <c r="L534" i="4"/>
  <c r="L550" i="4"/>
  <c r="L566" i="4"/>
  <c r="L582" i="4"/>
  <c r="L598" i="4"/>
  <c r="L614" i="4"/>
  <c r="L630" i="4"/>
  <c r="L646" i="4"/>
  <c r="L662" i="4"/>
  <c r="L678" i="4"/>
  <c r="L694" i="4"/>
  <c r="L710" i="4"/>
  <c r="L719" i="4"/>
  <c r="L727" i="4"/>
  <c r="L743" i="4"/>
  <c r="L759" i="4"/>
  <c r="L775" i="4"/>
  <c r="L791" i="4"/>
  <c r="B29" i="5"/>
  <c r="B41" i="5"/>
  <c r="B53" i="5"/>
  <c r="B65" i="5"/>
  <c r="B77" i="5"/>
  <c r="B89" i="5"/>
  <c r="B101" i="5"/>
  <c r="B113" i="5"/>
  <c r="B125" i="5"/>
  <c r="B137" i="5"/>
  <c r="B149" i="5"/>
  <c r="B161" i="5"/>
  <c r="B173" i="5"/>
  <c r="B185" i="5"/>
  <c r="B197" i="5"/>
  <c r="B209" i="5"/>
  <c r="B221" i="5"/>
  <c r="B233" i="5"/>
  <c r="B245" i="5"/>
  <c r="B257" i="5"/>
  <c r="B269" i="5"/>
  <c r="B281" i="5"/>
  <c r="B293" i="5"/>
  <c r="B305" i="5"/>
  <c r="B317" i="5"/>
  <c r="B329" i="5"/>
  <c r="B341" i="5"/>
  <c r="B353" i="5"/>
  <c r="B365" i="5"/>
  <c r="B377" i="5"/>
  <c r="B389" i="5"/>
  <c r="B401" i="5"/>
  <c r="B413" i="5"/>
  <c r="B425" i="5"/>
  <c r="B437" i="5"/>
  <c r="B449" i="5"/>
  <c r="B36" i="5"/>
  <c r="B60" i="5"/>
  <c r="B84" i="5"/>
  <c r="B108" i="5"/>
  <c r="B132" i="5"/>
  <c r="B156" i="5"/>
  <c r="B180" i="5"/>
  <c r="B204" i="5"/>
  <c r="B228" i="5"/>
  <c r="B252" i="5"/>
  <c r="B276" i="5"/>
  <c r="B300" i="5"/>
  <c r="B324" i="5"/>
  <c r="B348" i="5"/>
  <c r="B372" i="5"/>
  <c r="B396" i="5"/>
  <c r="B420" i="5"/>
  <c r="B444" i="5"/>
  <c r="B460" i="5"/>
  <c r="B476" i="5"/>
  <c r="B492" i="5"/>
  <c r="B508" i="5"/>
  <c r="B524" i="5"/>
  <c r="B540" i="5"/>
  <c r="B556" i="5"/>
  <c r="B572" i="5"/>
  <c r="B588" i="5"/>
  <c r="B604" i="5"/>
  <c r="B620" i="5"/>
  <c r="B636" i="5"/>
  <c r="B652" i="5"/>
  <c r="B668" i="5"/>
  <c r="B684" i="5"/>
  <c r="B700" i="5"/>
  <c r="B716" i="5"/>
  <c r="B732" i="5"/>
  <c r="B748" i="5"/>
  <c r="B764" i="5"/>
  <c r="B780" i="5"/>
  <c r="B796" i="5"/>
  <c r="D42" i="5"/>
  <c r="D58" i="5"/>
  <c r="D74" i="5"/>
  <c r="D90" i="5"/>
  <c r="D106" i="5"/>
  <c r="D122" i="5"/>
  <c r="D138" i="5"/>
  <c r="D154" i="5"/>
  <c r="D170" i="5"/>
  <c r="D186" i="5"/>
  <c r="D202" i="5"/>
  <c r="D218" i="5"/>
  <c r="D234" i="5"/>
  <c r="D250" i="5"/>
  <c r="D266" i="5"/>
  <c r="D282" i="5"/>
  <c r="D298" i="5"/>
  <c r="D314" i="5"/>
  <c r="D330" i="5"/>
  <c r="D346" i="5"/>
  <c r="D362" i="5"/>
  <c r="D378" i="5"/>
  <c r="D394" i="5"/>
  <c r="D410" i="5"/>
  <c r="D426" i="5"/>
  <c r="D442" i="5"/>
  <c r="D458" i="5"/>
  <c r="D474" i="5"/>
  <c r="D490" i="5"/>
  <c r="D506" i="5"/>
  <c r="D522" i="5"/>
  <c r="D538" i="5"/>
  <c r="D554" i="5"/>
  <c r="D570" i="5"/>
  <c r="D586" i="5"/>
  <c r="D602" i="5"/>
  <c r="D618" i="5"/>
  <c r="D634" i="5"/>
  <c r="D650" i="5"/>
  <c r="D666" i="5"/>
  <c r="D682" i="5"/>
  <c r="D698" i="5"/>
  <c r="D714" i="5"/>
  <c r="D730" i="5"/>
  <c r="D746" i="5"/>
  <c r="D762" i="5"/>
  <c r="D778" i="5"/>
  <c r="D794" i="5"/>
  <c r="L28" i="4"/>
  <c r="L44" i="4"/>
  <c r="L76" i="4"/>
  <c r="L92" i="4"/>
  <c r="L124" i="4"/>
  <c r="L140" i="4"/>
  <c r="L172" i="4"/>
  <c r="L188" i="4"/>
  <c r="L220" i="4"/>
  <c r="L236" i="4"/>
  <c r="L272" i="4"/>
  <c r="L292" i="4"/>
  <c r="L316" i="4"/>
  <c r="L332" i="4"/>
  <c r="L356" i="4"/>
  <c r="L376" i="4"/>
  <c r="L416" i="4"/>
  <c r="L436" i="4"/>
  <c r="L460" i="4"/>
  <c r="B42" i="5"/>
  <c r="B66" i="5"/>
  <c r="B25" i="5"/>
  <c r="B49" i="5"/>
  <c r="B73" i="5"/>
  <c r="L806" i="4"/>
  <c r="B93" i="5"/>
  <c r="B117" i="5"/>
  <c r="B141" i="5"/>
  <c r="B165" i="5"/>
  <c r="B189" i="5"/>
  <c r="B213" i="5"/>
  <c r="B237" i="5"/>
  <c r="B261" i="5"/>
  <c r="B285" i="5"/>
  <c r="B309" i="5"/>
  <c r="B333" i="5"/>
  <c r="B357" i="5"/>
  <c r="B102" i="5"/>
  <c r="B126" i="5"/>
  <c r="B150" i="5"/>
  <c r="B174" i="5"/>
  <c r="B198" i="5"/>
  <c r="B222" i="5"/>
  <c r="B246" i="5"/>
  <c r="B270" i="5"/>
  <c r="B294" i="5"/>
  <c r="B318" i="5"/>
  <c r="B342" i="5"/>
  <c r="B366" i="5"/>
  <c r="L807" i="4"/>
  <c r="B31" i="5"/>
  <c r="B55" i="5"/>
  <c r="B79" i="5"/>
  <c r="B103" i="5"/>
  <c r="B127" i="5"/>
  <c r="B151" i="5"/>
  <c r="B175" i="5"/>
  <c r="B199" i="5"/>
  <c r="B223" i="5"/>
  <c r="B247" i="5"/>
  <c r="B271" i="5"/>
  <c r="B295" i="5"/>
  <c r="B319" i="5"/>
  <c r="B343" i="5"/>
  <c r="B367" i="5"/>
  <c r="B391" i="5"/>
  <c r="B415" i="5"/>
  <c r="B439" i="5"/>
  <c r="B459" i="5"/>
  <c r="B475" i="5"/>
  <c r="B491" i="5"/>
  <c r="B507" i="5"/>
  <c r="B523" i="5"/>
  <c r="B539" i="5"/>
  <c r="B555" i="5"/>
  <c r="B571" i="5"/>
  <c r="B587" i="5"/>
  <c r="B603" i="5"/>
  <c r="B619" i="5"/>
  <c r="B635" i="5"/>
  <c r="B651" i="5"/>
  <c r="B667" i="5"/>
  <c r="B683" i="5"/>
  <c r="B699" i="5"/>
  <c r="B715" i="5"/>
  <c r="B731" i="5"/>
  <c r="B747" i="5"/>
  <c r="B763" i="5"/>
  <c r="B779" i="5"/>
  <c r="B795" i="5"/>
  <c r="L348" i="4"/>
  <c r="L464" i="4"/>
  <c r="L480" i="4"/>
  <c r="L496" i="4"/>
  <c r="L512" i="4"/>
  <c r="L528" i="4"/>
  <c r="L544" i="4"/>
  <c r="L560" i="4"/>
  <c r="L576" i="4"/>
  <c r="L592" i="4"/>
  <c r="L608" i="4"/>
  <c r="L624" i="4"/>
  <c r="L640" i="4"/>
  <c r="L656" i="4"/>
  <c r="L672" i="4"/>
  <c r="L688" i="4"/>
  <c r="L704" i="4"/>
  <c r="L720" i="4"/>
  <c r="L736" i="4"/>
  <c r="L764" i="4"/>
  <c r="B385" i="5"/>
  <c r="B433" i="5"/>
  <c r="B473" i="5"/>
  <c r="B505" i="5"/>
  <c r="B537" i="5"/>
  <c r="B569" i="5"/>
  <c r="B633" i="5"/>
  <c r="B697" i="5"/>
  <c r="B761" i="5"/>
  <c r="B418" i="5"/>
  <c r="B494" i="5"/>
  <c r="B558" i="5"/>
  <c r="B622" i="5"/>
  <c r="B686" i="5"/>
  <c r="B750" i="5"/>
  <c r="L800" i="4"/>
  <c r="A2" i="5"/>
  <c r="D21" i="5"/>
  <c r="D788" i="5"/>
  <c r="D772" i="5"/>
  <c r="D756" i="5"/>
  <c r="D740" i="5"/>
  <c r="D724" i="5"/>
  <c r="D24" i="5"/>
  <c r="D31" i="5"/>
  <c r="D793" i="5"/>
  <c r="D777" i="5"/>
  <c r="D761" i="5"/>
  <c r="D745" i="5"/>
  <c r="D729" i="5"/>
  <c r="D713" i="5"/>
  <c r="D697" i="5"/>
  <c r="D681" i="5"/>
  <c r="D665" i="5"/>
  <c r="D649" i="5"/>
  <c r="D633" i="5"/>
  <c r="D617" i="5"/>
  <c r="D601" i="5"/>
  <c r="D585" i="5"/>
  <c r="D569" i="5"/>
  <c r="D553" i="5"/>
  <c r="D537" i="5"/>
  <c r="D521" i="5"/>
  <c r="D505" i="5"/>
  <c r="D489" i="5"/>
  <c r="D473" i="5"/>
  <c r="D457" i="5"/>
  <c r="D441" i="5"/>
  <c r="D425" i="5"/>
  <c r="D409" i="5"/>
  <c r="D393" i="5"/>
  <c r="D377" i="5"/>
  <c r="D361" i="5"/>
  <c r="D345" i="5"/>
  <c r="D329" i="5"/>
  <c r="D313" i="5"/>
  <c r="D297" i="5"/>
  <c r="D281" i="5"/>
  <c r="D265" i="5"/>
  <c r="D249" i="5"/>
  <c r="D233" i="5"/>
  <c r="D217" i="5"/>
  <c r="D201" i="5"/>
  <c r="D185" i="5"/>
  <c r="D169" i="5"/>
  <c r="D153" i="5"/>
  <c r="D137" i="5"/>
  <c r="D121" i="5"/>
  <c r="D105" i="5"/>
  <c r="D89" i="5"/>
  <c r="D700" i="5"/>
  <c r="D684" i="5"/>
  <c r="D668" i="5"/>
  <c r="D652" i="5"/>
  <c r="D636" i="5"/>
  <c r="D620" i="5"/>
  <c r="D604" i="5"/>
  <c r="D588" i="5"/>
  <c r="D572" i="5"/>
  <c r="D556" i="5"/>
  <c r="D540" i="5"/>
  <c r="D524" i="5"/>
  <c r="D508" i="5"/>
  <c r="D492" i="5"/>
  <c r="D476" i="5"/>
  <c r="D460" i="5"/>
  <c r="D444" i="5"/>
  <c r="D428" i="5"/>
  <c r="D412" i="5"/>
  <c r="D396" i="5"/>
  <c r="D380" i="5"/>
  <c r="D364" i="5"/>
  <c r="D348" i="5"/>
  <c r="D332" i="5"/>
  <c r="D316" i="5"/>
  <c r="D300" i="5"/>
  <c r="D284" i="5"/>
  <c r="D268" i="5"/>
  <c r="D252" i="5"/>
  <c r="D236" i="5"/>
  <c r="D220" i="5"/>
  <c r="D204" i="5"/>
  <c r="D188" i="5"/>
  <c r="D172" i="5"/>
  <c r="D156" i="5"/>
  <c r="D140" i="5"/>
  <c r="D124" i="5"/>
  <c r="D108" i="5"/>
  <c r="D92" i="5"/>
  <c r="D76" i="5"/>
  <c r="D60" i="5"/>
  <c r="D44" i="5"/>
  <c r="D800" i="5"/>
  <c r="D784" i="5"/>
  <c r="D768" i="5"/>
  <c r="D752" i="5"/>
  <c r="D736" i="5"/>
  <c r="D720" i="5"/>
  <c r="D28" i="5"/>
  <c r="D23" i="5"/>
  <c r="D789" i="5"/>
  <c r="D773" i="5"/>
  <c r="D757" i="5"/>
  <c r="D741" i="5"/>
  <c r="D725" i="5"/>
  <c r="D709" i="5"/>
  <c r="D693" i="5"/>
  <c r="D677" i="5"/>
  <c r="D661" i="5"/>
  <c r="D645" i="5"/>
  <c r="D629" i="5"/>
  <c r="D613" i="5"/>
  <c r="D597" i="5"/>
  <c r="D581" i="5"/>
  <c r="D565" i="5"/>
  <c r="D549" i="5"/>
  <c r="D533" i="5"/>
  <c r="D517" i="5"/>
  <c r="D501" i="5"/>
  <c r="D485" i="5"/>
  <c r="D469" i="5"/>
  <c r="D453" i="5"/>
  <c r="D437" i="5"/>
  <c r="D421" i="5"/>
  <c r="D405" i="5"/>
  <c r="D389" i="5"/>
  <c r="D373" i="5"/>
  <c r="D357" i="5"/>
  <c r="D341" i="5"/>
  <c r="D325" i="5"/>
  <c r="D309" i="5"/>
  <c r="D293" i="5"/>
  <c r="D277" i="5"/>
  <c r="D261" i="5"/>
  <c r="D245" i="5"/>
  <c r="D229" i="5"/>
  <c r="D213" i="5"/>
  <c r="D197" i="5"/>
  <c r="D181" i="5"/>
  <c r="D165" i="5"/>
  <c r="D149" i="5"/>
  <c r="D133" i="5"/>
  <c r="D117" i="5"/>
  <c r="D101" i="5"/>
  <c r="D712" i="5"/>
  <c r="D696" i="5"/>
  <c r="D680" i="5"/>
  <c r="D664" i="5"/>
  <c r="D648" i="5"/>
  <c r="D632" i="5"/>
  <c r="D616" i="5"/>
  <c r="D600" i="5"/>
  <c r="D584" i="5"/>
  <c r="D568" i="5"/>
  <c r="D552" i="5"/>
  <c r="D536" i="5"/>
  <c r="D520" i="5"/>
  <c r="D504" i="5"/>
  <c r="D488" i="5"/>
  <c r="D472" i="5"/>
  <c r="D456" i="5"/>
  <c r="D440" i="5"/>
  <c r="D424" i="5"/>
  <c r="D408" i="5"/>
  <c r="D392" i="5"/>
  <c r="D376" i="5"/>
  <c r="D360" i="5"/>
  <c r="D344" i="5"/>
  <c r="D328" i="5"/>
  <c r="D312" i="5"/>
  <c r="D296" i="5"/>
  <c r="D280" i="5"/>
  <c r="D264" i="5"/>
  <c r="D248" i="5"/>
  <c r="D232" i="5"/>
  <c r="D216" i="5"/>
  <c r="D200" i="5"/>
  <c r="D796" i="5"/>
  <c r="D780" i="5"/>
  <c r="D764" i="5"/>
  <c r="D748" i="5"/>
  <c r="D732" i="5"/>
  <c r="D716" i="5"/>
  <c r="D27" i="5"/>
  <c r="D20" i="5"/>
  <c r="D792" i="5"/>
  <c r="D776" i="5"/>
  <c r="D760" i="5"/>
  <c r="D744" i="5"/>
  <c r="D728" i="5"/>
  <c r="D25" i="5"/>
  <c r="D32" i="5"/>
  <c r="D29" i="5"/>
  <c r="D33" i="5"/>
  <c r="D785" i="5"/>
  <c r="D753" i="5"/>
  <c r="D721" i="5"/>
  <c r="D689" i="5"/>
  <c r="D657" i="5"/>
  <c r="D625" i="5"/>
  <c r="D593" i="5"/>
  <c r="D561" i="5"/>
  <c r="D529" i="5"/>
  <c r="D497" i="5"/>
  <c r="D465" i="5"/>
  <c r="D433" i="5"/>
  <c r="D401" i="5"/>
  <c r="D369" i="5"/>
  <c r="D337" i="5"/>
  <c r="D305" i="5"/>
  <c r="D273" i="5"/>
  <c r="D241" i="5"/>
  <c r="D209" i="5"/>
  <c r="D177" i="5"/>
  <c r="D145" i="5"/>
  <c r="D113" i="5"/>
  <c r="D708" i="5"/>
  <c r="D676" i="5"/>
  <c r="D644" i="5"/>
  <c r="D612" i="5"/>
  <c r="D580" i="5"/>
  <c r="D548" i="5"/>
  <c r="D516" i="5"/>
  <c r="D484" i="5"/>
  <c r="D452" i="5"/>
  <c r="D420" i="5"/>
  <c r="D388" i="5"/>
  <c r="D356" i="5"/>
  <c r="D324" i="5"/>
  <c r="D292" i="5"/>
  <c r="D260" i="5"/>
  <c r="D228" i="5"/>
  <c r="D196" i="5"/>
  <c r="D176" i="5"/>
  <c r="D152" i="5"/>
  <c r="D132" i="5"/>
  <c r="D112" i="5"/>
  <c r="D88" i="5"/>
  <c r="D68" i="5"/>
  <c r="D48" i="5"/>
  <c r="D795" i="5"/>
  <c r="D763" i="5"/>
  <c r="D731" i="5"/>
  <c r="D703" i="5"/>
  <c r="D671" i="5"/>
  <c r="D639" i="5"/>
  <c r="D611" i="5"/>
  <c r="D579" i="5"/>
  <c r="D555" i="5"/>
  <c r="D523" i="5"/>
  <c r="D495" i="5"/>
  <c r="D467" i="5"/>
  <c r="D439" i="5"/>
  <c r="D395" i="5"/>
  <c r="D367" i="5"/>
  <c r="D335" i="5"/>
  <c r="D307" i="5"/>
  <c r="D275" i="5"/>
  <c r="D243" i="5"/>
  <c r="D215" i="5"/>
  <c r="D183" i="5"/>
  <c r="D151" i="5"/>
  <c r="D115" i="5"/>
  <c r="D83" i="5"/>
  <c r="D47" i="5"/>
  <c r="D775" i="5"/>
  <c r="D743" i="5"/>
  <c r="D707" i="5"/>
  <c r="D675" i="5"/>
  <c r="D643" i="5"/>
  <c r="D607" i="5"/>
  <c r="D571" i="5"/>
  <c r="D531" i="5"/>
  <c r="D499" i="5"/>
  <c r="D463" i="5"/>
  <c r="D431" i="5"/>
  <c r="D407" i="5"/>
  <c r="D371" i="5"/>
  <c r="D339" i="5"/>
  <c r="D303" i="5"/>
  <c r="D271" i="5"/>
  <c r="D239" i="5"/>
  <c r="D203" i="5"/>
  <c r="D171" i="5"/>
  <c r="D139" i="5"/>
  <c r="D111" i="5"/>
  <c r="D79" i="5"/>
  <c r="D51" i="5"/>
  <c r="D30" i="5"/>
  <c r="D73" i="5"/>
  <c r="D57" i="5"/>
  <c r="D41" i="5"/>
  <c r="B794" i="5"/>
  <c r="B778" i="5"/>
  <c r="B762" i="5"/>
  <c r="B746" i="5"/>
  <c r="B730" i="5"/>
  <c r="B714" i="5"/>
  <c r="B698" i="5"/>
  <c r="B682" i="5"/>
  <c r="B666" i="5"/>
  <c r="B650" i="5"/>
  <c r="B634" i="5"/>
  <c r="B618" i="5"/>
  <c r="B602" i="5"/>
  <c r="B586" i="5"/>
  <c r="B570" i="5"/>
  <c r="B554" i="5"/>
  <c r="B538" i="5"/>
  <c r="B522" i="5"/>
  <c r="B506" i="5"/>
  <c r="B490" i="5"/>
  <c r="B474" i="5"/>
  <c r="B458" i="5"/>
  <c r="B438" i="5"/>
  <c r="B414" i="5"/>
  <c r="B390" i="5"/>
  <c r="B789" i="5"/>
  <c r="B773" i="5"/>
  <c r="B757" i="5"/>
  <c r="B741" i="5"/>
  <c r="B725" i="5"/>
  <c r="B709" i="5"/>
  <c r="B693" i="5"/>
  <c r="B677" i="5"/>
  <c r="B661" i="5"/>
  <c r="B645" i="5"/>
  <c r="B629" i="5"/>
  <c r="B613" i="5"/>
  <c r="B597" i="5"/>
  <c r="B581" i="5"/>
  <c r="B565" i="5"/>
  <c r="B549" i="5"/>
  <c r="B533" i="5"/>
  <c r="B517" i="5"/>
  <c r="B501" i="5"/>
  <c r="B485" i="5"/>
  <c r="B469" i="5"/>
  <c r="B453" i="5"/>
  <c r="B429" i="5"/>
  <c r="B405" i="5"/>
  <c r="B381" i="5"/>
  <c r="D781" i="5"/>
  <c r="D749" i="5"/>
  <c r="D717" i="5"/>
  <c r="D685" i="5"/>
  <c r="D653" i="5"/>
  <c r="D621" i="5"/>
  <c r="D589" i="5"/>
  <c r="D557" i="5"/>
  <c r="D525" i="5"/>
  <c r="D493" i="5"/>
  <c r="D461" i="5"/>
  <c r="D429" i="5"/>
  <c r="D397" i="5"/>
  <c r="D365" i="5"/>
  <c r="D333" i="5"/>
  <c r="D301" i="5"/>
  <c r="D269" i="5"/>
  <c r="D237" i="5"/>
  <c r="D205" i="5"/>
  <c r="D173" i="5"/>
  <c r="D141" i="5"/>
  <c r="D109" i="5"/>
  <c r="D704" i="5"/>
  <c r="D672" i="5"/>
  <c r="D640" i="5"/>
  <c r="D608" i="5"/>
  <c r="D576" i="5"/>
  <c r="D544" i="5"/>
  <c r="D512" i="5"/>
  <c r="D480" i="5"/>
  <c r="D448" i="5"/>
  <c r="D416" i="5"/>
  <c r="D384" i="5"/>
  <c r="D352" i="5"/>
  <c r="D320" i="5"/>
  <c r="D288" i="5"/>
  <c r="D256" i="5"/>
  <c r="D224" i="5"/>
  <c r="D192" i="5"/>
  <c r="D168" i="5"/>
  <c r="D148" i="5"/>
  <c r="D128" i="5"/>
  <c r="D104" i="5"/>
  <c r="D84" i="5"/>
  <c r="D64" i="5"/>
  <c r="D40" i="5"/>
  <c r="D787" i="5"/>
  <c r="D755" i="5"/>
  <c r="D723" i="5"/>
  <c r="D695" i="5"/>
  <c r="D663" i="5"/>
  <c r="D631" i="5"/>
  <c r="D603" i="5"/>
  <c r="D575" i="5"/>
  <c r="D551" i="5"/>
  <c r="D515" i="5"/>
  <c r="D487" i="5"/>
  <c r="D459" i="5"/>
  <c r="D427" i="5"/>
  <c r="D387" i="5"/>
  <c r="D359" i="5"/>
  <c r="D327" i="5"/>
  <c r="D299" i="5"/>
  <c r="D267" i="5"/>
  <c r="D235" i="5"/>
  <c r="D207" i="5"/>
  <c r="D175" i="5"/>
  <c r="D143" i="5"/>
  <c r="D107" i="5"/>
  <c r="D75" i="5"/>
  <c r="D39" i="5"/>
  <c r="D799" i="5"/>
  <c r="D767" i="5"/>
  <c r="D735" i="5"/>
  <c r="D699" i="5"/>
  <c r="D667" i="5"/>
  <c r="D635" i="5"/>
  <c r="D599" i="5"/>
  <c r="D559" i="5"/>
  <c r="D527" i="5"/>
  <c r="D491" i="5"/>
  <c r="D455" i="5"/>
  <c r="D423" i="5"/>
  <c r="D399" i="5"/>
  <c r="D363" i="5"/>
  <c r="D331" i="5"/>
  <c r="D295" i="5"/>
  <c r="D263" i="5"/>
  <c r="D227" i="5"/>
  <c r="D195" i="5"/>
  <c r="D163" i="5"/>
  <c r="D131" i="5"/>
  <c r="D103" i="5"/>
  <c r="D71" i="5"/>
  <c r="D43" i="5"/>
  <c r="D26" i="5"/>
  <c r="D85" i="5"/>
  <c r="D69" i="5"/>
  <c r="D53" i="5"/>
  <c r="D37" i="5"/>
  <c r="B790" i="5"/>
  <c r="B774" i="5"/>
  <c r="B758" i="5"/>
  <c r="B742" i="5"/>
  <c r="B726" i="5"/>
  <c r="B710" i="5"/>
  <c r="B694" i="5"/>
  <c r="B678" i="5"/>
  <c r="B662" i="5"/>
  <c r="B646" i="5"/>
  <c r="B630" i="5"/>
  <c r="B614" i="5"/>
  <c r="B598" i="5"/>
  <c r="B582" i="5"/>
  <c r="B566" i="5"/>
  <c r="B550" i="5"/>
  <c r="B534" i="5"/>
  <c r="B518" i="5"/>
  <c r="B502" i="5"/>
  <c r="B486" i="5"/>
  <c r="B470" i="5"/>
  <c r="B454" i="5"/>
  <c r="B430" i="5"/>
  <c r="B406" i="5"/>
  <c r="D801" i="5"/>
  <c r="B785" i="5"/>
  <c r="B769" i="5"/>
  <c r="B753" i="5"/>
  <c r="B737" i="5"/>
  <c r="B721" i="5"/>
  <c r="B705" i="5"/>
  <c r="B689" i="5"/>
  <c r="B673" i="5"/>
  <c r="B657" i="5"/>
  <c r="B641" i="5"/>
  <c r="B625" i="5"/>
  <c r="B609" i="5"/>
  <c r="B593" i="5"/>
  <c r="B577" i="5"/>
  <c r="B561" i="5"/>
  <c r="B545" i="5"/>
  <c r="B529" i="5"/>
  <c r="B513" i="5"/>
  <c r="B497" i="5"/>
  <c r="B481" i="5"/>
  <c r="B465" i="5"/>
  <c r="B445" i="5"/>
  <c r="B421" i="5"/>
  <c r="B397" i="5"/>
  <c r="B373" i="5"/>
  <c r="D769" i="5"/>
  <c r="D737" i="5"/>
  <c r="D705" i="5"/>
  <c r="D673" i="5"/>
  <c r="D641" i="5"/>
  <c r="D609" i="5"/>
  <c r="D577" i="5"/>
  <c r="D545" i="5"/>
  <c r="D513" i="5"/>
  <c r="D481" i="5"/>
  <c r="D449" i="5"/>
  <c r="D417" i="5"/>
  <c r="D385" i="5"/>
  <c r="D353" i="5"/>
  <c r="D321" i="5"/>
  <c r="D289" i="5"/>
  <c r="D257" i="5"/>
  <c r="D225" i="5"/>
  <c r="D193" i="5"/>
  <c r="D161" i="5"/>
  <c r="D129" i="5"/>
  <c r="D97" i="5"/>
  <c r="D692" i="5"/>
  <c r="D660" i="5"/>
  <c r="D628" i="5"/>
  <c r="D596" i="5"/>
  <c r="D564" i="5"/>
  <c r="D532" i="5"/>
  <c r="D500" i="5"/>
  <c r="D468" i="5"/>
  <c r="D436" i="5"/>
  <c r="D404" i="5"/>
  <c r="D372" i="5"/>
  <c r="D340" i="5"/>
  <c r="D308" i="5"/>
  <c r="D276" i="5"/>
  <c r="D244" i="5"/>
  <c r="D212" i="5"/>
  <c r="D184" i="5"/>
  <c r="D164" i="5"/>
  <c r="D144" i="5"/>
  <c r="D120" i="5"/>
  <c r="D100" i="5"/>
  <c r="D80" i="5"/>
  <c r="D56" i="5"/>
  <c r="D36" i="5"/>
  <c r="D779" i="5"/>
  <c r="D747" i="5"/>
  <c r="D719" i="5"/>
  <c r="D687" i="5"/>
  <c r="D655" i="5"/>
  <c r="D623" i="5"/>
  <c r="D595" i="5"/>
  <c r="D567" i="5"/>
  <c r="D543" i="5"/>
  <c r="D507" i="5"/>
  <c r="D483" i="5"/>
  <c r="D451" i="5"/>
  <c r="D415" i="5"/>
  <c r="D383" i="5"/>
  <c r="D351" i="5"/>
  <c r="D323" i="5"/>
  <c r="D291" i="5"/>
  <c r="D259" i="5"/>
  <c r="D231" i="5"/>
  <c r="D199" i="5"/>
  <c r="D167" i="5"/>
  <c r="D135" i="5"/>
  <c r="D99" i="5"/>
  <c r="D67" i="5"/>
  <c r="D791" i="5"/>
  <c r="D759" i="5"/>
  <c r="D727" i="5"/>
  <c r="D691" i="5"/>
  <c r="D659" i="5"/>
  <c r="D627" i="5"/>
  <c r="D591" i="5"/>
  <c r="D547" i="5"/>
  <c r="D519" i="5"/>
  <c r="D479" i="5"/>
  <c r="D447" i="5"/>
  <c r="D419" i="5"/>
  <c r="D391" i="5"/>
  <c r="D355" i="5"/>
  <c r="D319" i="5"/>
  <c r="D287" i="5"/>
  <c r="D255" i="5"/>
  <c r="D219" i="5"/>
  <c r="D187" i="5"/>
  <c r="D155" i="5"/>
  <c r="D123" i="5"/>
  <c r="D95" i="5"/>
  <c r="D63" i="5"/>
  <c r="D35" i="5"/>
  <c r="D22" i="5"/>
  <c r="D81" i="5"/>
  <c r="D65" i="5"/>
  <c r="D49" i="5"/>
  <c r="B786" i="5"/>
  <c r="B770" i="5"/>
  <c r="B754" i="5"/>
  <c r="B738" i="5"/>
  <c r="B722" i="5"/>
  <c r="B706" i="5"/>
  <c r="B690" i="5"/>
  <c r="B674" i="5"/>
  <c r="B658" i="5"/>
  <c r="B642" i="5"/>
  <c r="B626" i="5"/>
  <c r="B610" i="5"/>
  <c r="B594" i="5"/>
  <c r="B578" i="5"/>
  <c r="B562" i="5"/>
  <c r="B546" i="5"/>
  <c r="B530" i="5"/>
  <c r="B514" i="5"/>
  <c r="B498" i="5"/>
  <c r="B482" i="5"/>
  <c r="B466" i="5"/>
  <c r="B450" i="5"/>
  <c r="B426" i="5"/>
  <c r="B402" i="5"/>
  <c r="B797" i="5"/>
  <c r="B781" i="5"/>
  <c r="B765" i="5"/>
  <c r="B749" i="5"/>
  <c r="B733" i="5"/>
  <c r="B717" i="5"/>
  <c r="B701" i="5"/>
  <c r="B685" i="5"/>
  <c r="B669" i="5"/>
  <c r="B653" i="5"/>
  <c r="B637" i="5"/>
  <c r="B621" i="5"/>
  <c r="B605" i="5"/>
  <c r="B589" i="5"/>
  <c r="B573" i="5"/>
  <c r="D797" i="5"/>
  <c r="D765" i="5"/>
  <c r="D733" i="5"/>
  <c r="D701" i="5"/>
  <c r="D669" i="5"/>
  <c r="D637" i="5"/>
  <c r="D605" i="5"/>
  <c r="D573" i="5"/>
  <c r="D541" i="5"/>
  <c r="D509" i="5"/>
  <c r="D477" i="5"/>
  <c r="D445" i="5"/>
  <c r="D413" i="5"/>
  <c r="D381" i="5"/>
  <c r="D349" i="5"/>
  <c r="D317" i="5"/>
  <c r="D285" i="5"/>
  <c r="D253" i="5"/>
  <c r="D221" i="5"/>
  <c r="D189" i="5"/>
  <c r="D157" i="5"/>
  <c r="D125" i="5"/>
  <c r="D93" i="5"/>
  <c r="D688" i="5"/>
  <c r="D656" i="5"/>
  <c r="D624" i="5"/>
  <c r="D592" i="5"/>
  <c r="D560" i="5"/>
  <c r="D528" i="5"/>
  <c r="D496" i="5"/>
  <c r="D464" i="5"/>
  <c r="D432" i="5"/>
  <c r="D400" i="5"/>
  <c r="D368" i="5"/>
  <c r="D336" i="5"/>
  <c r="D304" i="5"/>
  <c r="D272" i="5"/>
  <c r="D240" i="5"/>
  <c r="D208" i="5"/>
  <c r="D180" i="5"/>
  <c r="D160" i="5"/>
  <c r="D136" i="5"/>
  <c r="D116" i="5"/>
  <c r="D96" i="5"/>
  <c r="D72" i="5"/>
  <c r="D52" i="5"/>
  <c r="D771" i="5"/>
  <c r="D739" i="5"/>
  <c r="D711" i="5"/>
  <c r="D679" i="5"/>
  <c r="D647" i="5"/>
  <c r="D619" i="5"/>
  <c r="D587" i="5"/>
  <c r="D563" i="5"/>
  <c r="D535" i="5"/>
  <c r="D503" i="5"/>
  <c r="D475" i="5"/>
  <c r="D443" i="5"/>
  <c r="D403" i="5"/>
  <c r="D375" i="5"/>
  <c r="D343" i="5"/>
  <c r="D315" i="5"/>
  <c r="D283" i="5"/>
  <c r="D251" i="5"/>
  <c r="D223" i="5"/>
  <c r="D191" i="5"/>
  <c r="D159" i="5"/>
  <c r="D127" i="5"/>
  <c r="D91" i="5"/>
  <c r="D59" i="5"/>
  <c r="D783" i="5"/>
  <c r="D751" i="5"/>
  <c r="D715" i="5"/>
  <c r="D683" i="5"/>
  <c r="D651" i="5"/>
  <c r="D615" i="5"/>
  <c r="D583" i="5"/>
  <c r="D539" i="5"/>
  <c r="D511" i="5"/>
  <c r="D471" i="5"/>
  <c r="D435" i="5"/>
  <c r="D411" i="5"/>
  <c r="D379" i="5"/>
  <c r="D347" i="5"/>
  <c r="D311" i="5"/>
  <c r="D279" i="5"/>
  <c r="D247" i="5"/>
  <c r="D211" i="5"/>
  <c r="D179" i="5"/>
  <c r="D147" i="5"/>
  <c r="D119" i="5"/>
  <c r="D87" i="5"/>
  <c r="D55" i="5"/>
  <c r="B40" i="5"/>
  <c r="B64" i="5"/>
  <c r="B88" i="5"/>
  <c r="B112" i="5"/>
  <c r="B136" i="5"/>
  <c r="B160" i="5"/>
  <c r="B184" i="5"/>
  <c r="B208" i="5"/>
  <c r="B232" i="5"/>
  <c r="B256" i="5"/>
  <c r="B280" i="5"/>
  <c r="B304" i="5"/>
  <c r="B328" i="5"/>
  <c r="B352" i="5"/>
  <c r="B376" i="5"/>
  <c r="B400" i="5"/>
  <c r="B424" i="5"/>
  <c r="B448" i="5"/>
  <c r="B464" i="5"/>
  <c r="B480" i="5"/>
  <c r="B496" i="5"/>
  <c r="B512" i="5"/>
  <c r="B528" i="5"/>
  <c r="B544" i="5"/>
  <c r="B560" i="5"/>
  <c r="B576" i="5"/>
  <c r="B592" i="5"/>
  <c r="B608" i="5"/>
  <c r="B624" i="5"/>
  <c r="B640" i="5"/>
  <c r="B656" i="5"/>
  <c r="B672" i="5"/>
  <c r="B688" i="5"/>
  <c r="B704" i="5"/>
  <c r="B720" i="5"/>
  <c r="B736" i="5"/>
  <c r="B752" i="5"/>
  <c r="B768" i="5"/>
  <c r="B784" i="5"/>
  <c r="B801" i="5"/>
  <c r="D46" i="5"/>
  <c r="D62" i="5"/>
  <c r="D78" i="5"/>
  <c r="D94" i="5"/>
  <c r="D110" i="5"/>
  <c r="D126" i="5"/>
  <c r="D142" i="5"/>
  <c r="D158" i="5"/>
  <c r="D174" i="5"/>
  <c r="D190" i="5"/>
  <c r="D206" i="5"/>
  <c r="D222" i="5"/>
  <c r="D238" i="5"/>
  <c r="D254" i="5"/>
  <c r="D270" i="5"/>
  <c r="D286" i="5"/>
  <c r="D302" i="5"/>
  <c r="D318" i="5"/>
  <c r="D334" i="5"/>
  <c r="D350" i="5"/>
  <c r="D366" i="5"/>
  <c r="D382" i="5"/>
  <c r="D398" i="5"/>
  <c r="D414" i="5"/>
  <c r="D430" i="5"/>
  <c r="D446" i="5"/>
  <c r="D462" i="5"/>
  <c r="D478" i="5"/>
  <c r="D494" i="5"/>
  <c r="D510" i="5"/>
  <c r="D526" i="5"/>
  <c r="D542" i="5"/>
  <c r="D558" i="5"/>
  <c r="D574" i="5"/>
  <c r="D590" i="5"/>
  <c r="D606" i="5"/>
  <c r="D622" i="5"/>
  <c r="D638" i="5"/>
  <c r="D654" i="5"/>
  <c r="D670" i="5"/>
  <c r="D686" i="5"/>
  <c r="D702" i="5"/>
  <c r="D718" i="5"/>
  <c r="D734" i="5"/>
  <c r="D750" i="5"/>
  <c r="D766" i="5"/>
  <c r="D782" i="5"/>
  <c r="D798" i="5"/>
  <c r="L16" i="4"/>
  <c r="L32" i="4"/>
  <c r="L48" i="4"/>
  <c r="L64" i="4"/>
  <c r="L80" i="4"/>
  <c r="L96" i="4"/>
  <c r="L112" i="4"/>
  <c r="L128" i="4"/>
  <c r="L144" i="4"/>
  <c r="L160" i="4"/>
  <c r="L176" i="4"/>
  <c r="L192" i="4"/>
  <c r="L208" i="4"/>
  <c r="L224" i="4"/>
  <c r="L240" i="4"/>
  <c r="L256" i="4"/>
  <c r="L280" i="4"/>
  <c r="L296" i="4"/>
  <c r="L320" i="4"/>
  <c r="L340" i="4"/>
  <c r="L360" i="4"/>
  <c r="L380" i="4"/>
  <c r="L400" i="4"/>
  <c r="L424" i="4"/>
  <c r="L440" i="4"/>
  <c r="L808" i="4"/>
  <c r="B22" i="5"/>
  <c r="B46" i="5"/>
  <c r="B70" i="5"/>
  <c r="L810" i="4"/>
  <c r="B33" i="5"/>
  <c r="B57" i="5"/>
  <c r="B81" i="5"/>
  <c r="L814" i="4"/>
  <c r="B97" i="5"/>
  <c r="B121" i="5"/>
  <c r="B145" i="5"/>
  <c r="B169" i="5"/>
  <c r="B193" i="5"/>
  <c r="B217" i="5"/>
  <c r="B241" i="5"/>
  <c r="B265" i="5"/>
  <c r="B289" i="5"/>
  <c r="B313" i="5"/>
  <c r="B337" i="5"/>
  <c r="B361" i="5"/>
  <c r="B106" i="5"/>
  <c r="B130" i="5"/>
  <c r="B154" i="5"/>
  <c r="B178" i="5"/>
  <c r="B202" i="5"/>
  <c r="B226" i="5"/>
  <c r="B250" i="5"/>
  <c r="B274" i="5"/>
  <c r="B298" i="5"/>
  <c r="B322" i="5"/>
  <c r="B346" i="5"/>
  <c r="B370" i="5"/>
  <c r="L815" i="4"/>
  <c r="B39" i="5"/>
  <c r="B63" i="5"/>
  <c r="B87" i="5"/>
  <c r="B111" i="5"/>
  <c r="B135" i="5"/>
  <c r="B159" i="5"/>
  <c r="B183" i="5"/>
  <c r="B207" i="5"/>
  <c r="B231" i="5"/>
  <c r="B255" i="5"/>
  <c r="B279" i="5"/>
  <c r="B303" i="5"/>
  <c r="B327" i="5"/>
  <c r="B351" i="5"/>
  <c r="B375" i="5"/>
  <c r="B399" i="5"/>
  <c r="B423" i="5"/>
  <c r="B447" i="5"/>
  <c r="B463" i="5"/>
  <c r="B479" i="5"/>
  <c r="B495" i="5"/>
  <c r="B511" i="5"/>
  <c r="B527" i="5"/>
  <c r="B543" i="5"/>
  <c r="B559" i="5"/>
  <c r="B575" i="5"/>
  <c r="B591" i="5"/>
  <c r="B607" i="5"/>
  <c r="B623" i="5"/>
  <c r="B639" i="5"/>
  <c r="B655" i="5"/>
  <c r="B671" i="5"/>
  <c r="B687" i="5"/>
  <c r="B703" i="5"/>
  <c r="B719" i="5"/>
  <c r="B735" i="5"/>
  <c r="B751" i="5"/>
  <c r="B767" i="5"/>
  <c r="B783" i="5"/>
  <c r="B800" i="5"/>
  <c r="L384" i="4"/>
  <c r="L468" i="4"/>
  <c r="L484" i="4"/>
  <c r="L500" i="4"/>
  <c r="L516" i="4"/>
  <c r="L532" i="4"/>
  <c r="L548" i="4"/>
  <c r="L564" i="4"/>
  <c r="L580" i="4"/>
  <c r="L596" i="4"/>
  <c r="L612" i="4"/>
  <c r="L628" i="4"/>
  <c r="L644" i="4"/>
  <c r="L660" i="4"/>
  <c r="L676" i="4"/>
  <c r="L692" i="4"/>
  <c r="L708" i="4"/>
  <c r="L724" i="4"/>
  <c r="L744" i="4"/>
  <c r="B393" i="5"/>
  <c r="B441" i="5"/>
  <c r="B477" i="5"/>
  <c r="B509" i="5"/>
  <c r="B541" i="5"/>
  <c r="B585" i="5"/>
  <c r="B649" i="5"/>
  <c r="B713" i="5"/>
  <c r="B777" i="5"/>
  <c r="B442" i="5"/>
  <c r="B510" i="5"/>
  <c r="B574" i="5"/>
  <c r="B638" i="5"/>
  <c r="B702" i="5"/>
  <c r="B766" i="5"/>
  <c r="D61" i="5"/>
  <c r="L6" i="4"/>
  <c r="L14" i="4"/>
  <c r="L22" i="4"/>
  <c r="L30" i="4"/>
  <c r="L38" i="4"/>
  <c r="L46" i="4"/>
  <c r="L54" i="4"/>
  <c r="L62" i="4"/>
  <c r="L70" i="4"/>
  <c r="L78" i="4"/>
  <c r="L86" i="4"/>
  <c r="L94" i="4"/>
  <c r="L102" i="4"/>
  <c r="L110" i="4"/>
  <c r="L118" i="4"/>
  <c r="L126" i="4"/>
  <c r="L134" i="4"/>
  <c r="L142" i="4"/>
  <c r="L150" i="4"/>
  <c r="L158" i="4"/>
  <c r="L166" i="4"/>
  <c r="L174" i="4"/>
  <c r="L182" i="4"/>
  <c r="L190" i="4"/>
  <c r="L198" i="4"/>
  <c r="L206" i="4"/>
  <c r="L214" i="4"/>
  <c r="L222" i="4"/>
  <c r="L230" i="4"/>
  <c r="L238" i="4"/>
  <c r="L246" i="4"/>
  <c r="L254" i="4"/>
  <c r="L262" i="4"/>
  <c r="L270" i="4"/>
  <c r="L278" i="4"/>
  <c r="L286" i="4"/>
  <c r="L294" i="4"/>
  <c r="L302" i="4"/>
  <c r="L310" i="4"/>
  <c r="L318" i="4"/>
  <c r="L326" i="4"/>
  <c r="L334" i="4"/>
  <c r="L342" i="4"/>
  <c r="L350" i="4"/>
  <c r="L358" i="4"/>
  <c r="L366" i="4"/>
  <c r="L374" i="4"/>
  <c r="L382" i="4"/>
  <c r="L390" i="4"/>
  <c r="L398" i="4"/>
  <c r="L406" i="4"/>
  <c r="L414" i="4"/>
  <c r="L422" i="4"/>
  <c r="L430" i="4"/>
  <c r="L438" i="4"/>
  <c r="L446" i="4"/>
  <c r="L462" i="4"/>
  <c r="L470" i="4"/>
  <c r="L478" i="4"/>
  <c r="L486" i="4"/>
  <c r="L494" i="4"/>
  <c r="L510" i="4"/>
  <c r="L526" i="4"/>
  <c r="L542" i="4"/>
  <c r="L558" i="4"/>
  <c r="L574" i="4"/>
  <c r="L590" i="4"/>
  <c r="L606" i="4"/>
  <c r="L622" i="4"/>
  <c r="L638" i="4"/>
  <c r="L654" i="4"/>
  <c r="L670" i="4"/>
  <c r="L686" i="4"/>
  <c r="L702" i="4"/>
  <c r="L718" i="4"/>
  <c r="L726" i="4"/>
  <c r="L735" i="4"/>
  <c r="L751" i="4"/>
  <c r="L767" i="4"/>
  <c r="L783" i="4"/>
  <c r="L799" i="4"/>
  <c r="C465" i="5"/>
  <c r="C467" i="5"/>
  <c r="C469" i="5"/>
  <c r="C471" i="5"/>
  <c r="C473" i="5"/>
  <c r="C475" i="5"/>
  <c r="C477" i="5"/>
  <c r="C479" i="5"/>
  <c r="C481" i="5"/>
  <c r="C483" i="5"/>
  <c r="C485" i="5"/>
  <c r="C487" i="5"/>
  <c r="C489" i="5"/>
  <c r="C491" i="5"/>
  <c r="C493" i="5"/>
  <c r="C495" i="5"/>
  <c r="C497" i="5"/>
  <c r="C499" i="5"/>
  <c r="C501" i="5"/>
  <c r="C503" i="5"/>
  <c r="C505" i="5"/>
  <c r="C507" i="5"/>
  <c r="C509" i="5"/>
  <c r="C511" i="5"/>
  <c r="C513" i="5"/>
  <c r="C515" i="5"/>
  <c r="C517" i="5"/>
  <c r="C519" i="5"/>
  <c r="C521" i="5"/>
  <c r="C523" i="5"/>
  <c r="C525" i="5"/>
  <c r="C527" i="5"/>
  <c r="C529" i="5"/>
  <c r="C531" i="5"/>
  <c r="C533" i="5"/>
  <c r="C535" i="5"/>
  <c r="C537" i="5"/>
  <c r="C539" i="5"/>
  <c r="C541" i="5"/>
  <c r="C543" i="5"/>
  <c r="C545" i="5"/>
  <c r="C547" i="5"/>
  <c r="C549" i="5"/>
  <c r="C551" i="5"/>
  <c r="C553" i="5"/>
  <c r="C555" i="5"/>
  <c r="C557" i="5"/>
  <c r="C559" i="5"/>
  <c r="C561" i="5"/>
  <c r="C563" i="5"/>
  <c r="C565" i="5"/>
  <c r="C567" i="5"/>
  <c r="C569" i="5"/>
  <c r="C571" i="5"/>
  <c r="C573" i="5"/>
  <c r="C575" i="5"/>
  <c r="C577" i="5"/>
  <c r="C579" i="5"/>
  <c r="C581" i="5"/>
  <c r="C583" i="5"/>
  <c r="C585" i="5"/>
  <c r="C587" i="5"/>
  <c r="C589" i="5"/>
  <c r="C591" i="5"/>
  <c r="C593" i="5"/>
  <c r="C595" i="5"/>
  <c r="C597" i="5"/>
  <c r="C599" i="5"/>
  <c r="C601" i="5"/>
  <c r="C603" i="5"/>
  <c r="C605" i="5"/>
  <c r="C607" i="5"/>
  <c r="C609" i="5"/>
  <c r="C611" i="5"/>
  <c r="C613" i="5"/>
  <c r="C615" i="5"/>
  <c r="C617" i="5"/>
  <c r="C619" i="5"/>
  <c r="C621" i="5"/>
  <c r="C623" i="5"/>
  <c r="C625" i="5"/>
  <c r="C627" i="5"/>
  <c r="C629" i="5"/>
  <c r="C631" i="5"/>
  <c r="C633" i="5"/>
  <c r="C635" i="5"/>
  <c r="C637" i="5"/>
  <c r="C639" i="5"/>
  <c r="C641" i="5"/>
  <c r="C643" i="5"/>
  <c r="C645" i="5"/>
  <c r="C647" i="5"/>
  <c r="C649" i="5"/>
  <c r="C651" i="5"/>
  <c r="C653" i="5"/>
  <c r="C655" i="5"/>
  <c r="C657" i="5"/>
  <c r="C659" i="5"/>
  <c r="C661" i="5"/>
  <c r="C663" i="5"/>
  <c r="C665" i="5"/>
  <c r="C667" i="5"/>
  <c r="C669" i="5"/>
  <c r="C671" i="5"/>
  <c r="C673" i="5"/>
  <c r="C675" i="5"/>
  <c r="C677" i="5"/>
  <c r="C679" i="5"/>
  <c r="C681" i="5"/>
  <c r="C683" i="5"/>
  <c r="C685" i="5"/>
  <c r="C687" i="5"/>
  <c r="C689" i="5"/>
  <c r="C691" i="5"/>
  <c r="C693" i="5"/>
  <c r="C695" i="5"/>
  <c r="C697" i="5"/>
  <c r="C699" i="5"/>
  <c r="C701" i="5"/>
  <c r="C703" i="5"/>
  <c r="C705" i="5"/>
  <c r="C707" i="5"/>
  <c r="C709" i="5"/>
  <c r="C711" i="5"/>
  <c r="C713" i="5"/>
  <c r="C715" i="5"/>
  <c r="C717" i="5"/>
  <c r="C719" i="5"/>
  <c r="C721" i="5"/>
  <c r="C723" i="5"/>
  <c r="C725" i="5"/>
  <c r="C727" i="5"/>
  <c r="C729" i="5"/>
  <c r="C731" i="5"/>
  <c r="C733" i="5"/>
  <c r="C735" i="5"/>
  <c r="C737" i="5"/>
  <c r="C739" i="5"/>
  <c r="C741" i="5"/>
  <c r="C743" i="5"/>
  <c r="C745" i="5"/>
  <c r="C747" i="5"/>
  <c r="C749" i="5"/>
  <c r="C751" i="5"/>
  <c r="C753" i="5"/>
  <c r="C755" i="5"/>
  <c r="C757" i="5"/>
  <c r="C759" i="5"/>
  <c r="C761" i="5"/>
  <c r="C763" i="5"/>
  <c r="C765" i="5"/>
  <c r="C767" i="5"/>
  <c r="C769" i="5"/>
  <c r="C771" i="5"/>
  <c r="C773" i="5"/>
  <c r="C775" i="5"/>
  <c r="C777" i="5"/>
  <c r="C779" i="5"/>
  <c r="C781" i="5"/>
  <c r="C783" i="5"/>
  <c r="C785" i="5"/>
  <c r="C787" i="5"/>
  <c r="C789" i="5"/>
  <c r="C791" i="5"/>
  <c r="C793" i="5"/>
  <c r="C795" i="5"/>
  <c r="C797" i="5"/>
  <c r="C799" i="5"/>
  <c r="C3" i="5"/>
  <c r="C7" i="5"/>
  <c r="B23" i="5"/>
  <c r="B35" i="5"/>
  <c r="B47" i="5"/>
  <c r="B59" i="5"/>
  <c r="B71" i="5"/>
  <c r="B83" i="5"/>
  <c r="B95" i="5"/>
  <c r="B107" i="5"/>
  <c r="B119" i="5"/>
  <c r="B131" i="5"/>
  <c r="B143" i="5"/>
  <c r="B155" i="5"/>
  <c r="B167" i="5"/>
  <c r="B179" i="5"/>
  <c r="B191" i="5"/>
  <c r="B203" i="5"/>
  <c r="B215" i="5"/>
  <c r="B227" i="5"/>
  <c r="B239" i="5"/>
  <c r="B251" i="5"/>
  <c r="B263" i="5"/>
  <c r="B275" i="5"/>
  <c r="B287" i="5"/>
  <c r="B299" i="5"/>
  <c r="B311" i="5"/>
  <c r="B323" i="5"/>
  <c r="B335" i="5"/>
  <c r="B347" i="5"/>
  <c r="B359" i="5"/>
  <c r="B371" i="5"/>
  <c r="B383" i="5"/>
  <c r="B395" i="5"/>
  <c r="B407" i="5"/>
  <c r="B419" i="5"/>
  <c r="B431" i="5"/>
  <c r="B443" i="5"/>
  <c r="B24" i="5"/>
  <c r="B48" i="5"/>
  <c r="B72" i="5"/>
  <c r="B96" i="5"/>
  <c r="B120" i="5"/>
  <c r="B144" i="5"/>
  <c r="B168" i="5"/>
  <c r="B192" i="5"/>
  <c r="B216" i="5"/>
  <c r="B240" i="5"/>
  <c r="B264" i="5"/>
  <c r="B288" i="5"/>
  <c r="B312" i="5"/>
  <c r="B336" i="5"/>
  <c r="B360" i="5"/>
  <c r="B384" i="5"/>
  <c r="B408" i="5"/>
  <c r="B432" i="5"/>
  <c r="B452" i="5"/>
  <c r="B468" i="5"/>
  <c r="B484" i="5"/>
  <c r="B500" i="5"/>
  <c r="B516" i="5"/>
  <c r="B532" i="5"/>
  <c r="B548" i="5"/>
  <c r="B564" i="5"/>
  <c r="B580" i="5"/>
  <c r="B596" i="5"/>
  <c r="B612" i="5"/>
  <c r="B628" i="5"/>
  <c r="B644" i="5"/>
  <c r="B660" i="5"/>
  <c r="B676" i="5"/>
  <c r="B692" i="5"/>
  <c r="B708" i="5"/>
  <c r="B724" i="5"/>
  <c r="B740" i="5"/>
  <c r="B756" i="5"/>
  <c r="B772" i="5"/>
  <c r="B788" i="5"/>
  <c r="D34" i="5"/>
  <c r="D50" i="5"/>
  <c r="D66" i="5"/>
  <c r="D82" i="5"/>
  <c r="D98" i="5"/>
  <c r="D114" i="5"/>
  <c r="D130" i="5"/>
  <c r="D146" i="5"/>
  <c r="D162" i="5"/>
  <c r="D178" i="5"/>
  <c r="D194" i="5"/>
  <c r="D210" i="5"/>
  <c r="D226" i="5"/>
  <c r="D242" i="5"/>
  <c r="D258" i="5"/>
  <c r="D274" i="5"/>
  <c r="D290" i="5"/>
  <c r="D306" i="5"/>
  <c r="D322" i="5"/>
  <c r="D338" i="5"/>
  <c r="D354" i="5"/>
  <c r="D370" i="5"/>
  <c r="D386" i="5"/>
  <c r="D402" i="5"/>
  <c r="D418" i="5"/>
  <c r="D434" i="5"/>
  <c r="D450" i="5"/>
  <c r="D466" i="5"/>
  <c r="D482" i="5"/>
  <c r="D498" i="5"/>
  <c r="D514" i="5"/>
  <c r="D530" i="5"/>
  <c r="D546" i="5"/>
  <c r="D562" i="5"/>
  <c r="D578" i="5"/>
  <c r="D594" i="5"/>
  <c r="D610" i="5"/>
  <c r="D626" i="5"/>
  <c r="D642" i="5"/>
  <c r="D658" i="5"/>
  <c r="D674" i="5"/>
  <c r="D690" i="5"/>
  <c r="D706" i="5"/>
  <c r="D722" i="5"/>
  <c r="D738" i="5"/>
  <c r="D754" i="5"/>
  <c r="D770" i="5"/>
  <c r="D786" i="5"/>
  <c r="L4" i="4"/>
  <c r="L703" i="4"/>
  <c r="L627" i="4"/>
  <c r="L563" i="4"/>
  <c r="L499" i="4"/>
  <c r="L439" i="4"/>
  <c r="L383" i="4"/>
  <c r="L319" i="4"/>
  <c r="L251" i="4"/>
  <c r="L758" i="4"/>
  <c r="L682" i="4"/>
  <c r="L594" i="4"/>
  <c r="L458" i="4"/>
  <c r="L362" i="4"/>
  <c r="L298" i="4"/>
  <c r="L266" i="4"/>
  <c r="L234" i="4"/>
  <c r="L202" i="4"/>
  <c r="L170" i="4"/>
  <c r="L138" i="4"/>
  <c r="L106" i="4"/>
  <c r="L74" i="4"/>
  <c r="L42" i="4"/>
  <c r="L10" i="4"/>
  <c r="L779" i="4"/>
  <c r="L679" i="4"/>
  <c r="L619" i="4"/>
  <c r="L539" i="4"/>
  <c r="L479" i="4"/>
  <c r="L403" i="4"/>
  <c r="L331" i="4"/>
  <c r="L271" i="4"/>
  <c r="L762" i="4"/>
  <c r="L698" i="4"/>
  <c r="L602" i="4"/>
  <c r="L530" i="4"/>
  <c r="L450" i="4"/>
  <c r="L354" i="4"/>
  <c r="L300" i="4"/>
  <c r="L444" i="4"/>
  <c r="L812" i="4"/>
  <c r="L789" i="4"/>
  <c r="L753" i="4"/>
  <c r="L709" i="4"/>
  <c r="L795" i="4"/>
  <c r="L707" i="4"/>
  <c r="L659" i="4"/>
  <c r="L603" i="4"/>
  <c r="L555" i="4"/>
  <c r="L507" i="4"/>
  <c r="L435" i="4"/>
  <c r="L375" i="4"/>
  <c r="L311" i="4"/>
  <c r="L235" i="4"/>
  <c r="L782" i="4"/>
  <c r="L742" i="4"/>
  <c r="L674" i="4"/>
  <c r="L546" i="4"/>
  <c r="L474" i="4"/>
  <c r="L394" i="4"/>
  <c r="L781" i="4"/>
  <c r="L749" i="4"/>
  <c r="L729" i="4"/>
  <c r="L701" i="4"/>
  <c r="L763" i="4"/>
  <c r="L655" i="4"/>
  <c r="L591" i="4"/>
  <c r="L503" i="4"/>
  <c r="L443" i="4"/>
  <c r="L387" i="4"/>
  <c r="L323" i="4"/>
  <c r="L263" i="4"/>
  <c r="L231" i="4"/>
  <c r="L207" i="4"/>
  <c r="L191" i="4"/>
  <c r="L175" i="4"/>
  <c r="L159" i="4"/>
  <c r="L143" i="4"/>
  <c r="L127" i="4"/>
  <c r="L111" i="4"/>
  <c r="L95" i="4"/>
  <c r="L79" i="4"/>
  <c r="L63" i="4"/>
  <c r="L47" i="4"/>
  <c r="L31" i="4"/>
  <c r="L15" i="4"/>
  <c r="L669" i="4"/>
  <c r="L787" i="4"/>
  <c r="L687" i="4"/>
  <c r="L611" i="4"/>
  <c r="L547" i="4"/>
  <c r="L483" i="4"/>
  <c r="L427" i="4"/>
  <c r="L367" i="4"/>
  <c r="L299" i="4"/>
  <c r="L227" i="4"/>
  <c r="L746" i="4"/>
  <c r="L658" i="4"/>
  <c r="L570" i="4"/>
  <c r="L442" i="4"/>
  <c r="L338" i="4"/>
  <c r="L290" i="4"/>
  <c r="L258" i="4"/>
  <c r="L226" i="4"/>
  <c r="L194" i="4"/>
  <c r="L162" i="4"/>
  <c r="L130" i="4"/>
  <c r="L98" i="4"/>
  <c r="L66" i="4"/>
  <c r="L34" i="4"/>
  <c r="L739" i="4"/>
  <c r="L667" i="4"/>
  <c r="L587" i="4"/>
  <c r="L527" i="4"/>
  <c r="L463" i="4"/>
  <c r="L379" i="4"/>
  <c r="L315" i="4"/>
  <c r="L255" i="4"/>
  <c r="L798" i="4"/>
  <c r="L750" i="4"/>
  <c r="L666" i="4"/>
  <c r="L586" i="4"/>
  <c r="L506" i="4"/>
  <c r="L426" i="4"/>
  <c r="L330" i="4"/>
  <c r="L336" i="4"/>
  <c r="L805" i="4"/>
  <c r="L803" i="4"/>
  <c r="L777" i="4"/>
  <c r="L737" i="4"/>
  <c r="L697" i="4"/>
  <c r="L771" i="4"/>
  <c r="L695" i="4"/>
  <c r="L647" i="4"/>
  <c r="L595" i="4"/>
  <c r="L543" i="4"/>
  <c r="L487" i="4"/>
  <c r="L423" i="4"/>
  <c r="L359" i="4"/>
  <c r="L295" i="4"/>
  <c r="L774" i="4"/>
  <c r="L730" i="4"/>
  <c r="L650" i="4"/>
  <c r="L538" i="4"/>
  <c r="L454" i="4"/>
  <c r="L370" i="4"/>
  <c r="L773" i="4"/>
  <c r="L745" i="4"/>
  <c r="L725" i="4"/>
  <c r="L693" i="4"/>
  <c r="L715" i="4"/>
  <c r="L639" i="4"/>
  <c r="L575" i="4"/>
  <c r="L491" i="4"/>
  <c r="L431" i="4"/>
  <c r="L371" i="4"/>
  <c r="L307" i="4"/>
  <c r="L247" i="4"/>
  <c r="L219" i="4"/>
  <c r="L203" i="4"/>
  <c r="L187" i="4"/>
  <c r="L171" i="4"/>
  <c r="L155" i="4"/>
  <c r="L139" i="4"/>
  <c r="L123" i="4"/>
  <c r="L107" i="4"/>
  <c r="L91" i="4"/>
  <c r="L75" i="4"/>
  <c r="L59" i="4"/>
  <c r="L43" i="4"/>
  <c r="L27" i="4"/>
  <c r="L11" i="4"/>
  <c r="L755" i="4"/>
  <c r="L663" i="4"/>
  <c r="L599" i="4"/>
  <c r="L531" i="4"/>
  <c r="L467" i="4"/>
  <c r="L411" i="4"/>
  <c r="L351" i="4"/>
  <c r="L283" i="4"/>
  <c r="L786" i="4"/>
  <c r="L734" i="4"/>
  <c r="L634" i="4"/>
  <c r="L514" i="4"/>
  <c r="L410" i="4"/>
  <c r="L314" i="4"/>
  <c r="L282" i="4"/>
  <c r="L250" i="4"/>
  <c r="L218" i="4"/>
  <c r="L186" i="4"/>
  <c r="L154" i="4"/>
  <c r="L122" i="4"/>
  <c r="L90" i="4"/>
  <c r="L58" i="4"/>
  <c r="L26" i="4"/>
  <c r="L711" i="4"/>
  <c r="L651" i="4"/>
  <c r="L571" i="4"/>
  <c r="L511" i="4"/>
  <c r="L447" i="4"/>
  <c r="L363" i="4"/>
  <c r="L303" i="4"/>
  <c r="L223" i="4"/>
  <c r="L790" i="4"/>
  <c r="L738" i="4"/>
  <c r="L626" i="4"/>
  <c r="L578" i="4"/>
  <c r="L490" i="4"/>
  <c r="L402" i="4"/>
  <c r="L817" i="4"/>
  <c r="L372" i="4"/>
  <c r="L769" i="4"/>
  <c r="L721" i="4"/>
  <c r="L685" i="4"/>
  <c r="L747" i="4"/>
  <c r="L691" i="4"/>
  <c r="L631" i="4"/>
  <c r="L579" i="4"/>
  <c r="L535" i="4"/>
  <c r="L471" i="4"/>
  <c r="L407" i="4"/>
  <c r="L343" i="4"/>
  <c r="L279" i="4"/>
  <c r="L766" i="4"/>
  <c r="L706" i="4"/>
  <c r="L642" i="4"/>
  <c r="L522" i="4"/>
  <c r="L434" i="4"/>
  <c r="L346" i="4"/>
  <c r="L793" i="4"/>
  <c r="L765" i="4"/>
  <c r="L741" i="4"/>
  <c r="L713" i="4"/>
  <c r="L689" i="4"/>
  <c r="L683" i="4"/>
  <c r="L623" i="4"/>
  <c r="L551" i="4"/>
  <c r="L475" i="4"/>
  <c r="L415" i="4"/>
  <c r="L355" i="4"/>
  <c r="L291" i="4"/>
  <c r="L243" i="4"/>
  <c r="L215" i="4"/>
  <c r="L199" i="4"/>
  <c r="L183" i="4"/>
  <c r="L723" i="4"/>
  <c r="L643" i="4"/>
  <c r="L583" i="4"/>
  <c r="L515" i="4"/>
  <c r="L455" i="4"/>
  <c r="L395" i="4"/>
  <c r="L335" i="4"/>
  <c r="L267" i="4"/>
  <c r="L770" i="4"/>
  <c r="L714" i="4"/>
  <c r="L610" i="4"/>
  <c r="L482" i="4"/>
  <c r="L386" i="4"/>
  <c r="L306" i="4"/>
  <c r="L274" i="4"/>
  <c r="L242" i="4"/>
  <c r="L210" i="4"/>
  <c r="L178" i="4"/>
  <c r="L146" i="4"/>
  <c r="L114" i="4"/>
  <c r="L82" i="4"/>
  <c r="L50" i="4"/>
  <c r="L18" i="4"/>
  <c r="L699" i="4"/>
  <c r="L635" i="4"/>
  <c r="L559" i="4"/>
  <c r="L495" i="4"/>
  <c r="L419" i="4"/>
  <c r="L347" i="4"/>
  <c r="L287" i="4"/>
  <c r="L778" i="4"/>
  <c r="L722" i="4"/>
  <c r="L618" i="4"/>
  <c r="L554" i="4"/>
  <c r="L466" i="4"/>
  <c r="L378" i="4"/>
  <c r="L264" i="4"/>
  <c r="L408" i="4"/>
  <c r="L811" i="4"/>
  <c r="L797" i="4"/>
  <c r="L761" i="4"/>
  <c r="L717" i="4"/>
  <c r="L731" i="4"/>
  <c r="L675" i="4"/>
  <c r="L615" i="4"/>
  <c r="L567" i="4"/>
  <c r="L523" i="4"/>
  <c r="L451" i="4"/>
  <c r="L391" i="4"/>
  <c r="L327" i="4"/>
  <c r="L259" i="4"/>
  <c r="L794" i="4"/>
  <c r="L754" i="4"/>
  <c r="L690" i="4"/>
  <c r="L562" i="4"/>
  <c r="L498" i="4"/>
  <c r="L418" i="4"/>
  <c r="L322" i="4"/>
  <c r="L785" i="4"/>
  <c r="L757" i="4"/>
  <c r="L733" i="4"/>
  <c r="L705" i="4"/>
  <c r="L671" i="4"/>
  <c r="L607" i="4"/>
  <c r="L519" i="4"/>
  <c r="L459" i="4"/>
  <c r="L399" i="4"/>
  <c r="L339" i="4"/>
  <c r="L275" i="4"/>
  <c r="L239" i="4"/>
  <c r="L211" i="4"/>
  <c r="L195" i="4"/>
  <c r="L179" i="4"/>
  <c r="L163" i="4"/>
  <c r="L147" i="4"/>
  <c r="L131" i="4"/>
  <c r="L115" i="4"/>
  <c r="L99" i="4"/>
  <c r="L83" i="4"/>
  <c r="L67" i="4"/>
  <c r="L119" i="4"/>
  <c r="L55" i="4"/>
  <c r="L23" i="4"/>
  <c r="L665" i="4"/>
  <c r="L633" i="4"/>
  <c r="L593" i="4"/>
  <c r="L561" i="4"/>
  <c r="L533" i="4"/>
  <c r="L497" i="4"/>
  <c r="L433" i="4"/>
  <c r="L377" i="4"/>
  <c r="L313" i="4"/>
  <c r="L249" i="4"/>
  <c r="L185" i="4"/>
  <c r="L129" i="4"/>
  <c r="L65" i="4"/>
  <c r="L661" i="4"/>
  <c r="L629" i="4"/>
  <c r="L605" i="4"/>
  <c r="L573" i="4"/>
  <c r="L537" i="4"/>
  <c r="L509" i="4"/>
  <c r="L465" i="4"/>
  <c r="L409" i="4"/>
  <c r="L337" i="4"/>
  <c r="L273" i="4"/>
  <c r="L209" i="4"/>
  <c r="L137" i="4"/>
  <c r="L73" i="4"/>
  <c r="L17" i="4"/>
  <c r="L796" i="4"/>
  <c r="L780" i="4"/>
  <c r="L776" i="4"/>
  <c r="L760" i="4"/>
  <c r="L167" i="4"/>
  <c r="L103" i="4"/>
  <c r="L51" i="4"/>
  <c r="L19" i="4"/>
  <c r="L657" i="4"/>
  <c r="L625" i="4"/>
  <c r="L585" i="4"/>
  <c r="L557" i="4"/>
  <c r="L525" i="4"/>
  <c r="L481" i="4"/>
  <c r="L425" i="4"/>
  <c r="L353" i="4"/>
  <c r="L289" i="4"/>
  <c r="L233" i="4"/>
  <c r="L169" i="4"/>
  <c r="L113" i="4"/>
  <c r="L49" i="4"/>
  <c r="L653" i="4"/>
  <c r="L621" i="4"/>
  <c r="L597" i="4"/>
  <c r="L565" i="4"/>
  <c r="L529" i="4"/>
  <c r="L501" i="4"/>
  <c r="L457" i="4"/>
  <c r="L385" i="4"/>
  <c r="L329" i="4"/>
  <c r="L257" i="4"/>
  <c r="L193" i="4"/>
  <c r="L121" i="4"/>
  <c r="L57" i="4"/>
  <c r="L792" i="4"/>
  <c r="L772" i="4"/>
  <c r="L756" i="4"/>
  <c r="L740" i="4"/>
  <c r="L151" i="4"/>
  <c r="L87" i="4"/>
  <c r="L39" i="4"/>
  <c r="L7" i="4"/>
  <c r="L649" i="4"/>
  <c r="L613" i="4"/>
  <c r="L577" i="4"/>
  <c r="L549" i="4"/>
  <c r="L513" i="4"/>
  <c r="L461" i="4"/>
  <c r="L401" i="4"/>
  <c r="L345" i="4"/>
  <c r="L281" i="4"/>
  <c r="L217" i="4"/>
  <c r="L153" i="4"/>
  <c r="L97" i="4"/>
  <c r="L33" i="4"/>
  <c r="L681" i="4"/>
  <c r="L645" i="4"/>
  <c r="L617" i="4"/>
  <c r="L589" i="4"/>
  <c r="L553" i="4"/>
  <c r="L521" i="4"/>
  <c r="L489" i="4"/>
  <c r="L441" i="4"/>
  <c r="L369" i="4"/>
  <c r="L305" i="4"/>
  <c r="L241" i="4"/>
  <c r="L177" i="4"/>
  <c r="L105" i="4"/>
  <c r="L41" i="4"/>
  <c r="L788" i="4"/>
  <c r="L801" i="4"/>
  <c r="L135" i="4"/>
  <c r="L71" i="4"/>
  <c r="L35" i="4"/>
  <c r="L677" i="4"/>
  <c r="L641" i="4"/>
  <c r="L601" i="4"/>
  <c r="L569" i="4"/>
  <c r="L541" i="4"/>
  <c r="L505" i="4"/>
  <c r="L449" i="4"/>
  <c r="L393" i="4"/>
  <c r="L321" i="4"/>
  <c r="L265" i="4"/>
  <c r="L201" i="4"/>
  <c r="L145" i="4"/>
  <c r="L81" i="4"/>
  <c r="L9" i="4"/>
  <c r="L673" i="4"/>
  <c r="L637" i="4"/>
  <c r="L609" i="4"/>
  <c r="L581" i="4"/>
  <c r="L545" i="4"/>
  <c r="L517" i="4"/>
  <c r="L473" i="4"/>
  <c r="L417" i="4"/>
  <c r="L361" i="4"/>
  <c r="L297" i="4"/>
  <c r="L225" i="4"/>
  <c r="L161" i="4"/>
  <c r="L89" i="4"/>
  <c r="L25" i="4"/>
  <c r="L20" i="4"/>
  <c r="L36" i="4"/>
  <c r="L52" i="4"/>
  <c r="L68" i="4"/>
  <c r="L84" i="4"/>
  <c r="L100" i="4"/>
  <c r="L116" i="4"/>
  <c r="L132" i="4"/>
  <c r="L148" i="4"/>
  <c r="L164" i="4"/>
  <c r="L180" i="4"/>
  <c r="L196" i="4"/>
  <c r="L212" i="4"/>
  <c r="L228" i="4"/>
  <c r="L244" i="4"/>
  <c r="L260" i="4"/>
  <c r="L284" i="4"/>
  <c r="L304" i="4"/>
  <c r="L324" i="4"/>
  <c r="L344" i="4"/>
  <c r="L364" i="4"/>
  <c r="L388" i="4"/>
  <c r="L404" i="4"/>
  <c r="L428" i="4"/>
  <c r="L448" i="4"/>
  <c r="B30" i="5"/>
  <c r="B54" i="5"/>
  <c r="B78" i="5"/>
  <c r="L819" i="4"/>
  <c r="B37" i="5"/>
  <c r="B61" i="5"/>
  <c r="B85" i="5"/>
  <c r="L809" i="4"/>
  <c r="B105" i="5"/>
  <c r="B129" i="5"/>
  <c r="B153" i="5"/>
  <c r="B177" i="5"/>
  <c r="B201" i="5"/>
  <c r="B225" i="5"/>
  <c r="B249" i="5"/>
  <c r="B273" i="5"/>
  <c r="B297" i="5"/>
  <c r="B321" i="5"/>
  <c r="B345" i="5"/>
  <c r="B90" i="5"/>
  <c r="B114" i="5"/>
  <c r="B138" i="5"/>
  <c r="B162" i="5"/>
  <c r="B186" i="5"/>
  <c r="B210" i="5"/>
  <c r="B234" i="5"/>
  <c r="B258" i="5"/>
  <c r="B282" i="5"/>
  <c r="B306" i="5"/>
  <c r="B330" i="5"/>
  <c r="B354" i="5"/>
  <c r="B378" i="5"/>
  <c r="B799" i="5"/>
  <c r="B43" i="5"/>
  <c r="B67" i="5"/>
  <c r="B91" i="5"/>
  <c r="B115" i="5"/>
  <c r="B139" i="5"/>
  <c r="B163" i="5"/>
  <c r="B187" i="5"/>
  <c r="B211" i="5"/>
  <c r="B235" i="5"/>
  <c r="B259" i="5"/>
  <c r="B283" i="5"/>
  <c r="B307" i="5"/>
  <c r="B331" i="5"/>
  <c r="B355" i="5"/>
  <c r="B379" i="5"/>
  <c r="B403" i="5"/>
  <c r="B427" i="5"/>
  <c r="B451" i="5"/>
  <c r="B467" i="5"/>
  <c r="B483" i="5"/>
  <c r="B499" i="5"/>
  <c r="B515" i="5"/>
  <c r="B531" i="5"/>
  <c r="B547" i="5"/>
  <c r="B563" i="5"/>
  <c r="B579" i="5"/>
  <c r="B595" i="5"/>
  <c r="B611" i="5"/>
  <c r="B627" i="5"/>
  <c r="B643" i="5"/>
  <c r="B659" i="5"/>
  <c r="B675" i="5"/>
  <c r="B691" i="5"/>
  <c r="B707" i="5"/>
  <c r="B723" i="5"/>
  <c r="B739" i="5"/>
  <c r="B755" i="5"/>
  <c r="B771" i="5"/>
  <c r="B787" i="5"/>
  <c r="L276" i="4"/>
  <c r="L420" i="4"/>
  <c r="L472" i="4"/>
  <c r="L488" i="4"/>
  <c r="L504" i="4"/>
  <c r="L520" i="4"/>
  <c r="L536" i="4"/>
  <c r="L552" i="4"/>
  <c r="L568" i="4"/>
  <c r="L584" i="4"/>
  <c r="L600" i="4"/>
  <c r="L616" i="4"/>
  <c r="L632" i="4"/>
  <c r="L648" i="4"/>
  <c r="L664" i="4"/>
  <c r="L680" i="4"/>
  <c r="L696" i="4"/>
  <c r="L712" i="4"/>
  <c r="L728" i="4"/>
  <c r="L748" i="4"/>
  <c r="L818" i="4"/>
  <c r="B409" i="5"/>
  <c r="B457" i="5"/>
  <c r="B489" i="5"/>
  <c r="B521" i="5"/>
  <c r="B553" i="5"/>
  <c r="B601" i="5"/>
  <c r="B665" i="5"/>
  <c r="B729" i="5"/>
  <c r="B793" i="5"/>
  <c r="B462" i="5"/>
  <c r="B526" i="5"/>
  <c r="B590" i="5"/>
  <c r="B654" i="5"/>
  <c r="B718" i="5"/>
  <c r="B782" i="5"/>
  <c r="D77" i="5"/>
  <c r="B5" i="9"/>
  <c r="D2" i="15" s="1"/>
  <c r="B6" i="6"/>
  <c r="B5" i="6"/>
  <c r="B7" i="6"/>
  <c r="B8" i="6"/>
  <c r="B2" i="6"/>
  <c r="C8" i="5"/>
  <c r="C9" i="5"/>
  <c r="C10" i="5"/>
  <c r="C11" i="5"/>
  <c r="C12" i="5"/>
  <c r="C13" i="5"/>
  <c r="C14" i="5"/>
  <c r="C15" i="5"/>
  <c r="C16" i="5"/>
  <c r="C17" i="5"/>
  <c r="C18" i="5"/>
  <c r="C19" i="5"/>
  <c r="B2" i="7"/>
  <c r="B3" i="7"/>
  <c r="B4" i="7"/>
  <c r="M77" i="1"/>
  <c r="M149" i="1"/>
  <c r="M45" i="1"/>
  <c r="M125" i="1"/>
  <c r="M133" i="1"/>
  <c r="M69" i="1"/>
  <c r="M141" i="1"/>
  <c r="M85" i="1"/>
  <c r="M37" i="1"/>
  <c r="M117" i="1"/>
  <c r="M101" i="1"/>
  <c r="M61" i="1"/>
  <c r="M532" i="1"/>
  <c r="M435" i="1"/>
  <c r="M460" i="1"/>
  <c r="M476" i="1"/>
  <c r="M548" i="1"/>
  <c r="M207" i="1"/>
  <c r="M23" i="1"/>
  <c r="M473" i="1"/>
  <c r="M20" i="1"/>
  <c r="M595" i="1"/>
  <c r="M635" i="1"/>
  <c r="M547" i="1"/>
  <c r="M801" i="1"/>
  <c r="M56" i="1"/>
  <c r="M639" i="1"/>
  <c r="M771" i="1"/>
  <c r="M468" i="1"/>
  <c r="M32" i="1"/>
  <c r="M492" i="1"/>
  <c r="M556" i="1"/>
  <c r="M600" i="1"/>
  <c r="M31" i="1"/>
  <c r="M551" i="1"/>
  <c r="M42" i="1"/>
  <c r="M78" i="1"/>
  <c r="M350" i="1"/>
  <c r="M108" i="1"/>
  <c r="M54" i="1"/>
  <c r="M168" i="1"/>
  <c r="M732" i="1"/>
  <c r="M249" i="1"/>
  <c r="M540" i="1"/>
  <c r="M559" i="1"/>
  <c r="M676" i="1"/>
  <c r="M500" i="1"/>
  <c r="M564" i="1"/>
  <c r="M756" i="1"/>
  <c r="M103" i="1"/>
  <c r="M33" i="1"/>
  <c r="M75" i="1"/>
  <c r="M310" i="1"/>
  <c r="M281" i="1"/>
  <c r="M172" i="1"/>
  <c r="M174" i="1"/>
  <c r="M288" i="1"/>
  <c r="M419" i="1"/>
  <c r="M444" i="1"/>
  <c r="M271" i="1"/>
  <c r="M507" i="1"/>
  <c r="M508" i="1"/>
  <c r="M572" i="1"/>
  <c r="M5" i="1"/>
  <c r="M407" i="1"/>
  <c r="M652" i="1"/>
  <c r="M155" i="1"/>
  <c r="M630" i="1"/>
  <c r="M545" i="1"/>
  <c r="M236" i="1"/>
  <c r="M318" i="1"/>
  <c r="M376" i="1"/>
  <c r="M607" i="1"/>
  <c r="M670" i="1"/>
  <c r="M742" i="1"/>
  <c r="M516" i="1"/>
  <c r="M580" i="1"/>
  <c r="M255" i="1"/>
  <c r="M479" i="1"/>
  <c r="M780" i="1"/>
  <c r="M259" i="1"/>
  <c r="M727" i="1"/>
  <c r="M560" i="1"/>
  <c r="M308" i="1"/>
  <c r="M438" i="1"/>
  <c r="M512" i="1"/>
  <c r="M119" i="1"/>
  <c r="M767" i="1"/>
  <c r="M163" i="1"/>
  <c r="M524" i="1"/>
  <c r="M41" i="1"/>
  <c r="M503" i="1"/>
  <c r="M631" i="1"/>
  <c r="M671" i="1"/>
  <c r="M339" i="1"/>
  <c r="M675" i="1"/>
  <c r="M264" i="1"/>
  <c r="M380" i="1"/>
  <c r="M550" i="1"/>
  <c r="M624" i="1"/>
  <c r="M131" i="1"/>
  <c r="M211" i="1"/>
  <c r="M315" i="1"/>
  <c r="M387" i="1"/>
  <c r="M483" i="1"/>
  <c r="M563" i="1"/>
  <c r="M38" i="1"/>
  <c r="M222" i="1"/>
  <c r="M446" i="1"/>
  <c r="M107" i="1"/>
  <c r="M651" i="1"/>
  <c r="M731" i="1"/>
  <c r="M11" i="1"/>
  <c r="M129" i="1"/>
  <c r="M584" i="1"/>
  <c r="M97" i="1"/>
  <c r="M417" i="1"/>
  <c r="M177" i="1"/>
  <c r="M326" i="1"/>
  <c r="M57" i="1"/>
  <c r="M369" i="1"/>
  <c r="M379" i="1"/>
  <c r="M84" i="1"/>
  <c r="M148" i="1"/>
  <c r="M212" i="1"/>
  <c r="M284" i="1"/>
  <c r="M348" i="1"/>
  <c r="M420" i="1"/>
  <c r="M636" i="1"/>
  <c r="M764" i="1"/>
  <c r="M665" i="1"/>
  <c r="M126" i="1"/>
  <c r="M262" i="1"/>
  <c r="M390" i="1"/>
  <c r="M494" i="1"/>
  <c r="M614" i="1"/>
  <c r="M710" i="1"/>
  <c r="M782" i="1"/>
  <c r="M128" i="1"/>
  <c r="M216" i="1"/>
  <c r="M344" i="1"/>
  <c r="M456" i="1"/>
  <c r="M576" i="1"/>
  <c r="M696" i="1"/>
  <c r="M672" i="1"/>
  <c r="M74" i="1"/>
  <c r="M146" i="1"/>
  <c r="M218" i="1"/>
  <c r="M290" i="1"/>
  <c r="M370" i="1"/>
  <c r="M442" i="1"/>
  <c r="M514" i="1"/>
  <c r="M578" i="1"/>
  <c r="M642" i="1"/>
  <c r="M730" i="1"/>
  <c r="M48" i="1"/>
  <c r="M268" i="1"/>
  <c r="M486" i="1"/>
  <c r="M121" i="1"/>
  <c r="M353" i="1"/>
  <c r="M593" i="1"/>
  <c r="M753" i="1"/>
  <c r="M401" i="1"/>
  <c r="M745" i="1"/>
  <c r="M199" i="1"/>
  <c r="M359" i="1"/>
  <c r="M511" i="1"/>
  <c r="M768" i="1"/>
  <c r="M181" i="1"/>
  <c r="M245" i="1"/>
  <c r="M309" i="1"/>
  <c r="M389" i="1"/>
  <c r="M469" i="1"/>
  <c r="M533" i="1"/>
  <c r="M621" i="1"/>
  <c r="M701" i="1"/>
  <c r="M765" i="1"/>
  <c r="M151" i="1"/>
  <c r="M311" i="1"/>
  <c r="M655" i="1"/>
  <c r="M314" i="1"/>
  <c r="M786" i="1"/>
  <c r="M265" i="1"/>
  <c r="M597" i="1"/>
  <c r="M663" i="1"/>
  <c r="M628" i="1"/>
  <c r="M351" i="1"/>
  <c r="M7" i="1"/>
  <c r="M191" i="1"/>
  <c r="M668" i="1"/>
  <c r="M25" i="1"/>
  <c r="M596" i="1"/>
  <c r="M679" i="1"/>
  <c r="M22" i="1"/>
  <c r="M623" i="1"/>
  <c r="M51" i="1"/>
  <c r="M139" i="1"/>
  <c r="M243" i="1"/>
  <c r="M323" i="1"/>
  <c r="M395" i="1"/>
  <c r="M491" i="1"/>
  <c r="M571" i="1"/>
  <c r="M62" i="1"/>
  <c r="M246" i="1"/>
  <c r="M526" i="1"/>
  <c r="M411" i="1"/>
  <c r="M659" i="1"/>
  <c r="M747" i="1"/>
  <c r="M19" i="1"/>
  <c r="M13" i="1"/>
  <c r="M510" i="1"/>
  <c r="M153" i="1"/>
  <c r="M481" i="1"/>
  <c r="M432" i="1"/>
  <c r="M17" i="1"/>
  <c r="M185" i="1"/>
  <c r="M35" i="1"/>
  <c r="M443" i="1"/>
  <c r="M92" i="1"/>
  <c r="M156" i="1"/>
  <c r="M220" i="1"/>
  <c r="M292" i="1"/>
  <c r="M356" i="1"/>
  <c r="M428" i="1"/>
  <c r="M644" i="1"/>
  <c r="M772" i="1"/>
  <c r="M591" i="1"/>
  <c r="M134" i="1"/>
  <c r="M278" i="1"/>
  <c r="M422" i="1"/>
  <c r="M518" i="1"/>
  <c r="M654" i="1"/>
  <c r="M718" i="1"/>
  <c r="M790" i="1"/>
  <c r="M136" i="1"/>
  <c r="M248" i="1"/>
  <c r="M352" i="1"/>
  <c r="M464" i="1"/>
  <c r="M592" i="1"/>
  <c r="M704" i="1"/>
  <c r="M113" i="1"/>
  <c r="M82" i="1"/>
  <c r="M154" i="1"/>
  <c r="M226" i="1"/>
  <c r="M298" i="1"/>
  <c r="M386" i="1"/>
  <c r="M450" i="1"/>
  <c r="M522" i="1"/>
  <c r="M586" i="1"/>
  <c r="M658" i="1"/>
  <c r="M738" i="1"/>
  <c r="M80" i="1"/>
  <c r="M748" i="1"/>
  <c r="M534" i="1"/>
  <c r="M137" i="1"/>
  <c r="M393" i="1"/>
  <c r="M601" i="1"/>
  <c r="M761" i="1"/>
  <c r="M433" i="1"/>
  <c r="M769" i="1"/>
  <c r="M215" i="1"/>
  <c r="M367" i="1"/>
  <c r="M527" i="1"/>
  <c r="M232" i="1"/>
  <c r="M189" i="1"/>
  <c r="M253" i="1"/>
  <c r="M317" i="1"/>
  <c r="M397" i="1"/>
  <c r="M477" i="1"/>
  <c r="M541" i="1"/>
  <c r="M629" i="1"/>
  <c r="M709" i="1"/>
  <c r="M773" i="1"/>
  <c r="M159" i="1"/>
  <c r="M335" i="1"/>
  <c r="M687" i="1"/>
  <c r="M354" i="1"/>
  <c r="M794" i="1"/>
  <c r="M329" i="1"/>
  <c r="M613" i="1"/>
  <c r="M109" i="1"/>
  <c r="M692" i="1"/>
  <c r="M385" i="1"/>
  <c r="M15" i="1"/>
  <c r="M375" i="1"/>
  <c r="M695" i="1"/>
  <c r="M441" i="1"/>
  <c r="M788" i="1"/>
  <c r="M716" i="1"/>
  <c r="M6" i="1"/>
  <c r="M711" i="1"/>
  <c r="M59" i="1"/>
  <c r="M147" i="1"/>
  <c r="M251" i="1"/>
  <c r="M331" i="1"/>
  <c r="M403" i="1"/>
  <c r="M499" i="1"/>
  <c r="M587" i="1"/>
  <c r="M70" i="1"/>
  <c r="M286" i="1"/>
  <c r="M574" i="1"/>
  <c r="M431" i="1"/>
  <c r="M667" i="1"/>
  <c r="M763" i="1"/>
  <c r="M227" i="1"/>
  <c r="M21" i="1"/>
  <c r="M502" i="1"/>
  <c r="M225" i="1"/>
  <c r="M489" i="1"/>
  <c r="M616" i="1"/>
  <c r="M72" i="1"/>
  <c r="M217" i="1"/>
  <c r="M43" i="1"/>
  <c r="M459" i="1"/>
  <c r="M100" i="1"/>
  <c r="M164" i="1"/>
  <c r="M228" i="1"/>
  <c r="M300" i="1"/>
  <c r="M372" i="1"/>
  <c r="M436" i="1"/>
  <c r="M660" i="1"/>
  <c r="M796" i="1"/>
  <c r="M297" i="1"/>
  <c r="M166" i="1"/>
  <c r="M302" i="1"/>
  <c r="M430" i="1"/>
  <c r="M542" i="1"/>
  <c r="M662" i="1"/>
  <c r="M726" i="1"/>
  <c r="M798" i="1"/>
  <c r="M144" i="1"/>
  <c r="M256" i="1"/>
  <c r="M360" i="1"/>
  <c r="M472" i="1"/>
  <c r="M608" i="1"/>
  <c r="M728" i="1"/>
  <c r="M83" i="1"/>
  <c r="M90" i="1"/>
  <c r="M162" i="1"/>
  <c r="M234" i="1"/>
  <c r="M306" i="1"/>
  <c r="M394" i="1"/>
  <c r="M458" i="1"/>
  <c r="M530" i="1"/>
  <c r="M594" i="1"/>
  <c r="M666" i="1"/>
  <c r="M754" i="1"/>
  <c r="M240" i="1"/>
  <c r="M209" i="1"/>
  <c r="M566" i="1"/>
  <c r="M145" i="1"/>
  <c r="M425" i="1"/>
  <c r="M649" i="1"/>
  <c r="M777" i="1"/>
  <c r="M457" i="1"/>
  <c r="M206" i="1"/>
  <c r="M239" i="1"/>
  <c r="M391" i="1"/>
  <c r="M615" i="1"/>
  <c r="M208" i="1"/>
  <c r="M197" i="1"/>
  <c r="M261" i="1"/>
  <c r="M341" i="1"/>
  <c r="M405" i="1"/>
  <c r="M485" i="1"/>
  <c r="M549" i="1"/>
  <c r="M637" i="1"/>
  <c r="M717" i="1"/>
  <c r="M781" i="1"/>
  <c r="M175" i="1"/>
  <c r="M415" i="1"/>
  <c r="M719" i="1"/>
  <c r="M474" i="1"/>
  <c r="M480" i="1"/>
  <c r="M497" i="1"/>
  <c r="M677" i="1"/>
  <c r="M325" i="1"/>
  <c r="M744" i="1"/>
  <c r="M739" i="1"/>
  <c r="M98" i="1"/>
  <c r="M178" i="1"/>
  <c r="M242" i="1"/>
  <c r="M322" i="1"/>
  <c r="M402" i="1"/>
  <c r="M466" i="1"/>
  <c r="M538" i="1"/>
  <c r="M602" i="1"/>
  <c r="M674" i="1"/>
  <c r="M762" i="1"/>
  <c r="M272" i="1"/>
  <c r="M46" i="1"/>
  <c r="M590" i="1"/>
  <c r="M161" i="1"/>
  <c r="M449" i="1"/>
  <c r="M673" i="1"/>
  <c r="M785" i="1"/>
  <c r="M529" i="1"/>
  <c r="M63" i="1"/>
  <c r="M287" i="1"/>
  <c r="M399" i="1"/>
  <c r="M647" i="1"/>
  <c r="M53" i="1"/>
  <c r="M205" i="1"/>
  <c r="M269" i="1"/>
  <c r="M349" i="1"/>
  <c r="M413" i="1"/>
  <c r="M493" i="1"/>
  <c r="M557" i="1"/>
  <c r="M645" i="1"/>
  <c r="M725" i="1"/>
  <c r="M789" i="1"/>
  <c r="M223" i="1"/>
  <c r="M463" i="1"/>
  <c r="M791" i="1"/>
  <c r="M650" i="1"/>
  <c r="M73" i="1"/>
  <c r="M521" i="1"/>
  <c r="M693" i="1"/>
  <c r="M333" i="1"/>
  <c r="M759" i="1"/>
  <c r="M553" i="1"/>
  <c r="M193" i="1"/>
  <c r="M10" i="1"/>
  <c r="M3" i="1"/>
  <c r="M28" i="1"/>
  <c r="M91" i="1"/>
  <c r="M171" i="1"/>
  <c r="M275" i="1"/>
  <c r="M347" i="1"/>
  <c r="M427" i="1"/>
  <c r="M515" i="1"/>
  <c r="M603" i="1"/>
  <c r="M86" i="1"/>
  <c r="M342" i="1"/>
  <c r="M513" i="1"/>
  <c r="M751" i="1"/>
  <c r="M683" i="1"/>
  <c r="M779" i="1"/>
  <c r="M699" i="1"/>
  <c r="M49" i="1"/>
  <c r="M680" i="1"/>
  <c r="M289" i="1"/>
  <c r="M609" i="1"/>
  <c r="M4" i="1"/>
  <c r="M368" i="1"/>
  <c r="M561" i="1"/>
  <c r="M187" i="1"/>
  <c r="M36" i="1"/>
  <c r="M116" i="1"/>
  <c r="M180" i="1"/>
  <c r="M244" i="1"/>
  <c r="M316" i="1"/>
  <c r="M388" i="1"/>
  <c r="M452" i="1"/>
  <c r="M684" i="1"/>
  <c r="M312" i="1"/>
  <c r="M94" i="1"/>
  <c r="M190" i="1"/>
  <c r="M334" i="1"/>
  <c r="M454" i="1"/>
  <c r="M558" i="1"/>
  <c r="M678" i="1"/>
  <c r="M750" i="1"/>
  <c r="M64" i="1"/>
  <c r="M176" i="1"/>
  <c r="M296" i="1"/>
  <c r="M384" i="1"/>
  <c r="M528" i="1"/>
  <c r="M632" i="1"/>
  <c r="M776" i="1"/>
  <c r="M691" i="1"/>
  <c r="M106" i="1"/>
  <c r="M186" i="1"/>
  <c r="M258" i="1"/>
  <c r="M330" i="1"/>
  <c r="M410" i="1"/>
  <c r="M482" i="1"/>
  <c r="M546" i="1"/>
  <c r="M610" i="1"/>
  <c r="M682" i="1"/>
  <c r="M68" i="1"/>
  <c r="M400" i="1"/>
  <c r="M150" i="1"/>
  <c r="M622" i="1"/>
  <c r="M201" i="1"/>
  <c r="M465" i="1"/>
  <c r="M689" i="1"/>
  <c r="M241" i="1"/>
  <c r="M577" i="1"/>
  <c r="M71" i="1"/>
  <c r="M295" i="1"/>
  <c r="M423" i="1"/>
  <c r="M743" i="1"/>
  <c r="M93" i="1"/>
  <c r="M213" i="1"/>
  <c r="M277" i="1"/>
  <c r="M357" i="1"/>
  <c r="M421" i="1"/>
  <c r="M501" i="1"/>
  <c r="M565" i="1"/>
  <c r="M653" i="1"/>
  <c r="M733" i="1"/>
  <c r="M797" i="1"/>
  <c r="M231" i="1"/>
  <c r="M543" i="1"/>
  <c r="M66" i="1"/>
  <c r="M722" i="1"/>
  <c r="M81" i="1"/>
  <c r="M569" i="1"/>
  <c r="M95" i="1"/>
  <c r="M581" i="1"/>
  <c r="M29" i="1"/>
  <c r="M648" i="1"/>
  <c r="M9" i="1"/>
  <c r="M504" i="1"/>
  <c r="M8" i="1"/>
  <c r="M104" i="1"/>
  <c r="M447" i="1"/>
  <c r="M26" i="1"/>
  <c r="M27" i="1"/>
  <c r="M735" i="1"/>
  <c r="M99" i="1"/>
  <c r="M179" i="1"/>
  <c r="M283" i="1"/>
  <c r="M355" i="1"/>
  <c r="M451" i="1"/>
  <c r="M523" i="1"/>
  <c r="M611" i="1"/>
  <c r="M158" i="1"/>
  <c r="M398" i="1"/>
  <c r="M681" i="1"/>
  <c r="M795" i="1"/>
  <c r="M707" i="1"/>
  <c r="M787" i="1"/>
  <c r="M755" i="1"/>
  <c r="M520" i="1"/>
  <c r="M736" i="1"/>
  <c r="M313" i="1"/>
  <c r="M633" i="1"/>
  <c r="M280" i="1"/>
  <c r="M488" i="1"/>
  <c r="M617" i="1"/>
  <c r="M235" i="1"/>
  <c r="M44" i="1"/>
  <c r="M124" i="1"/>
  <c r="M188" i="1"/>
  <c r="M252" i="1"/>
  <c r="M324" i="1"/>
  <c r="M396" i="1"/>
  <c r="M484" i="1"/>
  <c r="M700" i="1"/>
  <c r="M496" i="1"/>
  <c r="M102" i="1"/>
  <c r="M230" i="1"/>
  <c r="M366" i="1"/>
  <c r="M462" i="1"/>
  <c r="M582" i="1"/>
  <c r="M686" i="1"/>
  <c r="M758" i="1"/>
  <c r="M96" i="1"/>
  <c r="M184" i="1"/>
  <c r="M304" i="1"/>
  <c r="M392" i="1"/>
  <c r="M536" i="1"/>
  <c r="M640" i="1"/>
  <c r="M784" i="1"/>
  <c r="M160" i="1"/>
  <c r="M114" i="1"/>
  <c r="M194" i="1"/>
  <c r="M266" i="1"/>
  <c r="M338" i="1"/>
  <c r="M418" i="1"/>
  <c r="M490" i="1"/>
  <c r="M554" i="1"/>
  <c r="M618" i="1"/>
  <c r="M690" i="1"/>
  <c r="M364" i="1"/>
  <c r="M712" i="1"/>
  <c r="M182" i="1"/>
  <c r="M638" i="1"/>
  <c r="M321" i="1"/>
  <c r="M505" i="1"/>
  <c r="M713" i="1"/>
  <c r="M273" i="1"/>
  <c r="M625" i="1"/>
  <c r="M111" i="1"/>
  <c r="M319" i="1"/>
  <c r="M471" i="1"/>
  <c r="M783" i="1"/>
  <c r="M157" i="1"/>
  <c r="M221" i="1"/>
  <c r="M285" i="1"/>
  <c r="M365" i="1"/>
  <c r="M437" i="1"/>
  <c r="M509" i="1"/>
  <c r="M573" i="1"/>
  <c r="M661" i="1"/>
  <c r="M741" i="1"/>
  <c r="M55" i="1"/>
  <c r="M247" i="1"/>
  <c r="M567" i="1"/>
  <c r="M138" i="1"/>
  <c r="M746" i="1"/>
  <c r="M105" i="1"/>
  <c r="M793" i="1"/>
  <c r="M383" i="1"/>
  <c r="M279" i="1"/>
  <c r="M88" i="1"/>
  <c r="M703" i="1"/>
  <c r="M47" i="1"/>
  <c r="M575" i="1"/>
  <c r="M16" i="1"/>
  <c r="M257" i="1"/>
  <c r="M519" i="1"/>
  <c r="M775" i="1"/>
  <c r="M30" i="1"/>
  <c r="M115" i="1"/>
  <c r="M195" i="1"/>
  <c r="M291" i="1"/>
  <c r="M363" i="1"/>
  <c r="M467" i="1"/>
  <c r="M539" i="1"/>
  <c r="M619" i="1"/>
  <c r="M198" i="1"/>
  <c r="M406" i="1"/>
  <c r="M219" i="1"/>
  <c r="M579" i="1"/>
  <c r="M715" i="1"/>
  <c r="M328" i="1"/>
  <c r="M12" i="1"/>
  <c r="M568" i="1"/>
  <c r="M760" i="1"/>
  <c r="M377" i="1"/>
  <c r="M641" i="1"/>
  <c r="M294" i="1"/>
  <c r="M720" i="1"/>
  <c r="M697" i="1"/>
  <c r="M267" i="1"/>
  <c r="M52" i="1"/>
  <c r="M132" i="1"/>
  <c r="M196" i="1"/>
  <c r="M260" i="1"/>
  <c r="M332" i="1"/>
  <c r="M404" i="1"/>
  <c r="M612" i="1"/>
  <c r="M708" i="1"/>
  <c r="M664" i="1"/>
  <c r="M110" i="1"/>
  <c r="M238" i="1"/>
  <c r="M374" i="1"/>
  <c r="M470" i="1"/>
  <c r="M598" i="1"/>
  <c r="M694" i="1"/>
  <c r="M766" i="1"/>
  <c r="M112" i="1"/>
  <c r="M192" i="1"/>
  <c r="M320" i="1"/>
  <c r="M416" i="1"/>
  <c r="M544" i="1"/>
  <c r="M656" i="1"/>
  <c r="M800" i="1"/>
  <c r="M50" i="1"/>
  <c r="M122" i="1"/>
  <c r="M202" i="1"/>
  <c r="M274" i="1"/>
  <c r="M346" i="1"/>
  <c r="M426" i="1"/>
  <c r="M498" i="1"/>
  <c r="M562" i="1"/>
  <c r="M626" i="1"/>
  <c r="M698" i="1"/>
  <c r="M378" i="1"/>
  <c r="M752" i="1"/>
  <c r="M270" i="1"/>
  <c r="M646" i="1"/>
  <c r="M337" i="1"/>
  <c r="M537" i="1"/>
  <c r="M729" i="1"/>
  <c r="M305" i="1"/>
  <c r="M657" i="1"/>
  <c r="M135" i="1"/>
  <c r="M327" i="1"/>
  <c r="M487" i="1"/>
  <c r="M799" i="1"/>
  <c r="M165" i="1"/>
  <c r="M229" i="1"/>
  <c r="M293" i="1"/>
  <c r="M373" i="1"/>
  <c r="M445" i="1"/>
  <c r="M517" i="1"/>
  <c r="M589" i="1"/>
  <c r="M669" i="1"/>
  <c r="M749" i="1"/>
  <c r="M87" i="1"/>
  <c r="M263" i="1"/>
  <c r="M583" i="1"/>
  <c r="M170" i="1"/>
  <c r="M770" i="1"/>
  <c r="M169" i="1"/>
  <c r="M429" i="1"/>
  <c r="M143" i="1"/>
  <c r="M706" i="1"/>
  <c r="M439" i="1"/>
  <c r="M167" i="1"/>
  <c r="M740" i="1"/>
  <c r="M79" i="1"/>
  <c r="M604" i="1"/>
  <c r="M24" i="1"/>
  <c r="M408" i="1"/>
  <c r="M588" i="1"/>
  <c r="M455" i="1"/>
  <c r="M14" i="1"/>
  <c r="M34" i="1"/>
  <c r="M123" i="1"/>
  <c r="M203" i="1"/>
  <c r="M307" i="1"/>
  <c r="M371" i="1"/>
  <c r="M475" i="1"/>
  <c r="M555" i="1"/>
  <c r="M627" i="1"/>
  <c r="M214" i="1"/>
  <c r="M414" i="1"/>
  <c r="M18" i="1"/>
  <c r="M643" i="1"/>
  <c r="M723" i="1"/>
  <c r="M531" i="1"/>
  <c r="M67" i="1"/>
  <c r="M142" i="1"/>
  <c r="M89" i="1"/>
  <c r="M409" i="1"/>
  <c r="M705" i="1"/>
  <c r="M424" i="1"/>
  <c r="M440" i="1"/>
  <c r="M65" i="1"/>
  <c r="M299" i="1"/>
  <c r="M60" i="1"/>
  <c r="M140" i="1"/>
  <c r="M204" i="1"/>
  <c r="M276" i="1"/>
  <c r="M340" i="1"/>
  <c r="M412" i="1"/>
  <c r="M620" i="1"/>
  <c r="M724" i="1"/>
  <c r="M792" i="1"/>
  <c r="M118" i="1"/>
  <c r="M254" i="1"/>
  <c r="M382" i="1"/>
  <c r="M478" i="1"/>
  <c r="M606" i="1"/>
  <c r="M702" i="1"/>
  <c r="M774" i="1"/>
  <c r="M120" i="1"/>
  <c r="M200" i="1"/>
  <c r="M336" i="1"/>
  <c r="M448" i="1"/>
  <c r="M552" i="1"/>
  <c r="M688" i="1"/>
  <c r="M224" i="1"/>
  <c r="M58" i="1"/>
  <c r="M130" i="1"/>
  <c r="M210" i="1"/>
  <c r="M282" i="1"/>
  <c r="M362" i="1"/>
  <c r="M434" i="1"/>
  <c r="M506" i="1"/>
  <c r="M570" i="1"/>
  <c r="M634" i="1"/>
  <c r="M714" i="1"/>
  <c r="M40" i="1"/>
  <c r="M76" i="1"/>
  <c r="M358" i="1"/>
  <c r="M734" i="1"/>
  <c r="M345" i="1"/>
  <c r="M585" i="1"/>
  <c r="M737" i="1"/>
  <c r="M361" i="1"/>
  <c r="M721" i="1"/>
  <c r="M183" i="1"/>
  <c r="M343" i="1"/>
  <c r="M495" i="1"/>
  <c r="M152" i="1"/>
  <c r="M173" i="1"/>
  <c r="M237" i="1"/>
  <c r="M301" i="1"/>
  <c r="M381" i="1"/>
  <c r="M453" i="1"/>
  <c r="M525" i="1"/>
  <c r="M605" i="1"/>
  <c r="M685" i="1"/>
  <c r="M757" i="1"/>
  <c r="M127" i="1"/>
  <c r="M303" i="1"/>
  <c r="M599" i="1"/>
  <c r="M250" i="1"/>
  <c r="M778" i="1"/>
  <c r="M233" i="1"/>
  <c r="M461" i="1"/>
  <c r="M535" i="1"/>
  <c r="M39" i="1"/>
  <c r="M2" i="1"/>
  <c r="T819" i="4" l="1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U2" i="1"/>
  <c r="B2" i="9"/>
  <c r="B2" i="15" s="1"/>
  <c r="B6" i="9"/>
  <c r="B3" i="9"/>
  <c r="B7" i="9"/>
  <c r="B9" i="9" s="1"/>
  <c r="D2" i="5"/>
  <c r="B2" i="5"/>
  <c r="C2" i="5"/>
  <c r="B8" i="9"/>
  <c r="B1" i="9"/>
  <c r="A2" i="15" s="1"/>
  <c r="AE3" i="15" s="1"/>
  <c r="Q806" i="3"/>
  <c r="Q808" i="3"/>
  <c r="Q810" i="3"/>
  <c r="Q803" i="3"/>
  <c r="Q814" i="3"/>
  <c r="Q816" i="3"/>
  <c r="Q818" i="3"/>
  <c r="Q811" i="3"/>
  <c r="Q812" i="3"/>
  <c r="Q805" i="3"/>
  <c r="Q807" i="3"/>
  <c r="Q809" i="3"/>
  <c r="Q819" i="3"/>
  <c r="Q813" i="3"/>
  <c r="Q815" i="3"/>
  <c r="Q817" i="3"/>
  <c r="Q802" i="3"/>
  <c r="Q804" i="3"/>
  <c r="AE4" i="15" l="1"/>
  <c r="U11" i="15" s="1"/>
  <c r="U10" i="15"/>
  <c r="N345" i="3"/>
  <c r="Q345" i="3" s="1"/>
  <c r="U345" i="1"/>
  <c r="N413" i="3"/>
  <c r="Q413" i="3" s="1"/>
  <c r="U413" i="1"/>
  <c r="N254" i="3"/>
  <c r="Q254" i="3" s="1"/>
  <c r="U254" i="1"/>
  <c r="N585" i="3"/>
  <c r="Q585" i="3" s="1"/>
  <c r="U585" i="1"/>
  <c r="N182" i="3"/>
  <c r="Q182" i="3" s="1"/>
  <c r="U182" i="1"/>
  <c r="N279" i="3"/>
  <c r="Q279" i="3" s="1"/>
  <c r="U279" i="1"/>
  <c r="N694" i="3"/>
  <c r="Q694" i="3" s="1"/>
  <c r="U694" i="1"/>
  <c r="N170" i="3"/>
  <c r="Q170" i="3" s="1"/>
  <c r="U170" i="1"/>
  <c r="N475" i="3"/>
  <c r="Q475" i="3" s="1"/>
  <c r="U475" i="1"/>
  <c r="N532" i="3"/>
  <c r="Q532" i="3" s="1"/>
  <c r="U532" i="1"/>
  <c r="N395" i="3"/>
  <c r="Q395" i="3" s="1"/>
  <c r="U395" i="1"/>
  <c r="N162" i="3"/>
  <c r="Q162" i="3" s="1"/>
  <c r="U162" i="1"/>
  <c r="N781" i="3"/>
  <c r="Q781" i="3" s="1"/>
  <c r="U781" i="1"/>
  <c r="N528" i="3"/>
  <c r="Q528" i="3" s="1"/>
  <c r="U528" i="1"/>
  <c r="N52" i="3"/>
  <c r="Q52" i="3" s="1"/>
  <c r="U52" i="1"/>
  <c r="N167" i="3"/>
  <c r="Q167" i="3" s="1"/>
  <c r="U167" i="1"/>
  <c r="N89" i="3"/>
  <c r="Q89" i="3" s="1"/>
  <c r="U89" i="1"/>
  <c r="N774" i="3"/>
  <c r="Q774" i="3" s="1"/>
  <c r="U774" i="1"/>
  <c r="N721" i="3"/>
  <c r="Q721" i="3" s="1"/>
  <c r="U721" i="1"/>
  <c r="N556" i="3"/>
  <c r="Q556" i="3" s="1"/>
  <c r="U556" i="1"/>
  <c r="N108" i="3"/>
  <c r="Q108" i="3" s="1"/>
  <c r="U108" i="1"/>
  <c r="N380" i="3"/>
  <c r="Q380" i="3" s="1"/>
  <c r="U380" i="1"/>
  <c r="N315" i="3"/>
  <c r="Q315" i="3" s="1"/>
  <c r="U315" i="1"/>
  <c r="N456" i="3"/>
  <c r="Q456" i="3" s="1"/>
  <c r="U456" i="1"/>
  <c r="N7" i="3"/>
  <c r="Q7" i="3" s="1"/>
  <c r="U7" i="1"/>
  <c r="N80" i="3"/>
  <c r="Q80" i="3" s="1"/>
  <c r="U80" i="1"/>
  <c r="N375" i="3"/>
  <c r="Q375" i="3" s="1"/>
  <c r="U375" i="1"/>
  <c r="N225" i="3"/>
  <c r="Q225" i="3" s="1"/>
  <c r="U225" i="1"/>
  <c r="N100" i="3"/>
  <c r="Q100" i="3" s="1"/>
  <c r="U100" i="1"/>
  <c r="N209" i="3"/>
  <c r="Q209" i="3" s="1"/>
  <c r="U209" i="1"/>
  <c r="N341" i="3"/>
  <c r="Q341" i="3" s="1"/>
  <c r="U341" i="1"/>
  <c r="N98" i="3"/>
  <c r="Q98" i="3" s="1"/>
  <c r="U98" i="1"/>
  <c r="N349" i="3"/>
  <c r="Q349" i="3" s="1"/>
  <c r="U349" i="1"/>
  <c r="N515" i="3"/>
  <c r="Q515" i="3" s="1"/>
  <c r="U515" i="1"/>
  <c r="N750" i="3"/>
  <c r="Q750" i="3" s="1"/>
  <c r="U750" i="1"/>
  <c r="N384" i="3"/>
  <c r="Q384" i="3" s="1"/>
  <c r="U384" i="1"/>
  <c r="N682" i="3"/>
  <c r="Q682" i="3" s="1"/>
  <c r="U682" i="1"/>
  <c r="N501" i="3"/>
  <c r="Q501" i="3" s="1"/>
  <c r="U501" i="1"/>
  <c r="N653" i="3"/>
  <c r="Q653" i="3" s="1"/>
  <c r="U653" i="1"/>
  <c r="N504" i="3"/>
  <c r="Q504" i="3" s="1"/>
  <c r="U504" i="1"/>
  <c r="N30" i="3"/>
  <c r="Q30" i="3" s="1"/>
  <c r="U30" i="1"/>
  <c r="N294" i="3"/>
  <c r="Q294" i="3" s="1"/>
  <c r="U294" i="1"/>
  <c r="N562" i="3"/>
  <c r="Q562" i="3" s="1"/>
  <c r="U562" i="1"/>
  <c r="N327" i="3"/>
  <c r="Q327" i="3" s="1"/>
  <c r="U327" i="1"/>
  <c r="N706" i="3"/>
  <c r="Q706" i="3" s="1"/>
  <c r="U706" i="1"/>
  <c r="N362" i="3"/>
  <c r="Q362" i="3" s="1"/>
  <c r="U362" i="1"/>
  <c r="N506" i="3"/>
  <c r="Q506" i="3" s="1"/>
  <c r="U506" i="1"/>
  <c r="N634" i="3"/>
  <c r="Q634" i="3" s="1"/>
  <c r="U634" i="1"/>
  <c r="N77" i="3"/>
  <c r="U77" i="1"/>
  <c r="N149" i="3"/>
  <c r="U149" i="1"/>
  <c r="N45" i="3"/>
  <c r="U45" i="1"/>
  <c r="N125" i="3"/>
  <c r="U125" i="1"/>
  <c r="N133" i="3"/>
  <c r="U133" i="1"/>
  <c r="N69" i="3"/>
  <c r="U69" i="1"/>
  <c r="N141" i="3"/>
  <c r="U141" i="1"/>
  <c r="N85" i="3"/>
  <c r="U85" i="1"/>
  <c r="N37" i="3"/>
  <c r="U37" i="1"/>
  <c r="N117" i="3"/>
  <c r="U117" i="1"/>
  <c r="N101" i="3"/>
  <c r="U101" i="1"/>
  <c r="N61" i="3"/>
  <c r="U61" i="1"/>
  <c r="J532" i="4"/>
  <c r="N532" i="4" s="1"/>
  <c r="R532" i="3"/>
  <c r="N435" i="3"/>
  <c r="U435" i="1"/>
  <c r="N460" i="3"/>
  <c r="U460" i="1"/>
  <c r="N476" i="3"/>
  <c r="U476" i="1"/>
  <c r="N548" i="3"/>
  <c r="U548" i="1"/>
  <c r="N207" i="3"/>
  <c r="U207" i="1"/>
  <c r="N23" i="3"/>
  <c r="U23" i="1"/>
  <c r="N473" i="3"/>
  <c r="U473" i="1"/>
  <c r="N20" i="3"/>
  <c r="U20" i="1"/>
  <c r="N595" i="3"/>
  <c r="U595" i="1"/>
  <c r="N635" i="3"/>
  <c r="U635" i="1"/>
  <c r="N547" i="3"/>
  <c r="U547" i="1"/>
  <c r="N801" i="3"/>
  <c r="U801" i="1"/>
  <c r="N56" i="3"/>
  <c r="U56" i="1"/>
  <c r="N639" i="3"/>
  <c r="U639" i="1"/>
  <c r="N771" i="3"/>
  <c r="U771" i="1"/>
  <c r="N468" i="3"/>
  <c r="U468" i="1"/>
  <c r="N32" i="3"/>
  <c r="U32" i="1"/>
  <c r="N492" i="3"/>
  <c r="U492" i="1"/>
  <c r="J556" i="4"/>
  <c r="N556" i="4" s="1"/>
  <c r="R556" i="3"/>
  <c r="N600" i="3"/>
  <c r="U600" i="1"/>
  <c r="N31" i="3"/>
  <c r="U31" i="1"/>
  <c r="N551" i="3"/>
  <c r="U551" i="1"/>
  <c r="N42" i="3"/>
  <c r="U42" i="1"/>
  <c r="N78" i="3"/>
  <c r="U78" i="1"/>
  <c r="N350" i="3"/>
  <c r="U350" i="1"/>
  <c r="J108" i="4"/>
  <c r="N108" i="4" s="1"/>
  <c r="R108" i="3"/>
  <c r="N54" i="3"/>
  <c r="U54" i="1"/>
  <c r="N168" i="3"/>
  <c r="U168" i="1"/>
  <c r="N732" i="3"/>
  <c r="U732" i="1"/>
  <c r="N249" i="3"/>
  <c r="U249" i="1"/>
  <c r="N540" i="3"/>
  <c r="U540" i="1"/>
  <c r="N559" i="3"/>
  <c r="U559" i="1"/>
  <c r="N676" i="3"/>
  <c r="U676" i="1"/>
  <c r="N500" i="3"/>
  <c r="U500" i="1"/>
  <c r="N564" i="3"/>
  <c r="U564" i="1"/>
  <c r="N756" i="3"/>
  <c r="U756" i="1"/>
  <c r="N103" i="3"/>
  <c r="U103" i="1"/>
  <c r="N33" i="3"/>
  <c r="U33" i="1"/>
  <c r="N75" i="3"/>
  <c r="U75" i="1"/>
  <c r="N310" i="3"/>
  <c r="U310" i="1"/>
  <c r="N281" i="3"/>
  <c r="U281" i="1"/>
  <c r="N172" i="3"/>
  <c r="U172" i="1"/>
  <c r="N174" i="3"/>
  <c r="U174" i="1"/>
  <c r="N288" i="3"/>
  <c r="U288" i="1"/>
  <c r="N419" i="3"/>
  <c r="U419" i="1"/>
  <c r="N444" i="3"/>
  <c r="U444" i="1"/>
  <c r="N271" i="3"/>
  <c r="U271" i="1"/>
  <c r="N507" i="3"/>
  <c r="U507" i="1"/>
  <c r="N508" i="3"/>
  <c r="U508" i="1"/>
  <c r="N572" i="3"/>
  <c r="U572" i="1"/>
  <c r="N5" i="3"/>
  <c r="U5" i="1"/>
  <c r="N407" i="3"/>
  <c r="U407" i="1"/>
  <c r="N652" i="3"/>
  <c r="U652" i="1"/>
  <c r="N155" i="3"/>
  <c r="U155" i="1"/>
  <c r="N630" i="3"/>
  <c r="U630" i="1"/>
  <c r="N545" i="3"/>
  <c r="U545" i="1"/>
  <c r="N236" i="3"/>
  <c r="U236" i="1"/>
  <c r="N318" i="3"/>
  <c r="U318" i="1"/>
  <c r="N376" i="3"/>
  <c r="U376" i="1"/>
  <c r="N607" i="3"/>
  <c r="U607" i="1"/>
  <c r="N670" i="3"/>
  <c r="U670" i="1"/>
  <c r="N742" i="3"/>
  <c r="U742" i="1"/>
  <c r="N516" i="3"/>
  <c r="U516" i="1"/>
  <c r="N580" i="3"/>
  <c r="U580" i="1"/>
  <c r="N255" i="3"/>
  <c r="U255" i="1"/>
  <c r="N479" i="3"/>
  <c r="U479" i="1"/>
  <c r="N780" i="3"/>
  <c r="U780" i="1"/>
  <c r="N259" i="3"/>
  <c r="U259" i="1"/>
  <c r="N727" i="3"/>
  <c r="U727" i="1"/>
  <c r="N560" i="3"/>
  <c r="U560" i="1"/>
  <c r="N308" i="3"/>
  <c r="U308" i="1"/>
  <c r="N438" i="3"/>
  <c r="U438" i="1"/>
  <c r="N512" i="3"/>
  <c r="U512" i="1"/>
  <c r="N119" i="3"/>
  <c r="U119" i="1"/>
  <c r="N767" i="3"/>
  <c r="U767" i="1"/>
  <c r="N163" i="3"/>
  <c r="U163" i="1"/>
  <c r="N524" i="3"/>
  <c r="U524" i="1"/>
  <c r="N41" i="3"/>
  <c r="U41" i="1"/>
  <c r="N503" i="3"/>
  <c r="U503" i="1"/>
  <c r="N631" i="3"/>
  <c r="U631" i="1"/>
  <c r="N671" i="3"/>
  <c r="U671" i="1"/>
  <c r="N339" i="3"/>
  <c r="U339" i="1"/>
  <c r="N675" i="3"/>
  <c r="U675" i="1"/>
  <c r="N264" i="3"/>
  <c r="U264" i="1"/>
  <c r="J380" i="4"/>
  <c r="N380" i="4" s="1"/>
  <c r="R380" i="3"/>
  <c r="N550" i="3"/>
  <c r="U550" i="1"/>
  <c r="N624" i="3"/>
  <c r="U624" i="1"/>
  <c r="N131" i="3"/>
  <c r="U131" i="1"/>
  <c r="N211" i="3"/>
  <c r="U211" i="1"/>
  <c r="J315" i="4"/>
  <c r="N315" i="4" s="1"/>
  <c r="R315" i="3"/>
  <c r="N387" i="3"/>
  <c r="U387" i="1"/>
  <c r="N483" i="3"/>
  <c r="U483" i="1"/>
  <c r="N563" i="3"/>
  <c r="U563" i="1"/>
  <c r="N38" i="3"/>
  <c r="U38" i="1"/>
  <c r="N222" i="3"/>
  <c r="U222" i="1"/>
  <c r="N446" i="3"/>
  <c r="U446" i="1"/>
  <c r="N107" i="3"/>
  <c r="U107" i="1"/>
  <c r="N651" i="3"/>
  <c r="U651" i="1"/>
  <c r="N731" i="3"/>
  <c r="U731" i="1"/>
  <c r="N11" i="3"/>
  <c r="U11" i="1"/>
  <c r="N129" i="3"/>
  <c r="U129" i="1"/>
  <c r="N584" i="3"/>
  <c r="U584" i="1"/>
  <c r="N97" i="3"/>
  <c r="U97" i="1"/>
  <c r="N417" i="3"/>
  <c r="U417" i="1"/>
  <c r="N177" i="3"/>
  <c r="U177" i="1"/>
  <c r="N326" i="3"/>
  <c r="U326" i="1"/>
  <c r="N57" i="3"/>
  <c r="U57" i="1"/>
  <c r="N369" i="3"/>
  <c r="U369" i="1"/>
  <c r="N379" i="3"/>
  <c r="U379" i="1"/>
  <c r="N84" i="3"/>
  <c r="U84" i="1"/>
  <c r="N148" i="3"/>
  <c r="U148" i="1"/>
  <c r="N212" i="3"/>
  <c r="U212" i="1"/>
  <c r="N284" i="3"/>
  <c r="U284" i="1"/>
  <c r="N348" i="3"/>
  <c r="U348" i="1"/>
  <c r="N420" i="3"/>
  <c r="U420" i="1"/>
  <c r="N636" i="3"/>
  <c r="U636" i="1"/>
  <c r="N764" i="3"/>
  <c r="U764" i="1"/>
  <c r="N665" i="3"/>
  <c r="U665" i="1"/>
  <c r="N126" i="3"/>
  <c r="U126" i="1"/>
  <c r="N262" i="3"/>
  <c r="U262" i="1"/>
  <c r="N390" i="3"/>
  <c r="U390" i="1"/>
  <c r="N494" i="3"/>
  <c r="U494" i="1"/>
  <c r="N614" i="3"/>
  <c r="U614" i="1"/>
  <c r="N710" i="3"/>
  <c r="U710" i="1"/>
  <c r="N782" i="3"/>
  <c r="U782" i="1"/>
  <c r="N128" i="3"/>
  <c r="U128" i="1"/>
  <c r="N216" i="3"/>
  <c r="U216" i="1"/>
  <c r="N344" i="3"/>
  <c r="U344" i="1"/>
  <c r="J456" i="4"/>
  <c r="N456" i="4" s="1"/>
  <c r="R456" i="3"/>
  <c r="N576" i="3"/>
  <c r="U576" i="1"/>
  <c r="N696" i="3"/>
  <c r="U696" i="1"/>
  <c r="N672" i="3"/>
  <c r="U672" i="1"/>
  <c r="N74" i="3"/>
  <c r="U74" i="1"/>
  <c r="N146" i="3"/>
  <c r="U146" i="1"/>
  <c r="N218" i="3"/>
  <c r="U218" i="1"/>
  <c r="N290" i="3"/>
  <c r="U290" i="1"/>
  <c r="N370" i="3"/>
  <c r="U370" i="1"/>
  <c r="N442" i="3"/>
  <c r="U442" i="1"/>
  <c r="N514" i="3"/>
  <c r="U514" i="1"/>
  <c r="N578" i="3"/>
  <c r="U578" i="1"/>
  <c r="N642" i="3"/>
  <c r="U642" i="1"/>
  <c r="N730" i="3"/>
  <c r="U730" i="1"/>
  <c r="N48" i="3"/>
  <c r="U48" i="1"/>
  <c r="N268" i="3"/>
  <c r="U268" i="1"/>
  <c r="N486" i="3"/>
  <c r="U486" i="1"/>
  <c r="N121" i="3"/>
  <c r="U121" i="1"/>
  <c r="N353" i="3"/>
  <c r="U353" i="1"/>
  <c r="N593" i="3"/>
  <c r="U593" i="1"/>
  <c r="N753" i="3"/>
  <c r="U753" i="1"/>
  <c r="N401" i="3"/>
  <c r="U401" i="1"/>
  <c r="N745" i="3"/>
  <c r="U745" i="1"/>
  <c r="N199" i="3"/>
  <c r="U199" i="1"/>
  <c r="N359" i="3"/>
  <c r="U359" i="1"/>
  <c r="N511" i="3"/>
  <c r="U511" i="1"/>
  <c r="N768" i="3"/>
  <c r="U768" i="1"/>
  <c r="N181" i="3"/>
  <c r="U181" i="1"/>
  <c r="N245" i="3"/>
  <c r="U245" i="1"/>
  <c r="N309" i="3"/>
  <c r="U309" i="1"/>
  <c r="N389" i="3"/>
  <c r="U389" i="1"/>
  <c r="N469" i="3"/>
  <c r="U469" i="1"/>
  <c r="N533" i="3"/>
  <c r="U533" i="1"/>
  <c r="N621" i="3"/>
  <c r="U621" i="1"/>
  <c r="N701" i="3"/>
  <c r="U701" i="1"/>
  <c r="N765" i="3"/>
  <c r="U765" i="1"/>
  <c r="N151" i="3"/>
  <c r="U151" i="1"/>
  <c r="N311" i="3"/>
  <c r="U311" i="1"/>
  <c r="N655" i="3"/>
  <c r="U655" i="1"/>
  <c r="N314" i="3"/>
  <c r="U314" i="1"/>
  <c r="N786" i="3"/>
  <c r="U786" i="1"/>
  <c r="N265" i="3"/>
  <c r="U265" i="1"/>
  <c r="N597" i="3"/>
  <c r="U597" i="1"/>
  <c r="N663" i="3"/>
  <c r="U663" i="1"/>
  <c r="N628" i="3"/>
  <c r="U628" i="1"/>
  <c r="N351" i="3"/>
  <c r="U351" i="1"/>
  <c r="J7" i="4"/>
  <c r="N7" i="4" s="1"/>
  <c r="R7" i="3"/>
  <c r="N191" i="3"/>
  <c r="U191" i="1"/>
  <c r="N668" i="3"/>
  <c r="U668" i="1"/>
  <c r="N25" i="3"/>
  <c r="U25" i="1"/>
  <c r="N596" i="3"/>
  <c r="U596" i="1"/>
  <c r="N679" i="3"/>
  <c r="U679" i="1"/>
  <c r="N22" i="3"/>
  <c r="U22" i="1"/>
  <c r="N623" i="3"/>
  <c r="U623" i="1"/>
  <c r="N51" i="3"/>
  <c r="U51" i="1"/>
  <c r="N139" i="3"/>
  <c r="U139" i="1"/>
  <c r="N243" i="3"/>
  <c r="U243" i="1"/>
  <c r="N323" i="3"/>
  <c r="U323" i="1"/>
  <c r="J395" i="4"/>
  <c r="N395" i="4" s="1"/>
  <c r="R395" i="3"/>
  <c r="N491" i="3"/>
  <c r="U491" i="1"/>
  <c r="N571" i="3"/>
  <c r="U571" i="1"/>
  <c r="N62" i="3"/>
  <c r="U62" i="1"/>
  <c r="N246" i="3"/>
  <c r="U246" i="1"/>
  <c r="N526" i="3"/>
  <c r="U526" i="1"/>
  <c r="N411" i="3"/>
  <c r="U411" i="1"/>
  <c r="N659" i="3"/>
  <c r="U659" i="1"/>
  <c r="N747" i="3"/>
  <c r="U747" i="1"/>
  <c r="N19" i="3"/>
  <c r="U19" i="1"/>
  <c r="N13" i="3"/>
  <c r="U13" i="1"/>
  <c r="N510" i="3"/>
  <c r="U510" i="1"/>
  <c r="N153" i="3"/>
  <c r="U153" i="1"/>
  <c r="N481" i="3"/>
  <c r="U481" i="1"/>
  <c r="N432" i="3"/>
  <c r="U432" i="1"/>
  <c r="N17" i="3"/>
  <c r="U17" i="1"/>
  <c r="N185" i="3"/>
  <c r="U185" i="1"/>
  <c r="N35" i="3"/>
  <c r="U35" i="1"/>
  <c r="N443" i="3"/>
  <c r="U443" i="1"/>
  <c r="N92" i="3"/>
  <c r="U92" i="1"/>
  <c r="N156" i="3"/>
  <c r="U156" i="1"/>
  <c r="N220" i="3"/>
  <c r="U220" i="1"/>
  <c r="N292" i="3"/>
  <c r="U292" i="1"/>
  <c r="N356" i="3"/>
  <c r="U356" i="1"/>
  <c r="N428" i="3"/>
  <c r="U428" i="1"/>
  <c r="N644" i="3"/>
  <c r="U644" i="1"/>
  <c r="N772" i="3"/>
  <c r="U772" i="1"/>
  <c r="N591" i="3"/>
  <c r="U591" i="1"/>
  <c r="N134" i="3"/>
  <c r="U134" i="1"/>
  <c r="N278" i="3"/>
  <c r="U278" i="1"/>
  <c r="N422" i="3"/>
  <c r="U422" i="1"/>
  <c r="N518" i="3"/>
  <c r="U518" i="1"/>
  <c r="N654" i="3"/>
  <c r="U654" i="1"/>
  <c r="N718" i="3"/>
  <c r="U718" i="1"/>
  <c r="N790" i="3"/>
  <c r="U790" i="1"/>
  <c r="N136" i="3"/>
  <c r="U136" i="1"/>
  <c r="N248" i="3"/>
  <c r="U248" i="1"/>
  <c r="N352" i="3"/>
  <c r="U352" i="1"/>
  <c r="N464" i="3"/>
  <c r="U464" i="1"/>
  <c r="N592" i="3"/>
  <c r="U592" i="1"/>
  <c r="N704" i="3"/>
  <c r="U704" i="1"/>
  <c r="N113" i="3"/>
  <c r="U113" i="1"/>
  <c r="N82" i="3"/>
  <c r="U82" i="1"/>
  <c r="N154" i="3"/>
  <c r="U154" i="1"/>
  <c r="N226" i="3"/>
  <c r="U226" i="1"/>
  <c r="N298" i="3"/>
  <c r="U298" i="1"/>
  <c r="N386" i="3"/>
  <c r="U386" i="1"/>
  <c r="N450" i="3"/>
  <c r="U450" i="1"/>
  <c r="N522" i="3"/>
  <c r="U522" i="1"/>
  <c r="N586" i="3"/>
  <c r="U586" i="1"/>
  <c r="N658" i="3"/>
  <c r="U658" i="1"/>
  <c r="N738" i="3"/>
  <c r="U738" i="1"/>
  <c r="J80" i="4"/>
  <c r="N80" i="4" s="1"/>
  <c r="R80" i="3"/>
  <c r="N748" i="3"/>
  <c r="U748" i="1"/>
  <c r="N534" i="3"/>
  <c r="U534" i="1"/>
  <c r="N137" i="3"/>
  <c r="U137" i="1"/>
  <c r="N393" i="3"/>
  <c r="U393" i="1"/>
  <c r="N601" i="3"/>
  <c r="U601" i="1"/>
  <c r="N761" i="3"/>
  <c r="U761" i="1"/>
  <c r="N433" i="3"/>
  <c r="U433" i="1"/>
  <c r="N769" i="3"/>
  <c r="U769" i="1"/>
  <c r="N215" i="3"/>
  <c r="U215" i="1"/>
  <c r="N367" i="3"/>
  <c r="U367" i="1"/>
  <c r="N527" i="3"/>
  <c r="U527" i="1"/>
  <c r="N232" i="3"/>
  <c r="U232" i="1"/>
  <c r="N189" i="3"/>
  <c r="U189" i="1"/>
  <c r="N253" i="3"/>
  <c r="U253" i="1"/>
  <c r="N317" i="3"/>
  <c r="U317" i="1"/>
  <c r="N397" i="3"/>
  <c r="U397" i="1"/>
  <c r="N477" i="3"/>
  <c r="U477" i="1"/>
  <c r="N541" i="3"/>
  <c r="U541" i="1"/>
  <c r="N629" i="3"/>
  <c r="U629" i="1"/>
  <c r="N709" i="3"/>
  <c r="U709" i="1"/>
  <c r="N773" i="3"/>
  <c r="U773" i="1"/>
  <c r="N159" i="3"/>
  <c r="U159" i="1"/>
  <c r="N335" i="3"/>
  <c r="U335" i="1"/>
  <c r="N687" i="3"/>
  <c r="U687" i="1"/>
  <c r="N354" i="3"/>
  <c r="U354" i="1"/>
  <c r="N794" i="3"/>
  <c r="U794" i="1"/>
  <c r="N329" i="3"/>
  <c r="U329" i="1"/>
  <c r="N613" i="3"/>
  <c r="U613" i="1"/>
  <c r="N109" i="3"/>
  <c r="U109" i="1"/>
  <c r="N692" i="3"/>
  <c r="U692" i="1"/>
  <c r="N385" i="3"/>
  <c r="U385" i="1"/>
  <c r="N15" i="3"/>
  <c r="U15" i="1"/>
  <c r="J375" i="4"/>
  <c r="N375" i="4" s="1"/>
  <c r="R375" i="3"/>
  <c r="N695" i="3"/>
  <c r="U695" i="1"/>
  <c r="N441" i="3"/>
  <c r="U441" i="1"/>
  <c r="N788" i="3"/>
  <c r="U788" i="1"/>
  <c r="N716" i="3"/>
  <c r="U716" i="1"/>
  <c r="N6" i="3"/>
  <c r="U6" i="1"/>
  <c r="N711" i="3"/>
  <c r="U711" i="1"/>
  <c r="N59" i="3"/>
  <c r="U59" i="1"/>
  <c r="N147" i="3"/>
  <c r="U147" i="1"/>
  <c r="N251" i="3"/>
  <c r="U251" i="1"/>
  <c r="N331" i="3"/>
  <c r="U331" i="1"/>
  <c r="N403" i="3"/>
  <c r="U403" i="1"/>
  <c r="N499" i="3"/>
  <c r="U499" i="1"/>
  <c r="N587" i="3"/>
  <c r="U587" i="1"/>
  <c r="N70" i="3"/>
  <c r="U70" i="1"/>
  <c r="N286" i="3"/>
  <c r="U286" i="1"/>
  <c r="N574" i="3"/>
  <c r="U574" i="1"/>
  <c r="N431" i="3"/>
  <c r="U431" i="1"/>
  <c r="N667" i="3"/>
  <c r="U667" i="1"/>
  <c r="N763" i="3"/>
  <c r="U763" i="1"/>
  <c r="N227" i="3"/>
  <c r="U227" i="1"/>
  <c r="N21" i="3"/>
  <c r="U21" i="1"/>
  <c r="N502" i="3"/>
  <c r="U502" i="1"/>
  <c r="J225" i="4"/>
  <c r="N225" i="4" s="1"/>
  <c r="R225" i="3"/>
  <c r="N489" i="3"/>
  <c r="U489" i="1"/>
  <c r="N616" i="3"/>
  <c r="U616" i="1"/>
  <c r="N72" i="3"/>
  <c r="U72" i="1"/>
  <c r="N217" i="3"/>
  <c r="U217" i="1"/>
  <c r="N43" i="3"/>
  <c r="U43" i="1"/>
  <c r="N459" i="3"/>
  <c r="U459" i="1"/>
  <c r="J100" i="4"/>
  <c r="N100" i="4" s="1"/>
  <c r="R100" i="3"/>
  <c r="N164" i="3"/>
  <c r="U164" i="1"/>
  <c r="N228" i="3"/>
  <c r="U228" i="1"/>
  <c r="N300" i="3"/>
  <c r="U300" i="1"/>
  <c r="N372" i="3"/>
  <c r="U372" i="1"/>
  <c r="N436" i="3"/>
  <c r="U436" i="1"/>
  <c r="N660" i="3"/>
  <c r="U660" i="1"/>
  <c r="N796" i="3"/>
  <c r="U796" i="1"/>
  <c r="N297" i="3"/>
  <c r="U297" i="1"/>
  <c r="N166" i="3"/>
  <c r="U166" i="1"/>
  <c r="N302" i="3"/>
  <c r="U302" i="1"/>
  <c r="N430" i="3"/>
  <c r="U430" i="1"/>
  <c r="N542" i="3"/>
  <c r="U542" i="1"/>
  <c r="N662" i="3"/>
  <c r="U662" i="1"/>
  <c r="N726" i="3"/>
  <c r="U726" i="1"/>
  <c r="N798" i="3"/>
  <c r="U798" i="1"/>
  <c r="N144" i="3"/>
  <c r="U144" i="1"/>
  <c r="N256" i="3"/>
  <c r="U256" i="1"/>
  <c r="N360" i="3"/>
  <c r="U360" i="1"/>
  <c r="N472" i="3"/>
  <c r="U472" i="1"/>
  <c r="N608" i="3"/>
  <c r="U608" i="1"/>
  <c r="N728" i="3"/>
  <c r="U728" i="1"/>
  <c r="N83" i="3"/>
  <c r="U83" i="1"/>
  <c r="N90" i="3"/>
  <c r="U90" i="1"/>
  <c r="J162" i="4"/>
  <c r="N162" i="4" s="1"/>
  <c r="R162" i="3"/>
  <c r="N234" i="3"/>
  <c r="U234" i="1"/>
  <c r="N306" i="3"/>
  <c r="U306" i="1"/>
  <c r="N394" i="3"/>
  <c r="U394" i="1"/>
  <c r="N458" i="3"/>
  <c r="U458" i="1"/>
  <c r="N530" i="3"/>
  <c r="U530" i="1"/>
  <c r="N594" i="3"/>
  <c r="U594" i="1"/>
  <c r="N666" i="3"/>
  <c r="U666" i="1"/>
  <c r="N754" i="3"/>
  <c r="U754" i="1"/>
  <c r="N240" i="3"/>
  <c r="U240" i="1"/>
  <c r="J209" i="4"/>
  <c r="N209" i="4" s="1"/>
  <c r="R209" i="3"/>
  <c r="N566" i="3"/>
  <c r="U566" i="1"/>
  <c r="N145" i="3"/>
  <c r="U145" i="1"/>
  <c r="N425" i="3"/>
  <c r="U425" i="1"/>
  <c r="N649" i="3"/>
  <c r="U649" i="1"/>
  <c r="N777" i="3"/>
  <c r="U777" i="1"/>
  <c r="N457" i="3"/>
  <c r="U457" i="1"/>
  <c r="N206" i="3"/>
  <c r="U206" i="1"/>
  <c r="N239" i="3"/>
  <c r="U239" i="1"/>
  <c r="N391" i="3"/>
  <c r="U391" i="1"/>
  <c r="N615" i="3"/>
  <c r="U615" i="1"/>
  <c r="N208" i="3"/>
  <c r="U208" i="1"/>
  <c r="N197" i="3"/>
  <c r="U197" i="1"/>
  <c r="N261" i="3"/>
  <c r="U261" i="1"/>
  <c r="J341" i="4"/>
  <c r="N341" i="4" s="1"/>
  <c r="R341" i="3"/>
  <c r="N405" i="3"/>
  <c r="U405" i="1"/>
  <c r="N485" i="3"/>
  <c r="U485" i="1"/>
  <c r="N549" i="3"/>
  <c r="U549" i="1"/>
  <c r="N637" i="3"/>
  <c r="U637" i="1"/>
  <c r="N717" i="3"/>
  <c r="U717" i="1"/>
  <c r="J781" i="4"/>
  <c r="N781" i="4" s="1"/>
  <c r="R781" i="3"/>
  <c r="N175" i="3"/>
  <c r="U175" i="1"/>
  <c r="N415" i="3"/>
  <c r="U415" i="1"/>
  <c r="N719" i="3"/>
  <c r="U719" i="1"/>
  <c r="N474" i="3"/>
  <c r="U474" i="1"/>
  <c r="N480" i="3"/>
  <c r="U480" i="1"/>
  <c r="N497" i="3"/>
  <c r="U497" i="1"/>
  <c r="N677" i="3"/>
  <c r="U677" i="1"/>
  <c r="N325" i="3"/>
  <c r="U325" i="1"/>
  <c r="N744" i="3"/>
  <c r="U744" i="1"/>
  <c r="N739" i="3"/>
  <c r="U739" i="1"/>
  <c r="J98" i="4"/>
  <c r="N98" i="4" s="1"/>
  <c r="R98" i="3"/>
  <c r="N178" i="3"/>
  <c r="U178" i="1"/>
  <c r="N242" i="3"/>
  <c r="U242" i="1"/>
  <c r="N322" i="3"/>
  <c r="U322" i="1"/>
  <c r="N402" i="3"/>
  <c r="U402" i="1"/>
  <c r="N466" i="3"/>
  <c r="U466" i="1"/>
  <c r="N538" i="3"/>
  <c r="U538" i="1"/>
  <c r="N602" i="3"/>
  <c r="U602" i="1"/>
  <c r="N674" i="3"/>
  <c r="U674" i="1"/>
  <c r="N762" i="3"/>
  <c r="U762" i="1"/>
  <c r="N272" i="3"/>
  <c r="U272" i="1"/>
  <c r="N46" i="3"/>
  <c r="U46" i="1"/>
  <c r="N590" i="3"/>
  <c r="U590" i="1"/>
  <c r="N161" i="3"/>
  <c r="U161" i="1"/>
  <c r="N449" i="3"/>
  <c r="U449" i="1"/>
  <c r="N673" i="3"/>
  <c r="U673" i="1"/>
  <c r="N785" i="3"/>
  <c r="U785" i="1"/>
  <c r="N529" i="3"/>
  <c r="U529" i="1"/>
  <c r="N63" i="3"/>
  <c r="U63" i="1"/>
  <c r="N287" i="3"/>
  <c r="U287" i="1"/>
  <c r="N399" i="3"/>
  <c r="U399" i="1"/>
  <c r="N647" i="3"/>
  <c r="U647" i="1"/>
  <c r="N53" i="3"/>
  <c r="U53" i="1"/>
  <c r="N205" i="3"/>
  <c r="U205" i="1"/>
  <c r="N269" i="3"/>
  <c r="U269" i="1"/>
  <c r="J349" i="4"/>
  <c r="N349" i="4" s="1"/>
  <c r="R349" i="3"/>
  <c r="J413" i="4"/>
  <c r="N413" i="4" s="1"/>
  <c r="R413" i="3"/>
  <c r="N493" i="3"/>
  <c r="U493" i="1"/>
  <c r="N557" i="3"/>
  <c r="U557" i="1"/>
  <c r="N645" i="3"/>
  <c r="U645" i="1"/>
  <c r="N725" i="3"/>
  <c r="U725" i="1"/>
  <c r="N789" i="3"/>
  <c r="U789" i="1"/>
  <c r="N223" i="3"/>
  <c r="U223" i="1"/>
  <c r="N463" i="3"/>
  <c r="U463" i="1"/>
  <c r="N791" i="3"/>
  <c r="U791" i="1"/>
  <c r="N650" i="3"/>
  <c r="U650" i="1"/>
  <c r="N73" i="3"/>
  <c r="U73" i="1"/>
  <c r="N521" i="3"/>
  <c r="U521" i="1"/>
  <c r="N693" i="3"/>
  <c r="U693" i="1"/>
  <c r="N333" i="3"/>
  <c r="U333" i="1"/>
  <c r="N759" i="3"/>
  <c r="U759" i="1"/>
  <c r="N553" i="3"/>
  <c r="U553" i="1"/>
  <c r="N193" i="3"/>
  <c r="U193" i="1"/>
  <c r="N10" i="3"/>
  <c r="U10" i="1"/>
  <c r="N3" i="3"/>
  <c r="U3" i="1"/>
  <c r="N28" i="3"/>
  <c r="U28" i="1"/>
  <c r="N91" i="3"/>
  <c r="U91" i="1"/>
  <c r="N171" i="3"/>
  <c r="U171" i="1"/>
  <c r="N275" i="3"/>
  <c r="U275" i="1"/>
  <c r="N347" i="3"/>
  <c r="U347" i="1"/>
  <c r="N427" i="3"/>
  <c r="U427" i="1"/>
  <c r="J515" i="4"/>
  <c r="N515" i="4" s="1"/>
  <c r="R515" i="3"/>
  <c r="N603" i="3"/>
  <c r="U603" i="1"/>
  <c r="N86" i="3"/>
  <c r="U86" i="1"/>
  <c r="N342" i="3"/>
  <c r="U342" i="1"/>
  <c r="N513" i="3"/>
  <c r="U513" i="1"/>
  <c r="N751" i="3"/>
  <c r="U751" i="1"/>
  <c r="N683" i="3"/>
  <c r="U683" i="1"/>
  <c r="N779" i="3"/>
  <c r="U779" i="1"/>
  <c r="N699" i="3"/>
  <c r="U699" i="1"/>
  <c r="N49" i="3"/>
  <c r="U49" i="1"/>
  <c r="N680" i="3"/>
  <c r="U680" i="1"/>
  <c r="N289" i="3"/>
  <c r="U289" i="1"/>
  <c r="N609" i="3"/>
  <c r="U609" i="1"/>
  <c r="N4" i="3"/>
  <c r="U4" i="1"/>
  <c r="N368" i="3"/>
  <c r="U368" i="1"/>
  <c r="N561" i="3"/>
  <c r="U561" i="1"/>
  <c r="N187" i="3"/>
  <c r="U187" i="1"/>
  <c r="N36" i="3"/>
  <c r="U36" i="1"/>
  <c r="N116" i="3"/>
  <c r="U116" i="1"/>
  <c r="N180" i="3"/>
  <c r="U180" i="1"/>
  <c r="N244" i="3"/>
  <c r="U244" i="1"/>
  <c r="N316" i="3"/>
  <c r="U316" i="1"/>
  <c r="N388" i="3"/>
  <c r="U388" i="1"/>
  <c r="N452" i="3"/>
  <c r="U452" i="1"/>
  <c r="N684" i="3"/>
  <c r="U684" i="1"/>
  <c r="N312" i="3"/>
  <c r="U312" i="1"/>
  <c r="N94" i="3"/>
  <c r="U94" i="1"/>
  <c r="N190" i="3"/>
  <c r="U190" i="1"/>
  <c r="N334" i="3"/>
  <c r="U334" i="1"/>
  <c r="N454" i="3"/>
  <c r="U454" i="1"/>
  <c r="N558" i="3"/>
  <c r="U558" i="1"/>
  <c r="N678" i="3"/>
  <c r="U678" i="1"/>
  <c r="J750" i="4"/>
  <c r="N750" i="4" s="1"/>
  <c r="R750" i="3"/>
  <c r="N64" i="3"/>
  <c r="U64" i="1"/>
  <c r="N176" i="3"/>
  <c r="U176" i="1"/>
  <c r="N296" i="3"/>
  <c r="U296" i="1"/>
  <c r="J384" i="4"/>
  <c r="N384" i="4" s="1"/>
  <c r="R384" i="3"/>
  <c r="J528" i="4"/>
  <c r="N528" i="4" s="1"/>
  <c r="R528" i="3"/>
  <c r="N632" i="3"/>
  <c r="U632" i="1"/>
  <c r="N776" i="3"/>
  <c r="U776" i="1"/>
  <c r="N691" i="3"/>
  <c r="U691" i="1"/>
  <c r="N106" i="3"/>
  <c r="U106" i="1"/>
  <c r="N186" i="3"/>
  <c r="U186" i="1"/>
  <c r="N258" i="3"/>
  <c r="U258" i="1"/>
  <c r="N330" i="3"/>
  <c r="U330" i="1"/>
  <c r="N410" i="3"/>
  <c r="U410" i="1"/>
  <c r="N482" i="3"/>
  <c r="U482" i="1"/>
  <c r="N546" i="3"/>
  <c r="U546" i="1"/>
  <c r="N610" i="3"/>
  <c r="U610" i="1"/>
  <c r="J682" i="4"/>
  <c r="N682" i="4" s="1"/>
  <c r="R682" i="3"/>
  <c r="N68" i="3"/>
  <c r="U68" i="1"/>
  <c r="N400" i="3"/>
  <c r="U400" i="1"/>
  <c r="N150" i="3"/>
  <c r="U150" i="1"/>
  <c r="N622" i="3"/>
  <c r="U622" i="1"/>
  <c r="N201" i="3"/>
  <c r="U201" i="1"/>
  <c r="N465" i="3"/>
  <c r="U465" i="1"/>
  <c r="N689" i="3"/>
  <c r="U689" i="1"/>
  <c r="N241" i="3"/>
  <c r="U241" i="1"/>
  <c r="N577" i="3"/>
  <c r="U577" i="1"/>
  <c r="N71" i="3"/>
  <c r="U71" i="1"/>
  <c r="N295" i="3"/>
  <c r="U295" i="1"/>
  <c r="N423" i="3"/>
  <c r="U423" i="1"/>
  <c r="N743" i="3"/>
  <c r="U743" i="1"/>
  <c r="N93" i="3"/>
  <c r="U93" i="1"/>
  <c r="N213" i="3"/>
  <c r="U213" i="1"/>
  <c r="N277" i="3"/>
  <c r="U277" i="1"/>
  <c r="N357" i="3"/>
  <c r="U357" i="1"/>
  <c r="N421" i="3"/>
  <c r="U421" i="1"/>
  <c r="J501" i="4"/>
  <c r="N501" i="4" s="1"/>
  <c r="R501" i="3"/>
  <c r="N565" i="3"/>
  <c r="U565" i="1"/>
  <c r="J653" i="4"/>
  <c r="N653" i="4" s="1"/>
  <c r="R653" i="3"/>
  <c r="N733" i="3"/>
  <c r="U733" i="1"/>
  <c r="N797" i="3"/>
  <c r="U797" i="1"/>
  <c r="N231" i="3"/>
  <c r="U231" i="1"/>
  <c r="N543" i="3"/>
  <c r="U543" i="1"/>
  <c r="N66" i="3"/>
  <c r="U66" i="1"/>
  <c r="N722" i="3"/>
  <c r="U722" i="1"/>
  <c r="N81" i="3"/>
  <c r="U81" i="1"/>
  <c r="N569" i="3"/>
  <c r="U569" i="1"/>
  <c r="N95" i="3"/>
  <c r="U95" i="1"/>
  <c r="N581" i="3"/>
  <c r="U581" i="1"/>
  <c r="N29" i="3"/>
  <c r="U29" i="1"/>
  <c r="N648" i="3"/>
  <c r="U648" i="1"/>
  <c r="N9" i="3"/>
  <c r="U9" i="1"/>
  <c r="J504" i="4"/>
  <c r="N504" i="4" s="1"/>
  <c r="R504" i="3"/>
  <c r="N8" i="3"/>
  <c r="U8" i="1"/>
  <c r="N104" i="3"/>
  <c r="U104" i="1"/>
  <c r="N447" i="3"/>
  <c r="U447" i="1"/>
  <c r="N26" i="3"/>
  <c r="U26" i="1"/>
  <c r="N27" i="3"/>
  <c r="U27" i="1"/>
  <c r="N735" i="3"/>
  <c r="U735" i="1"/>
  <c r="N99" i="3"/>
  <c r="U99" i="1"/>
  <c r="N179" i="3"/>
  <c r="U179" i="1"/>
  <c r="N283" i="3"/>
  <c r="U283" i="1"/>
  <c r="N355" i="3"/>
  <c r="U355" i="1"/>
  <c r="N451" i="3"/>
  <c r="U451" i="1"/>
  <c r="N523" i="3"/>
  <c r="U523" i="1"/>
  <c r="N611" i="3"/>
  <c r="U611" i="1"/>
  <c r="N158" i="3"/>
  <c r="U158" i="1"/>
  <c r="N398" i="3"/>
  <c r="U398" i="1"/>
  <c r="N681" i="3"/>
  <c r="U681" i="1"/>
  <c r="N795" i="3"/>
  <c r="U795" i="1"/>
  <c r="N707" i="3"/>
  <c r="U707" i="1"/>
  <c r="N787" i="3"/>
  <c r="U787" i="1"/>
  <c r="N755" i="3"/>
  <c r="U755" i="1"/>
  <c r="N520" i="3"/>
  <c r="U520" i="1"/>
  <c r="N736" i="3"/>
  <c r="U736" i="1"/>
  <c r="N313" i="3"/>
  <c r="U313" i="1"/>
  <c r="N633" i="3"/>
  <c r="U633" i="1"/>
  <c r="N280" i="3"/>
  <c r="U280" i="1"/>
  <c r="N488" i="3"/>
  <c r="U488" i="1"/>
  <c r="N617" i="3"/>
  <c r="U617" i="1"/>
  <c r="N235" i="3"/>
  <c r="U235" i="1"/>
  <c r="N44" i="3"/>
  <c r="U44" i="1"/>
  <c r="N124" i="3"/>
  <c r="U124" i="1"/>
  <c r="N188" i="3"/>
  <c r="U188" i="1"/>
  <c r="N252" i="3"/>
  <c r="U252" i="1"/>
  <c r="N324" i="3"/>
  <c r="U324" i="1"/>
  <c r="N396" i="3"/>
  <c r="U396" i="1"/>
  <c r="N484" i="3"/>
  <c r="U484" i="1"/>
  <c r="N700" i="3"/>
  <c r="U700" i="1"/>
  <c r="N496" i="3"/>
  <c r="U496" i="1"/>
  <c r="N102" i="3"/>
  <c r="U102" i="1"/>
  <c r="N230" i="3"/>
  <c r="U230" i="1"/>
  <c r="N366" i="3"/>
  <c r="U366" i="1"/>
  <c r="N462" i="3"/>
  <c r="U462" i="1"/>
  <c r="N582" i="3"/>
  <c r="U582" i="1"/>
  <c r="N686" i="3"/>
  <c r="U686" i="1"/>
  <c r="N758" i="3"/>
  <c r="U758" i="1"/>
  <c r="N96" i="3"/>
  <c r="U96" i="1"/>
  <c r="N184" i="3"/>
  <c r="U184" i="1"/>
  <c r="N304" i="3"/>
  <c r="U304" i="1"/>
  <c r="N392" i="3"/>
  <c r="U392" i="1"/>
  <c r="N536" i="3"/>
  <c r="U536" i="1"/>
  <c r="N640" i="3"/>
  <c r="U640" i="1"/>
  <c r="N784" i="3"/>
  <c r="U784" i="1"/>
  <c r="N160" i="3"/>
  <c r="U160" i="1"/>
  <c r="N114" i="3"/>
  <c r="U114" i="1"/>
  <c r="N194" i="3"/>
  <c r="U194" i="1"/>
  <c r="N266" i="3"/>
  <c r="U266" i="1"/>
  <c r="N338" i="3"/>
  <c r="U338" i="1"/>
  <c r="N418" i="3"/>
  <c r="U418" i="1"/>
  <c r="N490" i="3"/>
  <c r="U490" i="1"/>
  <c r="N554" i="3"/>
  <c r="U554" i="1"/>
  <c r="N618" i="3"/>
  <c r="U618" i="1"/>
  <c r="N690" i="3"/>
  <c r="U690" i="1"/>
  <c r="N364" i="3"/>
  <c r="U364" i="1"/>
  <c r="N712" i="3"/>
  <c r="U712" i="1"/>
  <c r="J182" i="4"/>
  <c r="N182" i="4" s="1"/>
  <c r="R182" i="3"/>
  <c r="N638" i="3"/>
  <c r="U638" i="1"/>
  <c r="N321" i="3"/>
  <c r="U321" i="1"/>
  <c r="N505" i="3"/>
  <c r="U505" i="1"/>
  <c r="N713" i="3"/>
  <c r="U713" i="1"/>
  <c r="N273" i="3"/>
  <c r="U273" i="1"/>
  <c r="N625" i="3"/>
  <c r="U625" i="1"/>
  <c r="N111" i="3"/>
  <c r="U111" i="1"/>
  <c r="N319" i="3"/>
  <c r="U319" i="1"/>
  <c r="N471" i="3"/>
  <c r="U471" i="1"/>
  <c r="N783" i="3"/>
  <c r="U783" i="1"/>
  <c r="N157" i="3"/>
  <c r="U157" i="1"/>
  <c r="N221" i="3"/>
  <c r="U221" i="1"/>
  <c r="N285" i="3"/>
  <c r="U285" i="1"/>
  <c r="N365" i="3"/>
  <c r="U365" i="1"/>
  <c r="N437" i="3"/>
  <c r="U437" i="1"/>
  <c r="N509" i="3"/>
  <c r="U509" i="1"/>
  <c r="N573" i="3"/>
  <c r="U573" i="1"/>
  <c r="N661" i="3"/>
  <c r="U661" i="1"/>
  <c r="N741" i="3"/>
  <c r="U741" i="1"/>
  <c r="N55" i="3"/>
  <c r="U55" i="1"/>
  <c r="N247" i="3"/>
  <c r="U247" i="1"/>
  <c r="N567" i="3"/>
  <c r="U567" i="1"/>
  <c r="N138" i="3"/>
  <c r="U138" i="1"/>
  <c r="N746" i="3"/>
  <c r="U746" i="1"/>
  <c r="N105" i="3"/>
  <c r="U105" i="1"/>
  <c r="N793" i="3"/>
  <c r="U793" i="1"/>
  <c r="N383" i="3"/>
  <c r="U383" i="1"/>
  <c r="J279" i="4"/>
  <c r="N279" i="4" s="1"/>
  <c r="R279" i="3"/>
  <c r="N88" i="3"/>
  <c r="U88" i="1"/>
  <c r="N703" i="3"/>
  <c r="U703" i="1"/>
  <c r="N47" i="3"/>
  <c r="U47" i="1"/>
  <c r="N575" i="3"/>
  <c r="U575" i="1"/>
  <c r="N16" i="3"/>
  <c r="U16" i="1"/>
  <c r="N257" i="3"/>
  <c r="U257" i="1"/>
  <c r="N519" i="3"/>
  <c r="U519" i="1"/>
  <c r="N775" i="3"/>
  <c r="U775" i="1"/>
  <c r="J30" i="4"/>
  <c r="N30" i="4" s="1"/>
  <c r="R30" i="3"/>
  <c r="N115" i="3"/>
  <c r="U115" i="1"/>
  <c r="N195" i="3"/>
  <c r="U195" i="1"/>
  <c r="N291" i="3"/>
  <c r="U291" i="1"/>
  <c r="N363" i="3"/>
  <c r="U363" i="1"/>
  <c r="N467" i="3"/>
  <c r="U467" i="1"/>
  <c r="N539" i="3"/>
  <c r="U539" i="1"/>
  <c r="N619" i="3"/>
  <c r="U619" i="1"/>
  <c r="N198" i="3"/>
  <c r="U198" i="1"/>
  <c r="N406" i="3"/>
  <c r="U406" i="1"/>
  <c r="N219" i="3"/>
  <c r="U219" i="1"/>
  <c r="N579" i="3"/>
  <c r="U579" i="1"/>
  <c r="N715" i="3"/>
  <c r="U715" i="1"/>
  <c r="N328" i="3"/>
  <c r="U328" i="1"/>
  <c r="N12" i="3"/>
  <c r="U12" i="1"/>
  <c r="N568" i="3"/>
  <c r="U568" i="1"/>
  <c r="N760" i="3"/>
  <c r="U760" i="1"/>
  <c r="N377" i="3"/>
  <c r="U377" i="1"/>
  <c r="N641" i="3"/>
  <c r="U641" i="1"/>
  <c r="J294" i="4"/>
  <c r="N294" i="4" s="1"/>
  <c r="R294" i="3"/>
  <c r="N720" i="3"/>
  <c r="U720" i="1"/>
  <c r="N697" i="3"/>
  <c r="U697" i="1"/>
  <c r="N267" i="3"/>
  <c r="U267" i="1"/>
  <c r="J52" i="4"/>
  <c r="N52" i="4" s="1"/>
  <c r="R52" i="3"/>
  <c r="N132" i="3"/>
  <c r="U132" i="1"/>
  <c r="N196" i="3"/>
  <c r="U196" i="1"/>
  <c r="N260" i="3"/>
  <c r="U260" i="1"/>
  <c r="N332" i="3"/>
  <c r="U332" i="1"/>
  <c r="N404" i="3"/>
  <c r="U404" i="1"/>
  <c r="N612" i="3"/>
  <c r="U612" i="1"/>
  <c r="N708" i="3"/>
  <c r="U708" i="1"/>
  <c r="N664" i="3"/>
  <c r="U664" i="1"/>
  <c r="N110" i="3"/>
  <c r="U110" i="1"/>
  <c r="N238" i="3"/>
  <c r="U238" i="1"/>
  <c r="N374" i="3"/>
  <c r="U374" i="1"/>
  <c r="N470" i="3"/>
  <c r="U470" i="1"/>
  <c r="N598" i="3"/>
  <c r="U598" i="1"/>
  <c r="J694" i="4"/>
  <c r="N694" i="4" s="1"/>
  <c r="R694" i="3"/>
  <c r="N766" i="3"/>
  <c r="U766" i="1"/>
  <c r="N112" i="3"/>
  <c r="U112" i="1"/>
  <c r="N192" i="3"/>
  <c r="U192" i="1"/>
  <c r="N320" i="3"/>
  <c r="U320" i="1"/>
  <c r="N416" i="3"/>
  <c r="U416" i="1"/>
  <c r="N544" i="3"/>
  <c r="U544" i="1"/>
  <c r="N656" i="3"/>
  <c r="U656" i="1"/>
  <c r="N800" i="3"/>
  <c r="U800" i="1"/>
  <c r="N50" i="3"/>
  <c r="U50" i="1"/>
  <c r="N122" i="3"/>
  <c r="U122" i="1"/>
  <c r="N202" i="3"/>
  <c r="U202" i="1"/>
  <c r="N274" i="3"/>
  <c r="U274" i="1"/>
  <c r="N346" i="3"/>
  <c r="U346" i="1"/>
  <c r="N426" i="3"/>
  <c r="U426" i="1"/>
  <c r="N498" i="3"/>
  <c r="U498" i="1"/>
  <c r="J562" i="4"/>
  <c r="N562" i="4" s="1"/>
  <c r="R562" i="3"/>
  <c r="N626" i="3"/>
  <c r="U626" i="1"/>
  <c r="N698" i="3"/>
  <c r="U698" i="1"/>
  <c r="N378" i="3"/>
  <c r="U378" i="1"/>
  <c r="N752" i="3"/>
  <c r="U752" i="1"/>
  <c r="N270" i="3"/>
  <c r="U270" i="1"/>
  <c r="N646" i="3"/>
  <c r="U646" i="1"/>
  <c r="N337" i="3"/>
  <c r="U337" i="1"/>
  <c r="N537" i="3"/>
  <c r="U537" i="1"/>
  <c r="N729" i="3"/>
  <c r="U729" i="1"/>
  <c r="N305" i="3"/>
  <c r="U305" i="1"/>
  <c r="N657" i="3"/>
  <c r="U657" i="1"/>
  <c r="N135" i="3"/>
  <c r="U135" i="1"/>
  <c r="J327" i="4"/>
  <c r="N327" i="4" s="1"/>
  <c r="R327" i="3"/>
  <c r="N487" i="3"/>
  <c r="U487" i="1"/>
  <c r="N799" i="3"/>
  <c r="U799" i="1"/>
  <c r="N165" i="3"/>
  <c r="U165" i="1"/>
  <c r="N229" i="3"/>
  <c r="U229" i="1"/>
  <c r="N293" i="3"/>
  <c r="U293" i="1"/>
  <c r="N373" i="3"/>
  <c r="U373" i="1"/>
  <c r="N445" i="3"/>
  <c r="U445" i="1"/>
  <c r="N517" i="3"/>
  <c r="U517" i="1"/>
  <c r="N589" i="3"/>
  <c r="U589" i="1"/>
  <c r="N669" i="3"/>
  <c r="U669" i="1"/>
  <c r="N749" i="3"/>
  <c r="U749" i="1"/>
  <c r="N87" i="3"/>
  <c r="U87" i="1"/>
  <c r="N263" i="3"/>
  <c r="U263" i="1"/>
  <c r="N583" i="3"/>
  <c r="U583" i="1"/>
  <c r="J170" i="4"/>
  <c r="N170" i="4" s="1"/>
  <c r="R170" i="3"/>
  <c r="N770" i="3"/>
  <c r="U770" i="1"/>
  <c r="N169" i="3"/>
  <c r="U169" i="1"/>
  <c r="N429" i="3"/>
  <c r="U429" i="1"/>
  <c r="N143" i="3"/>
  <c r="U143" i="1"/>
  <c r="J706" i="4"/>
  <c r="N706" i="4" s="1"/>
  <c r="R706" i="3"/>
  <c r="N439" i="3"/>
  <c r="U439" i="1"/>
  <c r="J167" i="4"/>
  <c r="N167" i="4" s="1"/>
  <c r="R167" i="3"/>
  <c r="N740" i="3"/>
  <c r="U740" i="1"/>
  <c r="N79" i="3"/>
  <c r="U79" i="1"/>
  <c r="N604" i="3"/>
  <c r="U604" i="1"/>
  <c r="N24" i="3"/>
  <c r="U24" i="1"/>
  <c r="N408" i="3"/>
  <c r="U408" i="1"/>
  <c r="N588" i="3"/>
  <c r="U588" i="1"/>
  <c r="N455" i="3"/>
  <c r="U455" i="1"/>
  <c r="N14" i="3"/>
  <c r="U14" i="1"/>
  <c r="N34" i="3"/>
  <c r="U34" i="1"/>
  <c r="N123" i="3"/>
  <c r="U123" i="1"/>
  <c r="N203" i="3"/>
  <c r="U203" i="1"/>
  <c r="N307" i="3"/>
  <c r="U307" i="1"/>
  <c r="N371" i="3"/>
  <c r="U371" i="1"/>
  <c r="J475" i="4"/>
  <c r="N475" i="4" s="1"/>
  <c r="R475" i="3"/>
  <c r="N555" i="3"/>
  <c r="U555" i="1"/>
  <c r="N627" i="3"/>
  <c r="U627" i="1"/>
  <c r="N214" i="3"/>
  <c r="U214" i="1"/>
  <c r="N414" i="3"/>
  <c r="U414" i="1"/>
  <c r="N18" i="3"/>
  <c r="U18" i="1"/>
  <c r="N643" i="3"/>
  <c r="U643" i="1"/>
  <c r="N723" i="3"/>
  <c r="U723" i="1"/>
  <c r="N531" i="3"/>
  <c r="U531" i="1"/>
  <c r="N67" i="3"/>
  <c r="U67" i="1"/>
  <c r="N142" i="3"/>
  <c r="U142" i="1"/>
  <c r="J89" i="4"/>
  <c r="N89" i="4" s="1"/>
  <c r="R89" i="3"/>
  <c r="N409" i="3"/>
  <c r="U409" i="1"/>
  <c r="N705" i="3"/>
  <c r="U705" i="1"/>
  <c r="N424" i="3"/>
  <c r="U424" i="1"/>
  <c r="N440" i="3"/>
  <c r="U440" i="1"/>
  <c r="N65" i="3"/>
  <c r="U65" i="1"/>
  <c r="N299" i="3"/>
  <c r="U299" i="1"/>
  <c r="N60" i="3"/>
  <c r="U60" i="1"/>
  <c r="N140" i="3"/>
  <c r="U140" i="1"/>
  <c r="N204" i="3"/>
  <c r="U204" i="1"/>
  <c r="N276" i="3"/>
  <c r="U276" i="1"/>
  <c r="N340" i="3"/>
  <c r="U340" i="1"/>
  <c r="N412" i="3"/>
  <c r="U412" i="1"/>
  <c r="N620" i="3"/>
  <c r="U620" i="1"/>
  <c r="N724" i="3"/>
  <c r="U724" i="1"/>
  <c r="N792" i="3"/>
  <c r="U792" i="1"/>
  <c r="N118" i="3"/>
  <c r="U118" i="1"/>
  <c r="J254" i="4"/>
  <c r="N254" i="4" s="1"/>
  <c r="R254" i="3"/>
  <c r="N382" i="3"/>
  <c r="U382" i="1"/>
  <c r="N478" i="3"/>
  <c r="U478" i="1"/>
  <c r="N606" i="3"/>
  <c r="U606" i="1"/>
  <c r="N702" i="3"/>
  <c r="U702" i="1"/>
  <c r="J774" i="4"/>
  <c r="N774" i="4" s="1"/>
  <c r="R774" i="3"/>
  <c r="N120" i="3"/>
  <c r="U120" i="1"/>
  <c r="N200" i="3"/>
  <c r="U200" i="1"/>
  <c r="N336" i="3"/>
  <c r="U336" i="1"/>
  <c r="N448" i="3"/>
  <c r="U448" i="1"/>
  <c r="N552" i="3"/>
  <c r="U552" i="1"/>
  <c r="N688" i="3"/>
  <c r="U688" i="1"/>
  <c r="N224" i="3"/>
  <c r="U224" i="1"/>
  <c r="N58" i="3"/>
  <c r="U58" i="1"/>
  <c r="N130" i="3"/>
  <c r="U130" i="1"/>
  <c r="N210" i="3"/>
  <c r="U210" i="1"/>
  <c r="N282" i="3"/>
  <c r="U282" i="1"/>
  <c r="J362" i="4"/>
  <c r="N362" i="4" s="1"/>
  <c r="R362" i="3"/>
  <c r="N434" i="3"/>
  <c r="U434" i="1"/>
  <c r="J506" i="4"/>
  <c r="N506" i="4" s="1"/>
  <c r="R506" i="3"/>
  <c r="N570" i="3"/>
  <c r="U570" i="1"/>
  <c r="J634" i="4"/>
  <c r="N634" i="4" s="1"/>
  <c r="R634" i="3"/>
  <c r="N714" i="3"/>
  <c r="U714" i="1"/>
  <c r="N40" i="3"/>
  <c r="U40" i="1"/>
  <c r="N76" i="3"/>
  <c r="U76" i="1"/>
  <c r="N358" i="3"/>
  <c r="U358" i="1"/>
  <c r="N734" i="3"/>
  <c r="U734" i="1"/>
  <c r="J345" i="4"/>
  <c r="N345" i="4" s="1"/>
  <c r="R345" i="3"/>
  <c r="J585" i="4"/>
  <c r="N585" i="4" s="1"/>
  <c r="R585" i="3"/>
  <c r="N737" i="3"/>
  <c r="U737" i="1"/>
  <c r="N361" i="3"/>
  <c r="U361" i="1"/>
  <c r="J721" i="4"/>
  <c r="N721" i="4" s="1"/>
  <c r="R721" i="3"/>
  <c r="N183" i="3"/>
  <c r="U183" i="1"/>
  <c r="N343" i="3"/>
  <c r="U343" i="1"/>
  <c r="N495" i="3"/>
  <c r="U495" i="1"/>
  <c r="N152" i="3"/>
  <c r="U152" i="1"/>
  <c r="N173" i="3"/>
  <c r="U173" i="1"/>
  <c r="N237" i="3"/>
  <c r="U237" i="1"/>
  <c r="N301" i="3"/>
  <c r="U301" i="1"/>
  <c r="N381" i="3"/>
  <c r="U381" i="1"/>
  <c r="N453" i="3"/>
  <c r="U453" i="1"/>
  <c r="N525" i="3"/>
  <c r="U525" i="1"/>
  <c r="N605" i="3"/>
  <c r="U605" i="1"/>
  <c r="N685" i="3"/>
  <c r="U685" i="1"/>
  <c r="N757" i="3"/>
  <c r="U757" i="1"/>
  <c r="N127" i="3"/>
  <c r="U127" i="1"/>
  <c r="N303" i="3"/>
  <c r="U303" i="1"/>
  <c r="N599" i="3"/>
  <c r="U599" i="1"/>
  <c r="N250" i="3"/>
  <c r="U250" i="1"/>
  <c r="N778" i="3"/>
  <c r="U778" i="1"/>
  <c r="N233" i="3"/>
  <c r="U233" i="1"/>
  <c r="N461" i="3"/>
  <c r="U461" i="1"/>
  <c r="N535" i="3"/>
  <c r="U535" i="1"/>
  <c r="N39" i="3"/>
  <c r="U39" i="1"/>
  <c r="N2" i="3"/>
  <c r="B4" i="9"/>
  <c r="C2" i="15" s="1"/>
  <c r="O721" i="4" l="1"/>
  <c r="P721" i="4"/>
  <c r="Q721" i="4" s="1"/>
  <c r="U721" i="4" s="1"/>
  <c r="O585" i="4"/>
  <c r="P585" i="4"/>
  <c r="Q585" i="4" s="1"/>
  <c r="U585" i="4" s="1"/>
  <c r="O345" i="4"/>
  <c r="P345" i="4"/>
  <c r="Q345" i="4" s="1"/>
  <c r="U345" i="4" s="1"/>
  <c r="O634" i="4"/>
  <c r="P634" i="4"/>
  <c r="Q634" i="4" s="1"/>
  <c r="U634" i="4" s="1"/>
  <c r="O506" i="4"/>
  <c r="P506" i="4"/>
  <c r="Q506" i="4" s="1"/>
  <c r="U506" i="4" s="1"/>
  <c r="O362" i="4"/>
  <c r="P362" i="4"/>
  <c r="Q362" i="4" s="1"/>
  <c r="U362" i="4" s="1"/>
  <c r="O774" i="4"/>
  <c r="P774" i="4"/>
  <c r="Q774" i="4" s="1"/>
  <c r="U774" i="4" s="1"/>
  <c r="O254" i="4"/>
  <c r="P254" i="4"/>
  <c r="Q254" i="4" s="1"/>
  <c r="U254" i="4" s="1"/>
  <c r="O89" i="4"/>
  <c r="P89" i="4"/>
  <c r="Q89" i="4" s="1"/>
  <c r="U89" i="4" s="1"/>
  <c r="O475" i="4"/>
  <c r="P475" i="4"/>
  <c r="Q475" i="4" s="1"/>
  <c r="U475" i="4" s="1"/>
  <c r="O167" i="4"/>
  <c r="P167" i="4"/>
  <c r="Q167" i="4" s="1"/>
  <c r="U167" i="4" s="1"/>
  <c r="O706" i="4"/>
  <c r="P706" i="4"/>
  <c r="Q706" i="4" s="1"/>
  <c r="U706" i="4" s="1"/>
  <c r="O170" i="4"/>
  <c r="P170" i="4"/>
  <c r="Q170" i="4" s="1"/>
  <c r="U170" i="4" s="1"/>
  <c r="O327" i="4"/>
  <c r="P327" i="4"/>
  <c r="Q327" i="4" s="1"/>
  <c r="U327" i="4" s="1"/>
  <c r="O562" i="4"/>
  <c r="P562" i="4"/>
  <c r="Q562" i="4" s="1"/>
  <c r="U562" i="4" s="1"/>
  <c r="O694" i="4"/>
  <c r="P694" i="4"/>
  <c r="Q694" i="4" s="1"/>
  <c r="U694" i="4" s="1"/>
  <c r="O52" i="4"/>
  <c r="P52" i="4"/>
  <c r="Q52" i="4" s="1"/>
  <c r="U52" i="4" s="1"/>
  <c r="O294" i="4"/>
  <c r="P294" i="4"/>
  <c r="Q294" i="4" s="1"/>
  <c r="U294" i="4" s="1"/>
  <c r="O30" i="4"/>
  <c r="P30" i="4"/>
  <c r="Q30" i="4" s="1"/>
  <c r="U30" i="4" s="1"/>
  <c r="O279" i="4"/>
  <c r="P279" i="4"/>
  <c r="Q279" i="4" s="1"/>
  <c r="U279" i="4" s="1"/>
  <c r="O182" i="4"/>
  <c r="P182" i="4"/>
  <c r="Q182" i="4" s="1"/>
  <c r="U182" i="4" s="1"/>
  <c r="O504" i="4"/>
  <c r="P504" i="4"/>
  <c r="Q504" i="4" s="1"/>
  <c r="U504" i="4" s="1"/>
  <c r="O653" i="4"/>
  <c r="P653" i="4"/>
  <c r="Q653" i="4" s="1"/>
  <c r="U653" i="4" s="1"/>
  <c r="O501" i="4"/>
  <c r="P501" i="4"/>
  <c r="Q501" i="4" s="1"/>
  <c r="U501" i="4" s="1"/>
  <c r="O682" i="4"/>
  <c r="P682" i="4"/>
  <c r="Q682" i="4" s="1"/>
  <c r="U682" i="4" s="1"/>
  <c r="O528" i="4"/>
  <c r="P528" i="4"/>
  <c r="Q528" i="4" s="1"/>
  <c r="U528" i="4" s="1"/>
  <c r="O384" i="4"/>
  <c r="P384" i="4"/>
  <c r="Q384" i="4" s="1"/>
  <c r="U384" i="4" s="1"/>
  <c r="O750" i="4"/>
  <c r="P750" i="4"/>
  <c r="Q750" i="4" s="1"/>
  <c r="U750" i="4" s="1"/>
  <c r="O515" i="4"/>
  <c r="P515" i="4"/>
  <c r="Q515" i="4" s="1"/>
  <c r="U515" i="4" s="1"/>
  <c r="O413" i="4"/>
  <c r="P413" i="4"/>
  <c r="Q413" i="4" s="1"/>
  <c r="U413" i="4" s="1"/>
  <c r="O349" i="4"/>
  <c r="P349" i="4"/>
  <c r="Q349" i="4" s="1"/>
  <c r="U349" i="4" s="1"/>
  <c r="O98" i="4"/>
  <c r="P98" i="4"/>
  <c r="Q98" i="4" s="1"/>
  <c r="U98" i="4" s="1"/>
  <c r="O781" i="4"/>
  <c r="P781" i="4"/>
  <c r="Q781" i="4" s="1"/>
  <c r="U781" i="4" s="1"/>
  <c r="O341" i="4"/>
  <c r="P341" i="4"/>
  <c r="Q341" i="4" s="1"/>
  <c r="U341" i="4" s="1"/>
  <c r="O209" i="4"/>
  <c r="P209" i="4"/>
  <c r="Q209" i="4" s="1"/>
  <c r="U209" i="4" s="1"/>
  <c r="O162" i="4"/>
  <c r="P162" i="4"/>
  <c r="Q162" i="4" s="1"/>
  <c r="U162" i="4" s="1"/>
  <c r="O100" i="4"/>
  <c r="P100" i="4"/>
  <c r="Q100" i="4" s="1"/>
  <c r="U100" i="4" s="1"/>
  <c r="O225" i="4"/>
  <c r="P225" i="4"/>
  <c r="Q225" i="4" s="1"/>
  <c r="U225" i="4" s="1"/>
  <c r="O375" i="4"/>
  <c r="P375" i="4"/>
  <c r="Q375" i="4" s="1"/>
  <c r="U375" i="4" s="1"/>
  <c r="O80" i="4"/>
  <c r="P80" i="4"/>
  <c r="Q80" i="4" s="1"/>
  <c r="U80" i="4" s="1"/>
  <c r="O395" i="4"/>
  <c r="P395" i="4"/>
  <c r="Q395" i="4" s="1"/>
  <c r="U395" i="4" s="1"/>
  <c r="O7" i="4"/>
  <c r="P7" i="4"/>
  <c r="Q7" i="4" s="1"/>
  <c r="U7" i="4" s="1"/>
  <c r="O456" i="4"/>
  <c r="P456" i="4"/>
  <c r="Q456" i="4" s="1"/>
  <c r="U456" i="4" s="1"/>
  <c r="O315" i="4"/>
  <c r="P315" i="4"/>
  <c r="Q315" i="4" s="1"/>
  <c r="U315" i="4" s="1"/>
  <c r="O380" i="4"/>
  <c r="P380" i="4"/>
  <c r="Q380" i="4" s="1"/>
  <c r="U380" i="4" s="1"/>
  <c r="O108" i="4"/>
  <c r="P108" i="4"/>
  <c r="Q108" i="4" s="1"/>
  <c r="U108" i="4" s="1"/>
  <c r="O556" i="4"/>
  <c r="P556" i="4"/>
  <c r="Q556" i="4" s="1"/>
  <c r="U556" i="4" s="1"/>
  <c r="O532" i="4"/>
  <c r="P532" i="4"/>
  <c r="Q532" i="4" s="1"/>
  <c r="U532" i="4" s="1"/>
  <c r="J39" i="4"/>
  <c r="N39" i="4" s="1"/>
  <c r="R39" i="3"/>
  <c r="Q39" i="3"/>
  <c r="J535" i="4"/>
  <c r="N535" i="4" s="1"/>
  <c r="R535" i="3"/>
  <c r="Q535" i="3"/>
  <c r="J461" i="4"/>
  <c r="N461" i="4" s="1"/>
  <c r="R461" i="3"/>
  <c r="Q461" i="3"/>
  <c r="J233" i="4"/>
  <c r="N233" i="4" s="1"/>
  <c r="R233" i="3"/>
  <c r="Q233" i="3"/>
  <c r="J778" i="4"/>
  <c r="N778" i="4" s="1"/>
  <c r="R778" i="3"/>
  <c r="Q778" i="3"/>
  <c r="J250" i="4"/>
  <c r="N250" i="4" s="1"/>
  <c r="R250" i="3"/>
  <c r="Q250" i="3"/>
  <c r="J599" i="4"/>
  <c r="N599" i="4" s="1"/>
  <c r="R599" i="3"/>
  <c r="Q599" i="3"/>
  <c r="J303" i="4"/>
  <c r="N303" i="4" s="1"/>
  <c r="R303" i="3"/>
  <c r="Q303" i="3"/>
  <c r="J127" i="4"/>
  <c r="N127" i="4" s="1"/>
  <c r="R127" i="3"/>
  <c r="Q127" i="3"/>
  <c r="J757" i="4"/>
  <c r="N757" i="4" s="1"/>
  <c r="R757" i="3"/>
  <c r="Q757" i="3"/>
  <c r="J685" i="4"/>
  <c r="N685" i="4" s="1"/>
  <c r="R685" i="3"/>
  <c r="Q685" i="3"/>
  <c r="J605" i="4"/>
  <c r="N605" i="4" s="1"/>
  <c r="R605" i="3"/>
  <c r="Q605" i="3"/>
  <c r="J525" i="4"/>
  <c r="N525" i="4" s="1"/>
  <c r="R525" i="3"/>
  <c r="Q525" i="3"/>
  <c r="J453" i="4"/>
  <c r="N453" i="4" s="1"/>
  <c r="R453" i="3"/>
  <c r="Q453" i="3"/>
  <c r="J381" i="4"/>
  <c r="N381" i="4" s="1"/>
  <c r="R381" i="3"/>
  <c r="Q381" i="3"/>
  <c r="J301" i="4"/>
  <c r="N301" i="4" s="1"/>
  <c r="R301" i="3"/>
  <c r="Q301" i="3"/>
  <c r="J237" i="4"/>
  <c r="N237" i="4" s="1"/>
  <c r="R237" i="3"/>
  <c r="Q237" i="3"/>
  <c r="J173" i="4"/>
  <c r="N173" i="4" s="1"/>
  <c r="R173" i="3"/>
  <c r="Q173" i="3"/>
  <c r="J152" i="4"/>
  <c r="N152" i="4" s="1"/>
  <c r="R152" i="3"/>
  <c r="Q152" i="3"/>
  <c r="J495" i="4"/>
  <c r="N495" i="4" s="1"/>
  <c r="R495" i="3"/>
  <c r="Q495" i="3"/>
  <c r="J343" i="4"/>
  <c r="N343" i="4" s="1"/>
  <c r="R343" i="3"/>
  <c r="Q343" i="3"/>
  <c r="J183" i="4"/>
  <c r="N183" i="4" s="1"/>
  <c r="R183" i="3"/>
  <c r="Q183" i="3"/>
  <c r="J361" i="4"/>
  <c r="N361" i="4" s="1"/>
  <c r="R361" i="3"/>
  <c r="Q361" i="3"/>
  <c r="J737" i="4"/>
  <c r="N737" i="4" s="1"/>
  <c r="R737" i="3"/>
  <c r="Q737" i="3"/>
  <c r="J734" i="4"/>
  <c r="N734" i="4" s="1"/>
  <c r="R734" i="3"/>
  <c r="Q734" i="3"/>
  <c r="J358" i="4"/>
  <c r="N358" i="4" s="1"/>
  <c r="R358" i="3"/>
  <c r="Q358" i="3"/>
  <c r="J76" i="4"/>
  <c r="N76" i="4" s="1"/>
  <c r="R76" i="3"/>
  <c r="Q76" i="3"/>
  <c r="J40" i="4"/>
  <c r="N40" i="4" s="1"/>
  <c r="R40" i="3"/>
  <c r="Q40" i="3"/>
  <c r="J714" i="4"/>
  <c r="N714" i="4" s="1"/>
  <c r="R714" i="3"/>
  <c r="Q714" i="3"/>
  <c r="J570" i="4"/>
  <c r="N570" i="4" s="1"/>
  <c r="R570" i="3"/>
  <c r="Q570" i="3"/>
  <c r="J434" i="4"/>
  <c r="N434" i="4" s="1"/>
  <c r="R434" i="3"/>
  <c r="Q434" i="3"/>
  <c r="J282" i="4"/>
  <c r="N282" i="4" s="1"/>
  <c r="R282" i="3"/>
  <c r="Q282" i="3"/>
  <c r="J210" i="4"/>
  <c r="N210" i="4" s="1"/>
  <c r="R210" i="3"/>
  <c r="Q210" i="3"/>
  <c r="J130" i="4"/>
  <c r="N130" i="4" s="1"/>
  <c r="R130" i="3"/>
  <c r="Q130" i="3"/>
  <c r="J58" i="4"/>
  <c r="N58" i="4" s="1"/>
  <c r="R58" i="3"/>
  <c r="Q58" i="3"/>
  <c r="J224" i="4"/>
  <c r="N224" i="4" s="1"/>
  <c r="R224" i="3"/>
  <c r="Q224" i="3"/>
  <c r="J688" i="4"/>
  <c r="N688" i="4" s="1"/>
  <c r="R688" i="3"/>
  <c r="Q688" i="3"/>
  <c r="J552" i="4"/>
  <c r="N552" i="4" s="1"/>
  <c r="R552" i="3"/>
  <c r="Q552" i="3"/>
  <c r="J448" i="4"/>
  <c r="N448" i="4" s="1"/>
  <c r="R448" i="3"/>
  <c r="Q448" i="3"/>
  <c r="J336" i="4"/>
  <c r="N336" i="4" s="1"/>
  <c r="R336" i="3"/>
  <c r="Q336" i="3"/>
  <c r="J200" i="4"/>
  <c r="N200" i="4" s="1"/>
  <c r="R200" i="3"/>
  <c r="Q200" i="3"/>
  <c r="J120" i="4"/>
  <c r="N120" i="4" s="1"/>
  <c r="R120" i="3"/>
  <c r="Q120" i="3"/>
  <c r="J702" i="4"/>
  <c r="N702" i="4" s="1"/>
  <c r="R702" i="3"/>
  <c r="Q702" i="3"/>
  <c r="J606" i="4"/>
  <c r="N606" i="4" s="1"/>
  <c r="R606" i="3"/>
  <c r="Q606" i="3"/>
  <c r="J478" i="4"/>
  <c r="N478" i="4" s="1"/>
  <c r="R478" i="3"/>
  <c r="Q478" i="3"/>
  <c r="J382" i="4"/>
  <c r="N382" i="4" s="1"/>
  <c r="R382" i="3"/>
  <c r="Q382" i="3"/>
  <c r="J118" i="4"/>
  <c r="N118" i="4" s="1"/>
  <c r="R118" i="3"/>
  <c r="Q118" i="3"/>
  <c r="J792" i="4"/>
  <c r="N792" i="4" s="1"/>
  <c r="R792" i="3"/>
  <c r="Q792" i="3"/>
  <c r="J724" i="4"/>
  <c r="N724" i="4" s="1"/>
  <c r="R724" i="3"/>
  <c r="Q724" i="3"/>
  <c r="J620" i="4"/>
  <c r="N620" i="4" s="1"/>
  <c r="R620" i="3"/>
  <c r="Q620" i="3"/>
  <c r="J412" i="4"/>
  <c r="N412" i="4" s="1"/>
  <c r="R412" i="3"/>
  <c r="Q412" i="3"/>
  <c r="J340" i="4"/>
  <c r="N340" i="4" s="1"/>
  <c r="R340" i="3"/>
  <c r="Q340" i="3"/>
  <c r="J276" i="4"/>
  <c r="N276" i="4" s="1"/>
  <c r="R276" i="3"/>
  <c r="Q276" i="3"/>
  <c r="J204" i="4"/>
  <c r="N204" i="4" s="1"/>
  <c r="R204" i="3"/>
  <c r="Q204" i="3"/>
  <c r="J140" i="4"/>
  <c r="N140" i="4" s="1"/>
  <c r="R140" i="3"/>
  <c r="Q140" i="3"/>
  <c r="J60" i="4"/>
  <c r="N60" i="4" s="1"/>
  <c r="R60" i="3"/>
  <c r="Q60" i="3"/>
  <c r="J299" i="4"/>
  <c r="N299" i="4" s="1"/>
  <c r="R299" i="3"/>
  <c r="Q299" i="3"/>
  <c r="J65" i="4"/>
  <c r="N65" i="4" s="1"/>
  <c r="R65" i="3"/>
  <c r="Q65" i="3"/>
  <c r="J440" i="4"/>
  <c r="N440" i="4" s="1"/>
  <c r="R440" i="3"/>
  <c r="Q440" i="3"/>
  <c r="J424" i="4"/>
  <c r="N424" i="4" s="1"/>
  <c r="R424" i="3"/>
  <c r="Q424" i="3"/>
  <c r="J705" i="4"/>
  <c r="N705" i="4" s="1"/>
  <c r="R705" i="3"/>
  <c r="Q705" i="3"/>
  <c r="J409" i="4"/>
  <c r="N409" i="4" s="1"/>
  <c r="R409" i="3"/>
  <c r="Q409" i="3"/>
  <c r="J142" i="4"/>
  <c r="N142" i="4" s="1"/>
  <c r="R142" i="3"/>
  <c r="Q142" i="3"/>
  <c r="J67" i="4"/>
  <c r="N67" i="4" s="1"/>
  <c r="R67" i="3"/>
  <c r="Q67" i="3"/>
  <c r="J531" i="4"/>
  <c r="N531" i="4" s="1"/>
  <c r="R531" i="3"/>
  <c r="Q531" i="3"/>
  <c r="J723" i="4"/>
  <c r="N723" i="4" s="1"/>
  <c r="R723" i="3"/>
  <c r="Q723" i="3"/>
  <c r="J643" i="4"/>
  <c r="N643" i="4" s="1"/>
  <c r="R643" i="3"/>
  <c r="Q643" i="3"/>
  <c r="J18" i="4"/>
  <c r="N18" i="4" s="1"/>
  <c r="R18" i="3"/>
  <c r="Q18" i="3"/>
  <c r="J414" i="4"/>
  <c r="N414" i="4" s="1"/>
  <c r="R414" i="3"/>
  <c r="Q414" i="3"/>
  <c r="J214" i="4"/>
  <c r="N214" i="4" s="1"/>
  <c r="R214" i="3"/>
  <c r="Q214" i="3"/>
  <c r="J627" i="4"/>
  <c r="N627" i="4" s="1"/>
  <c r="R627" i="3"/>
  <c r="Q627" i="3"/>
  <c r="J555" i="4"/>
  <c r="N555" i="4" s="1"/>
  <c r="R555" i="3"/>
  <c r="Q555" i="3"/>
  <c r="J371" i="4"/>
  <c r="N371" i="4" s="1"/>
  <c r="R371" i="3"/>
  <c r="Q371" i="3"/>
  <c r="J307" i="4"/>
  <c r="N307" i="4" s="1"/>
  <c r="R307" i="3"/>
  <c r="Q307" i="3"/>
  <c r="J203" i="4"/>
  <c r="N203" i="4" s="1"/>
  <c r="R203" i="3"/>
  <c r="Q203" i="3"/>
  <c r="J123" i="4"/>
  <c r="N123" i="4" s="1"/>
  <c r="R123" i="3"/>
  <c r="Q123" i="3"/>
  <c r="J34" i="4"/>
  <c r="N34" i="4" s="1"/>
  <c r="R34" i="3"/>
  <c r="Q34" i="3"/>
  <c r="J14" i="4"/>
  <c r="N14" i="4" s="1"/>
  <c r="R14" i="3"/>
  <c r="Q14" i="3"/>
  <c r="J455" i="4"/>
  <c r="N455" i="4" s="1"/>
  <c r="R455" i="3"/>
  <c r="Q455" i="3"/>
  <c r="J588" i="4"/>
  <c r="N588" i="4" s="1"/>
  <c r="R588" i="3"/>
  <c r="Q588" i="3"/>
  <c r="J408" i="4"/>
  <c r="N408" i="4" s="1"/>
  <c r="R408" i="3"/>
  <c r="Q408" i="3"/>
  <c r="J24" i="4"/>
  <c r="N24" i="4" s="1"/>
  <c r="R24" i="3"/>
  <c r="Q24" i="3"/>
  <c r="J604" i="4"/>
  <c r="N604" i="4" s="1"/>
  <c r="R604" i="3"/>
  <c r="Q604" i="3"/>
  <c r="J79" i="4"/>
  <c r="N79" i="4" s="1"/>
  <c r="R79" i="3"/>
  <c r="Q79" i="3"/>
  <c r="J740" i="4"/>
  <c r="N740" i="4" s="1"/>
  <c r="R740" i="3"/>
  <c r="Q740" i="3"/>
  <c r="J439" i="4"/>
  <c r="N439" i="4" s="1"/>
  <c r="R439" i="3"/>
  <c r="Q439" i="3"/>
  <c r="J143" i="4"/>
  <c r="N143" i="4" s="1"/>
  <c r="R143" i="3"/>
  <c r="Q143" i="3"/>
  <c r="J429" i="4"/>
  <c r="N429" i="4" s="1"/>
  <c r="R429" i="3"/>
  <c r="Q429" i="3"/>
  <c r="J169" i="4"/>
  <c r="N169" i="4" s="1"/>
  <c r="R169" i="3"/>
  <c r="Q169" i="3"/>
  <c r="J770" i="4"/>
  <c r="N770" i="4" s="1"/>
  <c r="R770" i="3"/>
  <c r="Q770" i="3"/>
  <c r="J583" i="4"/>
  <c r="N583" i="4" s="1"/>
  <c r="R583" i="3"/>
  <c r="Q583" i="3"/>
  <c r="J263" i="4"/>
  <c r="N263" i="4" s="1"/>
  <c r="R263" i="3"/>
  <c r="Q263" i="3"/>
  <c r="J87" i="4"/>
  <c r="N87" i="4" s="1"/>
  <c r="R87" i="3"/>
  <c r="Q87" i="3"/>
  <c r="J749" i="4"/>
  <c r="N749" i="4" s="1"/>
  <c r="R749" i="3"/>
  <c r="Q749" i="3"/>
  <c r="J669" i="4"/>
  <c r="N669" i="4" s="1"/>
  <c r="R669" i="3"/>
  <c r="Q669" i="3"/>
  <c r="J589" i="4"/>
  <c r="N589" i="4" s="1"/>
  <c r="R589" i="3"/>
  <c r="Q589" i="3"/>
  <c r="J517" i="4"/>
  <c r="N517" i="4" s="1"/>
  <c r="R517" i="3"/>
  <c r="Q517" i="3"/>
  <c r="J445" i="4"/>
  <c r="N445" i="4" s="1"/>
  <c r="R445" i="3"/>
  <c r="Q445" i="3"/>
  <c r="J373" i="4"/>
  <c r="N373" i="4" s="1"/>
  <c r="R373" i="3"/>
  <c r="Q373" i="3"/>
  <c r="J293" i="4"/>
  <c r="N293" i="4" s="1"/>
  <c r="R293" i="3"/>
  <c r="Q293" i="3"/>
  <c r="J229" i="4"/>
  <c r="N229" i="4" s="1"/>
  <c r="R229" i="3"/>
  <c r="Q229" i="3"/>
  <c r="J165" i="4"/>
  <c r="N165" i="4" s="1"/>
  <c r="R165" i="3"/>
  <c r="Q165" i="3"/>
  <c r="J799" i="4"/>
  <c r="N799" i="4" s="1"/>
  <c r="R799" i="3"/>
  <c r="Q799" i="3"/>
  <c r="J487" i="4"/>
  <c r="N487" i="4" s="1"/>
  <c r="R487" i="3"/>
  <c r="Q487" i="3"/>
  <c r="J135" i="4"/>
  <c r="N135" i="4" s="1"/>
  <c r="R135" i="3"/>
  <c r="Q135" i="3"/>
  <c r="J657" i="4"/>
  <c r="N657" i="4" s="1"/>
  <c r="R657" i="3"/>
  <c r="Q657" i="3"/>
  <c r="J305" i="4"/>
  <c r="N305" i="4" s="1"/>
  <c r="R305" i="3"/>
  <c r="Q305" i="3"/>
  <c r="J729" i="4"/>
  <c r="N729" i="4" s="1"/>
  <c r="R729" i="3"/>
  <c r="Q729" i="3"/>
  <c r="J537" i="4"/>
  <c r="N537" i="4" s="1"/>
  <c r="R537" i="3"/>
  <c r="Q537" i="3"/>
  <c r="J337" i="4"/>
  <c r="N337" i="4" s="1"/>
  <c r="R337" i="3"/>
  <c r="Q337" i="3"/>
  <c r="J646" i="4"/>
  <c r="N646" i="4" s="1"/>
  <c r="R646" i="3"/>
  <c r="Q646" i="3"/>
  <c r="J270" i="4"/>
  <c r="N270" i="4" s="1"/>
  <c r="R270" i="3"/>
  <c r="Q270" i="3"/>
  <c r="J752" i="4"/>
  <c r="N752" i="4" s="1"/>
  <c r="R752" i="3"/>
  <c r="Q752" i="3"/>
  <c r="J378" i="4"/>
  <c r="N378" i="4" s="1"/>
  <c r="R378" i="3"/>
  <c r="Q378" i="3"/>
  <c r="J698" i="4"/>
  <c r="N698" i="4" s="1"/>
  <c r="R698" i="3"/>
  <c r="Q698" i="3"/>
  <c r="J626" i="4"/>
  <c r="N626" i="4" s="1"/>
  <c r="R626" i="3"/>
  <c r="Q626" i="3"/>
  <c r="J498" i="4"/>
  <c r="N498" i="4" s="1"/>
  <c r="R498" i="3"/>
  <c r="Q498" i="3"/>
  <c r="J426" i="4"/>
  <c r="N426" i="4" s="1"/>
  <c r="R426" i="3"/>
  <c r="Q426" i="3"/>
  <c r="J346" i="4"/>
  <c r="N346" i="4" s="1"/>
  <c r="R346" i="3"/>
  <c r="Q346" i="3"/>
  <c r="J274" i="4"/>
  <c r="N274" i="4" s="1"/>
  <c r="R274" i="3"/>
  <c r="Q274" i="3"/>
  <c r="J202" i="4"/>
  <c r="N202" i="4" s="1"/>
  <c r="R202" i="3"/>
  <c r="Q202" i="3"/>
  <c r="J122" i="4"/>
  <c r="N122" i="4" s="1"/>
  <c r="R122" i="3"/>
  <c r="Q122" i="3"/>
  <c r="J50" i="4"/>
  <c r="N50" i="4" s="1"/>
  <c r="R50" i="3"/>
  <c r="Q50" i="3"/>
  <c r="J800" i="4"/>
  <c r="N800" i="4" s="1"/>
  <c r="R800" i="3"/>
  <c r="Q800" i="3"/>
  <c r="J656" i="4"/>
  <c r="N656" i="4" s="1"/>
  <c r="R656" i="3"/>
  <c r="Q656" i="3"/>
  <c r="J544" i="4"/>
  <c r="N544" i="4" s="1"/>
  <c r="R544" i="3"/>
  <c r="Q544" i="3"/>
  <c r="J416" i="4"/>
  <c r="N416" i="4" s="1"/>
  <c r="R416" i="3"/>
  <c r="Q416" i="3"/>
  <c r="J320" i="4"/>
  <c r="N320" i="4" s="1"/>
  <c r="R320" i="3"/>
  <c r="Q320" i="3"/>
  <c r="J192" i="4"/>
  <c r="N192" i="4" s="1"/>
  <c r="R192" i="3"/>
  <c r="Q192" i="3"/>
  <c r="J112" i="4"/>
  <c r="N112" i="4" s="1"/>
  <c r="R112" i="3"/>
  <c r="Q112" i="3"/>
  <c r="J766" i="4"/>
  <c r="N766" i="4" s="1"/>
  <c r="R766" i="3"/>
  <c r="Q766" i="3"/>
  <c r="J598" i="4"/>
  <c r="N598" i="4" s="1"/>
  <c r="R598" i="3"/>
  <c r="Q598" i="3"/>
  <c r="J470" i="4"/>
  <c r="N470" i="4" s="1"/>
  <c r="R470" i="3"/>
  <c r="Q470" i="3"/>
  <c r="J374" i="4"/>
  <c r="N374" i="4" s="1"/>
  <c r="R374" i="3"/>
  <c r="Q374" i="3"/>
  <c r="J238" i="4"/>
  <c r="N238" i="4" s="1"/>
  <c r="R238" i="3"/>
  <c r="Q238" i="3"/>
  <c r="J110" i="4"/>
  <c r="N110" i="4" s="1"/>
  <c r="R110" i="3"/>
  <c r="Q110" i="3"/>
  <c r="J664" i="4"/>
  <c r="N664" i="4" s="1"/>
  <c r="R664" i="3"/>
  <c r="Q664" i="3"/>
  <c r="J708" i="4"/>
  <c r="N708" i="4" s="1"/>
  <c r="R708" i="3"/>
  <c r="Q708" i="3"/>
  <c r="J612" i="4"/>
  <c r="N612" i="4" s="1"/>
  <c r="R612" i="3"/>
  <c r="Q612" i="3"/>
  <c r="J404" i="4"/>
  <c r="N404" i="4" s="1"/>
  <c r="R404" i="3"/>
  <c r="Q404" i="3"/>
  <c r="J332" i="4"/>
  <c r="N332" i="4" s="1"/>
  <c r="R332" i="3"/>
  <c r="Q332" i="3"/>
  <c r="J260" i="4"/>
  <c r="N260" i="4" s="1"/>
  <c r="R260" i="3"/>
  <c r="Q260" i="3"/>
  <c r="J196" i="4"/>
  <c r="N196" i="4" s="1"/>
  <c r="R196" i="3"/>
  <c r="Q196" i="3"/>
  <c r="J132" i="4"/>
  <c r="N132" i="4" s="1"/>
  <c r="R132" i="3"/>
  <c r="Q132" i="3"/>
  <c r="J267" i="4"/>
  <c r="N267" i="4" s="1"/>
  <c r="R267" i="3"/>
  <c r="Q267" i="3"/>
  <c r="J697" i="4"/>
  <c r="N697" i="4" s="1"/>
  <c r="R697" i="3"/>
  <c r="Q697" i="3"/>
  <c r="J720" i="4"/>
  <c r="N720" i="4" s="1"/>
  <c r="R720" i="3"/>
  <c r="Q720" i="3"/>
  <c r="J641" i="4"/>
  <c r="N641" i="4" s="1"/>
  <c r="R641" i="3"/>
  <c r="Q641" i="3"/>
  <c r="J377" i="4"/>
  <c r="N377" i="4" s="1"/>
  <c r="R377" i="3"/>
  <c r="Q377" i="3"/>
  <c r="J760" i="4"/>
  <c r="N760" i="4" s="1"/>
  <c r="R760" i="3"/>
  <c r="Q760" i="3"/>
  <c r="J568" i="4"/>
  <c r="N568" i="4" s="1"/>
  <c r="R568" i="3"/>
  <c r="Q568" i="3"/>
  <c r="J12" i="4"/>
  <c r="N12" i="4" s="1"/>
  <c r="R12" i="3"/>
  <c r="Q12" i="3"/>
  <c r="J328" i="4"/>
  <c r="N328" i="4" s="1"/>
  <c r="R328" i="3"/>
  <c r="Q328" i="3"/>
  <c r="J715" i="4"/>
  <c r="N715" i="4" s="1"/>
  <c r="R715" i="3"/>
  <c r="Q715" i="3"/>
  <c r="J579" i="4"/>
  <c r="N579" i="4" s="1"/>
  <c r="R579" i="3"/>
  <c r="Q579" i="3"/>
  <c r="J219" i="4"/>
  <c r="N219" i="4" s="1"/>
  <c r="R219" i="3"/>
  <c r="Q219" i="3"/>
  <c r="J406" i="4"/>
  <c r="N406" i="4" s="1"/>
  <c r="R406" i="3"/>
  <c r="Q406" i="3"/>
  <c r="J198" i="4"/>
  <c r="N198" i="4" s="1"/>
  <c r="R198" i="3"/>
  <c r="Q198" i="3"/>
  <c r="J619" i="4"/>
  <c r="N619" i="4" s="1"/>
  <c r="R619" i="3"/>
  <c r="Q619" i="3"/>
  <c r="J539" i="4"/>
  <c r="N539" i="4" s="1"/>
  <c r="R539" i="3"/>
  <c r="Q539" i="3"/>
  <c r="J467" i="4"/>
  <c r="N467" i="4" s="1"/>
  <c r="R467" i="3"/>
  <c r="Q467" i="3"/>
  <c r="J363" i="4"/>
  <c r="N363" i="4" s="1"/>
  <c r="R363" i="3"/>
  <c r="Q363" i="3"/>
  <c r="J291" i="4"/>
  <c r="N291" i="4" s="1"/>
  <c r="R291" i="3"/>
  <c r="Q291" i="3"/>
  <c r="J195" i="4"/>
  <c r="N195" i="4" s="1"/>
  <c r="R195" i="3"/>
  <c r="Q195" i="3"/>
  <c r="J115" i="4"/>
  <c r="N115" i="4" s="1"/>
  <c r="R115" i="3"/>
  <c r="Q115" i="3"/>
  <c r="J775" i="4"/>
  <c r="N775" i="4" s="1"/>
  <c r="R775" i="3"/>
  <c r="Q775" i="3"/>
  <c r="J519" i="4"/>
  <c r="N519" i="4" s="1"/>
  <c r="R519" i="3"/>
  <c r="Q519" i="3"/>
  <c r="J257" i="4"/>
  <c r="N257" i="4" s="1"/>
  <c r="R257" i="3"/>
  <c r="Q257" i="3"/>
  <c r="J16" i="4"/>
  <c r="N16" i="4" s="1"/>
  <c r="R16" i="3"/>
  <c r="Q16" i="3"/>
  <c r="J575" i="4"/>
  <c r="N575" i="4" s="1"/>
  <c r="R575" i="3"/>
  <c r="Q575" i="3"/>
  <c r="J47" i="4"/>
  <c r="N47" i="4" s="1"/>
  <c r="R47" i="3"/>
  <c r="Q47" i="3"/>
  <c r="J703" i="4"/>
  <c r="N703" i="4" s="1"/>
  <c r="R703" i="3"/>
  <c r="Q703" i="3"/>
  <c r="J88" i="4"/>
  <c r="N88" i="4" s="1"/>
  <c r="R88" i="3"/>
  <c r="Q88" i="3"/>
  <c r="J383" i="4"/>
  <c r="N383" i="4" s="1"/>
  <c r="R383" i="3"/>
  <c r="Q383" i="3"/>
  <c r="J793" i="4"/>
  <c r="N793" i="4" s="1"/>
  <c r="R793" i="3"/>
  <c r="Q793" i="3"/>
  <c r="J105" i="4"/>
  <c r="N105" i="4" s="1"/>
  <c r="R105" i="3"/>
  <c r="Q105" i="3"/>
  <c r="J746" i="4"/>
  <c r="N746" i="4" s="1"/>
  <c r="R746" i="3"/>
  <c r="Q746" i="3"/>
  <c r="J138" i="4"/>
  <c r="N138" i="4" s="1"/>
  <c r="R138" i="3"/>
  <c r="Q138" i="3"/>
  <c r="J567" i="4"/>
  <c r="N567" i="4" s="1"/>
  <c r="R567" i="3"/>
  <c r="Q567" i="3"/>
  <c r="J247" i="4"/>
  <c r="N247" i="4" s="1"/>
  <c r="R247" i="3"/>
  <c r="Q247" i="3"/>
  <c r="J55" i="4"/>
  <c r="N55" i="4" s="1"/>
  <c r="R55" i="3"/>
  <c r="Q55" i="3"/>
  <c r="J741" i="4"/>
  <c r="N741" i="4" s="1"/>
  <c r="R741" i="3"/>
  <c r="Q741" i="3"/>
  <c r="J661" i="4"/>
  <c r="N661" i="4" s="1"/>
  <c r="R661" i="3"/>
  <c r="Q661" i="3"/>
  <c r="J573" i="4"/>
  <c r="N573" i="4" s="1"/>
  <c r="R573" i="3"/>
  <c r="Q573" i="3"/>
  <c r="J509" i="4"/>
  <c r="N509" i="4" s="1"/>
  <c r="R509" i="3"/>
  <c r="Q509" i="3"/>
  <c r="J437" i="4"/>
  <c r="N437" i="4" s="1"/>
  <c r="R437" i="3"/>
  <c r="Q437" i="3"/>
  <c r="J365" i="4"/>
  <c r="N365" i="4" s="1"/>
  <c r="R365" i="3"/>
  <c r="Q365" i="3"/>
  <c r="J285" i="4"/>
  <c r="N285" i="4" s="1"/>
  <c r="R285" i="3"/>
  <c r="Q285" i="3"/>
  <c r="J221" i="4"/>
  <c r="N221" i="4" s="1"/>
  <c r="R221" i="3"/>
  <c r="Q221" i="3"/>
  <c r="J157" i="4"/>
  <c r="N157" i="4" s="1"/>
  <c r="R157" i="3"/>
  <c r="Q157" i="3"/>
  <c r="J783" i="4"/>
  <c r="N783" i="4" s="1"/>
  <c r="R783" i="3"/>
  <c r="Q783" i="3"/>
  <c r="J471" i="4"/>
  <c r="N471" i="4" s="1"/>
  <c r="R471" i="3"/>
  <c r="Q471" i="3"/>
  <c r="J319" i="4"/>
  <c r="N319" i="4" s="1"/>
  <c r="R319" i="3"/>
  <c r="Q319" i="3"/>
  <c r="J111" i="4"/>
  <c r="N111" i="4" s="1"/>
  <c r="R111" i="3"/>
  <c r="Q111" i="3"/>
  <c r="J625" i="4"/>
  <c r="N625" i="4" s="1"/>
  <c r="R625" i="3"/>
  <c r="Q625" i="3"/>
  <c r="J273" i="4"/>
  <c r="N273" i="4" s="1"/>
  <c r="R273" i="3"/>
  <c r="Q273" i="3"/>
  <c r="J713" i="4"/>
  <c r="N713" i="4" s="1"/>
  <c r="R713" i="3"/>
  <c r="Q713" i="3"/>
  <c r="J505" i="4"/>
  <c r="N505" i="4" s="1"/>
  <c r="R505" i="3"/>
  <c r="Q505" i="3"/>
  <c r="J321" i="4"/>
  <c r="N321" i="4" s="1"/>
  <c r="R321" i="3"/>
  <c r="Q321" i="3"/>
  <c r="J638" i="4"/>
  <c r="N638" i="4" s="1"/>
  <c r="R638" i="3"/>
  <c r="Q638" i="3"/>
  <c r="J712" i="4"/>
  <c r="N712" i="4" s="1"/>
  <c r="R712" i="3"/>
  <c r="Q712" i="3"/>
  <c r="J364" i="4"/>
  <c r="N364" i="4" s="1"/>
  <c r="R364" i="3"/>
  <c r="Q364" i="3"/>
  <c r="J690" i="4"/>
  <c r="N690" i="4" s="1"/>
  <c r="R690" i="3"/>
  <c r="Q690" i="3"/>
  <c r="J618" i="4"/>
  <c r="N618" i="4" s="1"/>
  <c r="R618" i="3"/>
  <c r="Q618" i="3"/>
  <c r="J554" i="4"/>
  <c r="N554" i="4" s="1"/>
  <c r="R554" i="3"/>
  <c r="Q554" i="3"/>
  <c r="J490" i="4"/>
  <c r="N490" i="4" s="1"/>
  <c r="R490" i="3"/>
  <c r="Q490" i="3"/>
  <c r="J418" i="4"/>
  <c r="N418" i="4" s="1"/>
  <c r="R418" i="3"/>
  <c r="Q418" i="3"/>
  <c r="J338" i="4"/>
  <c r="N338" i="4" s="1"/>
  <c r="R338" i="3"/>
  <c r="Q338" i="3"/>
  <c r="J266" i="4"/>
  <c r="N266" i="4" s="1"/>
  <c r="R266" i="3"/>
  <c r="Q266" i="3"/>
  <c r="J194" i="4"/>
  <c r="N194" i="4" s="1"/>
  <c r="R194" i="3"/>
  <c r="Q194" i="3"/>
  <c r="J114" i="4"/>
  <c r="N114" i="4" s="1"/>
  <c r="R114" i="3"/>
  <c r="Q114" i="3"/>
  <c r="J160" i="4"/>
  <c r="N160" i="4" s="1"/>
  <c r="R160" i="3"/>
  <c r="Q160" i="3"/>
  <c r="J784" i="4"/>
  <c r="N784" i="4" s="1"/>
  <c r="R784" i="3"/>
  <c r="Q784" i="3"/>
  <c r="J640" i="4"/>
  <c r="N640" i="4" s="1"/>
  <c r="R640" i="3"/>
  <c r="Q640" i="3"/>
  <c r="J536" i="4"/>
  <c r="N536" i="4" s="1"/>
  <c r="R536" i="3"/>
  <c r="Q536" i="3"/>
  <c r="J392" i="4"/>
  <c r="N392" i="4" s="1"/>
  <c r="R392" i="3"/>
  <c r="Q392" i="3"/>
  <c r="J304" i="4"/>
  <c r="N304" i="4" s="1"/>
  <c r="R304" i="3"/>
  <c r="Q304" i="3"/>
  <c r="J184" i="4"/>
  <c r="N184" i="4" s="1"/>
  <c r="R184" i="3"/>
  <c r="Q184" i="3"/>
  <c r="J96" i="4"/>
  <c r="N96" i="4" s="1"/>
  <c r="R96" i="3"/>
  <c r="Q96" i="3"/>
  <c r="J758" i="4"/>
  <c r="N758" i="4" s="1"/>
  <c r="R758" i="3"/>
  <c r="Q758" i="3"/>
  <c r="J686" i="4"/>
  <c r="N686" i="4" s="1"/>
  <c r="R686" i="3"/>
  <c r="Q686" i="3"/>
  <c r="J582" i="4"/>
  <c r="N582" i="4" s="1"/>
  <c r="R582" i="3"/>
  <c r="Q582" i="3"/>
  <c r="J462" i="4"/>
  <c r="N462" i="4" s="1"/>
  <c r="R462" i="3"/>
  <c r="Q462" i="3"/>
  <c r="J366" i="4"/>
  <c r="N366" i="4" s="1"/>
  <c r="R366" i="3"/>
  <c r="Q366" i="3"/>
  <c r="J230" i="4"/>
  <c r="N230" i="4" s="1"/>
  <c r="R230" i="3"/>
  <c r="Q230" i="3"/>
  <c r="J102" i="4"/>
  <c r="N102" i="4" s="1"/>
  <c r="R102" i="3"/>
  <c r="Q102" i="3"/>
  <c r="J496" i="4"/>
  <c r="N496" i="4" s="1"/>
  <c r="R496" i="3"/>
  <c r="Q496" i="3"/>
  <c r="J700" i="4"/>
  <c r="N700" i="4" s="1"/>
  <c r="R700" i="3"/>
  <c r="Q700" i="3"/>
  <c r="J484" i="4"/>
  <c r="N484" i="4" s="1"/>
  <c r="R484" i="3"/>
  <c r="Q484" i="3"/>
  <c r="J396" i="4"/>
  <c r="N396" i="4" s="1"/>
  <c r="R396" i="3"/>
  <c r="Q396" i="3"/>
  <c r="J324" i="4"/>
  <c r="N324" i="4" s="1"/>
  <c r="R324" i="3"/>
  <c r="Q324" i="3"/>
  <c r="J252" i="4"/>
  <c r="N252" i="4" s="1"/>
  <c r="R252" i="3"/>
  <c r="Q252" i="3"/>
  <c r="J188" i="4"/>
  <c r="N188" i="4" s="1"/>
  <c r="R188" i="3"/>
  <c r="Q188" i="3"/>
  <c r="J124" i="4"/>
  <c r="N124" i="4" s="1"/>
  <c r="R124" i="3"/>
  <c r="Q124" i="3"/>
  <c r="J44" i="4"/>
  <c r="N44" i="4" s="1"/>
  <c r="R44" i="3"/>
  <c r="Q44" i="3"/>
  <c r="J235" i="4"/>
  <c r="N235" i="4" s="1"/>
  <c r="R235" i="3"/>
  <c r="Q235" i="3"/>
  <c r="J617" i="4"/>
  <c r="N617" i="4" s="1"/>
  <c r="R617" i="3"/>
  <c r="Q617" i="3"/>
  <c r="J488" i="4"/>
  <c r="N488" i="4" s="1"/>
  <c r="R488" i="3"/>
  <c r="Q488" i="3"/>
  <c r="J280" i="4"/>
  <c r="N280" i="4" s="1"/>
  <c r="R280" i="3"/>
  <c r="Q280" i="3"/>
  <c r="J633" i="4"/>
  <c r="N633" i="4" s="1"/>
  <c r="R633" i="3"/>
  <c r="Q633" i="3"/>
  <c r="J313" i="4"/>
  <c r="N313" i="4" s="1"/>
  <c r="R313" i="3"/>
  <c r="Q313" i="3"/>
  <c r="J736" i="4"/>
  <c r="N736" i="4" s="1"/>
  <c r="R736" i="3"/>
  <c r="Q736" i="3"/>
  <c r="J520" i="4"/>
  <c r="N520" i="4" s="1"/>
  <c r="R520" i="3"/>
  <c r="Q520" i="3"/>
  <c r="J755" i="4"/>
  <c r="N755" i="4" s="1"/>
  <c r="R755" i="3"/>
  <c r="Q755" i="3"/>
  <c r="J787" i="4"/>
  <c r="N787" i="4" s="1"/>
  <c r="R787" i="3"/>
  <c r="Q787" i="3"/>
  <c r="J707" i="4"/>
  <c r="N707" i="4" s="1"/>
  <c r="R707" i="3"/>
  <c r="Q707" i="3"/>
  <c r="J795" i="4"/>
  <c r="N795" i="4" s="1"/>
  <c r="R795" i="3"/>
  <c r="Q795" i="3"/>
  <c r="J681" i="4"/>
  <c r="N681" i="4" s="1"/>
  <c r="R681" i="3"/>
  <c r="Q681" i="3"/>
  <c r="J398" i="4"/>
  <c r="N398" i="4" s="1"/>
  <c r="R398" i="3"/>
  <c r="Q398" i="3"/>
  <c r="J158" i="4"/>
  <c r="N158" i="4" s="1"/>
  <c r="R158" i="3"/>
  <c r="Q158" i="3"/>
  <c r="J611" i="4"/>
  <c r="N611" i="4" s="1"/>
  <c r="R611" i="3"/>
  <c r="Q611" i="3"/>
  <c r="J523" i="4"/>
  <c r="N523" i="4" s="1"/>
  <c r="R523" i="3"/>
  <c r="Q523" i="3"/>
  <c r="J451" i="4"/>
  <c r="N451" i="4" s="1"/>
  <c r="R451" i="3"/>
  <c r="Q451" i="3"/>
  <c r="J355" i="4"/>
  <c r="N355" i="4" s="1"/>
  <c r="R355" i="3"/>
  <c r="Q355" i="3"/>
  <c r="J283" i="4"/>
  <c r="N283" i="4" s="1"/>
  <c r="R283" i="3"/>
  <c r="Q283" i="3"/>
  <c r="J179" i="4"/>
  <c r="N179" i="4" s="1"/>
  <c r="R179" i="3"/>
  <c r="Q179" i="3"/>
  <c r="J99" i="4"/>
  <c r="N99" i="4" s="1"/>
  <c r="R99" i="3"/>
  <c r="Q99" i="3"/>
  <c r="J735" i="4"/>
  <c r="N735" i="4" s="1"/>
  <c r="R735" i="3"/>
  <c r="Q735" i="3"/>
  <c r="J27" i="4"/>
  <c r="N27" i="4" s="1"/>
  <c r="R27" i="3"/>
  <c r="Q27" i="3"/>
  <c r="J26" i="4"/>
  <c r="N26" i="4" s="1"/>
  <c r="R26" i="3"/>
  <c r="Q26" i="3"/>
  <c r="J447" i="4"/>
  <c r="N447" i="4" s="1"/>
  <c r="R447" i="3"/>
  <c r="Q447" i="3"/>
  <c r="J104" i="4"/>
  <c r="N104" i="4" s="1"/>
  <c r="R104" i="3"/>
  <c r="Q104" i="3"/>
  <c r="J8" i="4"/>
  <c r="N8" i="4" s="1"/>
  <c r="R8" i="3"/>
  <c r="Q8" i="3"/>
  <c r="J9" i="4"/>
  <c r="N9" i="4" s="1"/>
  <c r="R9" i="3"/>
  <c r="Q9" i="3"/>
  <c r="J648" i="4"/>
  <c r="N648" i="4" s="1"/>
  <c r="R648" i="3"/>
  <c r="Q648" i="3"/>
  <c r="J29" i="4"/>
  <c r="N29" i="4" s="1"/>
  <c r="R29" i="3"/>
  <c r="Q29" i="3"/>
  <c r="J581" i="4"/>
  <c r="N581" i="4" s="1"/>
  <c r="R581" i="3"/>
  <c r="Q581" i="3"/>
  <c r="J95" i="4"/>
  <c r="N95" i="4" s="1"/>
  <c r="R95" i="3"/>
  <c r="Q95" i="3"/>
  <c r="J569" i="4"/>
  <c r="N569" i="4" s="1"/>
  <c r="R569" i="3"/>
  <c r="Q569" i="3"/>
  <c r="J81" i="4"/>
  <c r="N81" i="4" s="1"/>
  <c r="R81" i="3"/>
  <c r="Q81" i="3"/>
  <c r="J722" i="4"/>
  <c r="N722" i="4" s="1"/>
  <c r="R722" i="3"/>
  <c r="Q722" i="3"/>
  <c r="J66" i="4"/>
  <c r="N66" i="4" s="1"/>
  <c r="R66" i="3"/>
  <c r="Q66" i="3"/>
  <c r="J543" i="4"/>
  <c r="N543" i="4" s="1"/>
  <c r="R543" i="3"/>
  <c r="Q543" i="3"/>
  <c r="J231" i="4"/>
  <c r="N231" i="4" s="1"/>
  <c r="R231" i="3"/>
  <c r="Q231" i="3"/>
  <c r="J797" i="4"/>
  <c r="N797" i="4" s="1"/>
  <c r="R797" i="3"/>
  <c r="Q797" i="3"/>
  <c r="J733" i="4"/>
  <c r="N733" i="4" s="1"/>
  <c r="R733" i="3"/>
  <c r="Q733" i="3"/>
  <c r="J565" i="4"/>
  <c r="N565" i="4" s="1"/>
  <c r="R565" i="3"/>
  <c r="Q565" i="3"/>
  <c r="J421" i="4"/>
  <c r="N421" i="4" s="1"/>
  <c r="R421" i="3"/>
  <c r="Q421" i="3"/>
  <c r="J357" i="4"/>
  <c r="N357" i="4" s="1"/>
  <c r="R357" i="3"/>
  <c r="Q357" i="3"/>
  <c r="J277" i="4"/>
  <c r="N277" i="4" s="1"/>
  <c r="R277" i="3"/>
  <c r="Q277" i="3"/>
  <c r="J213" i="4"/>
  <c r="N213" i="4" s="1"/>
  <c r="R213" i="3"/>
  <c r="Q213" i="3"/>
  <c r="J93" i="4"/>
  <c r="N93" i="4" s="1"/>
  <c r="R93" i="3"/>
  <c r="Q93" i="3"/>
  <c r="J743" i="4"/>
  <c r="N743" i="4" s="1"/>
  <c r="R743" i="3"/>
  <c r="Q743" i="3"/>
  <c r="J423" i="4"/>
  <c r="N423" i="4" s="1"/>
  <c r="R423" i="3"/>
  <c r="Q423" i="3"/>
  <c r="J295" i="4"/>
  <c r="N295" i="4" s="1"/>
  <c r="R295" i="3"/>
  <c r="Q295" i="3"/>
  <c r="J71" i="4"/>
  <c r="N71" i="4" s="1"/>
  <c r="R71" i="3"/>
  <c r="Q71" i="3"/>
  <c r="J577" i="4"/>
  <c r="N577" i="4" s="1"/>
  <c r="R577" i="3"/>
  <c r="Q577" i="3"/>
  <c r="J241" i="4"/>
  <c r="N241" i="4" s="1"/>
  <c r="R241" i="3"/>
  <c r="Q241" i="3"/>
  <c r="J689" i="4"/>
  <c r="N689" i="4" s="1"/>
  <c r="R689" i="3"/>
  <c r="Q689" i="3"/>
  <c r="J465" i="4"/>
  <c r="N465" i="4" s="1"/>
  <c r="R465" i="3"/>
  <c r="Q465" i="3"/>
  <c r="J201" i="4"/>
  <c r="N201" i="4" s="1"/>
  <c r="R201" i="3"/>
  <c r="Q201" i="3"/>
  <c r="J622" i="4"/>
  <c r="N622" i="4" s="1"/>
  <c r="R622" i="3"/>
  <c r="Q622" i="3"/>
  <c r="J150" i="4"/>
  <c r="N150" i="4" s="1"/>
  <c r="R150" i="3"/>
  <c r="Q150" i="3"/>
  <c r="J400" i="4"/>
  <c r="N400" i="4" s="1"/>
  <c r="R400" i="3"/>
  <c r="Q400" i="3"/>
  <c r="J68" i="4"/>
  <c r="N68" i="4" s="1"/>
  <c r="R68" i="3"/>
  <c r="Q68" i="3"/>
  <c r="J610" i="4"/>
  <c r="N610" i="4" s="1"/>
  <c r="R610" i="3"/>
  <c r="Q610" i="3"/>
  <c r="J546" i="4"/>
  <c r="N546" i="4" s="1"/>
  <c r="R546" i="3"/>
  <c r="Q546" i="3"/>
  <c r="J482" i="4"/>
  <c r="N482" i="4" s="1"/>
  <c r="R482" i="3"/>
  <c r="Q482" i="3"/>
  <c r="J410" i="4"/>
  <c r="N410" i="4" s="1"/>
  <c r="R410" i="3"/>
  <c r="Q410" i="3"/>
  <c r="J330" i="4"/>
  <c r="N330" i="4" s="1"/>
  <c r="R330" i="3"/>
  <c r="Q330" i="3"/>
  <c r="J258" i="4"/>
  <c r="N258" i="4" s="1"/>
  <c r="R258" i="3"/>
  <c r="Q258" i="3"/>
  <c r="J186" i="4"/>
  <c r="N186" i="4" s="1"/>
  <c r="R186" i="3"/>
  <c r="Q186" i="3"/>
  <c r="J106" i="4"/>
  <c r="N106" i="4" s="1"/>
  <c r="R106" i="3"/>
  <c r="Q106" i="3"/>
  <c r="J691" i="4"/>
  <c r="N691" i="4" s="1"/>
  <c r="R691" i="3"/>
  <c r="Q691" i="3"/>
  <c r="J776" i="4"/>
  <c r="N776" i="4" s="1"/>
  <c r="R776" i="3"/>
  <c r="Q776" i="3"/>
  <c r="J632" i="4"/>
  <c r="N632" i="4" s="1"/>
  <c r="R632" i="3"/>
  <c r="Q632" i="3"/>
  <c r="J296" i="4"/>
  <c r="N296" i="4" s="1"/>
  <c r="R296" i="3"/>
  <c r="Q296" i="3"/>
  <c r="J176" i="4"/>
  <c r="N176" i="4" s="1"/>
  <c r="R176" i="3"/>
  <c r="Q176" i="3"/>
  <c r="J64" i="4"/>
  <c r="N64" i="4" s="1"/>
  <c r="R64" i="3"/>
  <c r="Q64" i="3"/>
  <c r="J678" i="4"/>
  <c r="N678" i="4" s="1"/>
  <c r="R678" i="3"/>
  <c r="Q678" i="3"/>
  <c r="J558" i="4"/>
  <c r="N558" i="4" s="1"/>
  <c r="R558" i="3"/>
  <c r="Q558" i="3"/>
  <c r="J454" i="4"/>
  <c r="N454" i="4" s="1"/>
  <c r="R454" i="3"/>
  <c r="Q454" i="3"/>
  <c r="J334" i="4"/>
  <c r="N334" i="4" s="1"/>
  <c r="R334" i="3"/>
  <c r="Q334" i="3"/>
  <c r="J190" i="4"/>
  <c r="N190" i="4" s="1"/>
  <c r="R190" i="3"/>
  <c r="Q190" i="3"/>
  <c r="J94" i="4"/>
  <c r="N94" i="4" s="1"/>
  <c r="R94" i="3"/>
  <c r="Q94" i="3"/>
  <c r="J312" i="4"/>
  <c r="N312" i="4" s="1"/>
  <c r="R312" i="3"/>
  <c r="Q312" i="3"/>
  <c r="J684" i="4"/>
  <c r="N684" i="4" s="1"/>
  <c r="R684" i="3"/>
  <c r="Q684" i="3"/>
  <c r="J452" i="4"/>
  <c r="N452" i="4" s="1"/>
  <c r="R452" i="3"/>
  <c r="Q452" i="3"/>
  <c r="J388" i="4"/>
  <c r="N388" i="4" s="1"/>
  <c r="R388" i="3"/>
  <c r="Q388" i="3"/>
  <c r="J316" i="4"/>
  <c r="N316" i="4" s="1"/>
  <c r="R316" i="3"/>
  <c r="Q316" i="3"/>
  <c r="J244" i="4"/>
  <c r="N244" i="4" s="1"/>
  <c r="R244" i="3"/>
  <c r="Q244" i="3"/>
  <c r="J180" i="4"/>
  <c r="N180" i="4" s="1"/>
  <c r="R180" i="3"/>
  <c r="Q180" i="3"/>
  <c r="J116" i="4"/>
  <c r="N116" i="4" s="1"/>
  <c r="R116" i="3"/>
  <c r="Q116" i="3"/>
  <c r="J36" i="4"/>
  <c r="N36" i="4" s="1"/>
  <c r="R36" i="3"/>
  <c r="Q36" i="3"/>
  <c r="J187" i="4"/>
  <c r="N187" i="4" s="1"/>
  <c r="R187" i="3"/>
  <c r="Q187" i="3"/>
  <c r="J561" i="4"/>
  <c r="N561" i="4" s="1"/>
  <c r="R561" i="3"/>
  <c r="Q561" i="3"/>
  <c r="J368" i="4"/>
  <c r="N368" i="4" s="1"/>
  <c r="R368" i="3"/>
  <c r="Q368" i="3"/>
  <c r="J4" i="4"/>
  <c r="N4" i="4" s="1"/>
  <c r="R4" i="3"/>
  <c r="Q4" i="3"/>
  <c r="J609" i="4"/>
  <c r="N609" i="4" s="1"/>
  <c r="R609" i="3"/>
  <c r="Q609" i="3"/>
  <c r="J289" i="4"/>
  <c r="N289" i="4" s="1"/>
  <c r="R289" i="3"/>
  <c r="Q289" i="3"/>
  <c r="J680" i="4"/>
  <c r="N680" i="4" s="1"/>
  <c r="R680" i="3"/>
  <c r="Q680" i="3"/>
  <c r="J49" i="4"/>
  <c r="N49" i="4" s="1"/>
  <c r="R49" i="3"/>
  <c r="Q49" i="3"/>
  <c r="J699" i="4"/>
  <c r="N699" i="4" s="1"/>
  <c r="R699" i="3"/>
  <c r="Q699" i="3"/>
  <c r="J779" i="4"/>
  <c r="N779" i="4" s="1"/>
  <c r="R779" i="3"/>
  <c r="Q779" i="3"/>
  <c r="J683" i="4"/>
  <c r="N683" i="4" s="1"/>
  <c r="R683" i="3"/>
  <c r="Q683" i="3"/>
  <c r="J751" i="4"/>
  <c r="N751" i="4" s="1"/>
  <c r="R751" i="3"/>
  <c r="Q751" i="3"/>
  <c r="J513" i="4"/>
  <c r="N513" i="4" s="1"/>
  <c r="R513" i="3"/>
  <c r="Q513" i="3"/>
  <c r="J342" i="4"/>
  <c r="N342" i="4" s="1"/>
  <c r="R342" i="3"/>
  <c r="Q342" i="3"/>
  <c r="J86" i="4"/>
  <c r="N86" i="4" s="1"/>
  <c r="R86" i="3"/>
  <c r="Q86" i="3"/>
  <c r="J603" i="4"/>
  <c r="N603" i="4" s="1"/>
  <c r="R603" i="3"/>
  <c r="Q603" i="3"/>
  <c r="J427" i="4"/>
  <c r="N427" i="4" s="1"/>
  <c r="R427" i="3"/>
  <c r="Q427" i="3"/>
  <c r="J347" i="4"/>
  <c r="N347" i="4" s="1"/>
  <c r="R347" i="3"/>
  <c r="Q347" i="3"/>
  <c r="J275" i="4"/>
  <c r="N275" i="4" s="1"/>
  <c r="R275" i="3"/>
  <c r="Q275" i="3"/>
  <c r="J171" i="4"/>
  <c r="N171" i="4" s="1"/>
  <c r="R171" i="3"/>
  <c r="Q171" i="3"/>
  <c r="J91" i="4"/>
  <c r="N91" i="4" s="1"/>
  <c r="R91" i="3"/>
  <c r="Q91" i="3"/>
  <c r="J28" i="4"/>
  <c r="N28" i="4" s="1"/>
  <c r="R28" i="3"/>
  <c r="Q28" i="3"/>
  <c r="J3" i="4"/>
  <c r="N3" i="4" s="1"/>
  <c r="R3" i="3"/>
  <c r="Q3" i="3"/>
  <c r="J10" i="4"/>
  <c r="N10" i="4" s="1"/>
  <c r="R10" i="3"/>
  <c r="Q10" i="3"/>
  <c r="J193" i="4"/>
  <c r="N193" i="4" s="1"/>
  <c r="R193" i="3"/>
  <c r="Q193" i="3"/>
  <c r="J553" i="4"/>
  <c r="N553" i="4" s="1"/>
  <c r="R553" i="3"/>
  <c r="Q553" i="3"/>
  <c r="J759" i="4"/>
  <c r="N759" i="4" s="1"/>
  <c r="R759" i="3"/>
  <c r="Q759" i="3"/>
  <c r="J333" i="4"/>
  <c r="N333" i="4" s="1"/>
  <c r="R333" i="3"/>
  <c r="Q333" i="3"/>
  <c r="J693" i="4"/>
  <c r="N693" i="4" s="1"/>
  <c r="R693" i="3"/>
  <c r="Q693" i="3"/>
  <c r="J521" i="4"/>
  <c r="N521" i="4" s="1"/>
  <c r="R521" i="3"/>
  <c r="Q521" i="3"/>
  <c r="J73" i="4"/>
  <c r="N73" i="4" s="1"/>
  <c r="R73" i="3"/>
  <c r="Q73" i="3"/>
  <c r="J650" i="4"/>
  <c r="N650" i="4" s="1"/>
  <c r="R650" i="3"/>
  <c r="Q650" i="3"/>
  <c r="J791" i="4"/>
  <c r="N791" i="4" s="1"/>
  <c r="R791" i="3"/>
  <c r="Q791" i="3"/>
  <c r="J463" i="4"/>
  <c r="N463" i="4" s="1"/>
  <c r="R463" i="3"/>
  <c r="Q463" i="3"/>
  <c r="J223" i="4"/>
  <c r="N223" i="4" s="1"/>
  <c r="R223" i="3"/>
  <c r="Q223" i="3"/>
  <c r="J789" i="4"/>
  <c r="N789" i="4" s="1"/>
  <c r="R789" i="3"/>
  <c r="Q789" i="3"/>
  <c r="J725" i="4"/>
  <c r="N725" i="4" s="1"/>
  <c r="R725" i="3"/>
  <c r="Q725" i="3"/>
  <c r="J645" i="4"/>
  <c r="N645" i="4" s="1"/>
  <c r="R645" i="3"/>
  <c r="Q645" i="3"/>
  <c r="J557" i="4"/>
  <c r="N557" i="4" s="1"/>
  <c r="R557" i="3"/>
  <c r="Q557" i="3"/>
  <c r="J493" i="4"/>
  <c r="N493" i="4" s="1"/>
  <c r="R493" i="3"/>
  <c r="Q493" i="3"/>
  <c r="J269" i="4"/>
  <c r="N269" i="4" s="1"/>
  <c r="R269" i="3"/>
  <c r="Q269" i="3"/>
  <c r="J205" i="4"/>
  <c r="N205" i="4" s="1"/>
  <c r="R205" i="3"/>
  <c r="Q205" i="3"/>
  <c r="J53" i="4"/>
  <c r="N53" i="4" s="1"/>
  <c r="R53" i="3"/>
  <c r="Q53" i="3"/>
  <c r="J647" i="4"/>
  <c r="N647" i="4" s="1"/>
  <c r="R647" i="3"/>
  <c r="Q647" i="3"/>
  <c r="J399" i="4"/>
  <c r="N399" i="4" s="1"/>
  <c r="R399" i="3"/>
  <c r="Q399" i="3"/>
  <c r="J287" i="4"/>
  <c r="N287" i="4" s="1"/>
  <c r="R287" i="3"/>
  <c r="Q287" i="3"/>
  <c r="J63" i="4"/>
  <c r="N63" i="4" s="1"/>
  <c r="R63" i="3"/>
  <c r="Q63" i="3"/>
  <c r="J529" i="4"/>
  <c r="N529" i="4" s="1"/>
  <c r="R529" i="3"/>
  <c r="Q529" i="3"/>
  <c r="J785" i="4"/>
  <c r="N785" i="4" s="1"/>
  <c r="R785" i="3"/>
  <c r="Q785" i="3"/>
  <c r="J673" i="4"/>
  <c r="N673" i="4" s="1"/>
  <c r="R673" i="3"/>
  <c r="Q673" i="3"/>
  <c r="J449" i="4"/>
  <c r="N449" i="4" s="1"/>
  <c r="R449" i="3"/>
  <c r="Q449" i="3"/>
  <c r="J161" i="4"/>
  <c r="N161" i="4" s="1"/>
  <c r="R161" i="3"/>
  <c r="Q161" i="3"/>
  <c r="J590" i="4"/>
  <c r="N590" i="4" s="1"/>
  <c r="R590" i="3"/>
  <c r="Q590" i="3"/>
  <c r="J46" i="4"/>
  <c r="N46" i="4" s="1"/>
  <c r="R46" i="3"/>
  <c r="Q46" i="3"/>
  <c r="J272" i="4"/>
  <c r="N272" i="4" s="1"/>
  <c r="R272" i="3"/>
  <c r="Q272" i="3"/>
  <c r="J762" i="4"/>
  <c r="N762" i="4" s="1"/>
  <c r="R762" i="3"/>
  <c r="Q762" i="3"/>
  <c r="J674" i="4"/>
  <c r="N674" i="4" s="1"/>
  <c r="R674" i="3"/>
  <c r="Q674" i="3"/>
  <c r="J602" i="4"/>
  <c r="N602" i="4" s="1"/>
  <c r="R602" i="3"/>
  <c r="Q602" i="3"/>
  <c r="J538" i="4"/>
  <c r="N538" i="4" s="1"/>
  <c r="R538" i="3"/>
  <c r="Q538" i="3"/>
  <c r="J466" i="4"/>
  <c r="N466" i="4" s="1"/>
  <c r="R466" i="3"/>
  <c r="Q466" i="3"/>
  <c r="J402" i="4"/>
  <c r="N402" i="4" s="1"/>
  <c r="R402" i="3"/>
  <c r="Q402" i="3"/>
  <c r="J322" i="4"/>
  <c r="N322" i="4" s="1"/>
  <c r="R322" i="3"/>
  <c r="Q322" i="3"/>
  <c r="J242" i="4"/>
  <c r="N242" i="4" s="1"/>
  <c r="R242" i="3"/>
  <c r="Q242" i="3"/>
  <c r="J178" i="4"/>
  <c r="N178" i="4" s="1"/>
  <c r="R178" i="3"/>
  <c r="Q178" i="3"/>
  <c r="J739" i="4"/>
  <c r="N739" i="4" s="1"/>
  <c r="R739" i="3"/>
  <c r="Q739" i="3"/>
  <c r="J744" i="4"/>
  <c r="N744" i="4" s="1"/>
  <c r="R744" i="3"/>
  <c r="Q744" i="3"/>
  <c r="J325" i="4"/>
  <c r="N325" i="4" s="1"/>
  <c r="R325" i="3"/>
  <c r="Q325" i="3"/>
  <c r="J677" i="4"/>
  <c r="N677" i="4" s="1"/>
  <c r="R677" i="3"/>
  <c r="Q677" i="3"/>
  <c r="J497" i="4"/>
  <c r="N497" i="4" s="1"/>
  <c r="R497" i="3"/>
  <c r="Q497" i="3"/>
  <c r="J480" i="4"/>
  <c r="N480" i="4" s="1"/>
  <c r="R480" i="3"/>
  <c r="Q480" i="3"/>
  <c r="J474" i="4"/>
  <c r="N474" i="4" s="1"/>
  <c r="R474" i="3"/>
  <c r="Q474" i="3"/>
  <c r="J719" i="4"/>
  <c r="N719" i="4" s="1"/>
  <c r="R719" i="3"/>
  <c r="Q719" i="3"/>
  <c r="J415" i="4"/>
  <c r="N415" i="4" s="1"/>
  <c r="R415" i="3"/>
  <c r="Q415" i="3"/>
  <c r="J175" i="4"/>
  <c r="N175" i="4" s="1"/>
  <c r="R175" i="3"/>
  <c r="Q175" i="3"/>
  <c r="J717" i="4"/>
  <c r="N717" i="4" s="1"/>
  <c r="R717" i="3"/>
  <c r="Q717" i="3"/>
  <c r="J637" i="4"/>
  <c r="N637" i="4" s="1"/>
  <c r="R637" i="3"/>
  <c r="Q637" i="3"/>
  <c r="J549" i="4"/>
  <c r="N549" i="4" s="1"/>
  <c r="R549" i="3"/>
  <c r="Q549" i="3"/>
  <c r="J485" i="4"/>
  <c r="N485" i="4" s="1"/>
  <c r="R485" i="3"/>
  <c r="Q485" i="3"/>
  <c r="J405" i="4"/>
  <c r="N405" i="4" s="1"/>
  <c r="R405" i="3"/>
  <c r="Q405" i="3"/>
  <c r="J261" i="4"/>
  <c r="N261" i="4" s="1"/>
  <c r="R261" i="3"/>
  <c r="Q261" i="3"/>
  <c r="J197" i="4"/>
  <c r="N197" i="4" s="1"/>
  <c r="R197" i="3"/>
  <c r="Q197" i="3"/>
  <c r="J208" i="4"/>
  <c r="N208" i="4" s="1"/>
  <c r="R208" i="3"/>
  <c r="Q208" i="3"/>
  <c r="J615" i="4"/>
  <c r="N615" i="4" s="1"/>
  <c r="R615" i="3"/>
  <c r="Q615" i="3"/>
  <c r="J391" i="4"/>
  <c r="N391" i="4" s="1"/>
  <c r="R391" i="3"/>
  <c r="Q391" i="3"/>
  <c r="J239" i="4"/>
  <c r="N239" i="4" s="1"/>
  <c r="R239" i="3"/>
  <c r="Q239" i="3"/>
  <c r="J206" i="4"/>
  <c r="N206" i="4" s="1"/>
  <c r="R206" i="3"/>
  <c r="Q206" i="3"/>
  <c r="J457" i="4"/>
  <c r="N457" i="4" s="1"/>
  <c r="R457" i="3"/>
  <c r="Q457" i="3"/>
  <c r="J777" i="4"/>
  <c r="N777" i="4" s="1"/>
  <c r="R777" i="3"/>
  <c r="Q777" i="3"/>
  <c r="J649" i="4"/>
  <c r="N649" i="4" s="1"/>
  <c r="R649" i="3"/>
  <c r="Q649" i="3"/>
  <c r="J425" i="4"/>
  <c r="N425" i="4" s="1"/>
  <c r="R425" i="3"/>
  <c r="Q425" i="3"/>
  <c r="J145" i="4"/>
  <c r="N145" i="4" s="1"/>
  <c r="R145" i="3"/>
  <c r="Q145" i="3"/>
  <c r="J566" i="4"/>
  <c r="N566" i="4" s="1"/>
  <c r="R566" i="3"/>
  <c r="Q566" i="3"/>
  <c r="J240" i="4"/>
  <c r="N240" i="4" s="1"/>
  <c r="R240" i="3"/>
  <c r="Q240" i="3"/>
  <c r="J754" i="4"/>
  <c r="N754" i="4" s="1"/>
  <c r="R754" i="3"/>
  <c r="Q754" i="3"/>
  <c r="J666" i="4"/>
  <c r="N666" i="4" s="1"/>
  <c r="R666" i="3"/>
  <c r="Q666" i="3"/>
  <c r="J594" i="4"/>
  <c r="N594" i="4" s="1"/>
  <c r="R594" i="3"/>
  <c r="Q594" i="3"/>
  <c r="J530" i="4"/>
  <c r="N530" i="4" s="1"/>
  <c r="R530" i="3"/>
  <c r="Q530" i="3"/>
  <c r="J458" i="4"/>
  <c r="N458" i="4" s="1"/>
  <c r="R458" i="3"/>
  <c r="Q458" i="3"/>
  <c r="J394" i="4"/>
  <c r="N394" i="4" s="1"/>
  <c r="R394" i="3"/>
  <c r="Q394" i="3"/>
  <c r="J306" i="4"/>
  <c r="N306" i="4" s="1"/>
  <c r="R306" i="3"/>
  <c r="Q306" i="3"/>
  <c r="J234" i="4"/>
  <c r="N234" i="4" s="1"/>
  <c r="R234" i="3"/>
  <c r="Q234" i="3"/>
  <c r="J90" i="4"/>
  <c r="N90" i="4" s="1"/>
  <c r="R90" i="3"/>
  <c r="Q90" i="3"/>
  <c r="J83" i="4"/>
  <c r="N83" i="4" s="1"/>
  <c r="R83" i="3"/>
  <c r="Q83" i="3"/>
  <c r="J728" i="4"/>
  <c r="N728" i="4" s="1"/>
  <c r="R728" i="3"/>
  <c r="Q728" i="3"/>
  <c r="J608" i="4"/>
  <c r="N608" i="4" s="1"/>
  <c r="R608" i="3"/>
  <c r="Q608" i="3"/>
  <c r="J472" i="4"/>
  <c r="N472" i="4" s="1"/>
  <c r="R472" i="3"/>
  <c r="Q472" i="3"/>
  <c r="J360" i="4"/>
  <c r="N360" i="4" s="1"/>
  <c r="R360" i="3"/>
  <c r="Q360" i="3"/>
  <c r="J256" i="4"/>
  <c r="N256" i="4" s="1"/>
  <c r="R256" i="3"/>
  <c r="Q256" i="3"/>
  <c r="J144" i="4"/>
  <c r="N144" i="4" s="1"/>
  <c r="R144" i="3"/>
  <c r="Q144" i="3"/>
  <c r="J798" i="4"/>
  <c r="N798" i="4" s="1"/>
  <c r="R798" i="3"/>
  <c r="Q798" i="3"/>
  <c r="J726" i="4"/>
  <c r="N726" i="4" s="1"/>
  <c r="R726" i="3"/>
  <c r="Q726" i="3"/>
  <c r="J662" i="4"/>
  <c r="N662" i="4" s="1"/>
  <c r="R662" i="3"/>
  <c r="Q662" i="3"/>
  <c r="J542" i="4"/>
  <c r="N542" i="4" s="1"/>
  <c r="R542" i="3"/>
  <c r="Q542" i="3"/>
  <c r="J430" i="4"/>
  <c r="N430" i="4" s="1"/>
  <c r="R430" i="3"/>
  <c r="Q430" i="3"/>
  <c r="J302" i="4"/>
  <c r="N302" i="4" s="1"/>
  <c r="R302" i="3"/>
  <c r="Q302" i="3"/>
  <c r="J166" i="4"/>
  <c r="N166" i="4" s="1"/>
  <c r="R166" i="3"/>
  <c r="Q166" i="3"/>
  <c r="J297" i="4"/>
  <c r="N297" i="4" s="1"/>
  <c r="R297" i="3"/>
  <c r="Q297" i="3"/>
  <c r="J796" i="4"/>
  <c r="N796" i="4" s="1"/>
  <c r="R796" i="3"/>
  <c r="Q796" i="3"/>
  <c r="J660" i="4"/>
  <c r="N660" i="4" s="1"/>
  <c r="R660" i="3"/>
  <c r="Q660" i="3"/>
  <c r="J436" i="4"/>
  <c r="N436" i="4" s="1"/>
  <c r="R436" i="3"/>
  <c r="Q436" i="3"/>
  <c r="J372" i="4"/>
  <c r="N372" i="4" s="1"/>
  <c r="R372" i="3"/>
  <c r="Q372" i="3"/>
  <c r="J300" i="4"/>
  <c r="N300" i="4" s="1"/>
  <c r="R300" i="3"/>
  <c r="Q300" i="3"/>
  <c r="J228" i="4"/>
  <c r="N228" i="4" s="1"/>
  <c r="R228" i="3"/>
  <c r="Q228" i="3"/>
  <c r="J164" i="4"/>
  <c r="N164" i="4" s="1"/>
  <c r="R164" i="3"/>
  <c r="Q164" i="3"/>
  <c r="J459" i="4"/>
  <c r="N459" i="4" s="1"/>
  <c r="R459" i="3"/>
  <c r="Q459" i="3"/>
  <c r="J43" i="4"/>
  <c r="N43" i="4" s="1"/>
  <c r="R43" i="3"/>
  <c r="Q43" i="3"/>
  <c r="J217" i="4"/>
  <c r="N217" i="4" s="1"/>
  <c r="R217" i="3"/>
  <c r="Q217" i="3"/>
  <c r="J72" i="4"/>
  <c r="N72" i="4" s="1"/>
  <c r="R72" i="3"/>
  <c r="Q72" i="3"/>
  <c r="J616" i="4"/>
  <c r="N616" i="4" s="1"/>
  <c r="R616" i="3"/>
  <c r="Q616" i="3"/>
  <c r="J489" i="4"/>
  <c r="N489" i="4" s="1"/>
  <c r="R489" i="3"/>
  <c r="Q489" i="3"/>
  <c r="J502" i="4"/>
  <c r="N502" i="4" s="1"/>
  <c r="R502" i="3"/>
  <c r="Q502" i="3"/>
  <c r="J21" i="4"/>
  <c r="N21" i="4" s="1"/>
  <c r="R21" i="3"/>
  <c r="Q21" i="3"/>
  <c r="J227" i="4"/>
  <c r="N227" i="4" s="1"/>
  <c r="R227" i="3"/>
  <c r="Q227" i="3"/>
  <c r="J763" i="4"/>
  <c r="N763" i="4" s="1"/>
  <c r="R763" i="3"/>
  <c r="Q763" i="3"/>
  <c r="J667" i="4"/>
  <c r="N667" i="4" s="1"/>
  <c r="R667" i="3"/>
  <c r="Q667" i="3"/>
  <c r="J431" i="4"/>
  <c r="N431" i="4" s="1"/>
  <c r="R431" i="3"/>
  <c r="Q431" i="3"/>
  <c r="J574" i="4"/>
  <c r="N574" i="4" s="1"/>
  <c r="R574" i="3"/>
  <c r="Q574" i="3"/>
  <c r="J286" i="4"/>
  <c r="N286" i="4" s="1"/>
  <c r="R286" i="3"/>
  <c r="Q286" i="3"/>
  <c r="J70" i="4"/>
  <c r="N70" i="4" s="1"/>
  <c r="R70" i="3"/>
  <c r="Q70" i="3"/>
  <c r="J587" i="4"/>
  <c r="N587" i="4" s="1"/>
  <c r="R587" i="3"/>
  <c r="Q587" i="3"/>
  <c r="J499" i="4"/>
  <c r="N499" i="4" s="1"/>
  <c r="R499" i="3"/>
  <c r="Q499" i="3"/>
  <c r="J403" i="4"/>
  <c r="N403" i="4" s="1"/>
  <c r="R403" i="3"/>
  <c r="Q403" i="3"/>
  <c r="J331" i="4"/>
  <c r="N331" i="4" s="1"/>
  <c r="R331" i="3"/>
  <c r="Q331" i="3"/>
  <c r="J251" i="4"/>
  <c r="N251" i="4" s="1"/>
  <c r="R251" i="3"/>
  <c r="Q251" i="3"/>
  <c r="J147" i="4"/>
  <c r="N147" i="4" s="1"/>
  <c r="R147" i="3"/>
  <c r="Q147" i="3"/>
  <c r="J59" i="4"/>
  <c r="N59" i="4" s="1"/>
  <c r="R59" i="3"/>
  <c r="Q59" i="3"/>
  <c r="J711" i="4"/>
  <c r="N711" i="4" s="1"/>
  <c r="R711" i="3"/>
  <c r="Q711" i="3"/>
  <c r="J6" i="4"/>
  <c r="N6" i="4" s="1"/>
  <c r="R6" i="3"/>
  <c r="Q6" i="3"/>
  <c r="J716" i="4"/>
  <c r="N716" i="4" s="1"/>
  <c r="R716" i="3"/>
  <c r="Q716" i="3"/>
  <c r="J788" i="4"/>
  <c r="N788" i="4" s="1"/>
  <c r="R788" i="3"/>
  <c r="Q788" i="3"/>
  <c r="J441" i="4"/>
  <c r="N441" i="4" s="1"/>
  <c r="R441" i="3"/>
  <c r="Q441" i="3"/>
  <c r="J695" i="4"/>
  <c r="N695" i="4" s="1"/>
  <c r="R695" i="3"/>
  <c r="Q695" i="3"/>
  <c r="J15" i="4"/>
  <c r="N15" i="4" s="1"/>
  <c r="R15" i="3"/>
  <c r="Q15" i="3"/>
  <c r="J385" i="4"/>
  <c r="N385" i="4" s="1"/>
  <c r="R385" i="3"/>
  <c r="Q385" i="3"/>
  <c r="J692" i="4"/>
  <c r="N692" i="4" s="1"/>
  <c r="R692" i="3"/>
  <c r="Q692" i="3"/>
  <c r="J109" i="4"/>
  <c r="N109" i="4" s="1"/>
  <c r="R109" i="3"/>
  <c r="Q109" i="3"/>
  <c r="J613" i="4"/>
  <c r="N613" i="4" s="1"/>
  <c r="R613" i="3"/>
  <c r="Q613" i="3"/>
  <c r="J329" i="4"/>
  <c r="N329" i="4" s="1"/>
  <c r="R329" i="3"/>
  <c r="Q329" i="3"/>
  <c r="J794" i="4"/>
  <c r="N794" i="4" s="1"/>
  <c r="R794" i="3"/>
  <c r="Q794" i="3"/>
  <c r="J354" i="4"/>
  <c r="N354" i="4" s="1"/>
  <c r="R354" i="3"/>
  <c r="Q354" i="3"/>
  <c r="J687" i="4"/>
  <c r="N687" i="4" s="1"/>
  <c r="R687" i="3"/>
  <c r="Q687" i="3"/>
  <c r="J335" i="4"/>
  <c r="N335" i="4" s="1"/>
  <c r="R335" i="3"/>
  <c r="Q335" i="3"/>
  <c r="J159" i="4"/>
  <c r="N159" i="4" s="1"/>
  <c r="R159" i="3"/>
  <c r="Q159" i="3"/>
  <c r="J773" i="4"/>
  <c r="N773" i="4" s="1"/>
  <c r="R773" i="3"/>
  <c r="Q773" i="3"/>
  <c r="J709" i="4"/>
  <c r="N709" i="4" s="1"/>
  <c r="R709" i="3"/>
  <c r="Q709" i="3"/>
  <c r="J629" i="4"/>
  <c r="N629" i="4" s="1"/>
  <c r="R629" i="3"/>
  <c r="Q629" i="3"/>
  <c r="J541" i="4"/>
  <c r="N541" i="4" s="1"/>
  <c r="R541" i="3"/>
  <c r="Q541" i="3"/>
  <c r="J477" i="4"/>
  <c r="N477" i="4" s="1"/>
  <c r="R477" i="3"/>
  <c r="Q477" i="3"/>
  <c r="J397" i="4"/>
  <c r="N397" i="4" s="1"/>
  <c r="R397" i="3"/>
  <c r="Q397" i="3"/>
  <c r="J317" i="4"/>
  <c r="N317" i="4" s="1"/>
  <c r="R317" i="3"/>
  <c r="Q317" i="3"/>
  <c r="J253" i="4"/>
  <c r="N253" i="4" s="1"/>
  <c r="R253" i="3"/>
  <c r="Q253" i="3"/>
  <c r="J189" i="4"/>
  <c r="N189" i="4" s="1"/>
  <c r="R189" i="3"/>
  <c r="Q189" i="3"/>
  <c r="J232" i="4"/>
  <c r="N232" i="4" s="1"/>
  <c r="R232" i="3"/>
  <c r="Q232" i="3"/>
  <c r="J527" i="4"/>
  <c r="N527" i="4" s="1"/>
  <c r="R527" i="3"/>
  <c r="Q527" i="3"/>
  <c r="J367" i="4"/>
  <c r="N367" i="4" s="1"/>
  <c r="R367" i="3"/>
  <c r="Q367" i="3"/>
  <c r="J215" i="4"/>
  <c r="N215" i="4" s="1"/>
  <c r="R215" i="3"/>
  <c r="Q215" i="3"/>
  <c r="J769" i="4"/>
  <c r="N769" i="4" s="1"/>
  <c r="R769" i="3"/>
  <c r="Q769" i="3"/>
  <c r="J433" i="4"/>
  <c r="N433" i="4" s="1"/>
  <c r="R433" i="3"/>
  <c r="Q433" i="3"/>
  <c r="J761" i="4"/>
  <c r="N761" i="4" s="1"/>
  <c r="R761" i="3"/>
  <c r="Q761" i="3"/>
  <c r="J601" i="4"/>
  <c r="N601" i="4" s="1"/>
  <c r="R601" i="3"/>
  <c r="Q601" i="3"/>
  <c r="J393" i="4"/>
  <c r="N393" i="4" s="1"/>
  <c r="R393" i="3"/>
  <c r="Q393" i="3"/>
  <c r="J137" i="4"/>
  <c r="N137" i="4" s="1"/>
  <c r="R137" i="3"/>
  <c r="Q137" i="3"/>
  <c r="J534" i="4"/>
  <c r="N534" i="4" s="1"/>
  <c r="R534" i="3"/>
  <c r="Q534" i="3"/>
  <c r="J748" i="4"/>
  <c r="N748" i="4" s="1"/>
  <c r="R748" i="3"/>
  <c r="Q748" i="3"/>
  <c r="J738" i="4"/>
  <c r="N738" i="4" s="1"/>
  <c r="R738" i="3"/>
  <c r="Q738" i="3"/>
  <c r="J658" i="4"/>
  <c r="N658" i="4" s="1"/>
  <c r="R658" i="3"/>
  <c r="Q658" i="3"/>
  <c r="J586" i="4"/>
  <c r="N586" i="4" s="1"/>
  <c r="R586" i="3"/>
  <c r="Q586" i="3"/>
  <c r="J522" i="4"/>
  <c r="N522" i="4" s="1"/>
  <c r="R522" i="3"/>
  <c r="Q522" i="3"/>
  <c r="J450" i="4"/>
  <c r="N450" i="4" s="1"/>
  <c r="R450" i="3"/>
  <c r="Q450" i="3"/>
  <c r="J386" i="4"/>
  <c r="N386" i="4" s="1"/>
  <c r="R386" i="3"/>
  <c r="Q386" i="3"/>
  <c r="J298" i="4"/>
  <c r="N298" i="4" s="1"/>
  <c r="R298" i="3"/>
  <c r="Q298" i="3"/>
  <c r="J226" i="4"/>
  <c r="N226" i="4" s="1"/>
  <c r="R226" i="3"/>
  <c r="Q226" i="3"/>
  <c r="J154" i="4"/>
  <c r="N154" i="4" s="1"/>
  <c r="R154" i="3"/>
  <c r="Q154" i="3"/>
  <c r="J82" i="4"/>
  <c r="N82" i="4" s="1"/>
  <c r="R82" i="3"/>
  <c r="Q82" i="3"/>
  <c r="J113" i="4"/>
  <c r="N113" i="4" s="1"/>
  <c r="R113" i="3"/>
  <c r="Q113" i="3"/>
  <c r="J704" i="4"/>
  <c r="N704" i="4" s="1"/>
  <c r="R704" i="3"/>
  <c r="Q704" i="3"/>
  <c r="J592" i="4"/>
  <c r="N592" i="4" s="1"/>
  <c r="R592" i="3"/>
  <c r="Q592" i="3"/>
  <c r="J464" i="4"/>
  <c r="N464" i="4" s="1"/>
  <c r="R464" i="3"/>
  <c r="Q464" i="3"/>
  <c r="J352" i="4"/>
  <c r="N352" i="4" s="1"/>
  <c r="R352" i="3"/>
  <c r="Q352" i="3"/>
  <c r="J248" i="4"/>
  <c r="N248" i="4" s="1"/>
  <c r="R248" i="3"/>
  <c r="Q248" i="3"/>
  <c r="J136" i="4"/>
  <c r="N136" i="4" s="1"/>
  <c r="R136" i="3"/>
  <c r="Q136" i="3"/>
  <c r="J790" i="4"/>
  <c r="N790" i="4" s="1"/>
  <c r="R790" i="3"/>
  <c r="Q790" i="3"/>
  <c r="J718" i="4"/>
  <c r="N718" i="4" s="1"/>
  <c r="R718" i="3"/>
  <c r="Q718" i="3"/>
  <c r="J654" i="4"/>
  <c r="N654" i="4" s="1"/>
  <c r="R654" i="3"/>
  <c r="Q654" i="3"/>
  <c r="J518" i="4"/>
  <c r="N518" i="4" s="1"/>
  <c r="R518" i="3"/>
  <c r="Q518" i="3"/>
  <c r="J422" i="4"/>
  <c r="N422" i="4" s="1"/>
  <c r="R422" i="3"/>
  <c r="Q422" i="3"/>
  <c r="J278" i="4"/>
  <c r="N278" i="4" s="1"/>
  <c r="R278" i="3"/>
  <c r="Q278" i="3"/>
  <c r="J134" i="4"/>
  <c r="N134" i="4" s="1"/>
  <c r="R134" i="3"/>
  <c r="Q134" i="3"/>
  <c r="J591" i="4"/>
  <c r="N591" i="4" s="1"/>
  <c r="R591" i="3"/>
  <c r="Q591" i="3"/>
  <c r="J772" i="4"/>
  <c r="N772" i="4" s="1"/>
  <c r="R772" i="3"/>
  <c r="Q772" i="3"/>
  <c r="J644" i="4"/>
  <c r="N644" i="4" s="1"/>
  <c r="R644" i="3"/>
  <c r="Q644" i="3"/>
  <c r="J428" i="4"/>
  <c r="N428" i="4" s="1"/>
  <c r="R428" i="3"/>
  <c r="Q428" i="3"/>
  <c r="J356" i="4"/>
  <c r="N356" i="4" s="1"/>
  <c r="R356" i="3"/>
  <c r="Q356" i="3"/>
  <c r="J292" i="4"/>
  <c r="N292" i="4" s="1"/>
  <c r="R292" i="3"/>
  <c r="Q292" i="3"/>
  <c r="J220" i="4"/>
  <c r="N220" i="4" s="1"/>
  <c r="R220" i="3"/>
  <c r="Q220" i="3"/>
  <c r="J156" i="4"/>
  <c r="N156" i="4" s="1"/>
  <c r="R156" i="3"/>
  <c r="Q156" i="3"/>
  <c r="J92" i="4"/>
  <c r="N92" i="4" s="1"/>
  <c r="R92" i="3"/>
  <c r="Q92" i="3"/>
  <c r="J443" i="4"/>
  <c r="N443" i="4" s="1"/>
  <c r="R443" i="3"/>
  <c r="Q443" i="3"/>
  <c r="J35" i="4"/>
  <c r="N35" i="4" s="1"/>
  <c r="R35" i="3"/>
  <c r="Q35" i="3"/>
  <c r="J185" i="4"/>
  <c r="N185" i="4" s="1"/>
  <c r="R185" i="3"/>
  <c r="Q185" i="3"/>
  <c r="J17" i="4"/>
  <c r="N17" i="4" s="1"/>
  <c r="R17" i="3"/>
  <c r="Q17" i="3"/>
  <c r="J432" i="4"/>
  <c r="N432" i="4" s="1"/>
  <c r="R432" i="3"/>
  <c r="Q432" i="3"/>
  <c r="J481" i="4"/>
  <c r="N481" i="4" s="1"/>
  <c r="R481" i="3"/>
  <c r="Q481" i="3"/>
  <c r="J153" i="4"/>
  <c r="N153" i="4" s="1"/>
  <c r="R153" i="3"/>
  <c r="Q153" i="3"/>
  <c r="J510" i="4"/>
  <c r="N510" i="4" s="1"/>
  <c r="R510" i="3"/>
  <c r="Q510" i="3"/>
  <c r="J13" i="4"/>
  <c r="N13" i="4" s="1"/>
  <c r="R13" i="3"/>
  <c r="Q13" i="3"/>
  <c r="J19" i="4"/>
  <c r="N19" i="4" s="1"/>
  <c r="R19" i="3"/>
  <c r="Q19" i="3"/>
  <c r="J747" i="4"/>
  <c r="N747" i="4" s="1"/>
  <c r="R747" i="3"/>
  <c r="Q747" i="3"/>
  <c r="J659" i="4"/>
  <c r="N659" i="4" s="1"/>
  <c r="R659" i="3"/>
  <c r="Q659" i="3"/>
  <c r="J411" i="4"/>
  <c r="N411" i="4" s="1"/>
  <c r="R411" i="3"/>
  <c r="Q411" i="3"/>
  <c r="J526" i="4"/>
  <c r="N526" i="4" s="1"/>
  <c r="R526" i="3"/>
  <c r="Q526" i="3"/>
  <c r="J246" i="4"/>
  <c r="N246" i="4" s="1"/>
  <c r="R246" i="3"/>
  <c r="Q246" i="3"/>
  <c r="J62" i="4"/>
  <c r="N62" i="4" s="1"/>
  <c r="R62" i="3"/>
  <c r="Q62" i="3"/>
  <c r="J571" i="4"/>
  <c r="N571" i="4" s="1"/>
  <c r="R571" i="3"/>
  <c r="Q571" i="3"/>
  <c r="J491" i="4"/>
  <c r="N491" i="4" s="1"/>
  <c r="R491" i="3"/>
  <c r="Q491" i="3"/>
  <c r="J323" i="4"/>
  <c r="N323" i="4" s="1"/>
  <c r="R323" i="3"/>
  <c r="Q323" i="3"/>
  <c r="J243" i="4"/>
  <c r="N243" i="4" s="1"/>
  <c r="R243" i="3"/>
  <c r="Q243" i="3"/>
  <c r="J139" i="4"/>
  <c r="N139" i="4" s="1"/>
  <c r="R139" i="3"/>
  <c r="Q139" i="3"/>
  <c r="J51" i="4"/>
  <c r="N51" i="4" s="1"/>
  <c r="R51" i="3"/>
  <c r="Q51" i="3"/>
  <c r="J623" i="4"/>
  <c r="N623" i="4" s="1"/>
  <c r="R623" i="3"/>
  <c r="Q623" i="3"/>
  <c r="J22" i="4"/>
  <c r="N22" i="4" s="1"/>
  <c r="R22" i="3"/>
  <c r="Q22" i="3"/>
  <c r="J679" i="4"/>
  <c r="N679" i="4" s="1"/>
  <c r="R679" i="3"/>
  <c r="Q679" i="3"/>
  <c r="J596" i="4"/>
  <c r="N596" i="4" s="1"/>
  <c r="R596" i="3"/>
  <c r="Q596" i="3"/>
  <c r="J25" i="4"/>
  <c r="N25" i="4" s="1"/>
  <c r="R25" i="3"/>
  <c r="Q25" i="3"/>
  <c r="J668" i="4"/>
  <c r="N668" i="4" s="1"/>
  <c r="R668" i="3"/>
  <c r="Q668" i="3"/>
  <c r="J191" i="4"/>
  <c r="N191" i="4" s="1"/>
  <c r="R191" i="3"/>
  <c r="Q191" i="3"/>
  <c r="J351" i="4"/>
  <c r="N351" i="4" s="1"/>
  <c r="R351" i="3"/>
  <c r="Q351" i="3"/>
  <c r="J628" i="4"/>
  <c r="N628" i="4" s="1"/>
  <c r="R628" i="3"/>
  <c r="Q628" i="3"/>
  <c r="J663" i="4"/>
  <c r="N663" i="4" s="1"/>
  <c r="R663" i="3"/>
  <c r="Q663" i="3"/>
  <c r="J597" i="4"/>
  <c r="N597" i="4" s="1"/>
  <c r="R597" i="3"/>
  <c r="Q597" i="3"/>
  <c r="J265" i="4"/>
  <c r="N265" i="4" s="1"/>
  <c r="R265" i="3"/>
  <c r="Q265" i="3"/>
  <c r="J786" i="4"/>
  <c r="N786" i="4" s="1"/>
  <c r="R786" i="3"/>
  <c r="Q786" i="3"/>
  <c r="J314" i="4"/>
  <c r="N314" i="4" s="1"/>
  <c r="R314" i="3"/>
  <c r="Q314" i="3"/>
  <c r="J655" i="4"/>
  <c r="N655" i="4" s="1"/>
  <c r="R655" i="3"/>
  <c r="Q655" i="3"/>
  <c r="J311" i="4"/>
  <c r="N311" i="4" s="1"/>
  <c r="R311" i="3"/>
  <c r="Q311" i="3"/>
  <c r="J151" i="4"/>
  <c r="N151" i="4" s="1"/>
  <c r="R151" i="3"/>
  <c r="Q151" i="3"/>
  <c r="J765" i="4"/>
  <c r="N765" i="4" s="1"/>
  <c r="R765" i="3"/>
  <c r="Q765" i="3"/>
  <c r="J701" i="4"/>
  <c r="N701" i="4" s="1"/>
  <c r="R701" i="3"/>
  <c r="Q701" i="3"/>
  <c r="J621" i="4"/>
  <c r="N621" i="4" s="1"/>
  <c r="R621" i="3"/>
  <c r="Q621" i="3"/>
  <c r="J533" i="4"/>
  <c r="N533" i="4" s="1"/>
  <c r="R533" i="3"/>
  <c r="Q533" i="3"/>
  <c r="J469" i="4"/>
  <c r="N469" i="4" s="1"/>
  <c r="R469" i="3"/>
  <c r="Q469" i="3"/>
  <c r="J389" i="4"/>
  <c r="N389" i="4" s="1"/>
  <c r="R389" i="3"/>
  <c r="Q389" i="3"/>
  <c r="J309" i="4"/>
  <c r="N309" i="4" s="1"/>
  <c r="R309" i="3"/>
  <c r="Q309" i="3"/>
  <c r="J245" i="4"/>
  <c r="N245" i="4" s="1"/>
  <c r="R245" i="3"/>
  <c r="Q245" i="3"/>
  <c r="J181" i="4"/>
  <c r="N181" i="4" s="1"/>
  <c r="R181" i="3"/>
  <c r="Q181" i="3"/>
  <c r="J768" i="4"/>
  <c r="N768" i="4" s="1"/>
  <c r="R768" i="3"/>
  <c r="Q768" i="3"/>
  <c r="J511" i="4"/>
  <c r="N511" i="4" s="1"/>
  <c r="R511" i="3"/>
  <c r="Q511" i="3"/>
  <c r="J359" i="4"/>
  <c r="N359" i="4" s="1"/>
  <c r="R359" i="3"/>
  <c r="Q359" i="3"/>
  <c r="J199" i="4"/>
  <c r="N199" i="4" s="1"/>
  <c r="R199" i="3"/>
  <c r="Q199" i="3"/>
  <c r="J745" i="4"/>
  <c r="N745" i="4" s="1"/>
  <c r="R745" i="3"/>
  <c r="Q745" i="3"/>
  <c r="J401" i="4"/>
  <c r="N401" i="4" s="1"/>
  <c r="R401" i="3"/>
  <c r="Q401" i="3"/>
  <c r="J753" i="4"/>
  <c r="N753" i="4" s="1"/>
  <c r="R753" i="3"/>
  <c r="Q753" i="3"/>
  <c r="J593" i="4"/>
  <c r="N593" i="4" s="1"/>
  <c r="R593" i="3"/>
  <c r="Q593" i="3"/>
  <c r="J353" i="4"/>
  <c r="N353" i="4" s="1"/>
  <c r="R353" i="3"/>
  <c r="Q353" i="3"/>
  <c r="J121" i="4"/>
  <c r="N121" i="4" s="1"/>
  <c r="R121" i="3"/>
  <c r="Q121" i="3"/>
  <c r="J486" i="4"/>
  <c r="N486" i="4" s="1"/>
  <c r="R486" i="3"/>
  <c r="Q486" i="3"/>
  <c r="J268" i="4"/>
  <c r="N268" i="4" s="1"/>
  <c r="R268" i="3"/>
  <c r="Q268" i="3"/>
  <c r="J48" i="4"/>
  <c r="N48" i="4" s="1"/>
  <c r="R48" i="3"/>
  <c r="Q48" i="3"/>
  <c r="J730" i="4"/>
  <c r="N730" i="4" s="1"/>
  <c r="R730" i="3"/>
  <c r="Q730" i="3"/>
  <c r="J642" i="4"/>
  <c r="N642" i="4" s="1"/>
  <c r="R642" i="3"/>
  <c r="Q642" i="3"/>
  <c r="J578" i="4"/>
  <c r="N578" i="4" s="1"/>
  <c r="R578" i="3"/>
  <c r="Q578" i="3"/>
  <c r="J514" i="4"/>
  <c r="N514" i="4" s="1"/>
  <c r="R514" i="3"/>
  <c r="Q514" i="3"/>
  <c r="J442" i="4"/>
  <c r="N442" i="4" s="1"/>
  <c r="R442" i="3"/>
  <c r="Q442" i="3"/>
  <c r="J370" i="4"/>
  <c r="N370" i="4" s="1"/>
  <c r="R370" i="3"/>
  <c r="Q370" i="3"/>
  <c r="J290" i="4"/>
  <c r="N290" i="4" s="1"/>
  <c r="R290" i="3"/>
  <c r="Q290" i="3"/>
  <c r="J218" i="4"/>
  <c r="N218" i="4" s="1"/>
  <c r="R218" i="3"/>
  <c r="Q218" i="3"/>
  <c r="J146" i="4"/>
  <c r="N146" i="4" s="1"/>
  <c r="R146" i="3"/>
  <c r="Q146" i="3"/>
  <c r="J74" i="4"/>
  <c r="N74" i="4" s="1"/>
  <c r="R74" i="3"/>
  <c r="Q74" i="3"/>
  <c r="J672" i="4"/>
  <c r="N672" i="4" s="1"/>
  <c r="R672" i="3"/>
  <c r="Q672" i="3"/>
  <c r="J696" i="4"/>
  <c r="N696" i="4" s="1"/>
  <c r="R696" i="3"/>
  <c r="Q696" i="3"/>
  <c r="J576" i="4"/>
  <c r="N576" i="4" s="1"/>
  <c r="R576" i="3"/>
  <c r="Q576" i="3"/>
  <c r="J344" i="4"/>
  <c r="N344" i="4" s="1"/>
  <c r="R344" i="3"/>
  <c r="Q344" i="3"/>
  <c r="J216" i="4"/>
  <c r="N216" i="4" s="1"/>
  <c r="R216" i="3"/>
  <c r="Q216" i="3"/>
  <c r="J128" i="4"/>
  <c r="N128" i="4" s="1"/>
  <c r="R128" i="3"/>
  <c r="Q128" i="3"/>
  <c r="J782" i="4"/>
  <c r="N782" i="4" s="1"/>
  <c r="R782" i="3"/>
  <c r="Q782" i="3"/>
  <c r="J710" i="4"/>
  <c r="N710" i="4" s="1"/>
  <c r="R710" i="3"/>
  <c r="Q710" i="3"/>
  <c r="J614" i="4"/>
  <c r="N614" i="4" s="1"/>
  <c r="R614" i="3"/>
  <c r="Q614" i="3"/>
  <c r="J494" i="4"/>
  <c r="N494" i="4" s="1"/>
  <c r="R494" i="3"/>
  <c r="Q494" i="3"/>
  <c r="J390" i="4"/>
  <c r="N390" i="4" s="1"/>
  <c r="R390" i="3"/>
  <c r="Q390" i="3"/>
  <c r="J262" i="4"/>
  <c r="N262" i="4" s="1"/>
  <c r="R262" i="3"/>
  <c r="Q262" i="3"/>
  <c r="J126" i="4"/>
  <c r="N126" i="4" s="1"/>
  <c r="R126" i="3"/>
  <c r="Q126" i="3"/>
  <c r="J665" i="4"/>
  <c r="N665" i="4" s="1"/>
  <c r="R665" i="3"/>
  <c r="Q665" i="3"/>
  <c r="J764" i="4"/>
  <c r="N764" i="4" s="1"/>
  <c r="R764" i="3"/>
  <c r="Q764" i="3"/>
  <c r="J636" i="4"/>
  <c r="N636" i="4" s="1"/>
  <c r="R636" i="3"/>
  <c r="Q636" i="3"/>
  <c r="J420" i="4"/>
  <c r="N420" i="4" s="1"/>
  <c r="R420" i="3"/>
  <c r="Q420" i="3"/>
  <c r="J348" i="4"/>
  <c r="N348" i="4" s="1"/>
  <c r="R348" i="3"/>
  <c r="Q348" i="3"/>
  <c r="J284" i="4"/>
  <c r="N284" i="4" s="1"/>
  <c r="R284" i="3"/>
  <c r="Q284" i="3"/>
  <c r="J212" i="4"/>
  <c r="N212" i="4" s="1"/>
  <c r="R212" i="3"/>
  <c r="Q212" i="3"/>
  <c r="J148" i="4"/>
  <c r="N148" i="4" s="1"/>
  <c r="R148" i="3"/>
  <c r="Q148" i="3"/>
  <c r="J84" i="4"/>
  <c r="N84" i="4" s="1"/>
  <c r="R84" i="3"/>
  <c r="Q84" i="3"/>
  <c r="J379" i="4"/>
  <c r="N379" i="4" s="1"/>
  <c r="R379" i="3"/>
  <c r="Q379" i="3"/>
  <c r="J369" i="4"/>
  <c r="N369" i="4" s="1"/>
  <c r="R369" i="3"/>
  <c r="Q369" i="3"/>
  <c r="J57" i="4"/>
  <c r="N57" i="4" s="1"/>
  <c r="R57" i="3"/>
  <c r="Q57" i="3"/>
  <c r="J326" i="4"/>
  <c r="N326" i="4" s="1"/>
  <c r="R326" i="3"/>
  <c r="Q326" i="3"/>
  <c r="J177" i="4"/>
  <c r="N177" i="4" s="1"/>
  <c r="R177" i="3"/>
  <c r="Q177" i="3"/>
  <c r="J417" i="4"/>
  <c r="N417" i="4" s="1"/>
  <c r="R417" i="3"/>
  <c r="Q417" i="3"/>
  <c r="J97" i="4"/>
  <c r="N97" i="4" s="1"/>
  <c r="R97" i="3"/>
  <c r="Q97" i="3"/>
  <c r="J584" i="4"/>
  <c r="N584" i="4" s="1"/>
  <c r="R584" i="3"/>
  <c r="Q584" i="3"/>
  <c r="J129" i="4"/>
  <c r="N129" i="4" s="1"/>
  <c r="R129" i="3"/>
  <c r="Q129" i="3"/>
  <c r="J11" i="4"/>
  <c r="N11" i="4" s="1"/>
  <c r="R11" i="3"/>
  <c r="Q11" i="3"/>
  <c r="J731" i="4"/>
  <c r="N731" i="4" s="1"/>
  <c r="R731" i="3"/>
  <c r="Q731" i="3"/>
  <c r="J651" i="4"/>
  <c r="N651" i="4" s="1"/>
  <c r="R651" i="3"/>
  <c r="Q651" i="3"/>
  <c r="J107" i="4"/>
  <c r="N107" i="4" s="1"/>
  <c r="R107" i="3"/>
  <c r="Q107" i="3"/>
  <c r="J446" i="4"/>
  <c r="N446" i="4" s="1"/>
  <c r="R446" i="3"/>
  <c r="Q446" i="3"/>
  <c r="J222" i="4"/>
  <c r="N222" i="4" s="1"/>
  <c r="R222" i="3"/>
  <c r="Q222" i="3"/>
  <c r="J38" i="4"/>
  <c r="N38" i="4" s="1"/>
  <c r="R38" i="3"/>
  <c r="Q38" i="3"/>
  <c r="J563" i="4"/>
  <c r="N563" i="4" s="1"/>
  <c r="R563" i="3"/>
  <c r="Q563" i="3"/>
  <c r="J483" i="4"/>
  <c r="N483" i="4" s="1"/>
  <c r="R483" i="3"/>
  <c r="Q483" i="3"/>
  <c r="J387" i="4"/>
  <c r="N387" i="4" s="1"/>
  <c r="R387" i="3"/>
  <c r="Q387" i="3"/>
  <c r="J211" i="4"/>
  <c r="N211" i="4" s="1"/>
  <c r="R211" i="3"/>
  <c r="Q211" i="3"/>
  <c r="J131" i="4"/>
  <c r="N131" i="4" s="1"/>
  <c r="R131" i="3"/>
  <c r="Q131" i="3"/>
  <c r="J624" i="4"/>
  <c r="N624" i="4" s="1"/>
  <c r="R624" i="3"/>
  <c r="Q624" i="3"/>
  <c r="J550" i="4"/>
  <c r="N550" i="4" s="1"/>
  <c r="R550" i="3"/>
  <c r="Q550" i="3"/>
  <c r="J264" i="4"/>
  <c r="N264" i="4" s="1"/>
  <c r="R264" i="3"/>
  <c r="Q264" i="3"/>
  <c r="J675" i="4"/>
  <c r="N675" i="4" s="1"/>
  <c r="R675" i="3"/>
  <c r="Q675" i="3"/>
  <c r="J339" i="4"/>
  <c r="N339" i="4" s="1"/>
  <c r="R339" i="3"/>
  <c r="Q339" i="3"/>
  <c r="J671" i="4"/>
  <c r="N671" i="4" s="1"/>
  <c r="R671" i="3"/>
  <c r="Q671" i="3"/>
  <c r="J631" i="4"/>
  <c r="N631" i="4" s="1"/>
  <c r="R631" i="3"/>
  <c r="Q631" i="3"/>
  <c r="J503" i="4"/>
  <c r="N503" i="4" s="1"/>
  <c r="R503" i="3"/>
  <c r="Q503" i="3"/>
  <c r="J41" i="4"/>
  <c r="N41" i="4" s="1"/>
  <c r="R41" i="3"/>
  <c r="Q41" i="3"/>
  <c r="J524" i="4"/>
  <c r="N524" i="4" s="1"/>
  <c r="R524" i="3"/>
  <c r="Q524" i="3"/>
  <c r="J163" i="4"/>
  <c r="N163" i="4" s="1"/>
  <c r="R163" i="3"/>
  <c r="Q163" i="3"/>
  <c r="J767" i="4"/>
  <c r="N767" i="4" s="1"/>
  <c r="R767" i="3"/>
  <c r="Q767" i="3"/>
  <c r="J119" i="4"/>
  <c r="N119" i="4" s="1"/>
  <c r="R119" i="3"/>
  <c r="Q119" i="3"/>
  <c r="J512" i="4"/>
  <c r="N512" i="4" s="1"/>
  <c r="R512" i="3"/>
  <c r="Q512" i="3"/>
  <c r="J438" i="4"/>
  <c r="N438" i="4" s="1"/>
  <c r="R438" i="3"/>
  <c r="Q438" i="3"/>
  <c r="J308" i="4"/>
  <c r="N308" i="4" s="1"/>
  <c r="R308" i="3"/>
  <c r="Q308" i="3"/>
  <c r="J560" i="4"/>
  <c r="N560" i="4" s="1"/>
  <c r="R560" i="3"/>
  <c r="Q560" i="3"/>
  <c r="J727" i="4"/>
  <c r="N727" i="4" s="1"/>
  <c r="R727" i="3"/>
  <c r="Q727" i="3"/>
  <c r="J259" i="4"/>
  <c r="N259" i="4" s="1"/>
  <c r="R259" i="3"/>
  <c r="Q259" i="3"/>
  <c r="J780" i="4"/>
  <c r="N780" i="4" s="1"/>
  <c r="R780" i="3"/>
  <c r="Q780" i="3"/>
  <c r="J479" i="4"/>
  <c r="N479" i="4" s="1"/>
  <c r="R479" i="3"/>
  <c r="Q479" i="3"/>
  <c r="J255" i="4"/>
  <c r="N255" i="4" s="1"/>
  <c r="R255" i="3"/>
  <c r="Q255" i="3"/>
  <c r="J580" i="4"/>
  <c r="N580" i="4" s="1"/>
  <c r="R580" i="3"/>
  <c r="Q580" i="3"/>
  <c r="J516" i="4"/>
  <c r="N516" i="4" s="1"/>
  <c r="R516" i="3"/>
  <c r="Q516" i="3"/>
  <c r="J742" i="4"/>
  <c r="N742" i="4" s="1"/>
  <c r="R742" i="3"/>
  <c r="Q742" i="3"/>
  <c r="J670" i="4"/>
  <c r="N670" i="4" s="1"/>
  <c r="R670" i="3"/>
  <c r="Q670" i="3"/>
  <c r="J607" i="4"/>
  <c r="N607" i="4" s="1"/>
  <c r="R607" i="3"/>
  <c r="Q607" i="3"/>
  <c r="J376" i="4"/>
  <c r="N376" i="4" s="1"/>
  <c r="R376" i="3"/>
  <c r="Q376" i="3"/>
  <c r="J318" i="4"/>
  <c r="N318" i="4" s="1"/>
  <c r="R318" i="3"/>
  <c r="Q318" i="3"/>
  <c r="J236" i="4"/>
  <c r="N236" i="4" s="1"/>
  <c r="R236" i="3"/>
  <c r="Q236" i="3"/>
  <c r="J545" i="4"/>
  <c r="N545" i="4" s="1"/>
  <c r="R545" i="3"/>
  <c r="Q545" i="3"/>
  <c r="J630" i="4"/>
  <c r="N630" i="4" s="1"/>
  <c r="R630" i="3"/>
  <c r="Q630" i="3"/>
  <c r="J155" i="4"/>
  <c r="N155" i="4" s="1"/>
  <c r="R155" i="3"/>
  <c r="Q155" i="3"/>
  <c r="J652" i="4"/>
  <c r="N652" i="4" s="1"/>
  <c r="R652" i="3"/>
  <c r="Q652" i="3"/>
  <c r="J407" i="4"/>
  <c r="N407" i="4" s="1"/>
  <c r="R407" i="3"/>
  <c r="Q407" i="3"/>
  <c r="J5" i="4"/>
  <c r="N5" i="4" s="1"/>
  <c r="R5" i="3"/>
  <c r="Q5" i="3"/>
  <c r="J572" i="4"/>
  <c r="N572" i="4" s="1"/>
  <c r="R572" i="3"/>
  <c r="Q572" i="3"/>
  <c r="J508" i="4"/>
  <c r="N508" i="4" s="1"/>
  <c r="R508" i="3"/>
  <c r="Q508" i="3"/>
  <c r="J507" i="4"/>
  <c r="N507" i="4" s="1"/>
  <c r="R507" i="3"/>
  <c r="Q507" i="3"/>
  <c r="J271" i="4"/>
  <c r="N271" i="4" s="1"/>
  <c r="R271" i="3"/>
  <c r="Q271" i="3"/>
  <c r="J444" i="4"/>
  <c r="N444" i="4" s="1"/>
  <c r="R444" i="3"/>
  <c r="Q444" i="3"/>
  <c r="J419" i="4"/>
  <c r="N419" i="4" s="1"/>
  <c r="R419" i="3"/>
  <c r="Q419" i="3"/>
  <c r="J288" i="4"/>
  <c r="N288" i="4" s="1"/>
  <c r="R288" i="3"/>
  <c r="Q288" i="3"/>
  <c r="J174" i="4"/>
  <c r="N174" i="4" s="1"/>
  <c r="R174" i="3"/>
  <c r="Q174" i="3"/>
  <c r="J172" i="4"/>
  <c r="N172" i="4" s="1"/>
  <c r="R172" i="3"/>
  <c r="Q172" i="3"/>
  <c r="J281" i="4"/>
  <c r="N281" i="4" s="1"/>
  <c r="R281" i="3"/>
  <c r="Q281" i="3"/>
  <c r="J310" i="4"/>
  <c r="N310" i="4" s="1"/>
  <c r="R310" i="3"/>
  <c r="Q310" i="3"/>
  <c r="J75" i="4"/>
  <c r="N75" i="4" s="1"/>
  <c r="R75" i="3"/>
  <c r="Q75" i="3"/>
  <c r="J33" i="4"/>
  <c r="N33" i="4" s="1"/>
  <c r="R33" i="3"/>
  <c r="Q33" i="3"/>
  <c r="J103" i="4"/>
  <c r="N103" i="4" s="1"/>
  <c r="R103" i="3"/>
  <c r="Q103" i="3"/>
  <c r="J756" i="4"/>
  <c r="N756" i="4" s="1"/>
  <c r="R756" i="3"/>
  <c r="Q756" i="3"/>
  <c r="J564" i="4"/>
  <c r="N564" i="4" s="1"/>
  <c r="R564" i="3"/>
  <c r="Q564" i="3"/>
  <c r="J500" i="4"/>
  <c r="N500" i="4" s="1"/>
  <c r="R500" i="3"/>
  <c r="Q500" i="3"/>
  <c r="J676" i="4"/>
  <c r="N676" i="4" s="1"/>
  <c r="R676" i="3"/>
  <c r="Q676" i="3"/>
  <c r="J559" i="4"/>
  <c r="N559" i="4" s="1"/>
  <c r="R559" i="3"/>
  <c r="Q559" i="3"/>
  <c r="J540" i="4"/>
  <c r="N540" i="4" s="1"/>
  <c r="R540" i="3"/>
  <c r="Q540" i="3"/>
  <c r="J249" i="4"/>
  <c r="N249" i="4" s="1"/>
  <c r="R249" i="3"/>
  <c r="Q249" i="3"/>
  <c r="J732" i="4"/>
  <c r="N732" i="4" s="1"/>
  <c r="R732" i="3"/>
  <c r="Q732" i="3"/>
  <c r="J168" i="4"/>
  <c r="N168" i="4" s="1"/>
  <c r="R168" i="3"/>
  <c r="Q168" i="3"/>
  <c r="J54" i="4"/>
  <c r="N54" i="4" s="1"/>
  <c r="R54" i="3"/>
  <c r="Q54" i="3"/>
  <c r="J350" i="4"/>
  <c r="N350" i="4" s="1"/>
  <c r="R350" i="3"/>
  <c r="Q350" i="3"/>
  <c r="J78" i="4"/>
  <c r="N78" i="4" s="1"/>
  <c r="R78" i="3"/>
  <c r="Q78" i="3"/>
  <c r="J42" i="4"/>
  <c r="N42" i="4" s="1"/>
  <c r="R42" i="3"/>
  <c r="Q42" i="3"/>
  <c r="J551" i="4"/>
  <c r="N551" i="4" s="1"/>
  <c r="R551" i="3"/>
  <c r="Q551" i="3"/>
  <c r="J31" i="4"/>
  <c r="N31" i="4" s="1"/>
  <c r="R31" i="3"/>
  <c r="Q31" i="3"/>
  <c r="J600" i="4"/>
  <c r="N600" i="4" s="1"/>
  <c r="R600" i="3"/>
  <c r="Q600" i="3"/>
  <c r="J492" i="4"/>
  <c r="N492" i="4" s="1"/>
  <c r="R492" i="3"/>
  <c r="Q492" i="3"/>
  <c r="J32" i="4"/>
  <c r="N32" i="4" s="1"/>
  <c r="R32" i="3"/>
  <c r="Q32" i="3"/>
  <c r="J468" i="4"/>
  <c r="N468" i="4" s="1"/>
  <c r="R468" i="3"/>
  <c r="Q468" i="3"/>
  <c r="J771" i="4"/>
  <c r="N771" i="4" s="1"/>
  <c r="R771" i="3"/>
  <c r="Q771" i="3"/>
  <c r="J639" i="4"/>
  <c r="N639" i="4" s="1"/>
  <c r="R639" i="3"/>
  <c r="Q639" i="3"/>
  <c r="J56" i="4"/>
  <c r="N56" i="4" s="1"/>
  <c r="R56" i="3"/>
  <c r="Q56" i="3"/>
  <c r="J801" i="4"/>
  <c r="N801" i="4" s="1"/>
  <c r="R801" i="3"/>
  <c r="Q801" i="3"/>
  <c r="J547" i="4"/>
  <c r="N547" i="4" s="1"/>
  <c r="R547" i="3"/>
  <c r="Q547" i="3"/>
  <c r="J635" i="4"/>
  <c r="N635" i="4" s="1"/>
  <c r="R635" i="3"/>
  <c r="Q635" i="3"/>
  <c r="J595" i="4"/>
  <c r="N595" i="4" s="1"/>
  <c r="R595" i="3"/>
  <c r="Q595" i="3"/>
  <c r="J20" i="4"/>
  <c r="N20" i="4" s="1"/>
  <c r="R20" i="3"/>
  <c r="Q20" i="3"/>
  <c r="J473" i="4"/>
  <c r="N473" i="4" s="1"/>
  <c r="R473" i="3"/>
  <c r="Q473" i="3"/>
  <c r="J23" i="4"/>
  <c r="N23" i="4" s="1"/>
  <c r="R23" i="3"/>
  <c r="Q23" i="3"/>
  <c r="J207" i="4"/>
  <c r="N207" i="4" s="1"/>
  <c r="R207" i="3"/>
  <c r="Q207" i="3"/>
  <c r="J548" i="4"/>
  <c r="N548" i="4" s="1"/>
  <c r="R548" i="3"/>
  <c r="Q548" i="3"/>
  <c r="J476" i="4"/>
  <c r="N476" i="4" s="1"/>
  <c r="R476" i="3"/>
  <c r="Q476" i="3"/>
  <c r="J460" i="4"/>
  <c r="N460" i="4" s="1"/>
  <c r="R460" i="3"/>
  <c r="Q460" i="3"/>
  <c r="J435" i="4"/>
  <c r="N435" i="4" s="1"/>
  <c r="R435" i="3"/>
  <c r="Q435" i="3"/>
  <c r="J61" i="4"/>
  <c r="N61" i="4" s="1"/>
  <c r="R61" i="3"/>
  <c r="Q61" i="3"/>
  <c r="J101" i="4"/>
  <c r="N101" i="4" s="1"/>
  <c r="R101" i="3"/>
  <c r="Q101" i="3"/>
  <c r="J117" i="4"/>
  <c r="N117" i="4" s="1"/>
  <c r="R117" i="3"/>
  <c r="Q117" i="3"/>
  <c r="J37" i="4"/>
  <c r="N37" i="4" s="1"/>
  <c r="R37" i="3"/>
  <c r="Q37" i="3"/>
  <c r="J85" i="4"/>
  <c r="N85" i="4" s="1"/>
  <c r="R85" i="3"/>
  <c r="Q85" i="3"/>
  <c r="J141" i="4"/>
  <c r="N141" i="4" s="1"/>
  <c r="R141" i="3"/>
  <c r="Q141" i="3"/>
  <c r="J69" i="4"/>
  <c r="N69" i="4" s="1"/>
  <c r="R69" i="3"/>
  <c r="Q69" i="3"/>
  <c r="J133" i="4"/>
  <c r="N133" i="4" s="1"/>
  <c r="R133" i="3"/>
  <c r="Q133" i="3"/>
  <c r="J125" i="4"/>
  <c r="N125" i="4" s="1"/>
  <c r="R125" i="3"/>
  <c r="Q125" i="3"/>
  <c r="J45" i="4"/>
  <c r="N45" i="4" s="1"/>
  <c r="R45" i="3"/>
  <c r="Q45" i="3"/>
  <c r="J149" i="4"/>
  <c r="N149" i="4" s="1"/>
  <c r="R149" i="3"/>
  <c r="Q149" i="3"/>
  <c r="J77" i="4"/>
  <c r="N77" i="4" s="1"/>
  <c r="R77" i="3"/>
  <c r="Q77" i="3"/>
  <c r="R2" i="3"/>
  <c r="J2" i="4"/>
  <c r="N2" i="4" s="1"/>
  <c r="Q2" i="3"/>
  <c r="T532" i="4" l="1"/>
  <c r="T556" i="4"/>
  <c r="T108" i="4"/>
  <c r="T380" i="4"/>
  <c r="T315" i="4"/>
  <c r="T456" i="4"/>
  <c r="T7" i="4"/>
  <c r="T395" i="4"/>
  <c r="T80" i="4"/>
  <c r="T375" i="4"/>
  <c r="T225" i="4"/>
  <c r="T100" i="4"/>
  <c r="T162" i="4"/>
  <c r="T209" i="4"/>
  <c r="T341" i="4"/>
  <c r="T781" i="4"/>
  <c r="T98" i="4"/>
  <c r="T349" i="4"/>
  <c r="T413" i="4"/>
  <c r="T515" i="4"/>
  <c r="T750" i="4"/>
  <c r="T384" i="4"/>
  <c r="T528" i="4"/>
  <c r="T682" i="4"/>
  <c r="T501" i="4"/>
  <c r="T653" i="4"/>
  <c r="T504" i="4"/>
  <c r="T182" i="4"/>
  <c r="T279" i="4"/>
  <c r="T30" i="4"/>
  <c r="T294" i="4"/>
  <c r="T52" i="4"/>
  <c r="T694" i="4"/>
  <c r="T562" i="4"/>
  <c r="T327" i="4"/>
  <c r="T170" i="4"/>
  <c r="T706" i="4"/>
  <c r="T167" i="4"/>
  <c r="T475" i="4"/>
  <c r="T89" i="4"/>
  <c r="T254" i="4"/>
  <c r="T774" i="4"/>
  <c r="T362" i="4"/>
  <c r="T506" i="4"/>
  <c r="T634" i="4"/>
  <c r="T345" i="4"/>
  <c r="T585" i="4"/>
  <c r="T721" i="4"/>
  <c r="O77" i="4"/>
  <c r="P77" i="4"/>
  <c r="Q77" i="4" s="1"/>
  <c r="U77" i="4" s="1"/>
  <c r="O149" i="4"/>
  <c r="P149" i="4"/>
  <c r="Q149" i="4" s="1"/>
  <c r="U149" i="4" s="1"/>
  <c r="O45" i="4"/>
  <c r="P45" i="4"/>
  <c r="Q45" i="4" s="1"/>
  <c r="U45" i="4" s="1"/>
  <c r="O125" i="4"/>
  <c r="P125" i="4"/>
  <c r="Q125" i="4" s="1"/>
  <c r="U125" i="4" s="1"/>
  <c r="O133" i="4"/>
  <c r="P133" i="4"/>
  <c r="Q133" i="4" s="1"/>
  <c r="U133" i="4" s="1"/>
  <c r="O69" i="4"/>
  <c r="P69" i="4"/>
  <c r="Q69" i="4" s="1"/>
  <c r="U69" i="4" s="1"/>
  <c r="O141" i="4"/>
  <c r="P141" i="4"/>
  <c r="Q141" i="4" s="1"/>
  <c r="U141" i="4" s="1"/>
  <c r="O85" i="4"/>
  <c r="P85" i="4"/>
  <c r="Q85" i="4" s="1"/>
  <c r="U85" i="4" s="1"/>
  <c r="O37" i="4"/>
  <c r="P37" i="4"/>
  <c r="Q37" i="4" s="1"/>
  <c r="U37" i="4" s="1"/>
  <c r="O117" i="4"/>
  <c r="P117" i="4"/>
  <c r="Q117" i="4" s="1"/>
  <c r="U117" i="4" s="1"/>
  <c r="O101" i="4"/>
  <c r="P101" i="4"/>
  <c r="Q101" i="4" s="1"/>
  <c r="U101" i="4" s="1"/>
  <c r="O61" i="4"/>
  <c r="P61" i="4"/>
  <c r="Q61" i="4" s="1"/>
  <c r="U61" i="4" s="1"/>
  <c r="O435" i="4"/>
  <c r="P435" i="4"/>
  <c r="Q435" i="4" s="1"/>
  <c r="U435" i="4" s="1"/>
  <c r="O460" i="4"/>
  <c r="P460" i="4"/>
  <c r="Q460" i="4" s="1"/>
  <c r="U460" i="4" s="1"/>
  <c r="O476" i="4"/>
  <c r="P476" i="4"/>
  <c r="Q476" i="4" s="1"/>
  <c r="U476" i="4" s="1"/>
  <c r="O548" i="4"/>
  <c r="P548" i="4"/>
  <c r="Q548" i="4" s="1"/>
  <c r="U548" i="4" s="1"/>
  <c r="O207" i="4"/>
  <c r="P207" i="4"/>
  <c r="Q207" i="4" s="1"/>
  <c r="U207" i="4" s="1"/>
  <c r="O23" i="4"/>
  <c r="P23" i="4"/>
  <c r="Q23" i="4" s="1"/>
  <c r="U23" i="4" s="1"/>
  <c r="O473" i="4"/>
  <c r="P473" i="4"/>
  <c r="Q473" i="4" s="1"/>
  <c r="U473" i="4" s="1"/>
  <c r="O20" i="4"/>
  <c r="P20" i="4"/>
  <c r="Q20" i="4" s="1"/>
  <c r="U20" i="4" s="1"/>
  <c r="O595" i="4"/>
  <c r="P595" i="4"/>
  <c r="Q595" i="4" s="1"/>
  <c r="U595" i="4" s="1"/>
  <c r="O635" i="4"/>
  <c r="P635" i="4"/>
  <c r="Q635" i="4" s="1"/>
  <c r="U635" i="4" s="1"/>
  <c r="O547" i="4"/>
  <c r="P547" i="4"/>
  <c r="Q547" i="4" s="1"/>
  <c r="U547" i="4" s="1"/>
  <c r="O801" i="4"/>
  <c r="P801" i="4"/>
  <c r="Q801" i="4" s="1"/>
  <c r="U801" i="4" s="1"/>
  <c r="O56" i="4"/>
  <c r="P56" i="4"/>
  <c r="Q56" i="4" s="1"/>
  <c r="U56" i="4" s="1"/>
  <c r="O639" i="4"/>
  <c r="P639" i="4"/>
  <c r="Q639" i="4" s="1"/>
  <c r="U639" i="4" s="1"/>
  <c r="O771" i="4"/>
  <c r="P771" i="4"/>
  <c r="Q771" i="4" s="1"/>
  <c r="U771" i="4" s="1"/>
  <c r="O468" i="4"/>
  <c r="P468" i="4"/>
  <c r="Q468" i="4" s="1"/>
  <c r="U468" i="4" s="1"/>
  <c r="O32" i="4"/>
  <c r="P32" i="4"/>
  <c r="Q32" i="4" s="1"/>
  <c r="U32" i="4" s="1"/>
  <c r="O492" i="4"/>
  <c r="P492" i="4"/>
  <c r="Q492" i="4" s="1"/>
  <c r="U492" i="4" s="1"/>
  <c r="O600" i="4"/>
  <c r="P600" i="4"/>
  <c r="Q600" i="4" s="1"/>
  <c r="U600" i="4" s="1"/>
  <c r="O31" i="4"/>
  <c r="P31" i="4"/>
  <c r="Q31" i="4" s="1"/>
  <c r="U31" i="4" s="1"/>
  <c r="O551" i="4"/>
  <c r="P551" i="4"/>
  <c r="Q551" i="4" s="1"/>
  <c r="U551" i="4" s="1"/>
  <c r="O42" i="4"/>
  <c r="P42" i="4"/>
  <c r="Q42" i="4" s="1"/>
  <c r="U42" i="4" s="1"/>
  <c r="O78" i="4"/>
  <c r="P78" i="4"/>
  <c r="Q78" i="4" s="1"/>
  <c r="U78" i="4" s="1"/>
  <c r="O350" i="4"/>
  <c r="P350" i="4"/>
  <c r="Q350" i="4" s="1"/>
  <c r="U350" i="4" s="1"/>
  <c r="O54" i="4"/>
  <c r="P54" i="4"/>
  <c r="Q54" i="4" s="1"/>
  <c r="U54" i="4" s="1"/>
  <c r="O168" i="4"/>
  <c r="P168" i="4"/>
  <c r="Q168" i="4" s="1"/>
  <c r="U168" i="4" s="1"/>
  <c r="O732" i="4"/>
  <c r="P732" i="4"/>
  <c r="Q732" i="4" s="1"/>
  <c r="U732" i="4" s="1"/>
  <c r="O249" i="4"/>
  <c r="P249" i="4"/>
  <c r="Q249" i="4" s="1"/>
  <c r="U249" i="4" s="1"/>
  <c r="O540" i="4"/>
  <c r="P540" i="4"/>
  <c r="Q540" i="4" s="1"/>
  <c r="U540" i="4" s="1"/>
  <c r="O559" i="4"/>
  <c r="P559" i="4"/>
  <c r="Q559" i="4" s="1"/>
  <c r="U559" i="4" s="1"/>
  <c r="O676" i="4"/>
  <c r="P676" i="4"/>
  <c r="Q676" i="4" s="1"/>
  <c r="U676" i="4" s="1"/>
  <c r="O500" i="4"/>
  <c r="P500" i="4"/>
  <c r="Q500" i="4" s="1"/>
  <c r="U500" i="4" s="1"/>
  <c r="O564" i="4"/>
  <c r="P564" i="4"/>
  <c r="Q564" i="4" s="1"/>
  <c r="U564" i="4" s="1"/>
  <c r="O756" i="4"/>
  <c r="P756" i="4"/>
  <c r="Q756" i="4" s="1"/>
  <c r="U756" i="4" s="1"/>
  <c r="O103" i="4"/>
  <c r="P103" i="4"/>
  <c r="Q103" i="4" s="1"/>
  <c r="U103" i="4" s="1"/>
  <c r="O33" i="4"/>
  <c r="P33" i="4"/>
  <c r="Q33" i="4" s="1"/>
  <c r="U33" i="4" s="1"/>
  <c r="O75" i="4"/>
  <c r="P75" i="4"/>
  <c r="Q75" i="4" s="1"/>
  <c r="U75" i="4" s="1"/>
  <c r="O310" i="4"/>
  <c r="P310" i="4"/>
  <c r="Q310" i="4" s="1"/>
  <c r="U310" i="4" s="1"/>
  <c r="O281" i="4"/>
  <c r="P281" i="4"/>
  <c r="Q281" i="4" s="1"/>
  <c r="U281" i="4" s="1"/>
  <c r="O172" i="4"/>
  <c r="P172" i="4"/>
  <c r="Q172" i="4" s="1"/>
  <c r="U172" i="4" s="1"/>
  <c r="O174" i="4"/>
  <c r="P174" i="4"/>
  <c r="Q174" i="4" s="1"/>
  <c r="U174" i="4" s="1"/>
  <c r="O288" i="4"/>
  <c r="P288" i="4"/>
  <c r="Q288" i="4" s="1"/>
  <c r="U288" i="4" s="1"/>
  <c r="O419" i="4"/>
  <c r="P419" i="4"/>
  <c r="Q419" i="4" s="1"/>
  <c r="U419" i="4" s="1"/>
  <c r="O444" i="4"/>
  <c r="P444" i="4"/>
  <c r="Q444" i="4" s="1"/>
  <c r="U444" i="4" s="1"/>
  <c r="O271" i="4"/>
  <c r="P271" i="4"/>
  <c r="Q271" i="4" s="1"/>
  <c r="U271" i="4" s="1"/>
  <c r="O507" i="4"/>
  <c r="P507" i="4"/>
  <c r="Q507" i="4" s="1"/>
  <c r="U507" i="4" s="1"/>
  <c r="O508" i="4"/>
  <c r="P508" i="4"/>
  <c r="Q508" i="4" s="1"/>
  <c r="U508" i="4" s="1"/>
  <c r="O572" i="4"/>
  <c r="P572" i="4"/>
  <c r="Q572" i="4" s="1"/>
  <c r="U572" i="4" s="1"/>
  <c r="O5" i="4"/>
  <c r="P5" i="4"/>
  <c r="Q5" i="4" s="1"/>
  <c r="U5" i="4" s="1"/>
  <c r="O407" i="4"/>
  <c r="P407" i="4"/>
  <c r="Q407" i="4" s="1"/>
  <c r="U407" i="4" s="1"/>
  <c r="O652" i="4"/>
  <c r="P652" i="4"/>
  <c r="Q652" i="4" s="1"/>
  <c r="U652" i="4" s="1"/>
  <c r="O155" i="4"/>
  <c r="P155" i="4"/>
  <c r="Q155" i="4" s="1"/>
  <c r="U155" i="4" s="1"/>
  <c r="O630" i="4"/>
  <c r="P630" i="4"/>
  <c r="Q630" i="4" s="1"/>
  <c r="U630" i="4" s="1"/>
  <c r="O545" i="4"/>
  <c r="P545" i="4"/>
  <c r="Q545" i="4" s="1"/>
  <c r="U545" i="4" s="1"/>
  <c r="O236" i="4"/>
  <c r="P236" i="4"/>
  <c r="Q236" i="4" s="1"/>
  <c r="U236" i="4" s="1"/>
  <c r="O318" i="4"/>
  <c r="P318" i="4"/>
  <c r="Q318" i="4" s="1"/>
  <c r="U318" i="4" s="1"/>
  <c r="O376" i="4"/>
  <c r="P376" i="4"/>
  <c r="Q376" i="4" s="1"/>
  <c r="U376" i="4" s="1"/>
  <c r="O607" i="4"/>
  <c r="P607" i="4"/>
  <c r="Q607" i="4" s="1"/>
  <c r="U607" i="4" s="1"/>
  <c r="O670" i="4"/>
  <c r="P670" i="4"/>
  <c r="Q670" i="4" s="1"/>
  <c r="U670" i="4" s="1"/>
  <c r="O742" i="4"/>
  <c r="P742" i="4"/>
  <c r="Q742" i="4" s="1"/>
  <c r="U742" i="4" s="1"/>
  <c r="O516" i="4"/>
  <c r="P516" i="4"/>
  <c r="Q516" i="4" s="1"/>
  <c r="U516" i="4" s="1"/>
  <c r="O580" i="4"/>
  <c r="P580" i="4"/>
  <c r="Q580" i="4" s="1"/>
  <c r="U580" i="4" s="1"/>
  <c r="O255" i="4"/>
  <c r="P255" i="4"/>
  <c r="Q255" i="4" s="1"/>
  <c r="U255" i="4" s="1"/>
  <c r="O479" i="4"/>
  <c r="P479" i="4"/>
  <c r="Q479" i="4" s="1"/>
  <c r="U479" i="4" s="1"/>
  <c r="O780" i="4"/>
  <c r="P780" i="4"/>
  <c r="Q780" i="4" s="1"/>
  <c r="U780" i="4" s="1"/>
  <c r="O259" i="4"/>
  <c r="P259" i="4"/>
  <c r="Q259" i="4" s="1"/>
  <c r="U259" i="4" s="1"/>
  <c r="O727" i="4"/>
  <c r="P727" i="4"/>
  <c r="Q727" i="4" s="1"/>
  <c r="U727" i="4" s="1"/>
  <c r="O560" i="4"/>
  <c r="P560" i="4"/>
  <c r="Q560" i="4" s="1"/>
  <c r="U560" i="4" s="1"/>
  <c r="O308" i="4"/>
  <c r="P308" i="4"/>
  <c r="Q308" i="4" s="1"/>
  <c r="U308" i="4" s="1"/>
  <c r="O438" i="4"/>
  <c r="P438" i="4"/>
  <c r="Q438" i="4" s="1"/>
  <c r="U438" i="4" s="1"/>
  <c r="O512" i="4"/>
  <c r="P512" i="4"/>
  <c r="Q512" i="4" s="1"/>
  <c r="U512" i="4" s="1"/>
  <c r="O119" i="4"/>
  <c r="P119" i="4"/>
  <c r="Q119" i="4" s="1"/>
  <c r="U119" i="4" s="1"/>
  <c r="O767" i="4"/>
  <c r="P767" i="4"/>
  <c r="Q767" i="4" s="1"/>
  <c r="U767" i="4" s="1"/>
  <c r="O163" i="4"/>
  <c r="P163" i="4"/>
  <c r="Q163" i="4" s="1"/>
  <c r="U163" i="4" s="1"/>
  <c r="O524" i="4"/>
  <c r="P524" i="4"/>
  <c r="Q524" i="4" s="1"/>
  <c r="U524" i="4" s="1"/>
  <c r="O41" i="4"/>
  <c r="P41" i="4"/>
  <c r="Q41" i="4" s="1"/>
  <c r="U41" i="4" s="1"/>
  <c r="O503" i="4"/>
  <c r="P503" i="4"/>
  <c r="Q503" i="4" s="1"/>
  <c r="U503" i="4" s="1"/>
  <c r="O631" i="4"/>
  <c r="P631" i="4"/>
  <c r="Q631" i="4" s="1"/>
  <c r="U631" i="4" s="1"/>
  <c r="O671" i="4"/>
  <c r="P671" i="4"/>
  <c r="Q671" i="4" s="1"/>
  <c r="U671" i="4" s="1"/>
  <c r="O339" i="4"/>
  <c r="P339" i="4"/>
  <c r="Q339" i="4" s="1"/>
  <c r="U339" i="4" s="1"/>
  <c r="O675" i="4"/>
  <c r="P675" i="4"/>
  <c r="Q675" i="4" s="1"/>
  <c r="U675" i="4" s="1"/>
  <c r="O264" i="4"/>
  <c r="P264" i="4"/>
  <c r="Q264" i="4" s="1"/>
  <c r="U264" i="4" s="1"/>
  <c r="O550" i="4"/>
  <c r="P550" i="4"/>
  <c r="Q550" i="4" s="1"/>
  <c r="U550" i="4" s="1"/>
  <c r="O624" i="4"/>
  <c r="P624" i="4"/>
  <c r="Q624" i="4" s="1"/>
  <c r="U624" i="4" s="1"/>
  <c r="O131" i="4"/>
  <c r="P131" i="4"/>
  <c r="Q131" i="4" s="1"/>
  <c r="U131" i="4" s="1"/>
  <c r="O211" i="4"/>
  <c r="P211" i="4"/>
  <c r="Q211" i="4" s="1"/>
  <c r="U211" i="4" s="1"/>
  <c r="O387" i="4"/>
  <c r="P387" i="4"/>
  <c r="Q387" i="4" s="1"/>
  <c r="U387" i="4" s="1"/>
  <c r="O483" i="4"/>
  <c r="P483" i="4"/>
  <c r="Q483" i="4" s="1"/>
  <c r="U483" i="4" s="1"/>
  <c r="O563" i="4"/>
  <c r="P563" i="4"/>
  <c r="Q563" i="4" s="1"/>
  <c r="U563" i="4" s="1"/>
  <c r="O38" i="4"/>
  <c r="P38" i="4"/>
  <c r="Q38" i="4" s="1"/>
  <c r="U38" i="4" s="1"/>
  <c r="O222" i="4"/>
  <c r="P222" i="4"/>
  <c r="Q222" i="4" s="1"/>
  <c r="U222" i="4" s="1"/>
  <c r="O446" i="4"/>
  <c r="P446" i="4"/>
  <c r="Q446" i="4" s="1"/>
  <c r="U446" i="4" s="1"/>
  <c r="O107" i="4"/>
  <c r="P107" i="4"/>
  <c r="Q107" i="4" s="1"/>
  <c r="U107" i="4" s="1"/>
  <c r="O651" i="4"/>
  <c r="P651" i="4"/>
  <c r="Q651" i="4" s="1"/>
  <c r="U651" i="4" s="1"/>
  <c r="O731" i="4"/>
  <c r="P731" i="4"/>
  <c r="Q731" i="4" s="1"/>
  <c r="U731" i="4" s="1"/>
  <c r="O11" i="4"/>
  <c r="P11" i="4"/>
  <c r="Q11" i="4" s="1"/>
  <c r="U11" i="4" s="1"/>
  <c r="O129" i="4"/>
  <c r="P129" i="4"/>
  <c r="Q129" i="4" s="1"/>
  <c r="U129" i="4" s="1"/>
  <c r="O584" i="4"/>
  <c r="P584" i="4"/>
  <c r="Q584" i="4" s="1"/>
  <c r="U584" i="4" s="1"/>
  <c r="O97" i="4"/>
  <c r="P97" i="4"/>
  <c r="Q97" i="4" s="1"/>
  <c r="U97" i="4" s="1"/>
  <c r="O417" i="4"/>
  <c r="P417" i="4"/>
  <c r="Q417" i="4" s="1"/>
  <c r="U417" i="4" s="1"/>
  <c r="O177" i="4"/>
  <c r="P177" i="4"/>
  <c r="Q177" i="4" s="1"/>
  <c r="U177" i="4" s="1"/>
  <c r="O326" i="4"/>
  <c r="P326" i="4"/>
  <c r="Q326" i="4" s="1"/>
  <c r="U326" i="4" s="1"/>
  <c r="O57" i="4"/>
  <c r="P57" i="4"/>
  <c r="Q57" i="4" s="1"/>
  <c r="U57" i="4" s="1"/>
  <c r="O369" i="4"/>
  <c r="P369" i="4"/>
  <c r="Q369" i="4" s="1"/>
  <c r="U369" i="4" s="1"/>
  <c r="O379" i="4"/>
  <c r="P379" i="4"/>
  <c r="Q379" i="4" s="1"/>
  <c r="U379" i="4" s="1"/>
  <c r="O84" i="4"/>
  <c r="P84" i="4"/>
  <c r="Q84" i="4" s="1"/>
  <c r="U84" i="4" s="1"/>
  <c r="O148" i="4"/>
  <c r="P148" i="4"/>
  <c r="Q148" i="4" s="1"/>
  <c r="U148" i="4" s="1"/>
  <c r="O212" i="4"/>
  <c r="P212" i="4"/>
  <c r="Q212" i="4" s="1"/>
  <c r="U212" i="4" s="1"/>
  <c r="O284" i="4"/>
  <c r="P284" i="4"/>
  <c r="Q284" i="4" s="1"/>
  <c r="U284" i="4" s="1"/>
  <c r="O348" i="4"/>
  <c r="P348" i="4"/>
  <c r="Q348" i="4" s="1"/>
  <c r="U348" i="4" s="1"/>
  <c r="O420" i="4"/>
  <c r="P420" i="4"/>
  <c r="Q420" i="4" s="1"/>
  <c r="U420" i="4" s="1"/>
  <c r="O636" i="4"/>
  <c r="P636" i="4"/>
  <c r="Q636" i="4" s="1"/>
  <c r="U636" i="4" s="1"/>
  <c r="O764" i="4"/>
  <c r="P764" i="4"/>
  <c r="Q764" i="4" s="1"/>
  <c r="U764" i="4" s="1"/>
  <c r="O665" i="4"/>
  <c r="P665" i="4"/>
  <c r="Q665" i="4" s="1"/>
  <c r="U665" i="4" s="1"/>
  <c r="O126" i="4"/>
  <c r="P126" i="4"/>
  <c r="Q126" i="4" s="1"/>
  <c r="U126" i="4" s="1"/>
  <c r="O262" i="4"/>
  <c r="P262" i="4"/>
  <c r="Q262" i="4" s="1"/>
  <c r="U262" i="4" s="1"/>
  <c r="O390" i="4"/>
  <c r="P390" i="4"/>
  <c r="Q390" i="4" s="1"/>
  <c r="U390" i="4" s="1"/>
  <c r="O494" i="4"/>
  <c r="P494" i="4"/>
  <c r="Q494" i="4" s="1"/>
  <c r="U494" i="4" s="1"/>
  <c r="O614" i="4"/>
  <c r="P614" i="4"/>
  <c r="Q614" i="4" s="1"/>
  <c r="U614" i="4" s="1"/>
  <c r="O710" i="4"/>
  <c r="P710" i="4"/>
  <c r="Q710" i="4" s="1"/>
  <c r="U710" i="4" s="1"/>
  <c r="O782" i="4"/>
  <c r="P782" i="4"/>
  <c r="Q782" i="4" s="1"/>
  <c r="U782" i="4" s="1"/>
  <c r="O128" i="4"/>
  <c r="P128" i="4"/>
  <c r="Q128" i="4" s="1"/>
  <c r="U128" i="4" s="1"/>
  <c r="O216" i="4"/>
  <c r="P216" i="4"/>
  <c r="Q216" i="4" s="1"/>
  <c r="U216" i="4" s="1"/>
  <c r="O344" i="4"/>
  <c r="P344" i="4"/>
  <c r="Q344" i="4" s="1"/>
  <c r="U344" i="4" s="1"/>
  <c r="O576" i="4"/>
  <c r="P576" i="4"/>
  <c r="Q576" i="4" s="1"/>
  <c r="U576" i="4" s="1"/>
  <c r="O696" i="4"/>
  <c r="P696" i="4"/>
  <c r="Q696" i="4" s="1"/>
  <c r="U696" i="4" s="1"/>
  <c r="O672" i="4"/>
  <c r="P672" i="4"/>
  <c r="Q672" i="4" s="1"/>
  <c r="U672" i="4" s="1"/>
  <c r="O74" i="4"/>
  <c r="P74" i="4"/>
  <c r="Q74" i="4" s="1"/>
  <c r="U74" i="4" s="1"/>
  <c r="O146" i="4"/>
  <c r="P146" i="4"/>
  <c r="Q146" i="4" s="1"/>
  <c r="U146" i="4" s="1"/>
  <c r="O218" i="4"/>
  <c r="P218" i="4"/>
  <c r="Q218" i="4" s="1"/>
  <c r="U218" i="4" s="1"/>
  <c r="O290" i="4"/>
  <c r="P290" i="4"/>
  <c r="Q290" i="4" s="1"/>
  <c r="U290" i="4" s="1"/>
  <c r="O370" i="4"/>
  <c r="P370" i="4"/>
  <c r="Q370" i="4" s="1"/>
  <c r="U370" i="4" s="1"/>
  <c r="O442" i="4"/>
  <c r="P442" i="4"/>
  <c r="Q442" i="4" s="1"/>
  <c r="U442" i="4" s="1"/>
  <c r="O514" i="4"/>
  <c r="P514" i="4"/>
  <c r="Q514" i="4" s="1"/>
  <c r="U514" i="4" s="1"/>
  <c r="O578" i="4"/>
  <c r="P578" i="4"/>
  <c r="Q578" i="4" s="1"/>
  <c r="U578" i="4" s="1"/>
  <c r="O642" i="4"/>
  <c r="P642" i="4"/>
  <c r="Q642" i="4" s="1"/>
  <c r="U642" i="4" s="1"/>
  <c r="O730" i="4"/>
  <c r="P730" i="4"/>
  <c r="Q730" i="4" s="1"/>
  <c r="U730" i="4" s="1"/>
  <c r="O48" i="4"/>
  <c r="P48" i="4"/>
  <c r="Q48" i="4" s="1"/>
  <c r="U48" i="4" s="1"/>
  <c r="O268" i="4"/>
  <c r="P268" i="4"/>
  <c r="Q268" i="4" s="1"/>
  <c r="U268" i="4" s="1"/>
  <c r="O486" i="4"/>
  <c r="P486" i="4"/>
  <c r="Q486" i="4" s="1"/>
  <c r="U486" i="4" s="1"/>
  <c r="O121" i="4"/>
  <c r="P121" i="4"/>
  <c r="Q121" i="4" s="1"/>
  <c r="U121" i="4" s="1"/>
  <c r="O353" i="4"/>
  <c r="P353" i="4"/>
  <c r="Q353" i="4" s="1"/>
  <c r="U353" i="4" s="1"/>
  <c r="O593" i="4"/>
  <c r="P593" i="4"/>
  <c r="Q593" i="4" s="1"/>
  <c r="U593" i="4" s="1"/>
  <c r="O753" i="4"/>
  <c r="P753" i="4"/>
  <c r="Q753" i="4" s="1"/>
  <c r="U753" i="4" s="1"/>
  <c r="O401" i="4"/>
  <c r="P401" i="4"/>
  <c r="Q401" i="4" s="1"/>
  <c r="U401" i="4" s="1"/>
  <c r="O745" i="4"/>
  <c r="P745" i="4"/>
  <c r="Q745" i="4" s="1"/>
  <c r="U745" i="4" s="1"/>
  <c r="O199" i="4"/>
  <c r="P199" i="4"/>
  <c r="Q199" i="4" s="1"/>
  <c r="U199" i="4" s="1"/>
  <c r="O359" i="4"/>
  <c r="P359" i="4"/>
  <c r="Q359" i="4" s="1"/>
  <c r="U359" i="4" s="1"/>
  <c r="O511" i="4"/>
  <c r="P511" i="4"/>
  <c r="Q511" i="4" s="1"/>
  <c r="U511" i="4" s="1"/>
  <c r="O768" i="4"/>
  <c r="P768" i="4"/>
  <c r="Q768" i="4" s="1"/>
  <c r="U768" i="4" s="1"/>
  <c r="O181" i="4"/>
  <c r="P181" i="4"/>
  <c r="Q181" i="4" s="1"/>
  <c r="U181" i="4" s="1"/>
  <c r="O245" i="4"/>
  <c r="P245" i="4"/>
  <c r="Q245" i="4" s="1"/>
  <c r="U245" i="4" s="1"/>
  <c r="O309" i="4"/>
  <c r="P309" i="4"/>
  <c r="Q309" i="4" s="1"/>
  <c r="U309" i="4" s="1"/>
  <c r="O389" i="4"/>
  <c r="P389" i="4"/>
  <c r="Q389" i="4" s="1"/>
  <c r="U389" i="4" s="1"/>
  <c r="O469" i="4"/>
  <c r="P469" i="4"/>
  <c r="Q469" i="4" s="1"/>
  <c r="U469" i="4" s="1"/>
  <c r="O533" i="4"/>
  <c r="P533" i="4"/>
  <c r="Q533" i="4" s="1"/>
  <c r="U533" i="4" s="1"/>
  <c r="O621" i="4"/>
  <c r="P621" i="4"/>
  <c r="Q621" i="4" s="1"/>
  <c r="U621" i="4" s="1"/>
  <c r="O701" i="4"/>
  <c r="P701" i="4"/>
  <c r="Q701" i="4" s="1"/>
  <c r="U701" i="4" s="1"/>
  <c r="O765" i="4"/>
  <c r="P765" i="4"/>
  <c r="Q765" i="4" s="1"/>
  <c r="U765" i="4" s="1"/>
  <c r="O151" i="4"/>
  <c r="P151" i="4"/>
  <c r="Q151" i="4" s="1"/>
  <c r="U151" i="4" s="1"/>
  <c r="O311" i="4"/>
  <c r="P311" i="4"/>
  <c r="Q311" i="4" s="1"/>
  <c r="U311" i="4" s="1"/>
  <c r="O655" i="4"/>
  <c r="P655" i="4"/>
  <c r="Q655" i="4" s="1"/>
  <c r="U655" i="4" s="1"/>
  <c r="O314" i="4"/>
  <c r="P314" i="4"/>
  <c r="Q314" i="4" s="1"/>
  <c r="U314" i="4" s="1"/>
  <c r="O786" i="4"/>
  <c r="P786" i="4"/>
  <c r="Q786" i="4" s="1"/>
  <c r="U786" i="4" s="1"/>
  <c r="O265" i="4"/>
  <c r="P265" i="4"/>
  <c r="Q265" i="4" s="1"/>
  <c r="U265" i="4" s="1"/>
  <c r="O597" i="4"/>
  <c r="P597" i="4"/>
  <c r="Q597" i="4" s="1"/>
  <c r="U597" i="4" s="1"/>
  <c r="O663" i="4"/>
  <c r="P663" i="4"/>
  <c r="Q663" i="4" s="1"/>
  <c r="U663" i="4" s="1"/>
  <c r="O628" i="4"/>
  <c r="P628" i="4"/>
  <c r="Q628" i="4" s="1"/>
  <c r="U628" i="4" s="1"/>
  <c r="O351" i="4"/>
  <c r="P351" i="4"/>
  <c r="Q351" i="4" s="1"/>
  <c r="U351" i="4" s="1"/>
  <c r="O191" i="4"/>
  <c r="P191" i="4"/>
  <c r="Q191" i="4" s="1"/>
  <c r="U191" i="4" s="1"/>
  <c r="O668" i="4"/>
  <c r="P668" i="4"/>
  <c r="Q668" i="4" s="1"/>
  <c r="U668" i="4" s="1"/>
  <c r="O25" i="4"/>
  <c r="P25" i="4"/>
  <c r="Q25" i="4" s="1"/>
  <c r="U25" i="4" s="1"/>
  <c r="O596" i="4"/>
  <c r="P596" i="4"/>
  <c r="Q596" i="4" s="1"/>
  <c r="U596" i="4" s="1"/>
  <c r="O679" i="4"/>
  <c r="P679" i="4"/>
  <c r="Q679" i="4" s="1"/>
  <c r="U679" i="4" s="1"/>
  <c r="O22" i="4"/>
  <c r="P22" i="4"/>
  <c r="Q22" i="4" s="1"/>
  <c r="U22" i="4" s="1"/>
  <c r="O623" i="4"/>
  <c r="P623" i="4"/>
  <c r="Q623" i="4" s="1"/>
  <c r="U623" i="4" s="1"/>
  <c r="O51" i="4"/>
  <c r="P51" i="4"/>
  <c r="Q51" i="4" s="1"/>
  <c r="U51" i="4" s="1"/>
  <c r="O139" i="4"/>
  <c r="P139" i="4"/>
  <c r="Q139" i="4" s="1"/>
  <c r="U139" i="4" s="1"/>
  <c r="O243" i="4"/>
  <c r="P243" i="4"/>
  <c r="Q243" i="4" s="1"/>
  <c r="U243" i="4" s="1"/>
  <c r="O323" i="4"/>
  <c r="P323" i="4"/>
  <c r="Q323" i="4" s="1"/>
  <c r="U323" i="4" s="1"/>
  <c r="O491" i="4"/>
  <c r="P491" i="4"/>
  <c r="Q491" i="4" s="1"/>
  <c r="U491" i="4" s="1"/>
  <c r="O571" i="4"/>
  <c r="P571" i="4"/>
  <c r="Q571" i="4" s="1"/>
  <c r="U571" i="4" s="1"/>
  <c r="O62" i="4"/>
  <c r="P62" i="4"/>
  <c r="Q62" i="4" s="1"/>
  <c r="U62" i="4" s="1"/>
  <c r="O246" i="4"/>
  <c r="P246" i="4"/>
  <c r="Q246" i="4" s="1"/>
  <c r="U246" i="4" s="1"/>
  <c r="O526" i="4"/>
  <c r="P526" i="4"/>
  <c r="Q526" i="4" s="1"/>
  <c r="U526" i="4" s="1"/>
  <c r="O411" i="4"/>
  <c r="P411" i="4"/>
  <c r="Q411" i="4" s="1"/>
  <c r="U411" i="4" s="1"/>
  <c r="O659" i="4"/>
  <c r="P659" i="4"/>
  <c r="Q659" i="4" s="1"/>
  <c r="U659" i="4" s="1"/>
  <c r="O747" i="4"/>
  <c r="P747" i="4"/>
  <c r="Q747" i="4" s="1"/>
  <c r="U747" i="4" s="1"/>
  <c r="O19" i="4"/>
  <c r="P19" i="4"/>
  <c r="Q19" i="4" s="1"/>
  <c r="U19" i="4" s="1"/>
  <c r="O13" i="4"/>
  <c r="P13" i="4"/>
  <c r="Q13" i="4" s="1"/>
  <c r="U13" i="4" s="1"/>
  <c r="O510" i="4"/>
  <c r="P510" i="4"/>
  <c r="Q510" i="4" s="1"/>
  <c r="U510" i="4" s="1"/>
  <c r="O153" i="4"/>
  <c r="P153" i="4"/>
  <c r="Q153" i="4" s="1"/>
  <c r="U153" i="4" s="1"/>
  <c r="O481" i="4"/>
  <c r="P481" i="4"/>
  <c r="Q481" i="4" s="1"/>
  <c r="U481" i="4" s="1"/>
  <c r="O432" i="4"/>
  <c r="P432" i="4"/>
  <c r="Q432" i="4" s="1"/>
  <c r="U432" i="4" s="1"/>
  <c r="O17" i="4"/>
  <c r="P17" i="4"/>
  <c r="Q17" i="4" s="1"/>
  <c r="U17" i="4" s="1"/>
  <c r="O185" i="4"/>
  <c r="P185" i="4"/>
  <c r="Q185" i="4" s="1"/>
  <c r="U185" i="4" s="1"/>
  <c r="O35" i="4"/>
  <c r="P35" i="4"/>
  <c r="Q35" i="4" s="1"/>
  <c r="U35" i="4" s="1"/>
  <c r="O443" i="4"/>
  <c r="P443" i="4"/>
  <c r="Q443" i="4" s="1"/>
  <c r="U443" i="4" s="1"/>
  <c r="O92" i="4"/>
  <c r="P92" i="4"/>
  <c r="Q92" i="4" s="1"/>
  <c r="U92" i="4" s="1"/>
  <c r="O156" i="4"/>
  <c r="P156" i="4"/>
  <c r="Q156" i="4" s="1"/>
  <c r="U156" i="4" s="1"/>
  <c r="O220" i="4"/>
  <c r="P220" i="4"/>
  <c r="Q220" i="4" s="1"/>
  <c r="U220" i="4" s="1"/>
  <c r="O292" i="4"/>
  <c r="P292" i="4"/>
  <c r="Q292" i="4" s="1"/>
  <c r="U292" i="4" s="1"/>
  <c r="O356" i="4"/>
  <c r="P356" i="4"/>
  <c r="Q356" i="4" s="1"/>
  <c r="U356" i="4" s="1"/>
  <c r="O428" i="4"/>
  <c r="P428" i="4"/>
  <c r="Q428" i="4" s="1"/>
  <c r="U428" i="4" s="1"/>
  <c r="O644" i="4"/>
  <c r="P644" i="4"/>
  <c r="Q644" i="4" s="1"/>
  <c r="U644" i="4" s="1"/>
  <c r="O772" i="4"/>
  <c r="P772" i="4"/>
  <c r="Q772" i="4" s="1"/>
  <c r="U772" i="4" s="1"/>
  <c r="O591" i="4"/>
  <c r="P591" i="4"/>
  <c r="Q591" i="4" s="1"/>
  <c r="U591" i="4" s="1"/>
  <c r="O134" i="4"/>
  <c r="P134" i="4"/>
  <c r="Q134" i="4" s="1"/>
  <c r="U134" i="4" s="1"/>
  <c r="O278" i="4"/>
  <c r="P278" i="4"/>
  <c r="Q278" i="4" s="1"/>
  <c r="U278" i="4" s="1"/>
  <c r="O422" i="4"/>
  <c r="P422" i="4"/>
  <c r="Q422" i="4" s="1"/>
  <c r="U422" i="4" s="1"/>
  <c r="O518" i="4"/>
  <c r="P518" i="4"/>
  <c r="Q518" i="4" s="1"/>
  <c r="U518" i="4" s="1"/>
  <c r="O654" i="4"/>
  <c r="P654" i="4"/>
  <c r="Q654" i="4" s="1"/>
  <c r="U654" i="4" s="1"/>
  <c r="O718" i="4"/>
  <c r="P718" i="4"/>
  <c r="Q718" i="4" s="1"/>
  <c r="U718" i="4" s="1"/>
  <c r="O790" i="4"/>
  <c r="P790" i="4"/>
  <c r="Q790" i="4" s="1"/>
  <c r="U790" i="4" s="1"/>
  <c r="O136" i="4"/>
  <c r="P136" i="4"/>
  <c r="Q136" i="4" s="1"/>
  <c r="U136" i="4" s="1"/>
  <c r="O248" i="4"/>
  <c r="P248" i="4"/>
  <c r="Q248" i="4" s="1"/>
  <c r="U248" i="4" s="1"/>
  <c r="O352" i="4"/>
  <c r="P352" i="4"/>
  <c r="Q352" i="4" s="1"/>
  <c r="U352" i="4" s="1"/>
  <c r="O464" i="4"/>
  <c r="P464" i="4"/>
  <c r="Q464" i="4" s="1"/>
  <c r="U464" i="4" s="1"/>
  <c r="O592" i="4"/>
  <c r="P592" i="4"/>
  <c r="Q592" i="4" s="1"/>
  <c r="U592" i="4" s="1"/>
  <c r="O704" i="4"/>
  <c r="P704" i="4"/>
  <c r="Q704" i="4" s="1"/>
  <c r="U704" i="4" s="1"/>
  <c r="O113" i="4"/>
  <c r="P113" i="4"/>
  <c r="Q113" i="4" s="1"/>
  <c r="U113" i="4" s="1"/>
  <c r="O82" i="4"/>
  <c r="P82" i="4"/>
  <c r="Q82" i="4" s="1"/>
  <c r="U82" i="4" s="1"/>
  <c r="O154" i="4"/>
  <c r="P154" i="4"/>
  <c r="Q154" i="4" s="1"/>
  <c r="U154" i="4" s="1"/>
  <c r="O226" i="4"/>
  <c r="P226" i="4"/>
  <c r="Q226" i="4" s="1"/>
  <c r="U226" i="4" s="1"/>
  <c r="O298" i="4"/>
  <c r="P298" i="4"/>
  <c r="Q298" i="4" s="1"/>
  <c r="U298" i="4" s="1"/>
  <c r="O386" i="4"/>
  <c r="P386" i="4"/>
  <c r="Q386" i="4" s="1"/>
  <c r="U386" i="4" s="1"/>
  <c r="O450" i="4"/>
  <c r="P450" i="4"/>
  <c r="Q450" i="4" s="1"/>
  <c r="U450" i="4" s="1"/>
  <c r="O522" i="4"/>
  <c r="P522" i="4"/>
  <c r="Q522" i="4" s="1"/>
  <c r="U522" i="4" s="1"/>
  <c r="O586" i="4"/>
  <c r="P586" i="4"/>
  <c r="Q586" i="4" s="1"/>
  <c r="U586" i="4" s="1"/>
  <c r="O658" i="4"/>
  <c r="P658" i="4"/>
  <c r="Q658" i="4" s="1"/>
  <c r="U658" i="4" s="1"/>
  <c r="O738" i="4"/>
  <c r="P738" i="4"/>
  <c r="Q738" i="4" s="1"/>
  <c r="U738" i="4" s="1"/>
  <c r="O748" i="4"/>
  <c r="P748" i="4"/>
  <c r="Q748" i="4" s="1"/>
  <c r="U748" i="4" s="1"/>
  <c r="O534" i="4"/>
  <c r="P534" i="4"/>
  <c r="Q534" i="4" s="1"/>
  <c r="U534" i="4" s="1"/>
  <c r="O137" i="4"/>
  <c r="P137" i="4"/>
  <c r="Q137" i="4" s="1"/>
  <c r="U137" i="4" s="1"/>
  <c r="O393" i="4"/>
  <c r="P393" i="4"/>
  <c r="Q393" i="4" s="1"/>
  <c r="U393" i="4" s="1"/>
  <c r="O601" i="4"/>
  <c r="P601" i="4"/>
  <c r="Q601" i="4" s="1"/>
  <c r="U601" i="4" s="1"/>
  <c r="O761" i="4"/>
  <c r="P761" i="4"/>
  <c r="Q761" i="4" s="1"/>
  <c r="U761" i="4" s="1"/>
  <c r="O433" i="4"/>
  <c r="P433" i="4"/>
  <c r="Q433" i="4" s="1"/>
  <c r="U433" i="4" s="1"/>
  <c r="O769" i="4"/>
  <c r="P769" i="4"/>
  <c r="Q769" i="4" s="1"/>
  <c r="U769" i="4" s="1"/>
  <c r="O215" i="4"/>
  <c r="P215" i="4"/>
  <c r="Q215" i="4" s="1"/>
  <c r="U215" i="4" s="1"/>
  <c r="O367" i="4"/>
  <c r="P367" i="4"/>
  <c r="Q367" i="4" s="1"/>
  <c r="U367" i="4" s="1"/>
  <c r="O527" i="4"/>
  <c r="P527" i="4"/>
  <c r="Q527" i="4" s="1"/>
  <c r="U527" i="4" s="1"/>
  <c r="O232" i="4"/>
  <c r="P232" i="4"/>
  <c r="Q232" i="4" s="1"/>
  <c r="U232" i="4" s="1"/>
  <c r="O189" i="4"/>
  <c r="P189" i="4"/>
  <c r="Q189" i="4" s="1"/>
  <c r="U189" i="4" s="1"/>
  <c r="O253" i="4"/>
  <c r="P253" i="4"/>
  <c r="Q253" i="4" s="1"/>
  <c r="U253" i="4" s="1"/>
  <c r="O317" i="4"/>
  <c r="P317" i="4"/>
  <c r="Q317" i="4" s="1"/>
  <c r="U317" i="4" s="1"/>
  <c r="O397" i="4"/>
  <c r="P397" i="4"/>
  <c r="Q397" i="4" s="1"/>
  <c r="U397" i="4" s="1"/>
  <c r="O477" i="4"/>
  <c r="P477" i="4"/>
  <c r="Q477" i="4" s="1"/>
  <c r="U477" i="4" s="1"/>
  <c r="O541" i="4"/>
  <c r="P541" i="4"/>
  <c r="Q541" i="4" s="1"/>
  <c r="U541" i="4" s="1"/>
  <c r="O629" i="4"/>
  <c r="P629" i="4"/>
  <c r="Q629" i="4" s="1"/>
  <c r="U629" i="4" s="1"/>
  <c r="O709" i="4"/>
  <c r="P709" i="4"/>
  <c r="Q709" i="4" s="1"/>
  <c r="U709" i="4" s="1"/>
  <c r="O773" i="4"/>
  <c r="P773" i="4"/>
  <c r="Q773" i="4" s="1"/>
  <c r="U773" i="4" s="1"/>
  <c r="O159" i="4"/>
  <c r="P159" i="4"/>
  <c r="Q159" i="4" s="1"/>
  <c r="U159" i="4" s="1"/>
  <c r="O335" i="4"/>
  <c r="P335" i="4"/>
  <c r="Q335" i="4" s="1"/>
  <c r="U335" i="4" s="1"/>
  <c r="O687" i="4"/>
  <c r="P687" i="4"/>
  <c r="Q687" i="4" s="1"/>
  <c r="U687" i="4" s="1"/>
  <c r="O354" i="4"/>
  <c r="P354" i="4"/>
  <c r="Q354" i="4" s="1"/>
  <c r="U354" i="4" s="1"/>
  <c r="O794" i="4"/>
  <c r="P794" i="4"/>
  <c r="Q794" i="4" s="1"/>
  <c r="U794" i="4" s="1"/>
  <c r="O329" i="4"/>
  <c r="P329" i="4"/>
  <c r="Q329" i="4" s="1"/>
  <c r="U329" i="4" s="1"/>
  <c r="O613" i="4"/>
  <c r="P613" i="4"/>
  <c r="Q613" i="4" s="1"/>
  <c r="U613" i="4" s="1"/>
  <c r="O109" i="4"/>
  <c r="P109" i="4"/>
  <c r="Q109" i="4" s="1"/>
  <c r="U109" i="4" s="1"/>
  <c r="O692" i="4"/>
  <c r="P692" i="4"/>
  <c r="Q692" i="4" s="1"/>
  <c r="U692" i="4" s="1"/>
  <c r="O385" i="4"/>
  <c r="P385" i="4"/>
  <c r="Q385" i="4" s="1"/>
  <c r="U385" i="4" s="1"/>
  <c r="O15" i="4"/>
  <c r="P15" i="4"/>
  <c r="Q15" i="4" s="1"/>
  <c r="U15" i="4" s="1"/>
  <c r="O695" i="4"/>
  <c r="P695" i="4"/>
  <c r="Q695" i="4" s="1"/>
  <c r="U695" i="4" s="1"/>
  <c r="O441" i="4"/>
  <c r="P441" i="4"/>
  <c r="Q441" i="4" s="1"/>
  <c r="U441" i="4" s="1"/>
  <c r="O788" i="4"/>
  <c r="P788" i="4"/>
  <c r="Q788" i="4" s="1"/>
  <c r="U788" i="4" s="1"/>
  <c r="O716" i="4"/>
  <c r="P716" i="4"/>
  <c r="Q716" i="4" s="1"/>
  <c r="U716" i="4" s="1"/>
  <c r="O6" i="4"/>
  <c r="P6" i="4"/>
  <c r="Q6" i="4" s="1"/>
  <c r="U6" i="4" s="1"/>
  <c r="O711" i="4"/>
  <c r="P711" i="4"/>
  <c r="Q711" i="4" s="1"/>
  <c r="U711" i="4" s="1"/>
  <c r="O59" i="4"/>
  <c r="P59" i="4"/>
  <c r="Q59" i="4" s="1"/>
  <c r="U59" i="4" s="1"/>
  <c r="O147" i="4"/>
  <c r="P147" i="4"/>
  <c r="Q147" i="4" s="1"/>
  <c r="U147" i="4" s="1"/>
  <c r="O251" i="4"/>
  <c r="P251" i="4"/>
  <c r="Q251" i="4" s="1"/>
  <c r="U251" i="4" s="1"/>
  <c r="O331" i="4"/>
  <c r="P331" i="4"/>
  <c r="Q331" i="4" s="1"/>
  <c r="U331" i="4" s="1"/>
  <c r="O403" i="4"/>
  <c r="P403" i="4"/>
  <c r="Q403" i="4" s="1"/>
  <c r="U403" i="4" s="1"/>
  <c r="O499" i="4"/>
  <c r="P499" i="4"/>
  <c r="Q499" i="4" s="1"/>
  <c r="U499" i="4" s="1"/>
  <c r="O587" i="4"/>
  <c r="P587" i="4"/>
  <c r="Q587" i="4" s="1"/>
  <c r="U587" i="4" s="1"/>
  <c r="O70" i="4"/>
  <c r="P70" i="4"/>
  <c r="Q70" i="4" s="1"/>
  <c r="U70" i="4" s="1"/>
  <c r="O286" i="4"/>
  <c r="P286" i="4"/>
  <c r="Q286" i="4" s="1"/>
  <c r="U286" i="4" s="1"/>
  <c r="O574" i="4"/>
  <c r="P574" i="4"/>
  <c r="Q574" i="4" s="1"/>
  <c r="U574" i="4" s="1"/>
  <c r="O431" i="4"/>
  <c r="P431" i="4"/>
  <c r="Q431" i="4" s="1"/>
  <c r="U431" i="4" s="1"/>
  <c r="O667" i="4"/>
  <c r="P667" i="4"/>
  <c r="Q667" i="4" s="1"/>
  <c r="U667" i="4" s="1"/>
  <c r="O763" i="4"/>
  <c r="P763" i="4"/>
  <c r="Q763" i="4" s="1"/>
  <c r="U763" i="4" s="1"/>
  <c r="O227" i="4"/>
  <c r="P227" i="4"/>
  <c r="Q227" i="4" s="1"/>
  <c r="U227" i="4" s="1"/>
  <c r="O21" i="4"/>
  <c r="P21" i="4"/>
  <c r="Q21" i="4" s="1"/>
  <c r="U21" i="4" s="1"/>
  <c r="O502" i="4"/>
  <c r="P502" i="4"/>
  <c r="Q502" i="4" s="1"/>
  <c r="U502" i="4" s="1"/>
  <c r="O489" i="4"/>
  <c r="P489" i="4"/>
  <c r="Q489" i="4" s="1"/>
  <c r="U489" i="4" s="1"/>
  <c r="O616" i="4"/>
  <c r="P616" i="4"/>
  <c r="Q616" i="4" s="1"/>
  <c r="U616" i="4" s="1"/>
  <c r="O72" i="4"/>
  <c r="P72" i="4"/>
  <c r="Q72" i="4" s="1"/>
  <c r="U72" i="4" s="1"/>
  <c r="O217" i="4"/>
  <c r="P217" i="4"/>
  <c r="Q217" i="4" s="1"/>
  <c r="U217" i="4" s="1"/>
  <c r="O43" i="4"/>
  <c r="P43" i="4"/>
  <c r="Q43" i="4" s="1"/>
  <c r="U43" i="4" s="1"/>
  <c r="O459" i="4"/>
  <c r="P459" i="4"/>
  <c r="Q459" i="4" s="1"/>
  <c r="U459" i="4" s="1"/>
  <c r="O164" i="4"/>
  <c r="P164" i="4"/>
  <c r="Q164" i="4" s="1"/>
  <c r="U164" i="4" s="1"/>
  <c r="O228" i="4"/>
  <c r="P228" i="4"/>
  <c r="Q228" i="4" s="1"/>
  <c r="U228" i="4" s="1"/>
  <c r="O300" i="4"/>
  <c r="P300" i="4"/>
  <c r="Q300" i="4" s="1"/>
  <c r="U300" i="4" s="1"/>
  <c r="O372" i="4"/>
  <c r="P372" i="4"/>
  <c r="Q372" i="4" s="1"/>
  <c r="U372" i="4" s="1"/>
  <c r="O436" i="4"/>
  <c r="P436" i="4"/>
  <c r="Q436" i="4" s="1"/>
  <c r="U436" i="4" s="1"/>
  <c r="O660" i="4"/>
  <c r="P660" i="4"/>
  <c r="Q660" i="4" s="1"/>
  <c r="U660" i="4" s="1"/>
  <c r="O796" i="4"/>
  <c r="P796" i="4"/>
  <c r="Q796" i="4" s="1"/>
  <c r="U796" i="4" s="1"/>
  <c r="O297" i="4"/>
  <c r="P297" i="4"/>
  <c r="Q297" i="4" s="1"/>
  <c r="U297" i="4" s="1"/>
  <c r="O166" i="4"/>
  <c r="P166" i="4"/>
  <c r="Q166" i="4" s="1"/>
  <c r="U166" i="4" s="1"/>
  <c r="O302" i="4"/>
  <c r="P302" i="4"/>
  <c r="Q302" i="4" s="1"/>
  <c r="U302" i="4" s="1"/>
  <c r="O430" i="4"/>
  <c r="P430" i="4"/>
  <c r="Q430" i="4" s="1"/>
  <c r="U430" i="4" s="1"/>
  <c r="O542" i="4"/>
  <c r="P542" i="4"/>
  <c r="Q542" i="4" s="1"/>
  <c r="U542" i="4" s="1"/>
  <c r="O662" i="4"/>
  <c r="P662" i="4"/>
  <c r="Q662" i="4" s="1"/>
  <c r="U662" i="4" s="1"/>
  <c r="O726" i="4"/>
  <c r="P726" i="4"/>
  <c r="Q726" i="4" s="1"/>
  <c r="U726" i="4" s="1"/>
  <c r="O798" i="4"/>
  <c r="P798" i="4"/>
  <c r="Q798" i="4" s="1"/>
  <c r="U798" i="4" s="1"/>
  <c r="O144" i="4"/>
  <c r="P144" i="4"/>
  <c r="Q144" i="4" s="1"/>
  <c r="U144" i="4" s="1"/>
  <c r="O256" i="4"/>
  <c r="P256" i="4"/>
  <c r="Q256" i="4" s="1"/>
  <c r="U256" i="4" s="1"/>
  <c r="O360" i="4"/>
  <c r="P360" i="4"/>
  <c r="Q360" i="4" s="1"/>
  <c r="U360" i="4" s="1"/>
  <c r="O472" i="4"/>
  <c r="P472" i="4"/>
  <c r="Q472" i="4" s="1"/>
  <c r="U472" i="4" s="1"/>
  <c r="O608" i="4"/>
  <c r="P608" i="4"/>
  <c r="Q608" i="4" s="1"/>
  <c r="U608" i="4" s="1"/>
  <c r="O728" i="4"/>
  <c r="P728" i="4"/>
  <c r="Q728" i="4" s="1"/>
  <c r="U728" i="4" s="1"/>
  <c r="O83" i="4"/>
  <c r="P83" i="4"/>
  <c r="Q83" i="4" s="1"/>
  <c r="U83" i="4" s="1"/>
  <c r="O90" i="4"/>
  <c r="P90" i="4"/>
  <c r="Q90" i="4" s="1"/>
  <c r="U90" i="4" s="1"/>
  <c r="O234" i="4"/>
  <c r="P234" i="4"/>
  <c r="Q234" i="4" s="1"/>
  <c r="U234" i="4" s="1"/>
  <c r="O306" i="4"/>
  <c r="P306" i="4"/>
  <c r="Q306" i="4" s="1"/>
  <c r="U306" i="4" s="1"/>
  <c r="O394" i="4"/>
  <c r="P394" i="4"/>
  <c r="Q394" i="4" s="1"/>
  <c r="U394" i="4" s="1"/>
  <c r="O458" i="4"/>
  <c r="P458" i="4"/>
  <c r="Q458" i="4" s="1"/>
  <c r="U458" i="4" s="1"/>
  <c r="O530" i="4"/>
  <c r="P530" i="4"/>
  <c r="Q530" i="4" s="1"/>
  <c r="U530" i="4" s="1"/>
  <c r="O594" i="4"/>
  <c r="P594" i="4"/>
  <c r="Q594" i="4" s="1"/>
  <c r="U594" i="4" s="1"/>
  <c r="O666" i="4"/>
  <c r="P666" i="4"/>
  <c r="Q666" i="4" s="1"/>
  <c r="U666" i="4" s="1"/>
  <c r="O754" i="4"/>
  <c r="P754" i="4"/>
  <c r="Q754" i="4" s="1"/>
  <c r="U754" i="4" s="1"/>
  <c r="O240" i="4"/>
  <c r="P240" i="4"/>
  <c r="Q240" i="4" s="1"/>
  <c r="U240" i="4" s="1"/>
  <c r="O566" i="4"/>
  <c r="P566" i="4"/>
  <c r="Q566" i="4" s="1"/>
  <c r="U566" i="4" s="1"/>
  <c r="O145" i="4"/>
  <c r="P145" i="4"/>
  <c r="Q145" i="4" s="1"/>
  <c r="U145" i="4" s="1"/>
  <c r="O425" i="4"/>
  <c r="P425" i="4"/>
  <c r="Q425" i="4" s="1"/>
  <c r="U425" i="4" s="1"/>
  <c r="O649" i="4"/>
  <c r="P649" i="4"/>
  <c r="Q649" i="4" s="1"/>
  <c r="U649" i="4" s="1"/>
  <c r="O777" i="4"/>
  <c r="P777" i="4"/>
  <c r="Q777" i="4" s="1"/>
  <c r="U777" i="4" s="1"/>
  <c r="O457" i="4"/>
  <c r="P457" i="4"/>
  <c r="Q457" i="4" s="1"/>
  <c r="U457" i="4" s="1"/>
  <c r="O206" i="4"/>
  <c r="P206" i="4"/>
  <c r="Q206" i="4" s="1"/>
  <c r="U206" i="4" s="1"/>
  <c r="O239" i="4"/>
  <c r="P239" i="4"/>
  <c r="Q239" i="4" s="1"/>
  <c r="U239" i="4" s="1"/>
  <c r="O391" i="4"/>
  <c r="P391" i="4"/>
  <c r="Q391" i="4" s="1"/>
  <c r="U391" i="4" s="1"/>
  <c r="O615" i="4"/>
  <c r="P615" i="4"/>
  <c r="Q615" i="4" s="1"/>
  <c r="U615" i="4" s="1"/>
  <c r="O208" i="4"/>
  <c r="P208" i="4"/>
  <c r="Q208" i="4" s="1"/>
  <c r="U208" i="4" s="1"/>
  <c r="O197" i="4"/>
  <c r="P197" i="4"/>
  <c r="Q197" i="4" s="1"/>
  <c r="U197" i="4" s="1"/>
  <c r="O261" i="4"/>
  <c r="P261" i="4"/>
  <c r="Q261" i="4" s="1"/>
  <c r="U261" i="4" s="1"/>
  <c r="O405" i="4"/>
  <c r="P405" i="4"/>
  <c r="Q405" i="4" s="1"/>
  <c r="U405" i="4" s="1"/>
  <c r="O485" i="4"/>
  <c r="P485" i="4"/>
  <c r="Q485" i="4" s="1"/>
  <c r="U485" i="4" s="1"/>
  <c r="O549" i="4"/>
  <c r="P549" i="4"/>
  <c r="Q549" i="4" s="1"/>
  <c r="U549" i="4" s="1"/>
  <c r="O637" i="4"/>
  <c r="P637" i="4"/>
  <c r="Q637" i="4" s="1"/>
  <c r="U637" i="4" s="1"/>
  <c r="O717" i="4"/>
  <c r="P717" i="4"/>
  <c r="Q717" i="4" s="1"/>
  <c r="U717" i="4" s="1"/>
  <c r="O175" i="4"/>
  <c r="P175" i="4"/>
  <c r="Q175" i="4" s="1"/>
  <c r="U175" i="4" s="1"/>
  <c r="O415" i="4"/>
  <c r="P415" i="4"/>
  <c r="Q415" i="4" s="1"/>
  <c r="U415" i="4" s="1"/>
  <c r="O719" i="4"/>
  <c r="P719" i="4"/>
  <c r="Q719" i="4" s="1"/>
  <c r="U719" i="4" s="1"/>
  <c r="O474" i="4"/>
  <c r="P474" i="4"/>
  <c r="Q474" i="4" s="1"/>
  <c r="U474" i="4" s="1"/>
  <c r="O480" i="4"/>
  <c r="P480" i="4"/>
  <c r="Q480" i="4" s="1"/>
  <c r="U480" i="4" s="1"/>
  <c r="O497" i="4"/>
  <c r="P497" i="4"/>
  <c r="Q497" i="4" s="1"/>
  <c r="U497" i="4" s="1"/>
  <c r="O677" i="4"/>
  <c r="P677" i="4"/>
  <c r="Q677" i="4" s="1"/>
  <c r="U677" i="4" s="1"/>
  <c r="O325" i="4"/>
  <c r="P325" i="4"/>
  <c r="Q325" i="4" s="1"/>
  <c r="U325" i="4" s="1"/>
  <c r="O744" i="4"/>
  <c r="P744" i="4"/>
  <c r="Q744" i="4" s="1"/>
  <c r="U744" i="4" s="1"/>
  <c r="O739" i="4"/>
  <c r="P739" i="4"/>
  <c r="Q739" i="4" s="1"/>
  <c r="U739" i="4" s="1"/>
  <c r="O178" i="4"/>
  <c r="P178" i="4"/>
  <c r="Q178" i="4" s="1"/>
  <c r="U178" i="4" s="1"/>
  <c r="O242" i="4"/>
  <c r="P242" i="4"/>
  <c r="Q242" i="4" s="1"/>
  <c r="U242" i="4" s="1"/>
  <c r="O322" i="4"/>
  <c r="P322" i="4"/>
  <c r="Q322" i="4" s="1"/>
  <c r="U322" i="4" s="1"/>
  <c r="O402" i="4"/>
  <c r="P402" i="4"/>
  <c r="Q402" i="4" s="1"/>
  <c r="U402" i="4" s="1"/>
  <c r="O466" i="4"/>
  <c r="P466" i="4"/>
  <c r="Q466" i="4" s="1"/>
  <c r="U466" i="4" s="1"/>
  <c r="O538" i="4"/>
  <c r="P538" i="4"/>
  <c r="Q538" i="4" s="1"/>
  <c r="U538" i="4" s="1"/>
  <c r="O602" i="4"/>
  <c r="P602" i="4"/>
  <c r="Q602" i="4" s="1"/>
  <c r="U602" i="4" s="1"/>
  <c r="O674" i="4"/>
  <c r="P674" i="4"/>
  <c r="Q674" i="4" s="1"/>
  <c r="U674" i="4" s="1"/>
  <c r="O762" i="4"/>
  <c r="P762" i="4"/>
  <c r="Q762" i="4" s="1"/>
  <c r="U762" i="4" s="1"/>
  <c r="O272" i="4"/>
  <c r="P272" i="4"/>
  <c r="Q272" i="4" s="1"/>
  <c r="U272" i="4" s="1"/>
  <c r="O46" i="4"/>
  <c r="P46" i="4"/>
  <c r="Q46" i="4" s="1"/>
  <c r="U46" i="4" s="1"/>
  <c r="O590" i="4"/>
  <c r="P590" i="4"/>
  <c r="Q590" i="4" s="1"/>
  <c r="U590" i="4" s="1"/>
  <c r="O161" i="4"/>
  <c r="P161" i="4"/>
  <c r="Q161" i="4" s="1"/>
  <c r="U161" i="4" s="1"/>
  <c r="O449" i="4"/>
  <c r="P449" i="4"/>
  <c r="Q449" i="4" s="1"/>
  <c r="U449" i="4" s="1"/>
  <c r="O673" i="4"/>
  <c r="P673" i="4"/>
  <c r="Q673" i="4" s="1"/>
  <c r="U673" i="4" s="1"/>
  <c r="O785" i="4"/>
  <c r="P785" i="4"/>
  <c r="Q785" i="4" s="1"/>
  <c r="U785" i="4" s="1"/>
  <c r="O529" i="4"/>
  <c r="P529" i="4"/>
  <c r="Q529" i="4" s="1"/>
  <c r="U529" i="4" s="1"/>
  <c r="O63" i="4"/>
  <c r="P63" i="4"/>
  <c r="Q63" i="4" s="1"/>
  <c r="U63" i="4" s="1"/>
  <c r="O287" i="4"/>
  <c r="P287" i="4"/>
  <c r="Q287" i="4" s="1"/>
  <c r="U287" i="4" s="1"/>
  <c r="O399" i="4"/>
  <c r="P399" i="4"/>
  <c r="Q399" i="4" s="1"/>
  <c r="U399" i="4" s="1"/>
  <c r="O647" i="4"/>
  <c r="P647" i="4"/>
  <c r="Q647" i="4" s="1"/>
  <c r="U647" i="4" s="1"/>
  <c r="O53" i="4"/>
  <c r="P53" i="4"/>
  <c r="Q53" i="4" s="1"/>
  <c r="U53" i="4" s="1"/>
  <c r="O205" i="4"/>
  <c r="P205" i="4"/>
  <c r="Q205" i="4" s="1"/>
  <c r="U205" i="4" s="1"/>
  <c r="O269" i="4"/>
  <c r="P269" i="4"/>
  <c r="Q269" i="4" s="1"/>
  <c r="U269" i="4" s="1"/>
  <c r="O493" i="4"/>
  <c r="P493" i="4"/>
  <c r="Q493" i="4" s="1"/>
  <c r="U493" i="4" s="1"/>
  <c r="O557" i="4"/>
  <c r="P557" i="4"/>
  <c r="Q557" i="4" s="1"/>
  <c r="U557" i="4" s="1"/>
  <c r="O645" i="4"/>
  <c r="P645" i="4"/>
  <c r="Q645" i="4" s="1"/>
  <c r="U645" i="4" s="1"/>
  <c r="O725" i="4"/>
  <c r="P725" i="4"/>
  <c r="Q725" i="4" s="1"/>
  <c r="U725" i="4" s="1"/>
  <c r="O789" i="4"/>
  <c r="P789" i="4"/>
  <c r="Q789" i="4" s="1"/>
  <c r="U789" i="4" s="1"/>
  <c r="O223" i="4"/>
  <c r="P223" i="4"/>
  <c r="Q223" i="4" s="1"/>
  <c r="U223" i="4" s="1"/>
  <c r="O463" i="4"/>
  <c r="P463" i="4"/>
  <c r="Q463" i="4" s="1"/>
  <c r="U463" i="4" s="1"/>
  <c r="O791" i="4"/>
  <c r="P791" i="4"/>
  <c r="Q791" i="4" s="1"/>
  <c r="U791" i="4" s="1"/>
  <c r="O650" i="4"/>
  <c r="P650" i="4"/>
  <c r="Q650" i="4" s="1"/>
  <c r="U650" i="4" s="1"/>
  <c r="O73" i="4"/>
  <c r="P73" i="4"/>
  <c r="Q73" i="4" s="1"/>
  <c r="U73" i="4" s="1"/>
  <c r="O521" i="4"/>
  <c r="P521" i="4"/>
  <c r="Q521" i="4" s="1"/>
  <c r="U521" i="4" s="1"/>
  <c r="O693" i="4"/>
  <c r="P693" i="4"/>
  <c r="Q693" i="4" s="1"/>
  <c r="U693" i="4" s="1"/>
  <c r="O333" i="4"/>
  <c r="P333" i="4"/>
  <c r="Q333" i="4" s="1"/>
  <c r="U333" i="4" s="1"/>
  <c r="O759" i="4"/>
  <c r="P759" i="4"/>
  <c r="Q759" i="4" s="1"/>
  <c r="U759" i="4" s="1"/>
  <c r="O553" i="4"/>
  <c r="P553" i="4"/>
  <c r="Q553" i="4" s="1"/>
  <c r="U553" i="4" s="1"/>
  <c r="O193" i="4"/>
  <c r="P193" i="4"/>
  <c r="Q193" i="4" s="1"/>
  <c r="U193" i="4" s="1"/>
  <c r="O10" i="4"/>
  <c r="P10" i="4"/>
  <c r="Q10" i="4" s="1"/>
  <c r="U10" i="4" s="1"/>
  <c r="O3" i="4"/>
  <c r="P3" i="4"/>
  <c r="Q3" i="4" s="1"/>
  <c r="U3" i="4" s="1"/>
  <c r="O28" i="4"/>
  <c r="P28" i="4"/>
  <c r="Q28" i="4" s="1"/>
  <c r="U28" i="4" s="1"/>
  <c r="O91" i="4"/>
  <c r="P91" i="4"/>
  <c r="Q91" i="4" s="1"/>
  <c r="U91" i="4" s="1"/>
  <c r="O171" i="4"/>
  <c r="P171" i="4"/>
  <c r="Q171" i="4" s="1"/>
  <c r="U171" i="4" s="1"/>
  <c r="O275" i="4"/>
  <c r="P275" i="4"/>
  <c r="Q275" i="4" s="1"/>
  <c r="U275" i="4" s="1"/>
  <c r="O347" i="4"/>
  <c r="P347" i="4"/>
  <c r="Q347" i="4" s="1"/>
  <c r="U347" i="4" s="1"/>
  <c r="O427" i="4"/>
  <c r="P427" i="4"/>
  <c r="Q427" i="4" s="1"/>
  <c r="U427" i="4" s="1"/>
  <c r="O603" i="4"/>
  <c r="P603" i="4"/>
  <c r="Q603" i="4" s="1"/>
  <c r="U603" i="4" s="1"/>
  <c r="O86" i="4"/>
  <c r="P86" i="4"/>
  <c r="Q86" i="4" s="1"/>
  <c r="U86" i="4" s="1"/>
  <c r="O342" i="4"/>
  <c r="P342" i="4"/>
  <c r="Q342" i="4" s="1"/>
  <c r="U342" i="4" s="1"/>
  <c r="O513" i="4"/>
  <c r="P513" i="4"/>
  <c r="Q513" i="4" s="1"/>
  <c r="U513" i="4" s="1"/>
  <c r="O751" i="4"/>
  <c r="P751" i="4"/>
  <c r="Q751" i="4" s="1"/>
  <c r="U751" i="4" s="1"/>
  <c r="O683" i="4"/>
  <c r="P683" i="4"/>
  <c r="Q683" i="4" s="1"/>
  <c r="U683" i="4" s="1"/>
  <c r="O779" i="4"/>
  <c r="P779" i="4"/>
  <c r="Q779" i="4" s="1"/>
  <c r="U779" i="4" s="1"/>
  <c r="O699" i="4"/>
  <c r="P699" i="4"/>
  <c r="Q699" i="4" s="1"/>
  <c r="U699" i="4" s="1"/>
  <c r="O49" i="4"/>
  <c r="P49" i="4"/>
  <c r="Q49" i="4" s="1"/>
  <c r="U49" i="4" s="1"/>
  <c r="O680" i="4"/>
  <c r="P680" i="4"/>
  <c r="Q680" i="4" s="1"/>
  <c r="U680" i="4" s="1"/>
  <c r="O289" i="4"/>
  <c r="P289" i="4"/>
  <c r="Q289" i="4" s="1"/>
  <c r="U289" i="4" s="1"/>
  <c r="O609" i="4"/>
  <c r="P609" i="4"/>
  <c r="Q609" i="4" s="1"/>
  <c r="U609" i="4" s="1"/>
  <c r="O4" i="4"/>
  <c r="P4" i="4"/>
  <c r="Q4" i="4" s="1"/>
  <c r="U4" i="4" s="1"/>
  <c r="O368" i="4"/>
  <c r="P368" i="4"/>
  <c r="Q368" i="4" s="1"/>
  <c r="U368" i="4" s="1"/>
  <c r="O561" i="4"/>
  <c r="P561" i="4"/>
  <c r="Q561" i="4" s="1"/>
  <c r="U561" i="4" s="1"/>
  <c r="O187" i="4"/>
  <c r="P187" i="4"/>
  <c r="Q187" i="4" s="1"/>
  <c r="U187" i="4" s="1"/>
  <c r="O36" i="4"/>
  <c r="P36" i="4"/>
  <c r="Q36" i="4" s="1"/>
  <c r="U36" i="4" s="1"/>
  <c r="O116" i="4"/>
  <c r="P116" i="4"/>
  <c r="Q116" i="4" s="1"/>
  <c r="U116" i="4" s="1"/>
  <c r="O180" i="4"/>
  <c r="P180" i="4"/>
  <c r="Q180" i="4" s="1"/>
  <c r="U180" i="4" s="1"/>
  <c r="O244" i="4"/>
  <c r="P244" i="4"/>
  <c r="Q244" i="4" s="1"/>
  <c r="U244" i="4" s="1"/>
  <c r="O316" i="4"/>
  <c r="P316" i="4"/>
  <c r="Q316" i="4" s="1"/>
  <c r="U316" i="4" s="1"/>
  <c r="O388" i="4"/>
  <c r="P388" i="4"/>
  <c r="Q388" i="4" s="1"/>
  <c r="U388" i="4" s="1"/>
  <c r="O452" i="4"/>
  <c r="P452" i="4"/>
  <c r="Q452" i="4" s="1"/>
  <c r="U452" i="4" s="1"/>
  <c r="O684" i="4"/>
  <c r="P684" i="4"/>
  <c r="Q684" i="4" s="1"/>
  <c r="U684" i="4" s="1"/>
  <c r="O312" i="4"/>
  <c r="P312" i="4"/>
  <c r="Q312" i="4" s="1"/>
  <c r="U312" i="4" s="1"/>
  <c r="O94" i="4"/>
  <c r="P94" i="4"/>
  <c r="Q94" i="4" s="1"/>
  <c r="U94" i="4" s="1"/>
  <c r="O190" i="4"/>
  <c r="P190" i="4"/>
  <c r="Q190" i="4" s="1"/>
  <c r="U190" i="4" s="1"/>
  <c r="O334" i="4"/>
  <c r="P334" i="4"/>
  <c r="Q334" i="4" s="1"/>
  <c r="U334" i="4" s="1"/>
  <c r="O454" i="4"/>
  <c r="P454" i="4"/>
  <c r="Q454" i="4" s="1"/>
  <c r="U454" i="4" s="1"/>
  <c r="O558" i="4"/>
  <c r="P558" i="4"/>
  <c r="Q558" i="4" s="1"/>
  <c r="U558" i="4" s="1"/>
  <c r="O678" i="4"/>
  <c r="P678" i="4"/>
  <c r="Q678" i="4" s="1"/>
  <c r="U678" i="4" s="1"/>
  <c r="O64" i="4"/>
  <c r="P64" i="4"/>
  <c r="Q64" i="4" s="1"/>
  <c r="U64" i="4" s="1"/>
  <c r="O176" i="4"/>
  <c r="P176" i="4"/>
  <c r="Q176" i="4" s="1"/>
  <c r="U176" i="4" s="1"/>
  <c r="O296" i="4"/>
  <c r="P296" i="4"/>
  <c r="Q296" i="4" s="1"/>
  <c r="U296" i="4" s="1"/>
  <c r="O632" i="4"/>
  <c r="P632" i="4"/>
  <c r="Q632" i="4" s="1"/>
  <c r="U632" i="4" s="1"/>
  <c r="O776" i="4"/>
  <c r="P776" i="4"/>
  <c r="Q776" i="4" s="1"/>
  <c r="U776" i="4" s="1"/>
  <c r="O691" i="4"/>
  <c r="P691" i="4"/>
  <c r="Q691" i="4" s="1"/>
  <c r="U691" i="4" s="1"/>
  <c r="O106" i="4"/>
  <c r="P106" i="4"/>
  <c r="Q106" i="4" s="1"/>
  <c r="U106" i="4" s="1"/>
  <c r="O186" i="4"/>
  <c r="P186" i="4"/>
  <c r="Q186" i="4" s="1"/>
  <c r="U186" i="4" s="1"/>
  <c r="O258" i="4"/>
  <c r="P258" i="4"/>
  <c r="Q258" i="4" s="1"/>
  <c r="U258" i="4" s="1"/>
  <c r="O330" i="4"/>
  <c r="P330" i="4"/>
  <c r="Q330" i="4" s="1"/>
  <c r="U330" i="4" s="1"/>
  <c r="O410" i="4"/>
  <c r="P410" i="4"/>
  <c r="Q410" i="4" s="1"/>
  <c r="U410" i="4" s="1"/>
  <c r="O482" i="4"/>
  <c r="P482" i="4"/>
  <c r="Q482" i="4" s="1"/>
  <c r="U482" i="4" s="1"/>
  <c r="O546" i="4"/>
  <c r="P546" i="4"/>
  <c r="Q546" i="4" s="1"/>
  <c r="U546" i="4" s="1"/>
  <c r="O610" i="4"/>
  <c r="P610" i="4"/>
  <c r="Q610" i="4" s="1"/>
  <c r="U610" i="4" s="1"/>
  <c r="O68" i="4"/>
  <c r="P68" i="4"/>
  <c r="Q68" i="4" s="1"/>
  <c r="U68" i="4" s="1"/>
  <c r="O400" i="4"/>
  <c r="P400" i="4"/>
  <c r="Q400" i="4" s="1"/>
  <c r="U400" i="4" s="1"/>
  <c r="O150" i="4"/>
  <c r="P150" i="4"/>
  <c r="Q150" i="4" s="1"/>
  <c r="U150" i="4" s="1"/>
  <c r="O622" i="4"/>
  <c r="P622" i="4"/>
  <c r="Q622" i="4" s="1"/>
  <c r="U622" i="4" s="1"/>
  <c r="O201" i="4"/>
  <c r="P201" i="4"/>
  <c r="Q201" i="4" s="1"/>
  <c r="U201" i="4" s="1"/>
  <c r="O465" i="4"/>
  <c r="P465" i="4"/>
  <c r="Q465" i="4" s="1"/>
  <c r="U465" i="4" s="1"/>
  <c r="O689" i="4"/>
  <c r="P689" i="4"/>
  <c r="Q689" i="4" s="1"/>
  <c r="U689" i="4" s="1"/>
  <c r="O241" i="4"/>
  <c r="P241" i="4"/>
  <c r="Q241" i="4" s="1"/>
  <c r="U241" i="4" s="1"/>
  <c r="O577" i="4"/>
  <c r="P577" i="4"/>
  <c r="Q577" i="4" s="1"/>
  <c r="U577" i="4" s="1"/>
  <c r="O71" i="4"/>
  <c r="P71" i="4"/>
  <c r="Q71" i="4" s="1"/>
  <c r="U71" i="4" s="1"/>
  <c r="O295" i="4"/>
  <c r="P295" i="4"/>
  <c r="Q295" i="4" s="1"/>
  <c r="U295" i="4" s="1"/>
  <c r="O423" i="4"/>
  <c r="P423" i="4"/>
  <c r="Q423" i="4" s="1"/>
  <c r="U423" i="4" s="1"/>
  <c r="O743" i="4"/>
  <c r="P743" i="4"/>
  <c r="Q743" i="4" s="1"/>
  <c r="U743" i="4" s="1"/>
  <c r="O93" i="4"/>
  <c r="P93" i="4"/>
  <c r="Q93" i="4" s="1"/>
  <c r="U93" i="4" s="1"/>
  <c r="O213" i="4"/>
  <c r="P213" i="4"/>
  <c r="Q213" i="4" s="1"/>
  <c r="U213" i="4" s="1"/>
  <c r="O277" i="4"/>
  <c r="P277" i="4"/>
  <c r="Q277" i="4" s="1"/>
  <c r="U277" i="4" s="1"/>
  <c r="O357" i="4"/>
  <c r="P357" i="4"/>
  <c r="Q357" i="4" s="1"/>
  <c r="U357" i="4" s="1"/>
  <c r="O421" i="4"/>
  <c r="P421" i="4"/>
  <c r="Q421" i="4" s="1"/>
  <c r="U421" i="4" s="1"/>
  <c r="O565" i="4"/>
  <c r="P565" i="4"/>
  <c r="Q565" i="4" s="1"/>
  <c r="U565" i="4" s="1"/>
  <c r="O733" i="4"/>
  <c r="P733" i="4"/>
  <c r="Q733" i="4" s="1"/>
  <c r="U733" i="4" s="1"/>
  <c r="O797" i="4"/>
  <c r="P797" i="4"/>
  <c r="Q797" i="4" s="1"/>
  <c r="U797" i="4" s="1"/>
  <c r="O231" i="4"/>
  <c r="P231" i="4"/>
  <c r="Q231" i="4" s="1"/>
  <c r="U231" i="4" s="1"/>
  <c r="O543" i="4"/>
  <c r="P543" i="4"/>
  <c r="Q543" i="4" s="1"/>
  <c r="U543" i="4" s="1"/>
  <c r="O66" i="4"/>
  <c r="P66" i="4"/>
  <c r="Q66" i="4" s="1"/>
  <c r="U66" i="4" s="1"/>
  <c r="O722" i="4"/>
  <c r="P722" i="4"/>
  <c r="Q722" i="4" s="1"/>
  <c r="U722" i="4" s="1"/>
  <c r="O81" i="4"/>
  <c r="P81" i="4"/>
  <c r="Q81" i="4" s="1"/>
  <c r="U81" i="4" s="1"/>
  <c r="O569" i="4"/>
  <c r="P569" i="4"/>
  <c r="Q569" i="4" s="1"/>
  <c r="U569" i="4" s="1"/>
  <c r="O95" i="4"/>
  <c r="P95" i="4"/>
  <c r="Q95" i="4" s="1"/>
  <c r="U95" i="4" s="1"/>
  <c r="O581" i="4"/>
  <c r="P581" i="4"/>
  <c r="Q581" i="4" s="1"/>
  <c r="U581" i="4" s="1"/>
  <c r="O29" i="4"/>
  <c r="P29" i="4"/>
  <c r="Q29" i="4" s="1"/>
  <c r="U29" i="4" s="1"/>
  <c r="O648" i="4"/>
  <c r="P648" i="4"/>
  <c r="Q648" i="4" s="1"/>
  <c r="U648" i="4" s="1"/>
  <c r="O9" i="4"/>
  <c r="P9" i="4"/>
  <c r="Q9" i="4" s="1"/>
  <c r="U9" i="4" s="1"/>
  <c r="O8" i="4"/>
  <c r="P8" i="4"/>
  <c r="Q8" i="4" s="1"/>
  <c r="U8" i="4" s="1"/>
  <c r="O104" i="4"/>
  <c r="P104" i="4"/>
  <c r="Q104" i="4" s="1"/>
  <c r="U104" i="4" s="1"/>
  <c r="O447" i="4"/>
  <c r="P447" i="4"/>
  <c r="Q447" i="4" s="1"/>
  <c r="U447" i="4" s="1"/>
  <c r="O26" i="4"/>
  <c r="P26" i="4"/>
  <c r="Q26" i="4" s="1"/>
  <c r="U26" i="4" s="1"/>
  <c r="O27" i="4"/>
  <c r="P27" i="4"/>
  <c r="Q27" i="4" s="1"/>
  <c r="U27" i="4" s="1"/>
  <c r="O735" i="4"/>
  <c r="P735" i="4"/>
  <c r="Q735" i="4" s="1"/>
  <c r="U735" i="4" s="1"/>
  <c r="O99" i="4"/>
  <c r="P99" i="4"/>
  <c r="Q99" i="4" s="1"/>
  <c r="U99" i="4" s="1"/>
  <c r="O179" i="4"/>
  <c r="P179" i="4"/>
  <c r="Q179" i="4" s="1"/>
  <c r="U179" i="4" s="1"/>
  <c r="O283" i="4"/>
  <c r="P283" i="4"/>
  <c r="Q283" i="4" s="1"/>
  <c r="U283" i="4" s="1"/>
  <c r="O355" i="4"/>
  <c r="P355" i="4"/>
  <c r="Q355" i="4" s="1"/>
  <c r="U355" i="4" s="1"/>
  <c r="O451" i="4"/>
  <c r="P451" i="4"/>
  <c r="Q451" i="4" s="1"/>
  <c r="U451" i="4" s="1"/>
  <c r="O523" i="4"/>
  <c r="P523" i="4"/>
  <c r="Q523" i="4" s="1"/>
  <c r="U523" i="4" s="1"/>
  <c r="O611" i="4"/>
  <c r="P611" i="4"/>
  <c r="Q611" i="4" s="1"/>
  <c r="U611" i="4" s="1"/>
  <c r="O158" i="4"/>
  <c r="P158" i="4"/>
  <c r="Q158" i="4" s="1"/>
  <c r="U158" i="4" s="1"/>
  <c r="O398" i="4"/>
  <c r="P398" i="4"/>
  <c r="Q398" i="4" s="1"/>
  <c r="U398" i="4" s="1"/>
  <c r="O681" i="4"/>
  <c r="P681" i="4"/>
  <c r="Q681" i="4" s="1"/>
  <c r="U681" i="4" s="1"/>
  <c r="O795" i="4"/>
  <c r="P795" i="4"/>
  <c r="Q795" i="4" s="1"/>
  <c r="U795" i="4" s="1"/>
  <c r="O707" i="4"/>
  <c r="P707" i="4"/>
  <c r="Q707" i="4" s="1"/>
  <c r="U707" i="4" s="1"/>
  <c r="O787" i="4"/>
  <c r="P787" i="4"/>
  <c r="Q787" i="4" s="1"/>
  <c r="U787" i="4" s="1"/>
  <c r="O755" i="4"/>
  <c r="P755" i="4"/>
  <c r="Q755" i="4" s="1"/>
  <c r="U755" i="4" s="1"/>
  <c r="O520" i="4"/>
  <c r="P520" i="4"/>
  <c r="Q520" i="4" s="1"/>
  <c r="U520" i="4" s="1"/>
  <c r="O736" i="4"/>
  <c r="P736" i="4"/>
  <c r="Q736" i="4" s="1"/>
  <c r="U736" i="4" s="1"/>
  <c r="O313" i="4"/>
  <c r="P313" i="4"/>
  <c r="Q313" i="4" s="1"/>
  <c r="U313" i="4" s="1"/>
  <c r="O633" i="4"/>
  <c r="P633" i="4"/>
  <c r="Q633" i="4" s="1"/>
  <c r="U633" i="4" s="1"/>
  <c r="O280" i="4"/>
  <c r="P280" i="4"/>
  <c r="Q280" i="4" s="1"/>
  <c r="U280" i="4" s="1"/>
  <c r="O488" i="4"/>
  <c r="P488" i="4"/>
  <c r="Q488" i="4" s="1"/>
  <c r="U488" i="4" s="1"/>
  <c r="O617" i="4"/>
  <c r="P617" i="4"/>
  <c r="Q617" i="4" s="1"/>
  <c r="U617" i="4" s="1"/>
  <c r="O235" i="4"/>
  <c r="P235" i="4"/>
  <c r="Q235" i="4" s="1"/>
  <c r="U235" i="4" s="1"/>
  <c r="O44" i="4"/>
  <c r="P44" i="4"/>
  <c r="Q44" i="4" s="1"/>
  <c r="U44" i="4" s="1"/>
  <c r="O124" i="4"/>
  <c r="P124" i="4"/>
  <c r="Q124" i="4" s="1"/>
  <c r="U124" i="4" s="1"/>
  <c r="O188" i="4"/>
  <c r="P188" i="4"/>
  <c r="Q188" i="4" s="1"/>
  <c r="U188" i="4" s="1"/>
  <c r="O252" i="4"/>
  <c r="P252" i="4"/>
  <c r="Q252" i="4" s="1"/>
  <c r="U252" i="4" s="1"/>
  <c r="O324" i="4"/>
  <c r="P324" i="4"/>
  <c r="Q324" i="4" s="1"/>
  <c r="U324" i="4" s="1"/>
  <c r="O396" i="4"/>
  <c r="P396" i="4"/>
  <c r="Q396" i="4" s="1"/>
  <c r="U396" i="4" s="1"/>
  <c r="O484" i="4"/>
  <c r="P484" i="4"/>
  <c r="Q484" i="4" s="1"/>
  <c r="U484" i="4" s="1"/>
  <c r="O700" i="4"/>
  <c r="P700" i="4"/>
  <c r="Q700" i="4" s="1"/>
  <c r="U700" i="4" s="1"/>
  <c r="O496" i="4"/>
  <c r="P496" i="4"/>
  <c r="Q496" i="4" s="1"/>
  <c r="U496" i="4" s="1"/>
  <c r="O102" i="4"/>
  <c r="P102" i="4"/>
  <c r="Q102" i="4" s="1"/>
  <c r="U102" i="4" s="1"/>
  <c r="O230" i="4"/>
  <c r="P230" i="4"/>
  <c r="Q230" i="4" s="1"/>
  <c r="U230" i="4" s="1"/>
  <c r="O366" i="4"/>
  <c r="P366" i="4"/>
  <c r="Q366" i="4" s="1"/>
  <c r="U366" i="4" s="1"/>
  <c r="O462" i="4"/>
  <c r="P462" i="4"/>
  <c r="Q462" i="4" s="1"/>
  <c r="U462" i="4" s="1"/>
  <c r="O582" i="4"/>
  <c r="P582" i="4"/>
  <c r="Q582" i="4" s="1"/>
  <c r="U582" i="4" s="1"/>
  <c r="O686" i="4"/>
  <c r="P686" i="4"/>
  <c r="Q686" i="4" s="1"/>
  <c r="U686" i="4" s="1"/>
  <c r="O758" i="4"/>
  <c r="P758" i="4"/>
  <c r="Q758" i="4" s="1"/>
  <c r="U758" i="4" s="1"/>
  <c r="O96" i="4"/>
  <c r="P96" i="4"/>
  <c r="Q96" i="4" s="1"/>
  <c r="U96" i="4" s="1"/>
  <c r="O184" i="4"/>
  <c r="P184" i="4"/>
  <c r="Q184" i="4" s="1"/>
  <c r="U184" i="4" s="1"/>
  <c r="O304" i="4"/>
  <c r="P304" i="4"/>
  <c r="Q304" i="4" s="1"/>
  <c r="U304" i="4" s="1"/>
  <c r="O392" i="4"/>
  <c r="P392" i="4"/>
  <c r="Q392" i="4" s="1"/>
  <c r="U392" i="4" s="1"/>
  <c r="O536" i="4"/>
  <c r="P536" i="4"/>
  <c r="Q536" i="4" s="1"/>
  <c r="U536" i="4" s="1"/>
  <c r="O640" i="4"/>
  <c r="P640" i="4"/>
  <c r="Q640" i="4" s="1"/>
  <c r="U640" i="4" s="1"/>
  <c r="O784" i="4"/>
  <c r="P784" i="4"/>
  <c r="Q784" i="4" s="1"/>
  <c r="U784" i="4" s="1"/>
  <c r="O160" i="4"/>
  <c r="P160" i="4"/>
  <c r="Q160" i="4" s="1"/>
  <c r="U160" i="4" s="1"/>
  <c r="O114" i="4"/>
  <c r="P114" i="4"/>
  <c r="Q114" i="4" s="1"/>
  <c r="U114" i="4" s="1"/>
  <c r="O194" i="4"/>
  <c r="P194" i="4"/>
  <c r="Q194" i="4" s="1"/>
  <c r="U194" i="4" s="1"/>
  <c r="O266" i="4"/>
  <c r="P266" i="4"/>
  <c r="Q266" i="4" s="1"/>
  <c r="U266" i="4" s="1"/>
  <c r="O338" i="4"/>
  <c r="P338" i="4"/>
  <c r="Q338" i="4" s="1"/>
  <c r="U338" i="4" s="1"/>
  <c r="O418" i="4"/>
  <c r="P418" i="4"/>
  <c r="Q418" i="4" s="1"/>
  <c r="U418" i="4" s="1"/>
  <c r="O490" i="4"/>
  <c r="P490" i="4"/>
  <c r="Q490" i="4" s="1"/>
  <c r="U490" i="4" s="1"/>
  <c r="O554" i="4"/>
  <c r="P554" i="4"/>
  <c r="Q554" i="4" s="1"/>
  <c r="U554" i="4" s="1"/>
  <c r="O618" i="4"/>
  <c r="P618" i="4"/>
  <c r="Q618" i="4" s="1"/>
  <c r="U618" i="4" s="1"/>
  <c r="O690" i="4"/>
  <c r="P690" i="4"/>
  <c r="Q690" i="4" s="1"/>
  <c r="U690" i="4" s="1"/>
  <c r="O364" i="4"/>
  <c r="P364" i="4"/>
  <c r="Q364" i="4" s="1"/>
  <c r="U364" i="4" s="1"/>
  <c r="O712" i="4"/>
  <c r="P712" i="4"/>
  <c r="Q712" i="4" s="1"/>
  <c r="U712" i="4" s="1"/>
  <c r="O638" i="4"/>
  <c r="P638" i="4"/>
  <c r="Q638" i="4" s="1"/>
  <c r="U638" i="4" s="1"/>
  <c r="O321" i="4"/>
  <c r="P321" i="4"/>
  <c r="Q321" i="4" s="1"/>
  <c r="U321" i="4" s="1"/>
  <c r="O505" i="4"/>
  <c r="P505" i="4"/>
  <c r="Q505" i="4" s="1"/>
  <c r="U505" i="4" s="1"/>
  <c r="O713" i="4"/>
  <c r="P713" i="4"/>
  <c r="Q713" i="4" s="1"/>
  <c r="U713" i="4" s="1"/>
  <c r="O273" i="4"/>
  <c r="P273" i="4"/>
  <c r="Q273" i="4" s="1"/>
  <c r="U273" i="4" s="1"/>
  <c r="O625" i="4"/>
  <c r="P625" i="4"/>
  <c r="Q625" i="4" s="1"/>
  <c r="U625" i="4" s="1"/>
  <c r="O111" i="4"/>
  <c r="P111" i="4"/>
  <c r="Q111" i="4" s="1"/>
  <c r="U111" i="4" s="1"/>
  <c r="O319" i="4"/>
  <c r="P319" i="4"/>
  <c r="Q319" i="4" s="1"/>
  <c r="U319" i="4" s="1"/>
  <c r="O471" i="4"/>
  <c r="P471" i="4"/>
  <c r="Q471" i="4" s="1"/>
  <c r="U471" i="4" s="1"/>
  <c r="O783" i="4"/>
  <c r="P783" i="4"/>
  <c r="Q783" i="4" s="1"/>
  <c r="U783" i="4" s="1"/>
  <c r="O157" i="4"/>
  <c r="P157" i="4"/>
  <c r="Q157" i="4" s="1"/>
  <c r="U157" i="4" s="1"/>
  <c r="O221" i="4"/>
  <c r="P221" i="4"/>
  <c r="Q221" i="4" s="1"/>
  <c r="U221" i="4" s="1"/>
  <c r="O285" i="4"/>
  <c r="P285" i="4"/>
  <c r="Q285" i="4" s="1"/>
  <c r="U285" i="4" s="1"/>
  <c r="O365" i="4"/>
  <c r="P365" i="4"/>
  <c r="Q365" i="4" s="1"/>
  <c r="U365" i="4" s="1"/>
  <c r="O437" i="4"/>
  <c r="P437" i="4"/>
  <c r="Q437" i="4" s="1"/>
  <c r="U437" i="4" s="1"/>
  <c r="O509" i="4"/>
  <c r="P509" i="4"/>
  <c r="Q509" i="4" s="1"/>
  <c r="U509" i="4" s="1"/>
  <c r="O573" i="4"/>
  <c r="P573" i="4"/>
  <c r="Q573" i="4" s="1"/>
  <c r="U573" i="4" s="1"/>
  <c r="O661" i="4"/>
  <c r="P661" i="4"/>
  <c r="Q661" i="4" s="1"/>
  <c r="U661" i="4" s="1"/>
  <c r="O741" i="4"/>
  <c r="P741" i="4"/>
  <c r="Q741" i="4" s="1"/>
  <c r="U741" i="4" s="1"/>
  <c r="O55" i="4"/>
  <c r="P55" i="4"/>
  <c r="Q55" i="4" s="1"/>
  <c r="U55" i="4" s="1"/>
  <c r="O247" i="4"/>
  <c r="P247" i="4"/>
  <c r="Q247" i="4" s="1"/>
  <c r="U247" i="4" s="1"/>
  <c r="O567" i="4"/>
  <c r="P567" i="4"/>
  <c r="Q567" i="4" s="1"/>
  <c r="U567" i="4" s="1"/>
  <c r="O138" i="4"/>
  <c r="P138" i="4"/>
  <c r="Q138" i="4" s="1"/>
  <c r="U138" i="4" s="1"/>
  <c r="O746" i="4"/>
  <c r="P746" i="4"/>
  <c r="Q746" i="4" s="1"/>
  <c r="U746" i="4" s="1"/>
  <c r="O105" i="4"/>
  <c r="P105" i="4"/>
  <c r="Q105" i="4" s="1"/>
  <c r="U105" i="4" s="1"/>
  <c r="O793" i="4"/>
  <c r="P793" i="4"/>
  <c r="Q793" i="4" s="1"/>
  <c r="U793" i="4" s="1"/>
  <c r="O383" i="4"/>
  <c r="P383" i="4"/>
  <c r="Q383" i="4" s="1"/>
  <c r="U383" i="4" s="1"/>
  <c r="O88" i="4"/>
  <c r="P88" i="4"/>
  <c r="Q88" i="4" s="1"/>
  <c r="U88" i="4" s="1"/>
  <c r="O703" i="4"/>
  <c r="P703" i="4"/>
  <c r="Q703" i="4" s="1"/>
  <c r="U703" i="4" s="1"/>
  <c r="O47" i="4"/>
  <c r="P47" i="4"/>
  <c r="Q47" i="4" s="1"/>
  <c r="U47" i="4" s="1"/>
  <c r="O575" i="4"/>
  <c r="P575" i="4"/>
  <c r="Q575" i="4" s="1"/>
  <c r="U575" i="4" s="1"/>
  <c r="O16" i="4"/>
  <c r="P16" i="4"/>
  <c r="Q16" i="4" s="1"/>
  <c r="U16" i="4" s="1"/>
  <c r="O257" i="4"/>
  <c r="P257" i="4"/>
  <c r="Q257" i="4" s="1"/>
  <c r="U257" i="4" s="1"/>
  <c r="O519" i="4"/>
  <c r="P519" i="4"/>
  <c r="Q519" i="4" s="1"/>
  <c r="U519" i="4" s="1"/>
  <c r="O775" i="4"/>
  <c r="P775" i="4"/>
  <c r="Q775" i="4" s="1"/>
  <c r="U775" i="4" s="1"/>
  <c r="O115" i="4"/>
  <c r="P115" i="4"/>
  <c r="Q115" i="4" s="1"/>
  <c r="U115" i="4" s="1"/>
  <c r="O195" i="4"/>
  <c r="P195" i="4"/>
  <c r="Q195" i="4" s="1"/>
  <c r="U195" i="4" s="1"/>
  <c r="O291" i="4"/>
  <c r="P291" i="4"/>
  <c r="Q291" i="4" s="1"/>
  <c r="U291" i="4" s="1"/>
  <c r="O363" i="4"/>
  <c r="P363" i="4"/>
  <c r="Q363" i="4" s="1"/>
  <c r="U363" i="4" s="1"/>
  <c r="O467" i="4"/>
  <c r="P467" i="4"/>
  <c r="Q467" i="4" s="1"/>
  <c r="U467" i="4" s="1"/>
  <c r="O539" i="4"/>
  <c r="P539" i="4"/>
  <c r="Q539" i="4" s="1"/>
  <c r="U539" i="4" s="1"/>
  <c r="O619" i="4"/>
  <c r="P619" i="4"/>
  <c r="Q619" i="4" s="1"/>
  <c r="U619" i="4" s="1"/>
  <c r="O198" i="4"/>
  <c r="P198" i="4"/>
  <c r="Q198" i="4" s="1"/>
  <c r="U198" i="4" s="1"/>
  <c r="O406" i="4"/>
  <c r="P406" i="4"/>
  <c r="Q406" i="4" s="1"/>
  <c r="U406" i="4" s="1"/>
  <c r="O219" i="4"/>
  <c r="P219" i="4"/>
  <c r="Q219" i="4" s="1"/>
  <c r="U219" i="4" s="1"/>
  <c r="O579" i="4"/>
  <c r="P579" i="4"/>
  <c r="Q579" i="4" s="1"/>
  <c r="U579" i="4" s="1"/>
  <c r="O715" i="4"/>
  <c r="P715" i="4"/>
  <c r="Q715" i="4" s="1"/>
  <c r="U715" i="4" s="1"/>
  <c r="O328" i="4"/>
  <c r="P328" i="4"/>
  <c r="Q328" i="4" s="1"/>
  <c r="U328" i="4" s="1"/>
  <c r="O12" i="4"/>
  <c r="P12" i="4"/>
  <c r="Q12" i="4" s="1"/>
  <c r="U12" i="4" s="1"/>
  <c r="O568" i="4"/>
  <c r="P568" i="4"/>
  <c r="Q568" i="4" s="1"/>
  <c r="U568" i="4" s="1"/>
  <c r="O760" i="4"/>
  <c r="P760" i="4"/>
  <c r="Q760" i="4" s="1"/>
  <c r="U760" i="4" s="1"/>
  <c r="O377" i="4"/>
  <c r="P377" i="4"/>
  <c r="Q377" i="4" s="1"/>
  <c r="U377" i="4" s="1"/>
  <c r="O641" i="4"/>
  <c r="P641" i="4"/>
  <c r="Q641" i="4" s="1"/>
  <c r="U641" i="4" s="1"/>
  <c r="O720" i="4"/>
  <c r="P720" i="4"/>
  <c r="Q720" i="4" s="1"/>
  <c r="U720" i="4" s="1"/>
  <c r="O697" i="4"/>
  <c r="P697" i="4"/>
  <c r="Q697" i="4" s="1"/>
  <c r="U697" i="4" s="1"/>
  <c r="O267" i="4"/>
  <c r="P267" i="4"/>
  <c r="Q267" i="4" s="1"/>
  <c r="U267" i="4" s="1"/>
  <c r="O132" i="4"/>
  <c r="P132" i="4"/>
  <c r="Q132" i="4" s="1"/>
  <c r="U132" i="4" s="1"/>
  <c r="O196" i="4"/>
  <c r="P196" i="4"/>
  <c r="Q196" i="4" s="1"/>
  <c r="U196" i="4" s="1"/>
  <c r="O260" i="4"/>
  <c r="P260" i="4"/>
  <c r="Q260" i="4" s="1"/>
  <c r="U260" i="4" s="1"/>
  <c r="O332" i="4"/>
  <c r="P332" i="4"/>
  <c r="Q332" i="4" s="1"/>
  <c r="U332" i="4" s="1"/>
  <c r="O404" i="4"/>
  <c r="P404" i="4"/>
  <c r="Q404" i="4" s="1"/>
  <c r="U404" i="4" s="1"/>
  <c r="O612" i="4"/>
  <c r="P612" i="4"/>
  <c r="Q612" i="4" s="1"/>
  <c r="U612" i="4" s="1"/>
  <c r="O708" i="4"/>
  <c r="P708" i="4"/>
  <c r="Q708" i="4" s="1"/>
  <c r="U708" i="4" s="1"/>
  <c r="O664" i="4"/>
  <c r="P664" i="4"/>
  <c r="Q664" i="4" s="1"/>
  <c r="U664" i="4" s="1"/>
  <c r="O110" i="4"/>
  <c r="P110" i="4"/>
  <c r="Q110" i="4" s="1"/>
  <c r="U110" i="4" s="1"/>
  <c r="O238" i="4"/>
  <c r="P238" i="4"/>
  <c r="Q238" i="4" s="1"/>
  <c r="U238" i="4" s="1"/>
  <c r="O374" i="4"/>
  <c r="P374" i="4"/>
  <c r="Q374" i="4" s="1"/>
  <c r="U374" i="4" s="1"/>
  <c r="O470" i="4"/>
  <c r="P470" i="4"/>
  <c r="Q470" i="4" s="1"/>
  <c r="U470" i="4" s="1"/>
  <c r="O598" i="4"/>
  <c r="P598" i="4"/>
  <c r="Q598" i="4" s="1"/>
  <c r="U598" i="4" s="1"/>
  <c r="O766" i="4"/>
  <c r="P766" i="4"/>
  <c r="Q766" i="4" s="1"/>
  <c r="U766" i="4" s="1"/>
  <c r="O112" i="4"/>
  <c r="P112" i="4"/>
  <c r="Q112" i="4" s="1"/>
  <c r="U112" i="4" s="1"/>
  <c r="O192" i="4"/>
  <c r="P192" i="4"/>
  <c r="Q192" i="4" s="1"/>
  <c r="U192" i="4" s="1"/>
  <c r="O320" i="4"/>
  <c r="P320" i="4"/>
  <c r="Q320" i="4" s="1"/>
  <c r="U320" i="4" s="1"/>
  <c r="O416" i="4"/>
  <c r="P416" i="4"/>
  <c r="Q416" i="4" s="1"/>
  <c r="U416" i="4" s="1"/>
  <c r="O544" i="4"/>
  <c r="P544" i="4"/>
  <c r="Q544" i="4" s="1"/>
  <c r="U544" i="4" s="1"/>
  <c r="O656" i="4"/>
  <c r="P656" i="4"/>
  <c r="Q656" i="4" s="1"/>
  <c r="U656" i="4" s="1"/>
  <c r="O800" i="4"/>
  <c r="P800" i="4"/>
  <c r="Q800" i="4" s="1"/>
  <c r="U800" i="4" s="1"/>
  <c r="O50" i="4"/>
  <c r="P50" i="4"/>
  <c r="Q50" i="4" s="1"/>
  <c r="U50" i="4" s="1"/>
  <c r="O122" i="4"/>
  <c r="P122" i="4"/>
  <c r="Q122" i="4" s="1"/>
  <c r="U122" i="4" s="1"/>
  <c r="O202" i="4"/>
  <c r="P202" i="4"/>
  <c r="Q202" i="4" s="1"/>
  <c r="U202" i="4" s="1"/>
  <c r="O274" i="4"/>
  <c r="P274" i="4"/>
  <c r="Q274" i="4" s="1"/>
  <c r="U274" i="4" s="1"/>
  <c r="O346" i="4"/>
  <c r="P346" i="4"/>
  <c r="Q346" i="4" s="1"/>
  <c r="U346" i="4" s="1"/>
  <c r="O426" i="4"/>
  <c r="P426" i="4"/>
  <c r="Q426" i="4" s="1"/>
  <c r="U426" i="4" s="1"/>
  <c r="O498" i="4"/>
  <c r="P498" i="4"/>
  <c r="Q498" i="4" s="1"/>
  <c r="U498" i="4" s="1"/>
  <c r="O626" i="4"/>
  <c r="P626" i="4"/>
  <c r="Q626" i="4" s="1"/>
  <c r="U626" i="4" s="1"/>
  <c r="O698" i="4"/>
  <c r="P698" i="4"/>
  <c r="Q698" i="4" s="1"/>
  <c r="U698" i="4" s="1"/>
  <c r="O378" i="4"/>
  <c r="P378" i="4"/>
  <c r="Q378" i="4" s="1"/>
  <c r="U378" i="4" s="1"/>
  <c r="O752" i="4"/>
  <c r="P752" i="4"/>
  <c r="Q752" i="4" s="1"/>
  <c r="U752" i="4" s="1"/>
  <c r="O270" i="4"/>
  <c r="P270" i="4"/>
  <c r="Q270" i="4" s="1"/>
  <c r="U270" i="4" s="1"/>
  <c r="O646" i="4"/>
  <c r="P646" i="4"/>
  <c r="Q646" i="4" s="1"/>
  <c r="U646" i="4" s="1"/>
  <c r="O337" i="4"/>
  <c r="P337" i="4"/>
  <c r="Q337" i="4" s="1"/>
  <c r="U337" i="4" s="1"/>
  <c r="O537" i="4"/>
  <c r="P537" i="4"/>
  <c r="Q537" i="4" s="1"/>
  <c r="U537" i="4" s="1"/>
  <c r="O729" i="4"/>
  <c r="P729" i="4"/>
  <c r="Q729" i="4" s="1"/>
  <c r="U729" i="4" s="1"/>
  <c r="O305" i="4"/>
  <c r="P305" i="4"/>
  <c r="Q305" i="4" s="1"/>
  <c r="U305" i="4" s="1"/>
  <c r="O657" i="4"/>
  <c r="P657" i="4"/>
  <c r="Q657" i="4" s="1"/>
  <c r="U657" i="4" s="1"/>
  <c r="O135" i="4"/>
  <c r="P135" i="4"/>
  <c r="Q135" i="4" s="1"/>
  <c r="U135" i="4" s="1"/>
  <c r="O487" i="4"/>
  <c r="P487" i="4"/>
  <c r="Q487" i="4" s="1"/>
  <c r="U487" i="4" s="1"/>
  <c r="O799" i="4"/>
  <c r="P799" i="4"/>
  <c r="Q799" i="4" s="1"/>
  <c r="U799" i="4" s="1"/>
  <c r="O165" i="4"/>
  <c r="P165" i="4"/>
  <c r="Q165" i="4" s="1"/>
  <c r="U165" i="4" s="1"/>
  <c r="O229" i="4"/>
  <c r="P229" i="4"/>
  <c r="Q229" i="4" s="1"/>
  <c r="U229" i="4" s="1"/>
  <c r="O293" i="4"/>
  <c r="P293" i="4"/>
  <c r="Q293" i="4" s="1"/>
  <c r="U293" i="4" s="1"/>
  <c r="O373" i="4"/>
  <c r="P373" i="4"/>
  <c r="Q373" i="4" s="1"/>
  <c r="U373" i="4" s="1"/>
  <c r="O445" i="4"/>
  <c r="P445" i="4"/>
  <c r="Q445" i="4" s="1"/>
  <c r="U445" i="4" s="1"/>
  <c r="O517" i="4"/>
  <c r="P517" i="4"/>
  <c r="Q517" i="4" s="1"/>
  <c r="U517" i="4" s="1"/>
  <c r="O589" i="4"/>
  <c r="P589" i="4"/>
  <c r="Q589" i="4" s="1"/>
  <c r="U589" i="4" s="1"/>
  <c r="O669" i="4"/>
  <c r="P669" i="4"/>
  <c r="Q669" i="4" s="1"/>
  <c r="U669" i="4" s="1"/>
  <c r="O749" i="4"/>
  <c r="P749" i="4"/>
  <c r="Q749" i="4" s="1"/>
  <c r="U749" i="4" s="1"/>
  <c r="O87" i="4"/>
  <c r="P87" i="4"/>
  <c r="Q87" i="4" s="1"/>
  <c r="U87" i="4" s="1"/>
  <c r="O263" i="4"/>
  <c r="P263" i="4"/>
  <c r="Q263" i="4" s="1"/>
  <c r="U263" i="4" s="1"/>
  <c r="O583" i="4"/>
  <c r="P583" i="4"/>
  <c r="Q583" i="4" s="1"/>
  <c r="U583" i="4" s="1"/>
  <c r="O770" i="4"/>
  <c r="P770" i="4"/>
  <c r="Q770" i="4" s="1"/>
  <c r="U770" i="4" s="1"/>
  <c r="O169" i="4"/>
  <c r="P169" i="4"/>
  <c r="Q169" i="4" s="1"/>
  <c r="U169" i="4" s="1"/>
  <c r="O429" i="4"/>
  <c r="P429" i="4"/>
  <c r="Q429" i="4" s="1"/>
  <c r="U429" i="4" s="1"/>
  <c r="O143" i="4"/>
  <c r="P143" i="4"/>
  <c r="Q143" i="4" s="1"/>
  <c r="U143" i="4" s="1"/>
  <c r="O439" i="4"/>
  <c r="P439" i="4"/>
  <c r="Q439" i="4" s="1"/>
  <c r="U439" i="4" s="1"/>
  <c r="O740" i="4"/>
  <c r="P740" i="4"/>
  <c r="Q740" i="4" s="1"/>
  <c r="U740" i="4" s="1"/>
  <c r="O79" i="4"/>
  <c r="P79" i="4"/>
  <c r="Q79" i="4" s="1"/>
  <c r="U79" i="4" s="1"/>
  <c r="O604" i="4"/>
  <c r="P604" i="4"/>
  <c r="Q604" i="4" s="1"/>
  <c r="U604" i="4" s="1"/>
  <c r="O24" i="4"/>
  <c r="P24" i="4"/>
  <c r="Q24" i="4" s="1"/>
  <c r="U24" i="4" s="1"/>
  <c r="O408" i="4"/>
  <c r="P408" i="4"/>
  <c r="Q408" i="4" s="1"/>
  <c r="U408" i="4" s="1"/>
  <c r="O588" i="4"/>
  <c r="P588" i="4"/>
  <c r="Q588" i="4" s="1"/>
  <c r="U588" i="4" s="1"/>
  <c r="O455" i="4"/>
  <c r="P455" i="4"/>
  <c r="Q455" i="4" s="1"/>
  <c r="U455" i="4" s="1"/>
  <c r="O14" i="4"/>
  <c r="P14" i="4"/>
  <c r="Q14" i="4" s="1"/>
  <c r="U14" i="4" s="1"/>
  <c r="O34" i="4"/>
  <c r="P34" i="4"/>
  <c r="Q34" i="4" s="1"/>
  <c r="U34" i="4" s="1"/>
  <c r="O123" i="4"/>
  <c r="P123" i="4"/>
  <c r="Q123" i="4" s="1"/>
  <c r="U123" i="4" s="1"/>
  <c r="O203" i="4"/>
  <c r="P203" i="4"/>
  <c r="Q203" i="4" s="1"/>
  <c r="U203" i="4" s="1"/>
  <c r="O307" i="4"/>
  <c r="P307" i="4"/>
  <c r="Q307" i="4" s="1"/>
  <c r="U307" i="4" s="1"/>
  <c r="O371" i="4"/>
  <c r="P371" i="4"/>
  <c r="Q371" i="4" s="1"/>
  <c r="U371" i="4" s="1"/>
  <c r="O555" i="4"/>
  <c r="P555" i="4"/>
  <c r="Q555" i="4" s="1"/>
  <c r="U555" i="4" s="1"/>
  <c r="O627" i="4"/>
  <c r="P627" i="4"/>
  <c r="Q627" i="4" s="1"/>
  <c r="U627" i="4" s="1"/>
  <c r="O214" i="4"/>
  <c r="P214" i="4"/>
  <c r="Q214" i="4" s="1"/>
  <c r="U214" i="4" s="1"/>
  <c r="O414" i="4"/>
  <c r="P414" i="4"/>
  <c r="Q414" i="4" s="1"/>
  <c r="U414" i="4" s="1"/>
  <c r="O18" i="4"/>
  <c r="P18" i="4"/>
  <c r="Q18" i="4" s="1"/>
  <c r="U18" i="4" s="1"/>
  <c r="O643" i="4"/>
  <c r="P643" i="4"/>
  <c r="Q643" i="4" s="1"/>
  <c r="U643" i="4" s="1"/>
  <c r="O723" i="4"/>
  <c r="P723" i="4"/>
  <c r="Q723" i="4" s="1"/>
  <c r="U723" i="4" s="1"/>
  <c r="O531" i="4"/>
  <c r="P531" i="4"/>
  <c r="Q531" i="4" s="1"/>
  <c r="U531" i="4" s="1"/>
  <c r="O67" i="4"/>
  <c r="P67" i="4"/>
  <c r="Q67" i="4" s="1"/>
  <c r="U67" i="4" s="1"/>
  <c r="O142" i="4"/>
  <c r="P142" i="4"/>
  <c r="Q142" i="4" s="1"/>
  <c r="U142" i="4" s="1"/>
  <c r="O409" i="4"/>
  <c r="P409" i="4"/>
  <c r="Q409" i="4" s="1"/>
  <c r="U409" i="4" s="1"/>
  <c r="O705" i="4"/>
  <c r="P705" i="4"/>
  <c r="Q705" i="4" s="1"/>
  <c r="U705" i="4" s="1"/>
  <c r="O424" i="4"/>
  <c r="P424" i="4"/>
  <c r="Q424" i="4" s="1"/>
  <c r="U424" i="4" s="1"/>
  <c r="O440" i="4"/>
  <c r="P440" i="4"/>
  <c r="Q440" i="4" s="1"/>
  <c r="U440" i="4" s="1"/>
  <c r="O65" i="4"/>
  <c r="P65" i="4"/>
  <c r="Q65" i="4" s="1"/>
  <c r="U65" i="4" s="1"/>
  <c r="O299" i="4"/>
  <c r="P299" i="4"/>
  <c r="Q299" i="4" s="1"/>
  <c r="U299" i="4" s="1"/>
  <c r="O60" i="4"/>
  <c r="P60" i="4"/>
  <c r="Q60" i="4" s="1"/>
  <c r="U60" i="4" s="1"/>
  <c r="O140" i="4"/>
  <c r="P140" i="4"/>
  <c r="Q140" i="4" s="1"/>
  <c r="U140" i="4" s="1"/>
  <c r="O204" i="4"/>
  <c r="P204" i="4"/>
  <c r="Q204" i="4" s="1"/>
  <c r="U204" i="4" s="1"/>
  <c r="O276" i="4"/>
  <c r="P276" i="4"/>
  <c r="Q276" i="4" s="1"/>
  <c r="U276" i="4" s="1"/>
  <c r="O340" i="4"/>
  <c r="P340" i="4"/>
  <c r="Q340" i="4" s="1"/>
  <c r="U340" i="4" s="1"/>
  <c r="O412" i="4"/>
  <c r="P412" i="4"/>
  <c r="Q412" i="4" s="1"/>
  <c r="U412" i="4" s="1"/>
  <c r="O620" i="4"/>
  <c r="P620" i="4"/>
  <c r="Q620" i="4" s="1"/>
  <c r="U620" i="4" s="1"/>
  <c r="O724" i="4"/>
  <c r="P724" i="4"/>
  <c r="Q724" i="4" s="1"/>
  <c r="U724" i="4" s="1"/>
  <c r="O792" i="4"/>
  <c r="P792" i="4"/>
  <c r="Q792" i="4" s="1"/>
  <c r="U792" i="4" s="1"/>
  <c r="O118" i="4"/>
  <c r="P118" i="4"/>
  <c r="Q118" i="4" s="1"/>
  <c r="U118" i="4" s="1"/>
  <c r="O382" i="4"/>
  <c r="P382" i="4"/>
  <c r="Q382" i="4" s="1"/>
  <c r="U382" i="4" s="1"/>
  <c r="O478" i="4"/>
  <c r="P478" i="4"/>
  <c r="Q478" i="4" s="1"/>
  <c r="U478" i="4" s="1"/>
  <c r="O606" i="4"/>
  <c r="P606" i="4"/>
  <c r="Q606" i="4" s="1"/>
  <c r="U606" i="4" s="1"/>
  <c r="O702" i="4"/>
  <c r="P702" i="4"/>
  <c r="Q702" i="4" s="1"/>
  <c r="U702" i="4" s="1"/>
  <c r="O120" i="4"/>
  <c r="P120" i="4"/>
  <c r="Q120" i="4" s="1"/>
  <c r="U120" i="4" s="1"/>
  <c r="O200" i="4"/>
  <c r="P200" i="4"/>
  <c r="Q200" i="4" s="1"/>
  <c r="U200" i="4" s="1"/>
  <c r="O336" i="4"/>
  <c r="P336" i="4"/>
  <c r="Q336" i="4" s="1"/>
  <c r="U336" i="4" s="1"/>
  <c r="O448" i="4"/>
  <c r="P448" i="4"/>
  <c r="Q448" i="4" s="1"/>
  <c r="U448" i="4" s="1"/>
  <c r="O552" i="4"/>
  <c r="P552" i="4"/>
  <c r="Q552" i="4" s="1"/>
  <c r="U552" i="4" s="1"/>
  <c r="O688" i="4"/>
  <c r="P688" i="4"/>
  <c r="Q688" i="4" s="1"/>
  <c r="U688" i="4" s="1"/>
  <c r="O224" i="4"/>
  <c r="P224" i="4"/>
  <c r="Q224" i="4" s="1"/>
  <c r="U224" i="4" s="1"/>
  <c r="O58" i="4"/>
  <c r="P58" i="4"/>
  <c r="Q58" i="4" s="1"/>
  <c r="U58" i="4" s="1"/>
  <c r="O130" i="4"/>
  <c r="P130" i="4"/>
  <c r="Q130" i="4" s="1"/>
  <c r="U130" i="4" s="1"/>
  <c r="O210" i="4"/>
  <c r="P210" i="4"/>
  <c r="Q210" i="4" s="1"/>
  <c r="U210" i="4" s="1"/>
  <c r="O282" i="4"/>
  <c r="P282" i="4"/>
  <c r="Q282" i="4" s="1"/>
  <c r="U282" i="4" s="1"/>
  <c r="O434" i="4"/>
  <c r="P434" i="4"/>
  <c r="Q434" i="4" s="1"/>
  <c r="U434" i="4" s="1"/>
  <c r="O570" i="4"/>
  <c r="P570" i="4"/>
  <c r="Q570" i="4" s="1"/>
  <c r="U570" i="4" s="1"/>
  <c r="O714" i="4"/>
  <c r="P714" i="4"/>
  <c r="Q714" i="4" s="1"/>
  <c r="U714" i="4" s="1"/>
  <c r="O40" i="4"/>
  <c r="P40" i="4"/>
  <c r="Q40" i="4" s="1"/>
  <c r="U40" i="4" s="1"/>
  <c r="O76" i="4"/>
  <c r="P76" i="4"/>
  <c r="Q76" i="4" s="1"/>
  <c r="U76" i="4" s="1"/>
  <c r="O358" i="4"/>
  <c r="P358" i="4"/>
  <c r="Q358" i="4" s="1"/>
  <c r="U358" i="4" s="1"/>
  <c r="O734" i="4"/>
  <c r="P734" i="4"/>
  <c r="Q734" i="4" s="1"/>
  <c r="U734" i="4" s="1"/>
  <c r="O737" i="4"/>
  <c r="P737" i="4"/>
  <c r="Q737" i="4" s="1"/>
  <c r="U737" i="4" s="1"/>
  <c r="O361" i="4"/>
  <c r="P361" i="4"/>
  <c r="Q361" i="4" s="1"/>
  <c r="U361" i="4" s="1"/>
  <c r="O183" i="4"/>
  <c r="P183" i="4"/>
  <c r="Q183" i="4" s="1"/>
  <c r="U183" i="4" s="1"/>
  <c r="O343" i="4"/>
  <c r="P343" i="4"/>
  <c r="Q343" i="4" s="1"/>
  <c r="U343" i="4" s="1"/>
  <c r="O495" i="4"/>
  <c r="P495" i="4"/>
  <c r="Q495" i="4" s="1"/>
  <c r="U495" i="4" s="1"/>
  <c r="O152" i="4"/>
  <c r="P152" i="4"/>
  <c r="Q152" i="4" s="1"/>
  <c r="U152" i="4" s="1"/>
  <c r="O173" i="4"/>
  <c r="P173" i="4"/>
  <c r="Q173" i="4" s="1"/>
  <c r="U173" i="4" s="1"/>
  <c r="O237" i="4"/>
  <c r="P237" i="4"/>
  <c r="Q237" i="4" s="1"/>
  <c r="U237" i="4" s="1"/>
  <c r="O301" i="4"/>
  <c r="P301" i="4"/>
  <c r="Q301" i="4" s="1"/>
  <c r="U301" i="4" s="1"/>
  <c r="O381" i="4"/>
  <c r="P381" i="4"/>
  <c r="Q381" i="4" s="1"/>
  <c r="U381" i="4" s="1"/>
  <c r="O453" i="4"/>
  <c r="P453" i="4"/>
  <c r="Q453" i="4" s="1"/>
  <c r="U453" i="4" s="1"/>
  <c r="O525" i="4"/>
  <c r="P525" i="4"/>
  <c r="Q525" i="4" s="1"/>
  <c r="U525" i="4" s="1"/>
  <c r="O605" i="4"/>
  <c r="P605" i="4"/>
  <c r="Q605" i="4" s="1"/>
  <c r="U605" i="4" s="1"/>
  <c r="O685" i="4"/>
  <c r="P685" i="4"/>
  <c r="Q685" i="4" s="1"/>
  <c r="U685" i="4" s="1"/>
  <c r="O757" i="4"/>
  <c r="P757" i="4"/>
  <c r="Q757" i="4" s="1"/>
  <c r="U757" i="4" s="1"/>
  <c r="O127" i="4"/>
  <c r="P127" i="4"/>
  <c r="Q127" i="4" s="1"/>
  <c r="U127" i="4" s="1"/>
  <c r="O303" i="4"/>
  <c r="P303" i="4"/>
  <c r="Q303" i="4" s="1"/>
  <c r="U303" i="4" s="1"/>
  <c r="O599" i="4"/>
  <c r="P599" i="4"/>
  <c r="Q599" i="4" s="1"/>
  <c r="U599" i="4" s="1"/>
  <c r="O250" i="4"/>
  <c r="P250" i="4"/>
  <c r="Q250" i="4" s="1"/>
  <c r="U250" i="4" s="1"/>
  <c r="O778" i="4"/>
  <c r="P778" i="4"/>
  <c r="Q778" i="4" s="1"/>
  <c r="U778" i="4" s="1"/>
  <c r="O233" i="4"/>
  <c r="P233" i="4"/>
  <c r="Q233" i="4" s="1"/>
  <c r="U233" i="4" s="1"/>
  <c r="O461" i="4"/>
  <c r="P461" i="4"/>
  <c r="Q461" i="4" s="1"/>
  <c r="U461" i="4" s="1"/>
  <c r="O535" i="4"/>
  <c r="P535" i="4"/>
  <c r="Q535" i="4" s="1"/>
  <c r="U535" i="4" s="1"/>
  <c r="O39" i="4"/>
  <c r="P39" i="4"/>
  <c r="Q39" i="4" s="1"/>
  <c r="U39" i="4" s="1"/>
  <c r="O2" i="4"/>
  <c r="P2" i="4"/>
  <c r="Q2" i="4" s="1"/>
  <c r="U2" i="4" s="1"/>
  <c r="T39" i="4" l="1"/>
  <c r="T535" i="4"/>
  <c r="T461" i="4"/>
  <c r="T233" i="4"/>
  <c r="T778" i="4"/>
  <c r="T250" i="4"/>
  <c r="T599" i="4"/>
  <c r="T303" i="4"/>
  <c r="T127" i="4"/>
  <c r="T757" i="4"/>
  <c r="T685" i="4"/>
  <c r="T605" i="4"/>
  <c r="T525" i="4"/>
  <c r="T453" i="4"/>
  <c r="T381" i="4"/>
  <c r="T301" i="4"/>
  <c r="T237" i="4"/>
  <c r="T173" i="4"/>
  <c r="T152" i="4"/>
  <c r="T495" i="4"/>
  <c r="T343" i="4"/>
  <c r="T183" i="4"/>
  <c r="T361" i="4"/>
  <c r="T737" i="4"/>
  <c r="T734" i="4"/>
  <c r="T358" i="4"/>
  <c r="T76" i="4"/>
  <c r="T40" i="4"/>
  <c r="T714" i="4"/>
  <c r="T570" i="4"/>
  <c r="T434" i="4"/>
  <c r="T282" i="4"/>
  <c r="T210" i="4"/>
  <c r="T130" i="4"/>
  <c r="T58" i="4"/>
  <c r="T224" i="4"/>
  <c r="T688" i="4"/>
  <c r="T552" i="4"/>
  <c r="T448" i="4"/>
  <c r="T336" i="4"/>
  <c r="T200" i="4"/>
  <c r="T120" i="4"/>
  <c r="T702" i="4"/>
  <c r="T606" i="4"/>
  <c r="T478" i="4"/>
  <c r="T382" i="4"/>
  <c r="T118" i="4"/>
  <c r="T792" i="4"/>
  <c r="T724" i="4"/>
  <c r="T620" i="4"/>
  <c r="T412" i="4"/>
  <c r="T340" i="4"/>
  <c r="T276" i="4"/>
  <c r="T204" i="4"/>
  <c r="T140" i="4"/>
  <c r="T60" i="4"/>
  <c r="T299" i="4"/>
  <c r="T65" i="4"/>
  <c r="T440" i="4"/>
  <c r="T424" i="4"/>
  <c r="T705" i="4"/>
  <c r="T409" i="4"/>
  <c r="T142" i="4"/>
  <c r="T67" i="4"/>
  <c r="T531" i="4"/>
  <c r="T723" i="4"/>
  <c r="T643" i="4"/>
  <c r="T18" i="4"/>
  <c r="T414" i="4"/>
  <c r="T214" i="4"/>
  <c r="T627" i="4"/>
  <c r="T555" i="4"/>
  <c r="T371" i="4"/>
  <c r="T307" i="4"/>
  <c r="T203" i="4"/>
  <c r="T123" i="4"/>
  <c r="T34" i="4"/>
  <c r="T14" i="4"/>
  <c r="T455" i="4"/>
  <c r="T588" i="4"/>
  <c r="T408" i="4"/>
  <c r="T24" i="4"/>
  <c r="T604" i="4"/>
  <c r="T79" i="4"/>
  <c r="T740" i="4"/>
  <c r="T439" i="4"/>
  <c r="T143" i="4"/>
  <c r="T429" i="4"/>
  <c r="T169" i="4"/>
  <c r="T770" i="4"/>
  <c r="T583" i="4"/>
  <c r="T263" i="4"/>
  <c r="T87" i="4"/>
  <c r="T749" i="4"/>
  <c r="T669" i="4"/>
  <c r="T589" i="4"/>
  <c r="T517" i="4"/>
  <c r="T445" i="4"/>
  <c r="T373" i="4"/>
  <c r="T293" i="4"/>
  <c r="T229" i="4"/>
  <c r="T165" i="4"/>
  <c r="T799" i="4"/>
  <c r="T487" i="4"/>
  <c r="T135" i="4"/>
  <c r="T657" i="4"/>
  <c r="T305" i="4"/>
  <c r="T729" i="4"/>
  <c r="T537" i="4"/>
  <c r="T337" i="4"/>
  <c r="T646" i="4"/>
  <c r="T270" i="4"/>
  <c r="T752" i="4"/>
  <c r="T378" i="4"/>
  <c r="T698" i="4"/>
  <c r="T626" i="4"/>
  <c r="T498" i="4"/>
  <c r="T426" i="4"/>
  <c r="T346" i="4"/>
  <c r="T274" i="4"/>
  <c r="T202" i="4"/>
  <c r="T122" i="4"/>
  <c r="T50" i="4"/>
  <c r="T800" i="4"/>
  <c r="T656" i="4"/>
  <c r="T544" i="4"/>
  <c r="T416" i="4"/>
  <c r="T320" i="4"/>
  <c r="T192" i="4"/>
  <c r="T112" i="4"/>
  <c r="T766" i="4"/>
  <c r="T598" i="4"/>
  <c r="T470" i="4"/>
  <c r="T374" i="4"/>
  <c r="T238" i="4"/>
  <c r="T110" i="4"/>
  <c r="T664" i="4"/>
  <c r="T708" i="4"/>
  <c r="T612" i="4"/>
  <c r="T404" i="4"/>
  <c r="T332" i="4"/>
  <c r="T260" i="4"/>
  <c r="T196" i="4"/>
  <c r="T132" i="4"/>
  <c r="T267" i="4"/>
  <c r="T697" i="4"/>
  <c r="T720" i="4"/>
  <c r="T641" i="4"/>
  <c r="T377" i="4"/>
  <c r="T760" i="4"/>
  <c r="T568" i="4"/>
  <c r="T12" i="4"/>
  <c r="T328" i="4"/>
  <c r="T715" i="4"/>
  <c r="T579" i="4"/>
  <c r="T219" i="4"/>
  <c r="T406" i="4"/>
  <c r="T198" i="4"/>
  <c r="T619" i="4"/>
  <c r="T539" i="4"/>
  <c r="T467" i="4"/>
  <c r="T363" i="4"/>
  <c r="T291" i="4"/>
  <c r="T195" i="4"/>
  <c r="T115" i="4"/>
  <c r="T775" i="4"/>
  <c r="T519" i="4"/>
  <c r="T257" i="4"/>
  <c r="T16" i="4"/>
  <c r="T575" i="4"/>
  <c r="T47" i="4"/>
  <c r="T703" i="4"/>
  <c r="T88" i="4"/>
  <c r="T383" i="4"/>
  <c r="T793" i="4"/>
  <c r="T105" i="4"/>
  <c r="T746" i="4"/>
  <c r="T138" i="4"/>
  <c r="T567" i="4"/>
  <c r="T247" i="4"/>
  <c r="T55" i="4"/>
  <c r="T741" i="4"/>
  <c r="T661" i="4"/>
  <c r="T573" i="4"/>
  <c r="T509" i="4"/>
  <c r="T437" i="4"/>
  <c r="T365" i="4"/>
  <c r="T285" i="4"/>
  <c r="T221" i="4"/>
  <c r="T157" i="4"/>
  <c r="T783" i="4"/>
  <c r="T471" i="4"/>
  <c r="T319" i="4"/>
  <c r="T111" i="4"/>
  <c r="T625" i="4"/>
  <c r="T273" i="4"/>
  <c r="T713" i="4"/>
  <c r="T505" i="4"/>
  <c r="T321" i="4"/>
  <c r="T638" i="4"/>
  <c r="T712" i="4"/>
  <c r="T364" i="4"/>
  <c r="T690" i="4"/>
  <c r="T618" i="4"/>
  <c r="T554" i="4"/>
  <c r="T490" i="4"/>
  <c r="T418" i="4"/>
  <c r="T338" i="4"/>
  <c r="T266" i="4"/>
  <c r="T194" i="4"/>
  <c r="T114" i="4"/>
  <c r="T160" i="4"/>
  <c r="T784" i="4"/>
  <c r="T640" i="4"/>
  <c r="T536" i="4"/>
  <c r="T392" i="4"/>
  <c r="T304" i="4"/>
  <c r="T184" i="4"/>
  <c r="T96" i="4"/>
  <c r="T758" i="4"/>
  <c r="T686" i="4"/>
  <c r="T582" i="4"/>
  <c r="T462" i="4"/>
  <c r="T366" i="4"/>
  <c r="T230" i="4"/>
  <c r="T102" i="4"/>
  <c r="T496" i="4"/>
  <c r="T700" i="4"/>
  <c r="T484" i="4"/>
  <c r="T396" i="4"/>
  <c r="T324" i="4"/>
  <c r="T252" i="4"/>
  <c r="T188" i="4"/>
  <c r="T124" i="4"/>
  <c r="T44" i="4"/>
  <c r="T235" i="4"/>
  <c r="T617" i="4"/>
  <c r="T488" i="4"/>
  <c r="T280" i="4"/>
  <c r="T633" i="4"/>
  <c r="T313" i="4"/>
  <c r="T736" i="4"/>
  <c r="T520" i="4"/>
  <c r="T755" i="4"/>
  <c r="T787" i="4"/>
  <c r="T707" i="4"/>
  <c r="T795" i="4"/>
  <c r="T681" i="4"/>
  <c r="T398" i="4"/>
  <c r="T158" i="4"/>
  <c r="T611" i="4"/>
  <c r="T523" i="4"/>
  <c r="T451" i="4"/>
  <c r="T355" i="4"/>
  <c r="T283" i="4"/>
  <c r="T179" i="4"/>
  <c r="T99" i="4"/>
  <c r="T735" i="4"/>
  <c r="T27" i="4"/>
  <c r="T26" i="4"/>
  <c r="T447" i="4"/>
  <c r="T104" i="4"/>
  <c r="T8" i="4"/>
  <c r="T9" i="4"/>
  <c r="T648" i="4"/>
  <c r="T29" i="4"/>
  <c r="T581" i="4"/>
  <c r="T95" i="4"/>
  <c r="T569" i="4"/>
  <c r="T81" i="4"/>
  <c r="T722" i="4"/>
  <c r="T66" i="4"/>
  <c r="T543" i="4"/>
  <c r="T231" i="4"/>
  <c r="T797" i="4"/>
  <c r="T733" i="4"/>
  <c r="T565" i="4"/>
  <c r="T421" i="4"/>
  <c r="T357" i="4"/>
  <c r="T277" i="4"/>
  <c r="T213" i="4"/>
  <c r="T93" i="4"/>
  <c r="T743" i="4"/>
  <c r="T423" i="4"/>
  <c r="T295" i="4"/>
  <c r="T71" i="4"/>
  <c r="T577" i="4"/>
  <c r="T241" i="4"/>
  <c r="T689" i="4"/>
  <c r="T465" i="4"/>
  <c r="T201" i="4"/>
  <c r="T622" i="4"/>
  <c r="T150" i="4"/>
  <c r="T400" i="4"/>
  <c r="T68" i="4"/>
  <c r="T610" i="4"/>
  <c r="T546" i="4"/>
  <c r="T482" i="4"/>
  <c r="T410" i="4"/>
  <c r="T330" i="4"/>
  <c r="T258" i="4"/>
  <c r="T186" i="4"/>
  <c r="T106" i="4"/>
  <c r="T691" i="4"/>
  <c r="T776" i="4"/>
  <c r="T632" i="4"/>
  <c r="T296" i="4"/>
  <c r="T176" i="4"/>
  <c r="T64" i="4"/>
  <c r="T678" i="4"/>
  <c r="T558" i="4"/>
  <c r="T454" i="4"/>
  <c r="T334" i="4"/>
  <c r="T190" i="4"/>
  <c r="T94" i="4"/>
  <c r="T312" i="4"/>
  <c r="T684" i="4"/>
  <c r="T452" i="4"/>
  <c r="T388" i="4"/>
  <c r="T316" i="4"/>
  <c r="T244" i="4"/>
  <c r="T180" i="4"/>
  <c r="T116" i="4"/>
  <c r="T36" i="4"/>
  <c r="T187" i="4"/>
  <c r="T561" i="4"/>
  <c r="T368" i="4"/>
  <c r="T4" i="4"/>
  <c r="T609" i="4"/>
  <c r="T289" i="4"/>
  <c r="T680" i="4"/>
  <c r="T49" i="4"/>
  <c r="T699" i="4"/>
  <c r="T779" i="4"/>
  <c r="T683" i="4"/>
  <c r="T751" i="4"/>
  <c r="T513" i="4"/>
  <c r="T342" i="4"/>
  <c r="T86" i="4"/>
  <c r="T603" i="4"/>
  <c r="T427" i="4"/>
  <c r="T347" i="4"/>
  <c r="T275" i="4"/>
  <c r="T171" i="4"/>
  <c r="T91" i="4"/>
  <c r="T28" i="4"/>
  <c r="T3" i="4"/>
  <c r="T10" i="4"/>
  <c r="T193" i="4"/>
  <c r="T553" i="4"/>
  <c r="T759" i="4"/>
  <c r="T333" i="4"/>
  <c r="T693" i="4"/>
  <c r="T521" i="4"/>
  <c r="T73" i="4"/>
  <c r="T650" i="4"/>
  <c r="T791" i="4"/>
  <c r="T463" i="4"/>
  <c r="T223" i="4"/>
  <c r="T789" i="4"/>
  <c r="T725" i="4"/>
  <c r="T645" i="4"/>
  <c r="T557" i="4"/>
  <c r="T493" i="4"/>
  <c r="T269" i="4"/>
  <c r="T205" i="4"/>
  <c r="T53" i="4"/>
  <c r="T647" i="4"/>
  <c r="T399" i="4"/>
  <c r="T287" i="4"/>
  <c r="T63" i="4"/>
  <c r="T529" i="4"/>
  <c r="T785" i="4"/>
  <c r="T673" i="4"/>
  <c r="T449" i="4"/>
  <c r="T161" i="4"/>
  <c r="T590" i="4"/>
  <c r="T46" i="4"/>
  <c r="T272" i="4"/>
  <c r="T762" i="4"/>
  <c r="T674" i="4"/>
  <c r="T602" i="4"/>
  <c r="T538" i="4"/>
  <c r="T466" i="4"/>
  <c r="T402" i="4"/>
  <c r="T322" i="4"/>
  <c r="T242" i="4"/>
  <c r="T178" i="4"/>
  <c r="T739" i="4"/>
  <c r="T744" i="4"/>
  <c r="T325" i="4"/>
  <c r="T677" i="4"/>
  <c r="T497" i="4"/>
  <c r="T480" i="4"/>
  <c r="T474" i="4"/>
  <c r="T719" i="4"/>
  <c r="T415" i="4"/>
  <c r="T175" i="4"/>
  <c r="T717" i="4"/>
  <c r="T637" i="4"/>
  <c r="T549" i="4"/>
  <c r="T485" i="4"/>
  <c r="T405" i="4"/>
  <c r="T261" i="4"/>
  <c r="T197" i="4"/>
  <c r="T208" i="4"/>
  <c r="T615" i="4"/>
  <c r="T391" i="4"/>
  <c r="T239" i="4"/>
  <c r="T206" i="4"/>
  <c r="T457" i="4"/>
  <c r="T777" i="4"/>
  <c r="T649" i="4"/>
  <c r="T425" i="4"/>
  <c r="T145" i="4"/>
  <c r="T566" i="4"/>
  <c r="T240" i="4"/>
  <c r="T754" i="4"/>
  <c r="T666" i="4"/>
  <c r="T594" i="4"/>
  <c r="T530" i="4"/>
  <c r="T458" i="4"/>
  <c r="T394" i="4"/>
  <c r="T306" i="4"/>
  <c r="T234" i="4"/>
  <c r="T90" i="4"/>
  <c r="T83" i="4"/>
  <c r="T728" i="4"/>
  <c r="T608" i="4"/>
  <c r="T472" i="4"/>
  <c r="T360" i="4"/>
  <c r="T256" i="4"/>
  <c r="T144" i="4"/>
  <c r="T798" i="4"/>
  <c r="T726" i="4"/>
  <c r="T662" i="4"/>
  <c r="T542" i="4"/>
  <c r="T430" i="4"/>
  <c r="T302" i="4"/>
  <c r="T166" i="4"/>
  <c r="T297" i="4"/>
  <c r="T796" i="4"/>
  <c r="T660" i="4"/>
  <c r="T436" i="4"/>
  <c r="T372" i="4"/>
  <c r="T300" i="4"/>
  <c r="T228" i="4"/>
  <c r="T164" i="4"/>
  <c r="T459" i="4"/>
  <c r="T43" i="4"/>
  <c r="T217" i="4"/>
  <c r="T72" i="4"/>
  <c r="T616" i="4"/>
  <c r="T489" i="4"/>
  <c r="T502" i="4"/>
  <c r="T21" i="4"/>
  <c r="T227" i="4"/>
  <c r="T763" i="4"/>
  <c r="T667" i="4"/>
  <c r="T431" i="4"/>
  <c r="T574" i="4"/>
  <c r="T286" i="4"/>
  <c r="T70" i="4"/>
  <c r="T587" i="4"/>
  <c r="T499" i="4"/>
  <c r="T403" i="4"/>
  <c r="T331" i="4"/>
  <c r="T251" i="4"/>
  <c r="T147" i="4"/>
  <c r="T59" i="4"/>
  <c r="T711" i="4"/>
  <c r="T6" i="4"/>
  <c r="T716" i="4"/>
  <c r="T788" i="4"/>
  <c r="T441" i="4"/>
  <c r="T695" i="4"/>
  <c r="T15" i="4"/>
  <c r="T385" i="4"/>
  <c r="T692" i="4"/>
  <c r="T109" i="4"/>
  <c r="T613" i="4"/>
  <c r="T329" i="4"/>
  <c r="T794" i="4"/>
  <c r="T354" i="4"/>
  <c r="T687" i="4"/>
  <c r="T335" i="4"/>
  <c r="T159" i="4"/>
  <c r="T773" i="4"/>
  <c r="T709" i="4"/>
  <c r="T629" i="4"/>
  <c r="T541" i="4"/>
  <c r="T477" i="4"/>
  <c r="T397" i="4"/>
  <c r="T317" i="4"/>
  <c r="T253" i="4"/>
  <c r="T189" i="4"/>
  <c r="T232" i="4"/>
  <c r="T527" i="4"/>
  <c r="T367" i="4"/>
  <c r="T215" i="4"/>
  <c r="T769" i="4"/>
  <c r="T433" i="4"/>
  <c r="T761" i="4"/>
  <c r="T601" i="4"/>
  <c r="T393" i="4"/>
  <c r="T137" i="4"/>
  <c r="T534" i="4"/>
  <c r="T748" i="4"/>
  <c r="T738" i="4"/>
  <c r="T658" i="4"/>
  <c r="T586" i="4"/>
  <c r="T522" i="4"/>
  <c r="T450" i="4"/>
  <c r="T386" i="4"/>
  <c r="T298" i="4"/>
  <c r="T226" i="4"/>
  <c r="T154" i="4"/>
  <c r="T82" i="4"/>
  <c r="T113" i="4"/>
  <c r="T704" i="4"/>
  <c r="T592" i="4"/>
  <c r="T464" i="4"/>
  <c r="T352" i="4"/>
  <c r="T248" i="4"/>
  <c r="T136" i="4"/>
  <c r="T790" i="4"/>
  <c r="T718" i="4"/>
  <c r="T654" i="4"/>
  <c r="T518" i="4"/>
  <c r="T422" i="4"/>
  <c r="T278" i="4"/>
  <c r="T134" i="4"/>
  <c r="T591" i="4"/>
  <c r="T772" i="4"/>
  <c r="T644" i="4"/>
  <c r="T428" i="4"/>
  <c r="T356" i="4"/>
  <c r="T292" i="4"/>
  <c r="T220" i="4"/>
  <c r="T156" i="4"/>
  <c r="T92" i="4"/>
  <c r="T443" i="4"/>
  <c r="T35" i="4"/>
  <c r="T185" i="4"/>
  <c r="T17" i="4"/>
  <c r="T432" i="4"/>
  <c r="T481" i="4"/>
  <c r="T153" i="4"/>
  <c r="T510" i="4"/>
  <c r="T13" i="4"/>
  <c r="T19" i="4"/>
  <c r="T747" i="4"/>
  <c r="T659" i="4"/>
  <c r="T411" i="4"/>
  <c r="T526" i="4"/>
  <c r="T246" i="4"/>
  <c r="T62" i="4"/>
  <c r="T571" i="4"/>
  <c r="T491" i="4"/>
  <c r="T323" i="4"/>
  <c r="T243" i="4"/>
  <c r="T139" i="4"/>
  <c r="T51" i="4"/>
  <c r="T623" i="4"/>
  <c r="T22" i="4"/>
  <c r="T679" i="4"/>
  <c r="T596" i="4"/>
  <c r="T25" i="4"/>
  <c r="T668" i="4"/>
  <c r="T191" i="4"/>
  <c r="T351" i="4"/>
  <c r="T628" i="4"/>
  <c r="T663" i="4"/>
  <c r="T597" i="4"/>
  <c r="T265" i="4"/>
  <c r="T786" i="4"/>
  <c r="T314" i="4"/>
  <c r="T655" i="4"/>
  <c r="T311" i="4"/>
  <c r="T151" i="4"/>
  <c r="T765" i="4"/>
  <c r="T701" i="4"/>
  <c r="T621" i="4"/>
  <c r="T533" i="4"/>
  <c r="T469" i="4"/>
  <c r="T389" i="4"/>
  <c r="T309" i="4"/>
  <c r="T245" i="4"/>
  <c r="T181" i="4"/>
  <c r="T768" i="4"/>
  <c r="T511" i="4"/>
  <c r="T359" i="4"/>
  <c r="T199" i="4"/>
  <c r="T745" i="4"/>
  <c r="T401" i="4"/>
  <c r="T753" i="4"/>
  <c r="T593" i="4"/>
  <c r="T353" i="4"/>
  <c r="T121" i="4"/>
  <c r="T486" i="4"/>
  <c r="T268" i="4"/>
  <c r="T48" i="4"/>
  <c r="T730" i="4"/>
  <c r="T642" i="4"/>
  <c r="T578" i="4"/>
  <c r="T514" i="4"/>
  <c r="T442" i="4"/>
  <c r="T370" i="4"/>
  <c r="T290" i="4"/>
  <c r="T218" i="4"/>
  <c r="T146" i="4"/>
  <c r="T74" i="4"/>
  <c r="T672" i="4"/>
  <c r="T696" i="4"/>
  <c r="T576" i="4"/>
  <c r="T344" i="4"/>
  <c r="T216" i="4"/>
  <c r="T128" i="4"/>
  <c r="T782" i="4"/>
  <c r="T710" i="4"/>
  <c r="T614" i="4"/>
  <c r="T494" i="4"/>
  <c r="T390" i="4"/>
  <c r="T262" i="4"/>
  <c r="T126" i="4"/>
  <c r="T665" i="4"/>
  <c r="T764" i="4"/>
  <c r="T636" i="4"/>
  <c r="T420" i="4"/>
  <c r="T348" i="4"/>
  <c r="T284" i="4"/>
  <c r="T212" i="4"/>
  <c r="T148" i="4"/>
  <c r="T84" i="4"/>
  <c r="T379" i="4"/>
  <c r="T369" i="4"/>
  <c r="T57" i="4"/>
  <c r="T326" i="4"/>
  <c r="T177" i="4"/>
  <c r="T417" i="4"/>
  <c r="T97" i="4"/>
  <c r="T584" i="4"/>
  <c r="T129" i="4"/>
  <c r="T11" i="4"/>
  <c r="T731" i="4"/>
  <c r="T651" i="4"/>
  <c r="T107" i="4"/>
  <c r="T446" i="4"/>
  <c r="T222" i="4"/>
  <c r="T38" i="4"/>
  <c r="T563" i="4"/>
  <c r="T483" i="4"/>
  <c r="T387" i="4"/>
  <c r="T211" i="4"/>
  <c r="T131" i="4"/>
  <c r="T624" i="4"/>
  <c r="T550" i="4"/>
  <c r="T264" i="4"/>
  <c r="T675" i="4"/>
  <c r="T339" i="4"/>
  <c r="T671" i="4"/>
  <c r="T631" i="4"/>
  <c r="T503" i="4"/>
  <c r="T41" i="4"/>
  <c r="T524" i="4"/>
  <c r="T163" i="4"/>
  <c r="T767" i="4"/>
  <c r="T119" i="4"/>
  <c r="T512" i="4"/>
  <c r="T438" i="4"/>
  <c r="T308" i="4"/>
  <c r="T560" i="4"/>
  <c r="T727" i="4"/>
  <c r="T259" i="4"/>
  <c r="T780" i="4"/>
  <c r="T479" i="4"/>
  <c r="T255" i="4"/>
  <c r="T580" i="4"/>
  <c r="T516" i="4"/>
  <c r="T742" i="4"/>
  <c r="T670" i="4"/>
  <c r="T607" i="4"/>
  <c r="T376" i="4"/>
  <c r="T318" i="4"/>
  <c r="T236" i="4"/>
  <c r="T545" i="4"/>
  <c r="T630" i="4"/>
  <c r="T155" i="4"/>
  <c r="T652" i="4"/>
  <c r="T407" i="4"/>
  <c r="T5" i="4"/>
  <c r="T572" i="4"/>
  <c r="T508" i="4"/>
  <c r="T507" i="4"/>
  <c r="T271" i="4"/>
  <c r="T444" i="4"/>
  <c r="T419" i="4"/>
  <c r="T288" i="4"/>
  <c r="T174" i="4"/>
  <c r="T172" i="4"/>
  <c r="T281" i="4"/>
  <c r="T310" i="4"/>
  <c r="T75" i="4"/>
  <c r="T33" i="4"/>
  <c r="T103" i="4"/>
  <c r="T756" i="4"/>
  <c r="T564" i="4"/>
  <c r="T500" i="4"/>
  <c r="T676" i="4"/>
  <c r="T559" i="4"/>
  <c r="T540" i="4"/>
  <c r="T249" i="4"/>
  <c r="T732" i="4"/>
  <c r="T168" i="4"/>
  <c r="T54" i="4"/>
  <c r="T350" i="4"/>
  <c r="T78" i="4"/>
  <c r="T42" i="4"/>
  <c r="T551" i="4"/>
  <c r="T31" i="4"/>
  <c r="T600" i="4"/>
  <c r="T492" i="4"/>
  <c r="T32" i="4"/>
  <c r="T468" i="4"/>
  <c r="T771" i="4"/>
  <c r="T639" i="4"/>
  <c r="T56" i="4"/>
  <c r="T801" i="4"/>
  <c r="T547" i="4"/>
  <c r="T635" i="4"/>
  <c r="T595" i="4"/>
  <c r="T20" i="4"/>
  <c r="T473" i="4"/>
  <c r="T23" i="4"/>
  <c r="T207" i="4"/>
  <c r="T548" i="4"/>
  <c r="T476" i="4"/>
  <c r="T460" i="4"/>
  <c r="T435" i="4"/>
  <c r="T61" i="4"/>
  <c r="T101" i="4"/>
  <c r="T117" i="4"/>
  <c r="T37" i="4"/>
  <c r="T85" i="4"/>
  <c r="T141" i="4"/>
  <c r="T69" i="4"/>
  <c r="T133" i="4"/>
  <c r="T125" i="4"/>
  <c r="T45" i="4"/>
  <c r="T149" i="4"/>
  <c r="T77" i="4"/>
  <c r="T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<sst xmlns="http://schemas.openxmlformats.org/spreadsheetml/2006/main" count="2210" uniqueCount="350">
  <si>
    <t>First_Name</t>
  </si>
  <si>
    <t>Last_Name</t>
  </si>
  <si>
    <t>Rahul</t>
  </si>
  <si>
    <t>Nair</t>
  </si>
  <si>
    <t>Arjun</t>
  </si>
  <si>
    <t>Menon</t>
  </si>
  <si>
    <t>Vivek</t>
  </si>
  <si>
    <t>Pillai</t>
  </si>
  <si>
    <t>Rohit</t>
  </si>
  <si>
    <t>Nambiar</t>
  </si>
  <si>
    <t>Aditya</t>
  </si>
  <si>
    <t>Iyer</t>
  </si>
  <si>
    <t>Karthik</t>
  </si>
  <si>
    <t>Reddy</t>
  </si>
  <si>
    <t>Siddharth</t>
  </si>
  <si>
    <t>Sharma</t>
  </si>
  <si>
    <t>Nikhil</t>
  </si>
  <si>
    <t>Gupta</t>
  </si>
  <si>
    <t>Manoj</t>
  </si>
  <si>
    <t>Agarwal</t>
  </si>
  <si>
    <t>Akash</t>
  </si>
  <si>
    <t>Singh</t>
  </si>
  <si>
    <t>Varun</t>
  </si>
  <si>
    <t>Yadav</t>
  </si>
  <si>
    <t>Ankit</t>
  </si>
  <si>
    <t>Khan</t>
  </si>
  <si>
    <t>Harish</t>
  </si>
  <si>
    <t>Shaikh</t>
  </si>
  <si>
    <t>Deepak</t>
  </si>
  <si>
    <t>Das</t>
  </si>
  <si>
    <t>Sanjay</t>
  </si>
  <si>
    <t>Chatterjee</t>
  </si>
  <si>
    <t>Neha</t>
  </si>
  <si>
    <t>Banerjee</t>
  </si>
  <si>
    <t>Anjali</t>
  </si>
  <si>
    <t>Patel</t>
  </si>
  <si>
    <t>Priya</t>
  </si>
  <si>
    <t>Joshi</t>
  </si>
  <si>
    <t>Sneha</t>
  </si>
  <si>
    <t>Kulkarni</t>
  </si>
  <si>
    <t>Ayesha</t>
  </si>
  <si>
    <t>Desai</t>
  </si>
  <si>
    <t>Meera</t>
  </si>
  <si>
    <t>Naidu</t>
  </si>
  <si>
    <t>Pooja</t>
  </si>
  <si>
    <t>Verma</t>
  </si>
  <si>
    <t>Kavya</t>
  </si>
  <si>
    <t>Malhotra</t>
  </si>
  <si>
    <t>Divya</t>
  </si>
  <si>
    <t>Kapoor</t>
  </si>
  <si>
    <t>Riya</t>
  </si>
  <si>
    <t>Bhat</t>
  </si>
  <si>
    <t>Shreya</t>
  </si>
  <si>
    <t>Shetty</t>
  </si>
  <si>
    <t>Nisha</t>
  </si>
  <si>
    <t>Fernandes</t>
  </si>
  <si>
    <t>Lakshmi</t>
  </si>
  <si>
    <t>D’Souza</t>
  </si>
  <si>
    <t>Anu</t>
  </si>
  <si>
    <t>Varghese</t>
  </si>
  <si>
    <t>Swathi</t>
  </si>
  <si>
    <t>Thomas</t>
  </si>
  <si>
    <t>Fatima</t>
  </si>
  <si>
    <t>Mathew</t>
  </si>
  <si>
    <t>Zara</t>
  </si>
  <si>
    <t>George</t>
  </si>
  <si>
    <t>Ishita</t>
  </si>
  <si>
    <t>Joseph</t>
  </si>
  <si>
    <t>Tanvi</t>
  </si>
  <si>
    <t>Lewis</t>
  </si>
  <si>
    <t>A (Branch ID)</t>
  </si>
  <si>
    <t>B (City)</t>
  </si>
  <si>
    <t>BR01</t>
  </si>
  <si>
    <t>Kochi</t>
  </si>
  <si>
    <t>BR02</t>
  </si>
  <si>
    <t>Bangalore</t>
  </si>
  <si>
    <t>BR03</t>
  </si>
  <si>
    <t>Chennai</t>
  </si>
  <si>
    <t>BR04</t>
  </si>
  <si>
    <t>Hyderabad</t>
  </si>
  <si>
    <t>BR05</t>
  </si>
  <si>
    <t>Mumbai</t>
  </si>
  <si>
    <t>BR06</t>
  </si>
  <si>
    <t>Trivandrum</t>
  </si>
  <si>
    <t>BR07</t>
  </si>
  <si>
    <t>Calicut</t>
  </si>
  <si>
    <t>Member ID</t>
  </si>
  <si>
    <t>Member Name</t>
  </si>
  <si>
    <t>City</t>
  </si>
  <si>
    <t>Branch ID</t>
  </si>
  <si>
    <t>Membership Type</t>
  </si>
  <si>
    <t>Join Date</t>
  </si>
  <si>
    <t>Expiry Date</t>
  </si>
  <si>
    <t>Monthly Fee</t>
  </si>
  <si>
    <t>Total Payments</t>
  </si>
  <si>
    <t>Attendance</t>
  </si>
  <si>
    <t>Trainer Assigned</t>
  </si>
  <si>
    <t>Workout Goal</t>
  </si>
  <si>
    <t>Status</t>
  </si>
  <si>
    <t>Last Visit Date</t>
  </si>
  <si>
    <t>City name messy</t>
  </si>
  <si>
    <t>Attendance messy</t>
  </si>
  <si>
    <t>Monthly fee messy</t>
  </si>
  <si>
    <t>Join date Messy</t>
  </si>
  <si>
    <t>Last visit date Messy</t>
  </si>
  <si>
    <t>3500</t>
  </si>
  <si>
    <t>0 visits</t>
  </si>
  <si>
    <t>TRIVANDRUM</t>
  </si>
  <si>
    <t>1000</t>
  </si>
  <si>
    <t>8 visits</t>
  </si>
  <si>
    <t>14 visits</t>
  </si>
  <si>
    <t>23 visits</t>
  </si>
  <si>
    <t>HYDERABAD</t>
  </si>
  <si>
    <t>17 visits</t>
  </si>
  <si>
    <t>trivandrum</t>
  </si>
  <si>
    <t>CHENNAI</t>
  </si>
  <si>
    <t>kochi</t>
  </si>
  <si>
    <t>mumbai</t>
  </si>
  <si>
    <t>22 visits</t>
  </si>
  <si>
    <t>bangalore</t>
  </si>
  <si>
    <t>2000</t>
  </si>
  <si>
    <t>MUMBAI</t>
  </si>
  <si>
    <t>25 visits</t>
  </si>
  <si>
    <t>KOCHI</t>
  </si>
  <si>
    <t>chennai</t>
  </si>
  <si>
    <t>21 visits</t>
  </si>
  <si>
    <t>13 visits</t>
  </si>
  <si>
    <t>19 visits</t>
  </si>
  <si>
    <t>11 visits</t>
  </si>
  <si>
    <t>hyderabad</t>
  </si>
  <si>
    <t>6 visits</t>
  </si>
  <si>
    <t>BANGALORE</t>
  </si>
  <si>
    <t>calicut</t>
  </si>
  <si>
    <t>5 visits</t>
  </si>
  <si>
    <t>4 visits</t>
  </si>
  <si>
    <t>16 visits</t>
  </si>
  <si>
    <t>12 visits</t>
  </si>
  <si>
    <t>CALICUT</t>
  </si>
  <si>
    <t>1 visits</t>
  </si>
  <si>
    <t>2 visits</t>
  </si>
  <si>
    <t>18 visits</t>
  </si>
  <si>
    <t>7 visits</t>
  </si>
  <si>
    <t>24 visits</t>
  </si>
  <si>
    <t>9 visits</t>
  </si>
  <si>
    <t>15 visits</t>
  </si>
  <si>
    <t>3 visits</t>
  </si>
  <si>
    <t>20 visits</t>
  </si>
  <si>
    <t>10 visits</t>
  </si>
  <si>
    <t>Duplicate_Flag</t>
  </si>
  <si>
    <t>Data issue flag</t>
  </si>
  <si>
    <t>Last_Visit_Status</t>
  </si>
  <si>
    <t>Active</t>
  </si>
  <si>
    <t>Cancelled</t>
  </si>
  <si>
    <t>Member Segmentation</t>
  </si>
  <si>
    <t>Duplicate flag</t>
  </si>
  <si>
    <t>Joined Month</t>
  </si>
  <si>
    <t>Effective Last Activity Date</t>
  </si>
  <si>
    <t>Months since Join</t>
  </si>
  <si>
    <t>Recency</t>
  </si>
  <si>
    <t>R Score</t>
  </si>
  <si>
    <t>F Score</t>
  </si>
  <si>
    <t>M Score</t>
  </si>
  <si>
    <t>RFM Score</t>
  </si>
  <si>
    <t>Customer Ranking</t>
  </si>
  <si>
    <t>Total Revenue</t>
  </si>
  <si>
    <t>Active Members</t>
  </si>
  <si>
    <t>Cancelled Members</t>
  </si>
  <si>
    <t>Churn Rate</t>
  </si>
  <si>
    <t>ARPU</t>
  </si>
  <si>
    <t>Avg Attendance</t>
  </si>
  <si>
    <t>Low Engagement Members</t>
  </si>
  <si>
    <t>Highly Active Members</t>
  </si>
  <si>
    <t>Engagement Rate</t>
  </si>
  <si>
    <t>Count of Member ID</t>
  </si>
  <si>
    <t>Grand Total</t>
  </si>
  <si>
    <t>2023-01</t>
  </si>
  <si>
    <t>2023-02</t>
  </si>
  <si>
    <t>2023-03</t>
  </si>
  <si>
    <t>o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</si>
  <si>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</si>
  <si>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</si>
  <si>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</si>
  <si>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</si>
  <si>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</si>
  <si>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</si>
  <si>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</si>
  <si>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</si>
  <si>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</si>
  <si>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</si>
  <si>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</si>
  <si>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</si>
  <si>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</si>
  <si>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</si>
  <si>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</si>
  <si>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</si>
  <si>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</si>
  <si>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</si>
  <si>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</si>
  <si>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</si>
  <si>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</si>
  <si>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</si>
  <si>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</si>
  <si>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</si>
  <si>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</si>
  <si>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</si>
  <si>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</si>
  <si>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</si>
  <si>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</si>
  <si>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</si>
  <si>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</si>
  <si>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</si>
  <si>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</si>
  <si>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Members</t>
  </si>
  <si>
    <t>Revenue</t>
  </si>
  <si>
    <t>555</t>
  </si>
  <si>
    <t>At Risk</t>
  </si>
  <si>
    <t>554</t>
  </si>
  <si>
    <t>Others</t>
  </si>
  <si>
    <t>553</t>
  </si>
  <si>
    <t>Loyal</t>
  </si>
  <si>
    <t>552</t>
  </si>
  <si>
    <t>Champion</t>
  </si>
  <si>
    <t>545</t>
  </si>
  <si>
    <t>544</t>
  </si>
  <si>
    <t>543</t>
  </si>
  <si>
    <t>542</t>
  </si>
  <si>
    <t>535</t>
  </si>
  <si>
    <t>534</t>
  </si>
  <si>
    <t>533</t>
  </si>
  <si>
    <t>532</t>
  </si>
  <si>
    <t>525</t>
  </si>
  <si>
    <t>524</t>
  </si>
  <si>
    <t>523</t>
  </si>
  <si>
    <t>522</t>
  </si>
  <si>
    <t>521</t>
  </si>
  <si>
    <t>515</t>
  </si>
  <si>
    <t>514</t>
  </si>
  <si>
    <t>513</t>
  </si>
  <si>
    <t>512</t>
  </si>
  <si>
    <t>511</t>
  </si>
  <si>
    <t>455</t>
  </si>
  <si>
    <t>454</t>
  </si>
  <si>
    <t>453</t>
  </si>
  <si>
    <t>452</t>
  </si>
  <si>
    <t>445</t>
  </si>
  <si>
    <t>444</t>
  </si>
  <si>
    <t>443</t>
  </si>
  <si>
    <t>442</t>
  </si>
  <si>
    <t>435</t>
  </si>
  <si>
    <t>434</t>
  </si>
  <si>
    <t>433</t>
  </si>
  <si>
    <t>432</t>
  </si>
  <si>
    <t>425</t>
  </si>
  <si>
    <t>424</t>
  </si>
  <si>
    <t>423</t>
  </si>
  <si>
    <t>422</t>
  </si>
  <si>
    <t>415</t>
  </si>
  <si>
    <t>414</t>
  </si>
  <si>
    <t>413</t>
  </si>
  <si>
    <t>412</t>
  </si>
  <si>
    <t>355</t>
  </si>
  <si>
    <t>354</t>
  </si>
  <si>
    <t>353</t>
  </si>
  <si>
    <t>352</t>
  </si>
  <si>
    <t>351</t>
  </si>
  <si>
    <t>345</t>
  </si>
  <si>
    <t>344</t>
  </si>
  <si>
    <t>343</t>
  </si>
  <si>
    <t>342</t>
  </si>
  <si>
    <t>341</t>
  </si>
  <si>
    <t>335</t>
  </si>
  <si>
    <t>334</t>
  </si>
  <si>
    <t>333</t>
  </si>
  <si>
    <t>332</t>
  </si>
  <si>
    <t>325</t>
  </si>
  <si>
    <t>324</t>
  </si>
  <si>
    <t>323</t>
  </si>
  <si>
    <t>322</t>
  </si>
  <si>
    <t>315</t>
  </si>
  <si>
    <t>314</t>
  </si>
  <si>
    <t>313</t>
  </si>
  <si>
    <t>312</t>
  </si>
  <si>
    <t>255</t>
  </si>
  <si>
    <t>254</t>
  </si>
  <si>
    <t>253</t>
  </si>
  <si>
    <t>252</t>
  </si>
  <si>
    <t>251</t>
  </si>
  <si>
    <t>245</t>
  </si>
  <si>
    <t>244</t>
  </si>
  <si>
    <t>243</t>
  </si>
  <si>
    <t>242</t>
  </si>
  <si>
    <t>235</t>
  </si>
  <si>
    <t>234</t>
  </si>
  <si>
    <t>233</t>
  </si>
  <si>
    <t>232</t>
  </si>
  <si>
    <t>231</t>
  </si>
  <si>
    <t>225</t>
  </si>
  <si>
    <t>224</t>
  </si>
  <si>
    <t>223</t>
  </si>
  <si>
    <t>222</t>
  </si>
  <si>
    <t>221</t>
  </si>
  <si>
    <t>215</t>
  </si>
  <si>
    <t>214</t>
  </si>
  <si>
    <t>213</t>
  </si>
  <si>
    <t>212</t>
  </si>
  <si>
    <t>155</t>
  </si>
  <si>
    <t>154</t>
  </si>
  <si>
    <t>153</t>
  </si>
  <si>
    <t>152</t>
  </si>
  <si>
    <t>151</t>
  </si>
  <si>
    <t>145</t>
  </si>
  <si>
    <t>144</t>
  </si>
  <si>
    <t>143</t>
  </si>
  <si>
    <t>142</t>
  </si>
  <si>
    <t>141</t>
  </si>
  <si>
    <t>135</t>
  </si>
  <si>
    <t>134</t>
  </si>
  <si>
    <t>133</t>
  </si>
  <si>
    <t>132</t>
  </si>
  <si>
    <t>131</t>
  </si>
  <si>
    <t>125</t>
  </si>
  <si>
    <t>124</t>
  </si>
  <si>
    <t>123</t>
  </si>
  <si>
    <t>122</t>
  </si>
  <si>
    <t>115</t>
  </si>
  <si>
    <t>114</t>
  </si>
  <si>
    <t>113</t>
  </si>
  <si>
    <t>112</t>
  </si>
  <si>
    <t>111</t>
  </si>
  <si>
    <t>Revenue Per Member</t>
  </si>
  <si>
    <t>Standard</t>
  </si>
  <si>
    <t>Premium</t>
  </si>
  <si>
    <t>Basic</t>
  </si>
  <si>
    <t>one bar missing</t>
  </si>
  <si>
    <t>Average of Attendance</t>
  </si>
  <si>
    <t>Branch Performance</t>
  </si>
  <si>
    <t>Actual Revenue</t>
  </si>
  <si>
    <t>Month index</t>
  </si>
  <si>
    <t>Moving average</t>
  </si>
  <si>
    <t>Forecast Revenue</t>
  </si>
  <si>
    <t>2023-04</t>
  </si>
  <si>
    <t>2026-02</t>
  </si>
  <si>
    <t>2026-03</t>
  </si>
  <si>
    <t>2026-04</t>
  </si>
  <si>
    <t>2026-05</t>
  </si>
  <si>
    <t>2026-06</t>
  </si>
  <si>
    <t>2026-07</t>
  </si>
  <si>
    <t>Insights (Automated reporting)</t>
  </si>
  <si>
    <t>Scenario Analysis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</si>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</sst>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_ [$₹-4009]\ * #,##0_ ;_ [$₹-4009]\ * \-#,##0_ ;_ [$₹-4009]\ * &quot;-&quot;_ ;_ @_ "/>
    <numFmt numFmtId="166" formatCode="[$₹-4009]\ #,##0.00"/>
    <numFmt numFmtId="167" formatCode="[$₹-4009]\ #,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42424"/>
      <name val="Aptos Narrow"/>
      <charset val="1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 applyBorder="1"/>
    <xf numFmtId="0" fontId="1" fillId="3" borderId="1" xfId="0" applyFont="1" applyFill="1" applyBorder="1"/>
    <xf numFmtId="0" fontId="0" fillId="3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14" fontId="0" fillId="2" borderId="3" xfId="0" applyNumberFormat="1" applyFont="1" applyFill="1" applyBorder="1"/>
    <xf numFmtId="14" fontId="0" fillId="2" borderId="4" xfId="0" applyNumberFormat="1" applyFont="1" applyFill="1" applyBorder="1"/>
    <xf numFmtId="0" fontId="0" fillId="0" borderId="2" xfId="0" applyFont="1" applyBorder="1"/>
    <xf numFmtId="0" fontId="0" fillId="0" borderId="3" xfId="0" applyFont="1" applyBorder="1"/>
    <xf numFmtId="14" fontId="0" fillId="0" borderId="3" xfId="0" applyNumberFormat="1" applyFont="1" applyBorder="1"/>
    <xf numFmtId="14" fontId="0" fillId="0" borderId="4" xfId="0" applyNumberFormat="1" applyFont="1" applyBorder="1"/>
    <xf numFmtId="0" fontId="0" fillId="2" borderId="3" xfId="0" applyFont="1" applyFill="1" applyBorder="1" applyAlignment="1">
      <alignment vertical="center" wrapText="1"/>
    </xf>
    <xf numFmtId="14" fontId="0" fillId="2" borderId="3" xfId="0" applyNumberFormat="1" applyFont="1" applyFill="1" applyBorder="1" applyAlignment="1">
      <alignment vertical="center" wrapText="1"/>
    </xf>
    <xf numFmtId="14" fontId="0" fillId="2" borderId="4" xfId="0" applyNumberFormat="1" applyFont="1" applyFill="1" applyBorder="1" applyAlignment="1">
      <alignment vertical="center" wrapText="1"/>
    </xf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0" fontId="0" fillId="0" borderId="0" xfId="0" pivotButton="1"/>
    <xf numFmtId="1" fontId="0" fillId="0" borderId="0" xfId="0" applyNumberFormat="1"/>
    <xf numFmtId="165" fontId="4" fillId="5" borderId="8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0" fontId="4" fillId="5" borderId="8" xfId="0" applyNumberFormat="1" applyFont="1" applyFill="1" applyBorder="1" applyAlignment="1">
      <alignment horizontal="center" vertical="center"/>
    </xf>
    <xf numFmtId="166" fontId="4" fillId="5" borderId="6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0" xfId="0" applyNumberFormat="1" applyFont="1" applyFill="1"/>
    <xf numFmtId="2" fontId="7" fillId="3" borderId="0" xfId="0" applyNumberFormat="1" applyFont="1" applyFill="1"/>
    <xf numFmtId="0" fontId="8" fillId="0" borderId="0" xfId="0" applyFont="1"/>
    <xf numFmtId="0" fontId="9" fillId="0" borderId="0" xfId="0" applyFont="1"/>
    <xf numFmtId="0" fontId="8" fillId="0" borderId="5" xfId="0" applyFont="1" applyBorder="1"/>
    <xf numFmtId="0" fontId="9" fillId="0" borderId="9" xfId="0" applyFont="1" applyBorder="1" applyAlignment="1">
      <alignment wrapText="1"/>
    </xf>
    <xf numFmtId="0" fontId="9" fillId="0" borderId="9" xfId="0" applyFont="1" applyBorder="1"/>
    <xf numFmtId="0" fontId="9" fillId="0" borderId="6" xfId="0" applyFont="1" applyBorder="1"/>
    <xf numFmtId="0" fontId="9" fillId="6" borderId="0" xfId="0" applyFont="1" applyFill="1"/>
    <xf numFmtId="167" fontId="9" fillId="0" borderId="0" xfId="0" applyNumberFormat="1" applyFont="1"/>
    <xf numFmtId="9" fontId="9" fillId="0" borderId="0" xfId="0" applyNumberFormat="1" applyFont="1"/>
  </cellXfs>
  <cellStyles count="1">
    <cellStyle name="Normal" xfId="0" builtinId="0"/>
  </cellStyles>
  <dxfs count="51">
    <dxf>
      <numFmt numFmtId="1" formatCode="0"/>
    </dxf>
    <dxf>
      <numFmt numFmtId="1" formatCode="0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dd/mm/yyyy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Fitness.xlsx]RFM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'RFM Analysis'!$H$1</c:f>
              <c:strCache>
                <c:ptCount val="1"/>
                <c:pt idx="0">
                  <c:v>Members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B7-4B9B-8D5D-CCAF602CE4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B7-4B9B-8D5D-CCAF602CE4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B7-4B9B-8D5D-CCAF602CE4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B7-4B9B-8D5D-CCAF602CE4FD}"/>
              </c:ext>
            </c:extLst>
          </c:dPt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Analysis'!$H$2:$H$6</c:f>
              <c:numCache>
                <c:formatCode>General</c:formatCode>
                <c:ptCount val="4"/>
                <c:pt idx="0">
                  <c:v>500</c:v>
                </c:pt>
                <c:pt idx="1">
                  <c:v>145</c:v>
                </c:pt>
                <c:pt idx="2">
                  <c:v>122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0-4A18-BBB0-163C08780161}"/>
            </c:ext>
          </c:extLst>
        </c:ser>
        <c:ser>
          <c:idx val="1"/>
          <c:order val="1"/>
          <c:tx>
            <c:strRef>
              <c:f>'RFM Analysis'!$I$1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B7-4B9B-8D5D-CCAF602CE4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B7-4B9B-8D5D-CCAF602CE4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B7-4B9B-8D5D-CCAF602CE4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B7-4B9B-8D5D-CCAF602CE4FD}"/>
              </c:ext>
            </c:extLst>
          </c:dPt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Analysis'!$I$2:$I$6</c:f>
              <c:numCache>
                <c:formatCode>General</c:formatCode>
                <c:ptCount val="4"/>
                <c:pt idx="0">
                  <c:v>7247500</c:v>
                </c:pt>
                <c:pt idx="1">
                  <c:v>1663500</c:v>
                </c:pt>
                <c:pt idx="2">
                  <c:v>1909500</c:v>
                </c:pt>
                <c:pt idx="3">
                  <c:v>1212500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B0-4A18-BBB0-163C08780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Fitness.xlsx]RFM 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'RFM Analysis'!$H$1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Analysis'!$H$2:$H$6</c:f>
              <c:numCache>
                <c:formatCode>General</c:formatCode>
                <c:ptCount val="4"/>
                <c:pt idx="0">
                  <c:v>500</c:v>
                </c:pt>
                <c:pt idx="1">
                  <c:v>145</c:v>
                </c:pt>
                <c:pt idx="2">
                  <c:v>122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E-4123-A3E4-84EF1552D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9708039"/>
        <c:axId val="1089710087"/>
      </c:barChart>
      <c:lineChart>
        <c:grouping val="standard"/>
        <c:varyColors val="0"/>
        <c:ser>
          <c:idx val="1"/>
          <c:order val="1"/>
          <c:tx>
            <c:strRef>
              <c:f>'RFM Analysis'!$I$1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Analysis'!$I$2:$I$6</c:f>
              <c:numCache>
                <c:formatCode>General</c:formatCode>
                <c:ptCount val="4"/>
                <c:pt idx="0">
                  <c:v>7247500</c:v>
                </c:pt>
                <c:pt idx="1">
                  <c:v>1663500</c:v>
                </c:pt>
                <c:pt idx="2">
                  <c:v>1909500</c:v>
                </c:pt>
                <c:pt idx="3">
                  <c:v>1212500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E-4123-A3E4-84EF1552D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933447"/>
        <c:axId val="1207926279"/>
      </c:lineChart>
      <c:catAx>
        <c:axId val="1089708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10087"/>
        <c:crosses val="autoZero"/>
        <c:auto val="1"/>
        <c:lblAlgn val="ctr"/>
        <c:lblOffset val="100"/>
        <c:noMultiLvlLbl val="0"/>
      </c:catAx>
      <c:valAx>
        <c:axId val="1089710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08039"/>
        <c:crosses val="autoZero"/>
        <c:crossBetween val="between"/>
      </c:valAx>
      <c:valAx>
        <c:axId val="12079262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33447"/>
        <c:crosses val="max"/>
        <c:crossBetween val="between"/>
      </c:valAx>
      <c:catAx>
        <c:axId val="1207933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926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Fitness.xlsx]Top-Bottom Product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Membership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'Top-Bottom Product Analysis'!$B$1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'Top-Bottom Product Analysis'!$A$2:$A$5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Basic</c:v>
                </c:pt>
              </c:strCache>
            </c:strRef>
          </c:cat>
          <c:val>
            <c:numRef>
              <c:f>'Top-Bottom Product Analysis'!$B$2:$B$5</c:f>
              <c:numCache>
                <c:formatCode>General</c:formatCode>
                <c:ptCount val="3"/>
                <c:pt idx="0">
                  <c:v>284</c:v>
                </c:pt>
                <c:pt idx="1">
                  <c:v>279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B-4EBF-B785-0888C3F1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688391"/>
        <c:axId val="1228410887"/>
      </c:barChart>
      <c:lineChart>
        <c:grouping val="standard"/>
        <c:varyColors val="0"/>
        <c:ser>
          <c:idx val="1"/>
          <c:order val="1"/>
          <c:tx>
            <c:strRef>
              <c:f>'Top-Bottom Product Analysis'!$C$1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'Top-Bottom Product Analysis'!$A$2:$A$5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Basic</c:v>
                </c:pt>
              </c:strCache>
            </c:strRef>
          </c:cat>
          <c:val>
            <c:numRef>
              <c:f>'Top-Bottom Product Analysis'!$C$2:$C$5</c:f>
              <c:numCache>
                <c:formatCode>General</c:formatCode>
                <c:ptCount val="3"/>
                <c:pt idx="0">
                  <c:v>4408000</c:v>
                </c:pt>
                <c:pt idx="1">
                  <c:v>3820000</c:v>
                </c:pt>
                <c:pt idx="2">
                  <c:v>3805000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EB-4EBF-B785-0888C3F1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754119"/>
        <c:axId val="665384456"/>
      </c:lineChart>
      <c:catAx>
        <c:axId val="121268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10887"/>
        <c:crosses val="autoZero"/>
        <c:auto val="1"/>
        <c:lblAlgn val="ctr"/>
        <c:lblOffset val="100"/>
        <c:noMultiLvlLbl val="0"/>
      </c:catAx>
      <c:valAx>
        <c:axId val="122841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8391"/>
        <c:crosses val="autoZero"/>
        <c:crossBetween val="between"/>
      </c:valAx>
      <c:valAx>
        <c:axId val="665384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54119"/>
        <c:crosses val="max"/>
        <c:crossBetween val="between"/>
      </c:valAx>
      <c:catAx>
        <c:axId val="1217754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5384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Fitness.xlsx]Region-wise performance!PivotTable8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performance'!$B$1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'Region-wise performance'!$A$2:$A$9</c:f>
              <c:strCache>
                <c:ptCount val="7"/>
                <c:pt idx="0">
                  <c:v>BR04</c:v>
                </c:pt>
                <c:pt idx="1">
                  <c:v>BR05</c:v>
                </c:pt>
                <c:pt idx="2">
                  <c:v>BR06</c:v>
                </c:pt>
                <c:pt idx="3">
                  <c:v>BR01</c:v>
                </c:pt>
                <c:pt idx="4">
                  <c:v>BR07</c:v>
                </c:pt>
                <c:pt idx="5">
                  <c:v>BR02</c:v>
                </c:pt>
                <c:pt idx="6">
                  <c:v>BR03</c:v>
                </c:pt>
              </c:strCache>
            </c:strRef>
          </c:cat>
          <c:val>
            <c:numRef>
              <c:f>'Region-wise performance'!$B$2:$B$9</c:f>
              <c:numCache>
                <c:formatCode>General</c:formatCode>
                <c:ptCount val="7"/>
                <c:pt idx="0">
                  <c:v>2159500</c:v>
                </c:pt>
                <c:pt idx="1">
                  <c:v>1942000</c:v>
                </c:pt>
                <c:pt idx="2">
                  <c:v>1898000</c:v>
                </c:pt>
                <c:pt idx="3">
                  <c:v>1712500</c:v>
                </c:pt>
                <c:pt idx="4">
                  <c:v>1535000</c:v>
                </c:pt>
                <c:pt idx="5">
                  <c:v>1484500</c:v>
                </c:pt>
                <c:pt idx="6">
                  <c:v>1301500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A-48FC-BCB9-180761EAB3AD}"/>
            </c:ext>
          </c:extLst>
        </c:ser>
        <c:ser>
          <c:idx val="1"/>
          <c:order val="1"/>
          <c:tx>
            <c:strRef>
              <c:f>'Region-wise performance'!$C$1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'Region-wise performance'!$A$2:$A$9</c:f>
              <c:strCache>
                <c:ptCount val="7"/>
                <c:pt idx="0">
                  <c:v>BR04</c:v>
                </c:pt>
                <c:pt idx="1">
                  <c:v>BR05</c:v>
                </c:pt>
                <c:pt idx="2">
                  <c:v>BR06</c:v>
                </c:pt>
                <c:pt idx="3">
                  <c:v>BR01</c:v>
                </c:pt>
                <c:pt idx="4">
                  <c:v>BR07</c:v>
                </c:pt>
                <c:pt idx="5">
                  <c:v>BR02</c:v>
                </c:pt>
                <c:pt idx="6">
                  <c:v>BR03</c:v>
                </c:pt>
              </c:strCache>
            </c:strRef>
          </c:cat>
          <c:val>
            <c:numRef>
              <c:f>'Region-wise performance'!$C$2:$C$9</c:f>
              <c:numCache>
                <c:formatCode>General</c:formatCode>
                <c:ptCount val="7"/>
                <c:pt idx="0">
                  <c:v>137</c:v>
                </c:pt>
                <c:pt idx="1">
                  <c:v>131</c:v>
                </c:pt>
                <c:pt idx="2">
                  <c:v>123</c:v>
                </c:pt>
                <c:pt idx="3">
                  <c:v>116</c:v>
                </c:pt>
                <c:pt idx="4">
                  <c:v>103</c:v>
                </c:pt>
                <c:pt idx="5">
                  <c:v>109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BA-48FC-BCB9-180761EAB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386504"/>
        <c:axId val="1152332807"/>
      </c:barChart>
      <c:lineChart>
        <c:grouping val="standard"/>
        <c:varyColors val="0"/>
        <c:ser>
          <c:idx val="2"/>
          <c:order val="2"/>
          <c:tx>
            <c:strRef>
              <c:f>'Region-wise performance'!$D$1</c:f>
              <c:strCache>
                <c:ptCount val="1"/>
                <c:pt idx="0">
                  <c:v>Average of Attendance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'Region-wise performance'!$A$2:$A$9</c:f>
              <c:strCache>
                <c:ptCount val="7"/>
                <c:pt idx="0">
                  <c:v>BR04</c:v>
                </c:pt>
                <c:pt idx="1">
                  <c:v>BR05</c:v>
                </c:pt>
                <c:pt idx="2">
                  <c:v>BR06</c:v>
                </c:pt>
                <c:pt idx="3">
                  <c:v>BR01</c:v>
                </c:pt>
                <c:pt idx="4">
                  <c:v>BR07</c:v>
                </c:pt>
                <c:pt idx="5">
                  <c:v>BR02</c:v>
                </c:pt>
                <c:pt idx="6">
                  <c:v>BR03</c:v>
                </c:pt>
              </c:strCache>
            </c:strRef>
          </c:cat>
          <c:val>
            <c:numRef>
              <c:f>'Region-wise performance'!$D$2:$D$9</c:f>
              <c:numCache>
                <c:formatCode>0.00</c:formatCode>
                <c:ptCount val="7"/>
                <c:pt idx="0">
                  <c:v>13.335820895522389</c:v>
                </c:pt>
                <c:pt idx="1">
                  <c:v>11.9140625</c:v>
                </c:pt>
                <c:pt idx="2">
                  <c:v>12.508196721311476</c:v>
                </c:pt>
                <c:pt idx="3">
                  <c:v>12.236842105263158</c:v>
                </c:pt>
                <c:pt idx="4">
                  <c:v>12.284313725490197</c:v>
                </c:pt>
                <c:pt idx="5">
                  <c:v>12.326923076923077</c:v>
                </c:pt>
                <c:pt idx="6">
                  <c:v>13.46875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BA-48FC-BCB9-180761EAB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271175"/>
        <c:axId val="1235268103"/>
      </c:lineChart>
      <c:catAx>
        <c:axId val="66538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32807"/>
        <c:crosses val="autoZero"/>
        <c:auto val="1"/>
        <c:lblAlgn val="ctr"/>
        <c:lblOffset val="100"/>
        <c:noMultiLvlLbl val="0"/>
      </c:catAx>
      <c:valAx>
        <c:axId val="115233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86504"/>
        <c:crosses val="autoZero"/>
        <c:crossBetween val="between"/>
      </c:valAx>
      <c:valAx>
        <c:axId val="123526810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271175"/>
        <c:crosses val="max"/>
        <c:crossBetween val="between"/>
      </c:valAx>
      <c:catAx>
        <c:axId val="1235271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5268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 (Next 6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'Forecasting Model'!$B$1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'Forecasting Model'!$A$2:$A$44</c:f>
              <c:strCache>
                <c:ptCount val="4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</c:strCache>
            </c:strRef>
          </c:cat>
          <c:val>
            <c:numRef>
              <c:f>'Forecasting Model'!$B$2:$B$44</c:f>
              <c:numCache>
                <c:formatCode>General</c:formatCode>
                <c:ptCount val="43"/>
                <c:pt idx="0">
                  <c:v>247000</c:v>
                </c:pt>
                <c:pt idx="1">
                  <c:v>343000</c:v>
                </c:pt>
                <c:pt idx="2">
                  <c:v>325000</c:v>
                </c:pt>
                <c:pt idx="3">
                  <c:v>213500</c:v>
                </c:pt>
                <c:pt idx="4">
                  <c:v>271500</c:v>
                </c:pt>
                <c:pt idx="5">
                  <c:v>251500</c:v>
                </c:pt>
                <c:pt idx="6">
                  <c:v>253000</c:v>
                </c:pt>
                <c:pt idx="7">
                  <c:v>404500</c:v>
                </c:pt>
                <c:pt idx="8">
                  <c:v>371000</c:v>
                </c:pt>
                <c:pt idx="9">
                  <c:v>290500</c:v>
                </c:pt>
                <c:pt idx="10">
                  <c:v>389500</c:v>
                </c:pt>
                <c:pt idx="11">
                  <c:v>354000</c:v>
                </c:pt>
                <c:pt idx="12">
                  <c:v>232500</c:v>
                </c:pt>
                <c:pt idx="13">
                  <c:v>370000</c:v>
                </c:pt>
                <c:pt idx="14">
                  <c:v>464000</c:v>
                </c:pt>
                <c:pt idx="15">
                  <c:v>245500</c:v>
                </c:pt>
                <c:pt idx="16">
                  <c:v>573500</c:v>
                </c:pt>
                <c:pt idx="17">
                  <c:v>355500</c:v>
                </c:pt>
                <c:pt idx="18">
                  <c:v>498500</c:v>
                </c:pt>
                <c:pt idx="19">
                  <c:v>348500</c:v>
                </c:pt>
                <c:pt idx="20">
                  <c:v>266500</c:v>
                </c:pt>
                <c:pt idx="21">
                  <c:v>289000</c:v>
                </c:pt>
                <c:pt idx="22">
                  <c:v>376500</c:v>
                </c:pt>
                <c:pt idx="23">
                  <c:v>332500</c:v>
                </c:pt>
                <c:pt idx="24">
                  <c:v>286500</c:v>
                </c:pt>
                <c:pt idx="25">
                  <c:v>281000</c:v>
                </c:pt>
                <c:pt idx="26">
                  <c:v>257000</c:v>
                </c:pt>
                <c:pt idx="27">
                  <c:v>350500</c:v>
                </c:pt>
                <c:pt idx="28">
                  <c:v>282000</c:v>
                </c:pt>
                <c:pt idx="29">
                  <c:v>252500</c:v>
                </c:pt>
                <c:pt idx="30">
                  <c:v>272500</c:v>
                </c:pt>
                <c:pt idx="31">
                  <c:v>199500</c:v>
                </c:pt>
                <c:pt idx="32">
                  <c:v>209000</c:v>
                </c:pt>
                <c:pt idx="33">
                  <c:v>329000</c:v>
                </c:pt>
                <c:pt idx="34">
                  <c:v>476500</c:v>
                </c:pt>
                <c:pt idx="35">
                  <c:v>340500</c:v>
                </c:pt>
                <c:pt idx="36">
                  <c:v>430000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E-4E75-8CC7-CE14381DF4EF}"/>
            </c:ext>
          </c:extLst>
        </c:ser>
        <c:ser>
          <c:idx val="1"/>
          <c:order val="1"/>
          <c:tx>
            <c:strRef>
              <c:f>'Forecasting Model'!$E$1</c:f>
              <c:strCache>
                <c:ptCount val="1"/>
                <c:pt idx="0">
                  <c:v>Forecast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'Forecasting Model'!$A$2:$A$44</c:f>
              <c:strCache>
                <c:ptCount val="4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</c:strCache>
            </c:strRef>
          </c:cat>
          <c:val>
            <c:numRef>
              <c:f>'Forecasting Model'!$E$2:$E$44</c:f>
              <c:numCache>
                <c:formatCode>0</c:formatCode>
                <c:ptCount val="43"/>
                <c:pt idx="0">
                  <c:v>247000</c:v>
                </c:pt>
                <c:pt idx="1">
                  <c:v>343000</c:v>
                </c:pt>
                <c:pt idx="2">
                  <c:v>325000</c:v>
                </c:pt>
                <c:pt idx="3">
                  <c:v>213500</c:v>
                </c:pt>
                <c:pt idx="4">
                  <c:v>271500</c:v>
                </c:pt>
                <c:pt idx="5">
                  <c:v>251500</c:v>
                </c:pt>
                <c:pt idx="6">
                  <c:v>253000</c:v>
                </c:pt>
                <c:pt idx="7">
                  <c:v>404500</c:v>
                </c:pt>
                <c:pt idx="8">
                  <c:v>371000</c:v>
                </c:pt>
                <c:pt idx="9">
                  <c:v>290500</c:v>
                </c:pt>
                <c:pt idx="10">
                  <c:v>389500</c:v>
                </c:pt>
                <c:pt idx="11">
                  <c:v>354000</c:v>
                </c:pt>
                <c:pt idx="12">
                  <c:v>232500</c:v>
                </c:pt>
                <c:pt idx="13">
                  <c:v>370000</c:v>
                </c:pt>
                <c:pt idx="14">
                  <c:v>464000</c:v>
                </c:pt>
                <c:pt idx="15">
                  <c:v>245500</c:v>
                </c:pt>
                <c:pt idx="16">
                  <c:v>573500</c:v>
                </c:pt>
                <c:pt idx="17">
                  <c:v>355500</c:v>
                </c:pt>
                <c:pt idx="18">
                  <c:v>498500</c:v>
                </c:pt>
                <c:pt idx="19">
                  <c:v>348500</c:v>
                </c:pt>
                <c:pt idx="20">
                  <c:v>266500</c:v>
                </c:pt>
                <c:pt idx="21">
                  <c:v>289000</c:v>
                </c:pt>
                <c:pt idx="22">
                  <c:v>376500</c:v>
                </c:pt>
                <c:pt idx="23">
                  <c:v>332500</c:v>
                </c:pt>
                <c:pt idx="24">
                  <c:v>286500</c:v>
                </c:pt>
                <c:pt idx="25">
                  <c:v>281000</c:v>
                </c:pt>
                <c:pt idx="26">
                  <c:v>257000</c:v>
                </c:pt>
                <c:pt idx="27">
                  <c:v>350500</c:v>
                </c:pt>
                <c:pt idx="28">
                  <c:v>282000</c:v>
                </c:pt>
                <c:pt idx="29">
                  <c:v>252500</c:v>
                </c:pt>
                <c:pt idx="30">
                  <c:v>272500</c:v>
                </c:pt>
                <c:pt idx="31">
                  <c:v>199500</c:v>
                </c:pt>
                <c:pt idx="32">
                  <c:v>209000</c:v>
                </c:pt>
                <c:pt idx="33">
                  <c:v>329000</c:v>
                </c:pt>
                <c:pt idx="34">
                  <c:v>476500</c:v>
                </c:pt>
                <c:pt idx="35">
                  <c:v>340500</c:v>
                </c:pt>
                <c:pt idx="36">
                  <c:v>430000</c:v>
                </c:pt>
                <c:pt idx="37">
                  <c:v>321580.26598026598</c:v>
                </c:pt>
                <c:pt idx="38">
                  <c:v>321543.0716430716</c:v>
                </c:pt>
                <c:pt idx="39">
                  <c:v>321505.87730587728</c:v>
                </c:pt>
                <c:pt idx="40">
                  <c:v>321468.68296868296</c:v>
                </c:pt>
                <c:pt idx="41">
                  <c:v>321431.48863148864</c:v>
                </c:pt>
                <c:pt idx="42">
                  <c:v>321394.29429429426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E-4E75-8CC7-CE14381DF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692487"/>
        <c:axId val="2064084999"/>
      </c:lineChart>
      <c:catAx>
        <c:axId val="168469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4999"/>
        <c:crosses val="autoZero"/>
        <c:auto val="1"/>
        <c:lblAlgn val="ctr"/>
        <c:lblOffset val="100"/>
        <c:noMultiLvlLbl val="0"/>
      </c:catAx>
      <c:valAx>
        <c:axId val="206408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9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 (Next 6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'Forecasting Model'!$B$1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'Forecasting Model'!$A$2:$A$44</c:f>
              <c:strCache>
                <c:ptCount val="4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</c:strCache>
            </c:strRef>
          </c:cat>
          <c:val>
            <c:numRef>
              <c:f>'Forecasting Model'!$B$2:$B$44</c:f>
              <c:numCache>
                <c:formatCode>General</c:formatCode>
                <c:ptCount val="43"/>
                <c:pt idx="0">
                  <c:v>247000</c:v>
                </c:pt>
                <c:pt idx="1">
                  <c:v>343000</c:v>
                </c:pt>
                <c:pt idx="2">
                  <c:v>325000</c:v>
                </c:pt>
                <c:pt idx="3">
                  <c:v>213500</c:v>
                </c:pt>
                <c:pt idx="4">
                  <c:v>271500</c:v>
                </c:pt>
                <c:pt idx="5">
                  <c:v>251500</c:v>
                </c:pt>
                <c:pt idx="6">
                  <c:v>253000</c:v>
                </c:pt>
                <c:pt idx="7">
                  <c:v>404500</c:v>
                </c:pt>
                <c:pt idx="8">
                  <c:v>371000</c:v>
                </c:pt>
                <c:pt idx="9">
                  <c:v>290500</c:v>
                </c:pt>
                <c:pt idx="10">
                  <c:v>389500</c:v>
                </c:pt>
                <c:pt idx="11">
                  <c:v>354000</c:v>
                </c:pt>
                <c:pt idx="12">
                  <c:v>232500</c:v>
                </c:pt>
                <c:pt idx="13">
                  <c:v>370000</c:v>
                </c:pt>
                <c:pt idx="14">
                  <c:v>464000</c:v>
                </c:pt>
                <c:pt idx="15">
                  <c:v>245500</c:v>
                </c:pt>
                <c:pt idx="16">
                  <c:v>573500</c:v>
                </c:pt>
                <c:pt idx="17">
                  <c:v>355500</c:v>
                </c:pt>
                <c:pt idx="18">
                  <c:v>498500</c:v>
                </c:pt>
                <c:pt idx="19">
                  <c:v>348500</c:v>
                </c:pt>
                <c:pt idx="20">
                  <c:v>266500</c:v>
                </c:pt>
                <c:pt idx="21">
                  <c:v>289000</c:v>
                </c:pt>
                <c:pt idx="22">
                  <c:v>376500</c:v>
                </c:pt>
                <c:pt idx="23">
                  <c:v>332500</c:v>
                </c:pt>
                <c:pt idx="24">
                  <c:v>286500</c:v>
                </c:pt>
                <c:pt idx="25">
                  <c:v>281000</c:v>
                </c:pt>
                <c:pt idx="26">
                  <c:v>257000</c:v>
                </c:pt>
                <c:pt idx="27">
                  <c:v>350500</c:v>
                </c:pt>
                <c:pt idx="28">
                  <c:v>282000</c:v>
                </c:pt>
                <c:pt idx="29">
                  <c:v>252500</c:v>
                </c:pt>
                <c:pt idx="30">
                  <c:v>272500</c:v>
                </c:pt>
                <c:pt idx="31">
                  <c:v>199500</c:v>
                </c:pt>
                <c:pt idx="32">
                  <c:v>209000</c:v>
                </c:pt>
                <c:pt idx="33">
                  <c:v>329000</c:v>
                </c:pt>
                <c:pt idx="34">
                  <c:v>476500</c:v>
                </c:pt>
                <c:pt idx="35">
                  <c:v>340500</c:v>
                </c:pt>
                <c:pt idx="36">
                  <c:v>430000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DD-4296-B78B-E0A9FB03B7CA}"/>
            </c:ext>
          </c:extLst>
        </c:ser>
        <c:ser>
          <c:idx val="1"/>
          <c:order val="1"/>
          <c:tx>
            <c:strRef>
              <c:f>'Forecasting Model'!$E$1</c:f>
              <c:strCache>
                <c:ptCount val="1"/>
                <c:pt idx="0">
                  <c:v>Forecast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'Forecasting Model'!$A$2:$A$44</c:f>
              <c:strCache>
                <c:ptCount val="4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</c:strCache>
            </c:strRef>
          </c:cat>
          <c:val>
            <c:numRef>
              <c:f>'Forecasting Model'!$E$2:$E$44</c:f>
              <c:numCache>
                <c:formatCode>0</c:formatCode>
                <c:ptCount val="43"/>
                <c:pt idx="0">
                  <c:v>247000</c:v>
                </c:pt>
                <c:pt idx="1">
                  <c:v>343000</c:v>
                </c:pt>
                <c:pt idx="2">
                  <c:v>325000</c:v>
                </c:pt>
                <c:pt idx="3">
                  <c:v>213500</c:v>
                </c:pt>
                <c:pt idx="4">
                  <c:v>271500</c:v>
                </c:pt>
                <c:pt idx="5">
                  <c:v>251500</c:v>
                </c:pt>
                <c:pt idx="6">
                  <c:v>253000</c:v>
                </c:pt>
                <c:pt idx="7">
                  <c:v>404500</c:v>
                </c:pt>
                <c:pt idx="8">
                  <c:v>371000</c:v>
                </c:pt>
                <c:pt idx="9">
                  <c:v>290500</c:v>
                </c:pt>
                <c:pt idx="10">
                  <c:v>389500</c:v>
                </c:pt>
                <c:pt idx="11">
                  <c:v>354000</c:v>
                </c:pt>
                <c:pt idx="12">
                  <c:v>232500</c:v>
                </c:pt>
                <c:pt idx="13">
                  <c:v>370000</c:v>
                </c:pt>
                <c:pt idx="14">
                  <c:v>464000</c:v>
                </c:pt>
                <c:pt idx="15">
                  <c:v>245500</c:v>
                </c:pt>
                <c:pt idx="16">
                  <c:v>573500</c:v>
                </c:pt>
                <c:pt idx="17">
                  <c:v>355500</c:v>
                </c:pt>
                <c:pt idx="18">
                  <c:v>498500</c:v>
                </c:pt>
                <c:pt idx="19">
                  <c:v>348500</c:v>
                </c:pt>
                <c:pt idx="20">
                  <c:v>266500</c:v>
                </c:pt>
                <c:pt idx="21">
                  <c:v>289000</c:v>
                </c:pt>
                <c:pt idx="22">
                  <c:v>376500</c:v>
                </c:pt>
                <c:pt idx="23">
                  <c:v>332500</c:v>
                </c:pt>
                <c:pt idx="24">
                  <c:v>286500</c:v>
                </c:pt>
                <c:pt idx="25">
                  <c:v>281000</c:v>
                </c:pt>
                <c:pt idx="26">
                  <c:v>257000</c:v>
                </c:pt>
                <c:pt idx="27">
                  <c:v>350500</c:v>
                </c:pt>
                <c:pt idx="28">
                  <c:v>282000</c:v>
                </c:pt>
                <c:pt idx="29">
                  <c:v>252500</c:v>
                </c:pt>
                <c:pt idx="30">
                  <c:v>272500</c:v>
                </c:pt>
                <c:pt idx="31">
                  <c:v>199500</c:v>
                </c:pt>
                <c:pt idx="32">
                  <c:v>209000</c:v>
                </c:pt>
                <c:pt idx="33">
                  <c:v>329000</c:v>
                </c:pt>
                <c:pt idx="34">
                  <c:v>476500</c:v>
                </c:pt>
                <c:pt idx="35">
                  <c:v>340500</c:v>
                </c:pt>
                <c:pt idx="36">
                  <c:v>430000</c:v>
                </c:pt>
                <c:pt idx="37">
                  <c:v>321580.26598026598</c:v>
                </c:pt>
                <c:pt idx="38">
                  <c:v>321543.0716430716</c:v>
                </c:pt>
                <c:pt idx="39">
                  <c:v>321505.87730587728</c:v>
                </c:pt>
                <c:pt idx="40">
                  <c:v>321468.68296868296</c:v>
                </c:pt>
                <c:pt idx="41">
                  <c:v>321431.48863148864</c:v>
                </c:pt>
                <c:pt idx="42">
                  <c:v>321394.29429429426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D-4296-B78B-E0A9FB03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692487"/>
        <c:axId val="2064084999"/>
      </c:lineChart>
      <c:catAx>
        <c:axId val="168469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4999"/>
        <c:crosses val="autoZero"/>
        <c:auto val="1"/>
        <c:lblAlgn val="ctr"/>
        <c:lblOffset val="100"/>
        <c:noMultiLvlLbl val="0"/>
      </c:catAx>
      <c:valAx>
        <c:axId val="206408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9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Fitness.xlsx]Top-Bottom Product 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Membership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'Top-Bottom Product Analysis'!$B$1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'Top-Bottom Product Analysis'!$A$2:$A$5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Basic</c:v>
                </c:pt>
              </c:strCache>
            </c:strRef>
          </c:cat>
          <c:val>
            <c:numRef>
              <c:f>'Top-Bottom Product Analysis'!$B$2:$B$5</c:f>
              <c:numCache>
                <c:formatCode>General</c:formatCode>
                <c:ptCount val="3"/>
                <c:pt idx="0">
                  <c:v>284</c:v>
                </c:pt>
                <c:pt idx="1">
                  <c:v>279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4-4E24-9F3C-3069A0051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688391"/>
        <c:axId val="1228410887"/>
      </c:barChart>
      <c:lineChart>
        <c:grouping val="standard"/>
        <c:varyColors val="0"/>
        <c:ser>
          <c:idx val="1"/>
          <c:order val="1"/>
          <c:tx>
            <c:strRef>
              <c:f>'Top-Bottom Product Analysis'!$C$1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'Top-Bottom Product Analysis'!$A$2:$A$5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Basic</c:v>
                </c:pt>
              </c:strCache>
            </c:strRef>
          </c:cat>
          <c:val>
            <c:numRef>
              <c:f>'Top-Bottom Product Analysis'!$C$2:$C$5</c:f>
              <c:numCache>
                <c:formatCode>General</c:formatCode>
                <c:ptCount val="3"/>
                <c:pt idx="0">
                  <c:v>4408000</c:v>
                </c:pt>
                <c:pt idx="1">
                  <c:v>3820000</c:v>
                </c:pt>
                <c:pt idx="2">
                  <c:v>3805000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4-4E24-9F3C-3069A0051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754119"/>
        <c:axId val="665384456"/>
      </c:lineChart>
      <c:catAx>
        <c:axId val="1212688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10887"/>
        <c:crosses val="autoZero"/>
        <c:auto val="1"/>
        <c:lblAlgn val="ctr"/>
        <c:lblOffset val="100"/>
        <c:noMultiLvlLbl val="0"/>
      </c:catAx>
      <c:valAx>
        <c:axId val="1228410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8391"/>
        <c:crosses val="autoZero"/>
        <c:crossBetween val="between"/>
      </c:valAx>
      <c:valAx>
        <c:axId val="665384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54119"/>
        <c:crosses val="max"/>
        <c:crossBetween val="between"/>
      </c:valAx>
      <c:catAx>
        <c:axId val="1217754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5384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Fitness.xlsx]RFM 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Segmentation(RFM)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'RFM Analysis'!$H$1</c:f>
              <c:strCache>
                <c:ptCount val="1"/>
                <c:pt idx="0">
                  <c:v>Members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0A-4111-99A3-DB9F8C2D9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0A-4111-99A3-DB9F8C2D9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0A-4111-99A3-DB9F8C2D9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0A-4111-99A3-DB9F8C2D9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Analysis'!$H$2:$H$6</c:f>
              <c:numCache>
                <c:formatCode>General</c:formatCode>
                <c:ptCount val="4"/>
                <c:pt idx="0">
                  <c:v>500</c:v>
                </c:pt>
                <c:pt idx="1">
                  <c:v>145</c:v>
                </c:pt>
                <c:pt idx="2">
                  <c:v>122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0A-4111-99A3-DB9F8C2D96EC}"/>
            </c:ext>
          </c:extLst>
        </c:ser>
        <c:ser>
          <c:idx val="1"/>
          <c:order val="1"/>
          <c:tx>
            <c:strRef>
              <c:f>'RFM Analysis'!$I$1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D0A-4111-99A3-DB9F8C2D9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D0A-4111-99A3-DB9F8C2D9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D0A-4111-99A3-DB9F8C2D9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D0A-4111-99A3-DB9F8C2D96EC}"/>
              </c:ext>
            </c:extLst>
          </c:dPt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Analysis'!$I$2:$I$6</c:f>
              <c:numCache>
                <c:formatCode>General</c:formatCode>
                <c:ptCount val="4"/>
                <c:pt idx="0">
                  <c:v>7247500</c:v>
                </c:pt>
                <c:pt idx="1">
                  <c:v>1663500</c:v>
                </c:pt>
                <c:pt idx="2">
                  <c:v>1909500</c:v>
                </c:pt>
                <c:pt idx="3">
                  <c:v>1212500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D0A-4111-99A3-DB9F8C2D9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Fitness.xlsx]RFM Analysis!PivotTable6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'RFM Analysis'!$H$1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Analysis'!$H$2:$H$6</c:f>
              <c:numCache>
                <c:formatCode>General</c:formatCode>
                <c:ptCount val="4"/>
                <c:pt idx="0">
                  <c:v>500</c:v>
                </c:pt>
                <c:pt idx="1">
                  <c:v>145</c:v>
                </c:pt>
                <c:pt idx="2">
                  <c:v>122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2-4432-82B4-7BDD9650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9708039"/>
        <c:axId val="1089710087"/>
      </c:barChart>
      <c:lineChart>
        <c:grouping val="standard"/>
        <c:varyColors val="0"/>
        <c:ser>
          <c:idx val="1"/>
          <c:order val="1"/>
          <c:tx>
            <c:strRef>
              <c:f>'RFM Analysis'!$I$1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'RFM Analysis'!$G$2:$G$6</c:f>
              <c:strCache>
                <c:ptCount val="4"/>
                <c:pt idx="0">
                  <c:v>At Risk</c:v>
                </c:pt>
                <c:pt idx="1">
                  <c:v>Others</c:v>
                </c:pt>
                <c:pt idx="2">
                  <c:v>Loyal</c:v>
                </c:pt>
                <c:pt idx="3">
                  <c:v>Champion</c:v>
                </c:pt>
              </c:strCache>
            </c:strRef>
          </c:cat>
          <c:val>
            <c:numRef>
              <c:f>'RFM Analysis'!$I$2:$I$6</c:f>
              <c:numCache>
                <c:formatCode>General</c:formatCode>
                <c:ptCount val="4"/>
                <c:pt idx="0">
                  <c:v>7247500</c:v>
                </c:pt>
                <c:pt idx="1">
                  <c:v>1663500</c:v>
                </c:pt>
                <c:pt idx="2">
                  <c:v>1909500</c:v>
                </c:pt>
                <c:pt idx="3">
                  <c:v>1212500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2-4432-82B4-7BDD9650D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933447"/>
        <c:axId val="1207926279"/>
      </c:lineChart>
      <c:catAx>
        <c:axId val="1089708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10087"/>
        <c:crosses val="autoZero"/>
        <c:auto val="1"/>
        <c:lblAlgn val="ctr"/>
        <c:lblOffset val="100"/>
        <c:noMultiLvlLbl val="0"/>
      </c:catAx>
      <c:valAx>
        <c:axId val="1089710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08039"/>
        <c:crosses val="autoZero"/>
        <c:crossBetween val="between"/>
      </c:valAx>
      <c:valAx>
        <c:axId val="12079262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33447"/>
        <c:crosses val="max"/>
        <c:crossBetween val="between"/>
      </c:valAx>
      <c:catAx>
        <c:axId val="1207933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7926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[IronCore Fitness.xlsx]Region-wise performance!PivotTable8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performance'!$B$1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'Region-wise performance'!$A$2:$A$9</c:f>
              <c:strCache>
                <c:ptCount val="7"/>
                <c:pt idx="0">
                  <c:v>BR04</c:v>
                </c:pt>
                <c:pt idx="1">
                  <c:v>BR05</c:v>
                </c:pt>
                <c:pt idx="2">
                  <c:v>BR06</c:v>
                </c:pt>
                <c:pt idx="3">
                  <c:v>BR01</c:v>
                </c:pt>
                <c:pt idx="4">
                  <c:v>BR07</c:v>
                </c:pt>
                <c:pt idx="5">
                  <c:v>BR02</c:v>
                </c:pt>
                <c:pt idx="6">
                  <c:v>BR03</c:v>
                </c:pt>
              </c:strCache>
            </c:strRef>
          </c:cat>
          <c:val>
            <c:numRef>
              <c:f>'Region-wise performance'!$B$2:$B$9</c:f>
              <c:numCache>
                <c:formatCode>General</c:formatCode>
                <c:ptCount val="7"/>
                <c:pt idx="0">
                  <c:v>2159500</c:v>
                </c:pt>
                <c:pt idx="1">
                  <c:v>1942000</c:v>
                </c:pt>
                <c:pt idx="2">
                  <c:v>1898000</c:v>
                </c:pt>
                <c:pt idx="3">
                  <c:v>1712500</c:v>
                </c:pt>
                <c:pt idx="4">
                  <c:v>1535000</c:v>
                </c:pt>
                <c:pt idx="5">
                  <c:v>1484500</c:v>
                </c:pt>
                <c:pt idx="6">
                  <c:v>1301500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8-4DB3-944B-E50041E0A331}"/>
            </c:ext>
          </c:extLst>
        </c:ser>
        <c:ser>
          <c:idx val="1"/>
          <c:order val="1"/>
          <c:tx>
            <c:strRef>
              <c:f>'Region-wise performance'!$C$1</c:f>
              <c:strCache>
                <c:ptCount val="1"/>
                <c:pt idx="0">
                  <c:v>Members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'Region-wise performance'!$A$2:$A$9</c:f>
              <c:strCache>
                <c:ptCount val="7"/>
                <c:pt idx="0">
                  <c:v>BR04</c:v>
                </c:pt>
                <c:pt idx="1">
                  <c:v>BR05</c:v>
                </c:pt>
                <c:pt idx="2">
                  <c:v>BR06</c:v>
                </c:pt>
                <c:pt idx="3">
                  <c:v>BR01</c:v>
                </c:pt>
                <c:pt idx="4">
                  <c:v>BR07</c:v>
                </c:pt>
                <c:pt idx="5">
                  <c:v>BR02</c:v>
                </c:pt>
                <c:pt idx="6">
                  <c:v>BR03</c:v>
                </c:pt>
              </c:strCache>
            </c:strRef>
          </c:cat>
          <c:val>
            <c:numRef>
              <c:f>'Region-wise performance'!$C$2:$C$9</c:f>
              <c:numCache>
                <c:formatCode>General</c:formatCode>
                <c:ptCount val="7"/>
                <c:pt idx="0">
                  <c:v>137</c:v>
                </c:pt>
                <c:pt idx="1">
                  <c:v>131</c:v>
                </c:pt>
                <c:pt idx="2">
                  <c:v>123</c:v>
                </c:pt>
                <c:pt idx="3">
                  <c:v>116</c:v>
                </c:pt>
                <c:pt idx="4">
                  <c:v>103</c:v>
                </c:pt>
                <c:pt idx="5">
                  <c:v>109</c:v>
                </c:pt>
                <c:pt idx="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8-4DB3-944B-E50041E0A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386504"/>
        <c:axId val="1152332807"/>
      </c:barChart>
      <c:lineChart>
        <c:grouping val="standard"/>
        <c:varyColors val="0"/>
        <c:ser>
          <c:idx val="2"/>
          <c:order val="2"/>
          <c:tx>
            <c:strRef>
              <c:f>'Region-wise performance'!$D$1</c:f>
              <c:strCache>
                <c:ptCount val="1"/>
                <c:pt idx="0">
                  <c:v>Average of Attendance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'Region-wise performance'!$A$2:$A$9</c:f>
              <c:strCache>
                <c:ptCount val="7"/>
                <c:pt idx="0">
                  <c:v>BR04</c:v>
                </c:pt>
                <c:pt idx="1">
                  <c:v>BR05</c:v>
                </c:pt>
                <c:pt idx="2">
                  <c:v>BR06</c:v>
                </c:pt>
                <c:pt idx="3">
                  <c:v>BR01</c:v>
                </c:pt>
                <c:pt idx="4">
                  <c:v>BR07</c:v>
                </c:pt>
                <c:pt idx="5">
                  <c:v>BR02</c:v>
                </c:pt>
                <c:pt idx="6">
                  <c:v>BR03</c:v>
                </c:pt>
              </c:strCache>
            </c:strRef>
          </c:cat>
          <c:val>
            <c:numRef>
              <c:f>'Region-wise performance'!$D$2:$D$9</c:f>
              <c:numCache>
                <c:formatCode>0.00</c:formatCode>
                <c:ptCount val="7"/>
                <c:pt idx="0">
                  <c:v>13.335820895522389</c:v>
                </c:pt>
                <c:pt idx="1">
                  <c:v>11.9140625</c:v>
                </c:pt>
                <c:pt idx="2">
                  <c:v>12.508196721311476</c:v>
                </c:pt>
                <c:pt idx="3">
                  <c:v>12.236842105263158</c:v>
                </c:pt>
                <c:pt idx="4">
                  <c:v>12.284313725490197</c:v>
                </c:pt>
                <c:pt idx="5">
                  <c:v>12.326923076923077</c:v>
                </c:pt>
                <c:pt idx="6">
                  <c:v>13.46875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8-4DB3-944B-E50041E0A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271175"/>
        <c:axId val="1235268103"/>
      </c:lineChart>
      <c:catAx>
        <c:axId val="66538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32807"/>
        <c:crosses val="autoZero"/>
        <c:auto val="1"/>
        <c:lblAlgn val="ctr"/>
        <c:lblOffset val="100"/>
        <c:noMultiLvlLbl val="0"/>
      </c:catAx>
      <c:valAx>
        <c:axId val="115233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386504"/>
        <c:crosses val="autoZero"/>
        <c:crossBetween val="between"/>
      </c:valAx>
      <c:valAx>
        <c:axId val="123526810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271175"/>
        <c:crosses val="max"/>
        <c:crossBetween val="between"/>
      </c:valAx>
      <c:catAx>
        <c:axId val="12352711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5268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7</xdr:row>
      <xdr:rowOff>161925</xdr:rowOff>
    </xdr:from>
    <xdr:to>
      <xdr:col>8</xdr:col>
      <xdr:colOff>428625</xdr:colOff>
      <xdr:row>22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9CFBA1-FEBC-EF30-D2D0-1F830BCF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9</xdr:row>
      <xdr:rowOff>19050</xdr:rowOff>
    </xdr:from>
    <xdr:to>
      <xdr:col>15</xdr:col>
      <xdr:colOff>657225</xdr:colOff>
      <xdr:row>23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BC7284-050C-89B9-F811-748322B9CBA1}"/>
            </a:ext>
            <a:ext uri="{147F2762-F138-4A5C-976F-8EAC2B608ADB}">
              <a16:predDERef xmlns:a16="http://schemas.microsoft.com/office/drawing/2014/main" pred="{4A9CFBA1-FEBC-EF30-D2D0-1F830BCF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3</xdr:row>
      <xdr:rowOff>180975</xdr:rowOff>
    </xdr:from>
    <xdr:to>
      <xdr:col>12</xdr:col>
      <xdr:colOff>419100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45872D-FC52-9275-21C6-558AD614F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47625</xdr:colOff>
      <xdr:row>7</xdr:row>
      <xdr:rowOff>114300</xdr:rowOff>
    </xdr:from>
    <xdr:to>
      <xdr:col>18</xdr:col>
      <xdr:colOff>47625</xdr:colOff>
      <xdr:row>21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ranch ID 1">
              <a:extLst>
                <a:ext uri="{FF2B5EF4-FFF2-40B4-BE49-F238E27FC236}">
                  <a16:creationId xmlns:a16="http://schemas.microsoft.com/office/drawing/2014/main" id="{0E8ABCE7-8624-608B-3EAB-A259580CD789}"/>
                </a:ext>
                <a:ext uri="{147F2762-F138-4A5C-976F-8EAC2B608ADB}">
                  <a16:predDERef xmlns:a16="http://schemas.microsoft.com/office/drawing/2014/main" pred="{9A45872D-FC52-9275-21C6-558AD614FE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ch I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9000" y="1447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2</xdr:row>
      <xdr:rowOff>66675</xdr:rowOff>
    </xdr:from>
    <xdr:to>
      <xdr:col>15</xdr:col>
      <xdr:colOff>28575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4CA1-2CAA-EAB3-0CDF-7D29BF5D6E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466725</xdr:colOff>
      <xdr:row>5</xdr:row>
      <xdr:rowOff>66675</xdr:rowOff>
    </xdr:from>
    <xdr:to>
      <xdr:col>20</xdr:col>
      <xdr:colOff>28575</xdr:colOff>
      <xdr:row>12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ranch ID">
              <a:extLst>
                <a:ext uri="{FF2B5EF4-FFF2-40B4-BE49-F238E27FC236}">
                  <a16:creationId xmlns:a16="http://schemas.microsoft.com/office/drawing/2014/main" id="{1ECF4414-C026-7D6C-F8FE-36B25476BD00}"/>
                </a:ext>
                <a:ext uri="{147F2762-F138-4A5C-976F-8EAC2B608ADB}">
                  <a16:predDERef xmlns:a16="http://schemas.microsoft.com/office/drawing/2014/main" pred="{B73E4CA1-2CAA-EAB3-0CDF-7D29BF5D6E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ch 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53950" y="1019175"/>
              <a:ext cx="139065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0</xdr:colOff>
      <xdr:row>18</xdr:row>
      <xdr:rowOff>47625</xdr:rowOff>
    </xdr:from>
    <xdr:to>
      <xdr:col>19</xdr:col>
      <xdr:colOff>533400</xdr:colOff>
      <xdr:row>21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mbership Type">
              <a:extLst>
                <a:ext uri="{FF2B5EF4-FFF2-40B4-BE49-F238E27FC236}">
                  <a16:creationId xmlns:a16="http://schemas.microsoft.com/office/drawing/2014/main" id="{FE35C959-1815-6587-7BFD-6CA96128B66E}"/>
                </a:ext>
                <a:ext uri="{147F2762-F138-4A5C-976F-8EAC2B608ADB}">
                  <a16:predDERef xmlns:a16="http://schemas.microsoft.com/office/drawing/2014/main" pred="{1ECF4414-C026-7D6C-F8FE-36B25476BD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mbership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68025" y="3476625"/>
              <a:ext cx="2971800" cy="58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  <xdr:twoCellAnchor editAs="oneCell">
    <xdr:from>
      <xdr:col>14</xdr:col>
      <xdr:colOff>533400</xdr:colOff>
      <xdr:row>21</xdr:row>
      <xdr:rowOff>123825</xdr:rowOff>
    </xdr:from>
    <xdr:to>
      <xdr:col>20</xdr:col>
      <xdr:colOff>485775</xdr:colOff>
      <xdr:row>25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ustomer Ranking">
              <a:extLst>
                <a:ext uri="{FF2B5EF4-FFF2-40B4-BE49-F238E27FC236}">
                  <a16:creationId xmlns:a16="http://schemas.microsoft.com/office/drawing/2014/main" id="{C7DF3212-BA29-E125-C74E-640985866658}"/>
                </a:ext>
                <a:ext uri="{147F2762-F138-4A5C-976F-8EAC2B608ADB}">
                  <a16:predDERef xmlns:a16="http://schemas.microsoft.com/office/drawing/2014/main" pred="{FE35C959-1815-6587-7BFD-6CA96128B6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Rank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1825" y="4124325"/>
              <a:ext cx="3609975" cy="66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180975</xdr:rowOff>
    </xdr:from>
    <xdr:to>
      <xdr:col>18</xdr:col>
      <xdr:colOff>85725</xdr:colOff>
      <xdr:row>23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35FE07-84BA-6675-44D9-0C6F70967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57150</xdr:rowOff>
    </xdr:from>
    <xdr:to>
      <xdr:col>9</xdr:col>
      <xdr:colOff>19050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47C94-2481-4C4A-A291-77C700C58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3</xdr:row>
      <xdr:rowOff>28575</xdr:rowOff>
    </xdr:from>
    <xdr:to>
      <xdr:col>18</xdr:col>
      <xdr:colOff>533400</xdr:colOff>
      <xdr:row>14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DD769-5302-42D4-9BC0-25F36D5AB938}"/>
            </a:ext>
            <a:ext uri="{147F2762-F138-4A5C-976F-8EAC2B608ADB}">
              <a16:predDERef xmlns:a16="http://schemas.microsoft.com/office/drawing/2014/main" pred="{D8447C94-2481-4C4A-A291-77C700C58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17</xdr:row>
      <xdr:rowOff>104775</xdr:rowOff>
    </xdr:from>
    <xdr:to>
      <xdr:col>10</xdr:col>
      <xdr:colOff>76200</xdr:colOff>
      <xdr:row>28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71011E-D7D9-4569-B1EF-DBC9E009EED4}"/>
            </a:ext>
            <a:ext uri="{147F2762-F138-4A5C-976F-8EAC2B608ADB}">
              <a16:predDERef xmlns:a16="http://schemas.microsoft.com/office/drawing/2014/main" pred="{B87E0342-4DFF-476B-AC94-4BD2CBB82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152400</xdr:colOff>
      <xdr:row>15</xdr:row>
      <xdr:rowOff>38100</xdr:rowOff>
    </xdr:from>
    <xdr:to>
      <xdr:col>18</xdr:col>
      <xdr:colOff>600075</xdr:colOff>
      <xdr:row>28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407F6-AE9E-47C2-B984-CD5F5CF4BDAE}"/>
            </a:ext>
            <a:ext uri="{147F2762-F138-4A5C-976F-8EAC2B608ADB}">
              <a16:predDERef xmlns:a16="http://schemas.microsoft.com/office/drawing/2014/main" pred="{0271011E-D7D9-4569-B1EF-DBC9E009E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238125</xdr:colOff>
      <xdr:row>0</xdr:row>
      <xdr:rowOff>19050</xdr:rowOff>
    </xdr:from>
    <xdr:to>
      <xdr:col>18</xdr:col>
      <xdr:colOff>685800</xdr:colOff>
      <xdr:row>2</xdr:row>
      <xdr:rowOff>200025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Branch ID 2">
              <a:extLst>
                <a:ext uri="{FF2B5EF4-FFF2-40B4-BE49-F238E27FC236}">
                  <a16:creationId xmlns:a16="http://schemas.microsoft.com/office/drawing/2014/main" id="{9AA2844B-504E-B30A-535D-7E5E60BEFA27}"/>
                </a:ext>
                <a:ext uri="{147F2762-F138-4A5C-976F-8EAC2B608ADB}">
                  <a16:predDERef xmlns:a16="http://schemas.microsoft.com/office/drawing/2014/main" pred="{889407F6-AE9E-47C2-B984-CD5F5CF4BD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ch I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9900" y="57150"/>
              <a:ext cx="1533525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104775</xdr:colOff>
      <xdr:row>0</xdr:row>
      <xdr:rowOff>0</xdr:rowOff>
    </xdr:from>
    <xdr:to>
      <xdr:col>13</xdr:col>
      <xdr:colOff>190500</xdr:colOff>
      <xdr:row>2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ustomer Ranking 1">
              <a:extLst>
                <a:ext uri="{FF2B5EF4-FFF2-40B4-BE49-F238E27FC236}">
                  <a16:creationId xmlns:a16="http://schemas.microsoft.com/office/drawing/2014/main" id="{2B2E89DC-9DF7-01CD-C161-74EAACBA9934}"/>
                </a:ext>
                <a:ext uri="{147F2762-F138-4A5C-976F-8EAC2B608ADB}">
                  <a16:predDERef xmlns:a16="http://schemas.microsoft.com/office/drawing/2014/main" pred="{9AA2844B-504E-B30A-535D-7E5E60BEF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Rankin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9025" y="38100"/>
              <a:ext cx="313372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95250</xdr:colOff>
      <xdr:row>0</xdr:row>
      <xdr:rowOff>0</xdr:rowOff>
    </xdr:from>
    <xdr:to>
      <xdr:col>7</xdr:col>
      <xdr:colOff>581025</xdr:colOff>
      <xdr:row>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embership Type 1">
              <a:extLst>
                <a:ext uri="{FF2B5EF4-FFF2-40B4-BE49-F238E27FC236}">
                  <a16:creationId xmlns:a16="http://schemas.microsoft.com/office/drawing/2014/main" id="{955EAC7A-AC1B-DE09-851F-E458F15CBE95}"/>
                </a:ext>
                <a:ext uri="{147F2762-F138-4A5C-976F-8EAC2B608ADB}">
                  <a16:predDERef xmlns:a16="http://schemas.microsoft.com/office/drawing/2014/main" pred="{2B2E89DC-9DF7-01CD-C161-74EAACBA99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mbership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2550" y="9525"/>
              <a:ext cx="2314575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28575</xdr:colOff>
      <xdr:row>17</xdr:row>
      <xdr:rowOff>95250</xdr:rowOff>
    </xdr:from>
    <xdr:to>
      <xdr:col>4</xdr:col>
      <xdr:colOff>371475</xdr:colOff>
      <xdr:row>28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7E0342-4DFF-476B-AC94-4BD2CBB82FE6}"/>
            </a:ext>
            <a:ext uri="{147F2762-F138-4A5C-976F-8EAC2B608ADB}">
              <a16:predDERef xmlns:a16="http://schemas.microsoft.com/office/drawing/2014/main" pred="{955EAC7A-AC1B-DE09-851F-E458F15CB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8.830612847225" createdVersion="8" refreshedVersion="8" minRefreshableVersion="3" recordCount="818" xr:uid="{63210C2F-C739-402A-8F59-131A9E2BB5DE}">
  <cacheSource type="worksheet">
    <worksheetSource ref="A1:P819" sheet="Fact_Membership"/>
  </cacheSource>
  <cacheFields count="16">
    <cacheField name="Member ID" numFmtId="0">
      <sharedItems/>
    </cacheField>
    <cacheField name="Branch ID" numFmtId="0">
      <sharedItems/>
    </cacheField>
    <cacheField name="Membership Type" numFmtId="0">
      <sharedItems/>
    </cacheField>
    <cacheField name="Join Date" numFmtId="14">
      <sharedItems containsSemiMixedTypes="0" containsNonDate="0" containsDate="1" containsString="0" minDate="2023-01-01T00:00:00" maxDate="2026-02-01T00:00:00"/>
    </cacheField>
    <cacheField name="Expiry Date" numFmtId="14">
      <sharedItems containsSemiMixedTypes="0" containsNonDate="0" containsDate="1" containsString="0" minDate="2023-01-31T00:00:00" maxDate="2027-01-30T00:00:00"/>
    </cacheField>
    <cacheField name="Monthly Fee" numFmtId="0">
      <sharedItems containsSemiMixedTypes="0" containsString="0" containsNumber="1" containsInteger="1" minValue="1000" maxValue="3500"/>
    </cacheField>
    <cacheField name="Total Payments" numFmtId="0">
      <sharedItems containsSemiMixedTypes="0" containsString="0" containsNumber="1" containsInteger="1" minValue="1000" maxValue="42000"/>
    </cacheField>
    <cacheField name="Attendance" numFmtId="0">
      <sharedItems containsMixedTypes="1" containsNumber="1" containsInteger="1" minValue="0" maxValue="25"/>
    </cacheField>
    <cacheField name="Status" numFmtId="0">
      <sharedItems count="2">
        <s v="Active"/>
        <s v="Cancelled"/>
      </sharedItems>
    </cacheField>
    <cacheField name="Last Visit Date" numFmtId="14">
      <sharedItems containsDate="1" containsMixedTypes="1" minDate="2023-02-23T00:00:00" maxDate="2026-07-09T00:00:00"/>
    </cacheField>
    <cacheField name="Member Segmentation" numFmtId="0">
      <sharedItems/>
    </cacheField>
    <cacheField name="Duplicate flag" numFmtId="0">
      <sharedItems/>
    </cacheField>
    <cacheField name="Joined Month" numFmtId="0">
      <sharedItems count="37">
        <s v="2024-12"/>
        <s v="2024-06"/>
        <s v="2023-01"/>
        <s v="2024-02"/>
        <s v="2025-08"/>
        <s v="2025-01"/>
        <s v="2023-07"/>
        <s v="2025-11"/>
        <s v="2024-09"/>
        <s v="2024-04"/>
        <s v="2023-06"/>
        <s v="2024-03"/>
        <s v="2024-08"/>
        <s v="2024-07"/>
        <s v="2025-02"/>
        <s v="2024-05"/>
        <s v="2023-02"/>
        <s v="2025-07"/>
        <s v="2025-06"/>
        <s v="2024-10"/>
        <s v="2023-03"/>
        <s v="2023-11"/>
        <s v="2023-12"/>
        <s v="2024-11"/>
        <s v="2025-12"/>
        <s v="2023-09"/>
        <s v="2025-04"/>
        <s v="2023-08"/>
        <s v="2023-04"/>
        <s v="2023-05"/>
        <s v="2025-05"/>
        <s v="2023-10"/>
        <s v="2025-10"/>
        <s v="2025-03"/>
        <s v="2024-01"/>
        <s v="2026-01"/>
        <s v="2025-09"/>
      </sharedItems>
    </cacheField>
    <cacheField name="Effective Last Activity Date" numFmtId="14">
      <sharedItems containsDate="1" containsMixedTypes="1" minDate="2023-02-23T00:00:00" maxDate="2026-07-09T00:00:00"/>
    </cacheField>
    <cacheField name="Months since Join" numFmtId="0">
      <sharedItems containsSemiMixedTypes="0" containsString="0" containsNumber="1" containsInteger="1" minValue="0" maxValue="39" count="38">
        <n v="12"/>
        <n v="19"/>
        <n v="10"/>
        <n v="2"/>
        <n v="11"/>
        <n v="17"/>
        <n v="9"/>
        <n v="14"/>
        <n v="21"/>
        <n v="13"/>
        <n v="16"/>
        <n v="1"/>
        <n v="6"/>
        <n v="4"/>
        <n v="8"/>
        <n v="3"/>
        <n v="32"/>
        <n v="24"/>
        <n v="23"/>
        <n v="33"/>
        <n v="27"/>
        <n v="30"/>
        <n v="26"/>
        <n v="0"/>
        <n v="15"/>
        <n v="7"/>
        <n v="28"/>
        <n v="5"/>
        <n v="18"/>
        <n v="22"/>
        <n v="36"/>
        <n v="25"/>
        <n v="31"/>
        <n v="37"/>
        <n v="29"/>
        <n v="20"/>
        <n v="39"/>
        <n v="34"/>
      </sharedItems>
    </cacheField>
    <cacheField name="Active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8.847088773146" createdVersion="8" refreshedVersion="8" minRefreshableVersion="3" recordCount="818" xr:uid="{72893FBD-C4E5-4DE2-B8D0-4D589265F6DA}">
  <cacheSource type="worksheet">
    <worksheetSource ref="A1:U819" sheet="Fact_Membership"/>
  </cacheSource>
  <cacheFields count="21">
    <cacheField name="Member ID" numFmtId="0">
      <sharedItems count="818">
        <s v="MEM0001"/>
        <s v="MEM0002"/>
        <s v="MEM0003"/>
        <s v="MEM0004"/>
        <s v="MEM0005"/>
        <s v="MEM0006"/>
        <s v="MEM0007"/>
        <s v="MEM0008"/>
        <s v="MEM0009"/>
        <s v="MEM0010"/>
        <s v="MEM0011"/>
        <s v="MEM0012"/>
        <s v="MEM0013"/>
        <s v="MEM0014"/>
        <s v="MEM0015"/>
        <s v="MEM0016"/>
        <s v="MEM0017"/>
        <s v="MEM0018"/>
        <s v="MEM0019"/>
        <s v="MEM0020"/>
        <s v="MEM0021"/>
        <s v="MEM0022"/>
        <s v="MEM0023"/>
        <s v="MEM0024"/>
        <s v="MEM0025"/>
        <s v="MEM0026"/>
        <s v="MEM0027"/>
        <s v="MEM0028"/>
        <s v="MEM0029"/>
        <s v="MEM0030"/>
        <s v="MEM0031"/>
        <s v="MEM0032"/>
        <s v="MEM0033"/>
        <s v="MEM0034"/>
        <s v="MEM0035"/>
        <s v="MEM0036"/>
        <s v="MEM0037"/>
        <s v="MEM0038"/>
        <s v="MEM0039"/>
        <s v="MEM0040"/>
        <s v="MEM0041"/>
        <s v="MEM0042"/>
        <s v="MEM0043"/>
        <s v="MEM0044"/>
        <s v="MEM0045"/>
        <s v="MEM0046"/>
        <s v="MEM0047"/>
        <s v="MEM0048"/>
        <s v="MEM0049"/>
        <s v="MEM0050"/>
        <s v="MEM0051"/>
        <s v="MEM0052"/>
        <s v="MEM0053"/>
        <s v="MEM0054"/>
        <s v="MEM0055"/>
        <s v="MEM0056"/>
        <s v="MEM0057"/>
        <s v="MEM0058"/>
        <s v="MEM0059"/>
        <s v="MEM0060"/>
        <s v="MEM0061"/>
        <s v="MEM0062"/>
        <s v="MEM0063"/>
        <s v="MEM0064"/>
        <s v="MEM0065"/>
        <s v="MEM0066"/>
        <s v="MEM0067"/>
        <s v="MEM0068"/>
        <s v="MEM0069"/>
        <s v="MEM0070"/>
        <s v="MEM0071"/>
        <s v="MEM0072"/>
        <s v="MEM0073"/>
        <s v="MEM0074"/>
        <s v="MEM0075"/>
        <s v="MEM0076"/>
        <s v="MEM0077"/>
        <s v="MEM0078"/>
        <s v="MEM0079"/>
        <s v="MEM0080"/>
        <s v="MEM0081"/>
        <s v="MEM0082"/>
        <s v="MEM0083"/>
        <s v="MEM0084"/>
        <s v="MEM0085"/>
        <s v="MEM0086"/>
        <s v="MEM0087"/>
        <s v="MEM0088"/>
        <s v="MEM0089"/>
        <s v="MEM0090"/>
        <s v="MEM0091"/>
        <s v="MEM0092"/>
        <s v="MEM0093"/>
        <s v="MEM0094"/>
        <s v="MEM0095"/>
        <s v="MEM0096"/>
        <s v="MEM0097"/>
        <s v="MEM0098"/>
        <s v="MEM0099"/>
        <s v="MEM0100"/>
        <s v="MEM0101"/>
        <s v="MEM0102"/>
        <s v="MEM0103"/>
        <s v="MEM0104"/>
        <s v="MEM0105"/>
        <s v="MEM0106"/>
        <s v="MEM0107"/>
        <s v="MEM0108"/>
        <s v="MEM0109"/>
        <s v="MEM0110"/>
        <s v="MEM0111"/>
        <s v="MEM0112"/>
        <s v="MEM0113"/>
        <s v="MEM0114"/>
        <s v="MEM0115"/>
        <s v="MEM0116"/>
        <s v="MEM0117"/>
        <s v="MEM0118"/>
        <s v="MEM0119"/>
        <s v="MEM0120"/>
        <s v="MEM0121"/>
        <s v="MEM0122"/>
        <s v="MEM0123"/>
        <s v="MEM0124"/>
        <s v="MEM0125"/>
        <s v="MEM0126"/>
        <s v="MEM0127"/>
        <s v="MEM0128"/>
        <s v="MEM0129"/>
        <s v="MEM0130"/>
        <s v="MEM0131"/>
        <s v="MEM0132"/>
        <s v="MEM0133"/>
        <s v="MEM0134"/>
        <s v="MEM0135"/>
        <s v="MEM0136"/>
        <s v="MEM0137"/>
        <s v="MEM0138"/>
        <s v="MEM0139"/>
        <s v="MEM0140"/>
        <s v="MEM0141"/>
        <s v="MEM0142"/>
        <s v="MEM0143"/>
        <s v="MEM0144"/>
        <s v="MEM0145"/>
        <s v="MEM0146"/>
        <s v="MEM0147"/>
        <s v="MEM0148"/>
        <s v="MEM0149"/>
        <s v="MEM0150"/>
        <s v="MEM0151"/>
        <s v="MEM0152"/>
        <s v="MEM0153"/>
        <s v="MEM0154"/>
        <s v="MEM0155"/>
        <s v="MEM0156"/>
        <s v="MEM0157"/>
        <s v="MEM0158"/>
        <s v="MEM0159"/>
        <s v="MEM0160"/>
        <s v="MEM0161"/>
        <s v="MEM0162"/>
        <s v="MEM0163"/>
        <s v="MEM0164"/>
        <s v="MEM0165"/>
        <s v="MEM0166"/>
        <s v="MEM0167"/>
        <s v="MEM0168"/>
        <s v="MEM0169"/>
        <s v="MEM0170"/>
        <s v="MEM0171"/>
        <s v="MEM0172"/>
        <s v="MEM0173"/>
        <s v="MEM0174"/>
        <s v="MEM0175"/>
        <s v="MEM0176"/>
        <s v="MEM0177"/>
        <s v="MEM0178"/>
        <s v="MEM0179"/>
        <s v="MEM0180"/>
        <s v="MEM0181"/>
        <s v="MEM0182"/>
        <s v="MEM0183"/>
        <s v="MEM0184"/>
        <s v="MEM0185"/>
        <s v="MEM0186"/>
        <s v="MEM0187"/>
        <s v="MEM0188"/>
        <s v="MEM0189"/>
        <s v="MEM0190"/>
        <s v="MEM0191"/>
        <s v="MEM0192"/>
        <s v="MEM0193"/>
        <s v="MEM0194"/>
        <s v="MEM0195"/>
        <s v="MEM0196"/>
        <s v="MEM0197"/>
        <s v="MEM0198"/>
        <s v="MEM0199"/>
        <s v="MEM0200"/>
        <s v="MEM0201"/>
        <s v="MEM0202"/>
        <s v="MEM0203"/>
        <s v="MEM0204"/>
        <s v="MEM0205"/>
        <s v="MEM0206"/>
        <s v="MEM0207"/>
        <s v="MEM0208"/>
        <s v="MEM0209"/>
        <s v="MEM0210"/>
        <s v="MEM0211"/>
        <s v="MEM0212"/>
        <s v="MEM0213"/>
        <s v="MEM0214"/>
        <s v="MEM0215"/>
        <s v="MEM0216"/>
        <s v="MEM0217"/>
        <s v="MEM0218"/>
        <s v="MEM0219"/>
        <s v="MEM0220"/>
        <s v="MEM0221"/>
        <s v="MEM0222"/>
        <s v="MEM0223"/>
        <s v="MEM0224"/>
        <s v="MEM0225"/>
        <s v="MEM0226"/>
        <s v="MEM0227"/>
        <s v="MEM0228"/>
        <s v="MEM0229"/>
        <s v="MEM0230"/>
        <s v="MEM0231"/>
        <s v="MEM0232"/>
        <s v="MEM0233"/>
        <s v="MEM0234"/>
        <s v="MEM0235"/>
        <s v="MEM0236"/>
        <s v="MEM0237"/>
        <s v="MEM0238"/>
        <s v="MEM0239"/>
        <s v="MEM0240"/>
        <s v="MEM0241"/>
        <s v="MEM0242"/>
        <s v="MEM0243"/>
        <s v="MEM0244"/>
        <s v="MEM0245"/>
        <s v="MEM0246"/>
        <s v="MEM0247"/>
        <s v="MEM0248"/>
        <s v="MEM0249"/>
        <s v="MEM0250"/>
        <s v="MEM0251"/>
        <s v="MEM0252"/>
        <s v="MEM0253"/>
        <s v="MEM0254"/>
        <s v="MEM0255"/>
        <s v="MEM0256"/>
        <s v="MEM0257"/>
        <s v="MEM0258"/>
        <s v="MEM0259"/>
        <s v="MEM0260"/>
        <s v="MEM0261"/>
        <s v="MEM0262"/>
        <s v="MEM0263"/>
        <s v="MEM0264"/>
        <s v="MEM0265"/>
        <s v="MEM0266"/>
        <s v="MEM0267"/>
        <s v="MEM0268"/>
        <s v="MEM0269"/>
        <s v="MEM0270"/>
        <s v="MEM0271"/>
        <s v="MEM0272"/>
        <s v="MEM0273"/>
        <s v="MEM0274"/>
        <s v="MEM0275"/>
        <s v="MEM0276"/>
        <s v="MEM0277"/>
        <s v="MEM0278"/>
        <s v="MEM0279"/>
        <s v="MEM0280"/>
        <s v="MEM0281"/>
        <s v="MEM0282"/>
        <s v="MEM0283"/>
        <s v="MEM0284"/>
        <s v="MEM0285"/>
        <s v="MEM0286"/>
        <s v="MEM0287"/>
        <s v="MEM0288"/>
        <s v="MEM0289"/>
        <s v="MEM0290"/>
        <s v="MEM0291"/>
        <s v="MEM0292"/>
        <s v="MEM0293"/>
        <s v="MEM0294"/>
        <s v="MEM0295"/>
        <s v="MEM0296"/>
        <s v="MEM0297"/>
        <s v="MEM0298"/>
        <s v="MEM0299"/>
        <s v="MEM0300"/>
        <s v="MEM0301"/>
        <s v="MEM0302"/>
        <s v="MEM0303"/>
        <s v="MEM0304"/>
        <s v="MEM0305"/>
        <s v="MEM0306"/>
        <s v="MEM0307"/>
        <s v="MEM0308"/>
        <s v="MEM0309"/>
        <s v="MEM0310"/>
        <s v="MEM0311"/>
        <s v="MEM0312"/>
        <s v="MEM0313"/>
        <s v="MEM0314"/>
        <s v="MEM0315"/>
        <s v="MEM0316"/>
        <s v="MEM0317"/>
        <s v="MEM0318"/>
        <s v="MEM0319"/>
        <s v="MEM0320"/>
        <s v="MEM0321"/>
        <s v="MEM0322"/>
        <s v="MEM0323"/>
        <s v="MEM0324"/>
        <s v="MEM0325"/>
        <s v="MEM0326"/>
        <s v="MEM0327"/>
        <s v="MEM0328"/>
        <s v="MEM0329"/>
        <s v="MEM0330"/>
        <s v="MEM0331"/>
        <s v="MEM0332"/>
        <s v="MEM0333"/>
        <s v="MEM0334"/>
        <s v="MEM0335"/>
        <s v="MEM0336"/>
        <s v="MEM0337"/>
        <s v="MEM0338"/>
        <s v="MEM0339"/>
        <s v="MEM0340"/>
        <s v="MEM0341"/>
        <s v="MEM0342"/>
        <s v="MEM0343"/>
        <s v="MEM0344"/>
        <s v="MEM0345"/>
        <s v="MEM0346"/>
        <s v="MEM0347"/>
        <s v="MEM0348"/>
        <s v="MEM0349"/>
        <s v="MEM0350"/>
        <s v="MEM0351"/>
        <s v="MEM0352"/>
        <s v="MEM0353"/>
        <s v="MEM0354"/>
        <s v="MEM0355"/>
        <s v="MEM0356"/>
        <s v="MEM0357"/>
        <s v="MEM0358"/>
        <s v="MEM0359"/>
        <s v="MEM0360"/>
        <s v="MEM0361"/>
        <s v="MEM0362"/>
        <s v="MEM0363"/>
        <s v="MEM0364"/>
        <s v="MEM0365"/>
        <s v="MEM0366"/>
        <s v="MEM0367"/>
        <s v="MEM0368"/>
        <s v="MEM0369"/>
        <s v="MEM0370"/>
        <s v="MEM0371"/>
        <s v="MEM0372"/>
        <s v="MEM0373"/>
        <s v="MEM0374"/>
        <s v="MEM0375"/>
        <s v="MEM0376"/>
        <s v="MEM0377"/>
        <s v="MEM0378"/>
        <s v="MEM0379"/>
        <s v="MEM0380"/>
        <s v="MEM0381"/>
        <s v="MEM0382"/>
        <s v="MEM0383"/>
        <s v="MEM0384"/>
        <s v="MEM0385"/>
        <s v="MEM0386"/>
        <s v="MEM0387"/>
        <s v="MEM0388"/>
        <s v="MEM0389"/>
        <s v="MEM0390"/>
        <s v="MEM0391"/>
        <s v="MEM0392"/>
        <s v="MEM0393"/>
        <s v="MEM0394"/>
        <s v="MEM0395"/>
        <s v="MEM0396"/>
        <s v="MEM0397"/>
        <s v="MEM0398"/>
        <s v="MEM0399"/>
        <s v="MEM0400"/>
        <s v="MEM0401"/>
        <s v="MEM0402"/>
        <s v="MEM0403"/>
        <s v="MEM0404"/>
        <s v="MEM0405"/>
        <s v="MEM0406"/>
        <s v="MEM0407"/>
        <s v="MEM0408"/>
        <s v="MEM0409"/>
        <s v="MEM0410"/>
        <s v="MEM0411"/>
        <s v="MEM0412"/>
        <s v="MEM0413"/>
        <s v="MEM0414"/>
        <s v="MEM0415"/>
        <s v="MEM0416"/>
        <s v="MEM0417"/>
        <s v="MEM0418"/>
        <s v="MEM0419"/>
        <s v="MEM0420"/>
        <s v="MEM0421"/>
        <s v="MEM0422"/>
        <s v="MEM0423"/>
        <s v="MEM0424"/>
        <s v="MEM0425"/>
        <s v="MEM0426"/>
        <s v="MEM0427"/>
        <s v="MEM0428"/>
        <s v="MEM0429"/>
        <s v="MEM0430"/>
        <s v="MEM0431"/>
        <s v="MEM0432"/>
        <s v="MEM0433"/>
        <s v="MEM0434"/>
        <s v="MEM0435"/>
        <s v="MEM0436"/>
        <s v="MEM0437"/>
        <s v="MEM0438"/>
        <s v="MEM0439"/>
        <s v="MEM0440"/>
        <s v="MEM0441"/>
        <s v="MEM0442"/>
        <s v="MEM0443"/>
        <s v="MEM0444"/>
        <s v="MEM0445"/>
        <s v="MEM0446"/>
        <s v="MEM0447"/>
        <s v="MEM0448"/>
        <s v="MEM0449"/>
        <s v="MEM0450"/>
        <s v="MEM0451"/>
        <s v="MEM0452"/>
        <s v="MEM0453"/>
        <s v="MEM0454"/>
        <s v="MEM0455"/>
        <s v="MEM0456"/>
        <s v="MEM0457"/>
        <s v="MEM0458"/>
        <s v="MEM0459"/>
        <s v="MEM0460"/>
        <s v="MEM0461"/>
        <s v="MEM0462"/>
        <s v="MEM0463"/>
        <s v="MEM0464"/>
        <s v="MEM0465"/>
        <s v="MEM0466"/>
        <s v="MEM0467"/>
        <s v="MEM0468"/>
        <s v="MEM0469"/>
        <s v="MEM0470"/>
        <s v="MEM0471"/>
        <s v="MEM0472"/>
        <s v="MEM0473"/>
        <s v="MEM0474"/>
        <s v="MEM0475"/>
        <s v="MEM0476"/>
        <s v="MEM0477"/>
        <s v="MEM0478"/>
        <s v="MEM0479"/>
        <s v="MEM0480"/>
        <s v="MEM0481"/>
        <s v="MEM0482"/>
        <s v="MEM0483"/>
        <s v="MEM0484"/>
        <s v="MEM0485"/>
        <s v="MEM0486"/>
        <s v="MEM0487"/>
        <s v="MEM0488"/>
        <s v="MEM0489"/>
        <s v="MEM0490"/>
        <s v="MEM0491"/>
        <s v="MEM0492"/>
        <s v="MEM0493"/>
        <s v="MEM0494"/>
        <s v="MEM0495"/>
        <s v="MEM0496"/>
        <s v="MEM0497"/>
        <s v="MEM0498"/>
        <s v="MEM0499"/>
        <s v="MEM0500"/>
        <s v="MEM0501"/>
        <s v="MEM0502"/>
        <s v="MEM0503"/>
        <s v="MEM0504"/>
        <s v="MEM0505"/>
        <s v="MEM0506"/>
        <s v="MEM0507"/>
        <s v="MEM0508"/>
        <s v="MEM0509"/>
        <s v="MEM0510"/>
        <s v="MEM0511"/>
        <s v="MEM0512"/>
        <s v="MEM0513"/>
        <s v="MEM0514"/>
        <s v="MEM0515"/>
        <s v="MEM0516"/>
        <s v="MEM0517"/>
        <s v="MEM0518"/>
        <s v="MEM0519"/>
        <s v="MEM0520"/>
        <s v="MEM0521"/>
        <s v="MEM0522"/>
        <s v="MEM0523"/>
        <s v="MEM0524"/>
        <s v="MEM0525"/>
        <s v="MEM0526"/>
        <s v="MEM0527"/>
        <s v="MEM0528"/>
        <s v="MEM0529"/>
        <s v="MEM0530"/>
        <s v="MEM0531"/>
        <s v="MEM0532"/>
        <s v="MEM0533"/>
        <s v="MEM0534"/>
        <s v="MEM0535"/>
        <s v="MEM0536"/>
        <s v="MEM0537"/>
        <s v="MEM0538"/>
        <s v="MEM0539"/>
        <s v="MEM0540"/>
        <s v="MEM0541"/>
        <s v="MEM0542"/>
        <s v="MEM0543"/>
        <s v="MEM0544"/>
        <s v="MEM0545"/>
        <s v="MEM0546"/>
        <s v="MEM0547"/>
        <s v="MEM0548"/>
        <s v="MEM0549"/>
        <s v="MEM0550"/>
        <s v="MEM0551"/>
        <s v="MEM0552"/>
        <s v="MEM0553"/>
        <s v="MEM0554"/>
        <s v="MEM0555"/>
        <s v="MEM0556"/>
        <s v="MEM0557"/>
        <s v="MEM0558"/>
        <s v="MEM0559"/>
        <s v="MEM0560"/>
        <s v="MEM0561"/>
        <s v="MEM0562"/>
        <s v="MEM0563"/>
        <s v="MEM0564"/>
        <s v="MEM0565"/>
        <s v="MEM0566"/>
        <s v="MEM0567"/>
        <s v="MEM0568"/>
        <s v="MEM0569"/>
        <s v="MEM0570"/>
        <s v="MEM0571"/>
        <s v="MEM0572"/>
        <s v="MEM0573"/>
        <s v="MEM0574"/>
        <s v="MEM0575"/>
        <s v="MEM0576"/>
        <s v="MEM0577"/>
        <s v="MEM0578"/>
        <s v="MEM0579"/>
        <s v="MEM0580"/>
        <s v="MEM0581"/>
        <s v="MEM0582"/>
        <s v="MEM0583"/>
        <s v="MEM0584"/>
        <s v="MEM0585"/>
        <s v="MEM0586"/>
        <s v="MEM0587"/>
        <s v="MEM0588"/>
        <s v="MEM0589"/>
        <s v="MEM0590"/>
        <s v="MEM0591"/>
        <s v="MEM0592"/>
        <s v="MEM0593"/>
        <s v="MEM0594"/>
        <s v="MEM0595"/>
        <s v="MEM0596"/>
        <s v="MEM0597"/>
        <s v="MEM0598"/>
        <s v="MEM0599"/>
        <s v="MEM0600"/>
        <s v="MEM0601"/>
        <s v="MEM0602"/>
        <s v="MEM0603"/>
        <s v="MEM0604"/>
        <s v="MEM0605"/>
        <s v="MEM0606"/>
        <s v="MEM0607"/>
        <s v="MEM0608"/>
        <s v="MEM0609"/>
        <s v="MEM0610"/>
        <s v="MEM0611"/>
        <s v="MEM0612"/>
        <s v="MEM0613"/>
        <s v="MEM0614"/>
        <s v="MEM0615"/>
        <s v="MEM0616"/>
        <s v="MEM0617"/>
        <s v="MEM0618"/>
        <s v="MEM0619"/>
        <s v="MEM0620"/>
        <s v="MEM0621"/>
        <s v="MEM0622"/>
        <s v="MEM0623"/>
        <s v="MEM0624"/>
        <s v="MEM0625"/>
        <s v="MEM0626"/>
        <s v="MEM0627"/>
        <s v="MEM0628"/>
        <s v="MEM0629"/>
        <s v="MEM0630"/>
        <s v="MEM0631"/>
        <s v="MEM0632"/>
        <s v="MEM0633"/>
        <s v="MEM0634"/>
        <s v="MEM0635"/>
        <s v="MEM0636"/>
        <s v="MEM0637"/>
        <s v="MEM0638"/>
        <s v="MEM0639"/>
        <s v="MEM0640"/>
        <s v="MEM0641"/>
        <s v="MEM0642"/>
        <s v="MEM0643"/>
        <s v="MEM0644"/>
        <s v="MEM0645"/>
        <s v="MEM0646"/>
        <s v="MEM0647"/>
        <s v="MEM0648"/>
        <s v="MEM0649"/>
        <s v="MEM0650"/>
        <s v="MEM0651"/>
        <s v="MEM0652"/>
        <s v="MEM0653"/>
        <s v="MEM0654"/>
        <s v="MEM0655"/>
        <s v="MEM0656"/>
        <s v="MEM0657"/>
        <s v="MEM0658"/>
        <s v="MEM0659"/>
        <s v="MEM0660"/>
        <s v="MEM0661"/>
        <s v="MEM0662"/>
        <s v="MEM0663"/>
        <s v="MEM0664"/>
        <s v="MEM0665"/>
        <s v="MEM0666"/>
        <s v="MEM0667"/>
        <s v="MEM0668"/>
        <s v="MEM0669"/>
        <s v="MEM0670"/>
        <s v="MEM0671"/>
        <s v="MEM0672"/>
        <s v="MEM0673"/>
        <s v="MEM0674"/>
        <s v="MEM0675"/>
        <s v="MEM0676"/>
        <s v="MEM0677"/>
        <s v="MEM0678"/>
        <s v="MEM0679"/>
        <s v="MEM0680"/>
        <s v="MEM0681"/>
        <s v="MEM0682"/>
        <s v="MEM0683"/>
        <s v="MEM0684"/>
        <s v="MEM0685"/>
        <s v="MEM0686"/>
        <s v="MEM0687"/>
        <s v="MEM0688"/>
        <s v="MEM0689"/>
        <s v="MEM0690"/>
        <s v="MEM0691"/>
        <s v="MEM0692"/>
        <s v="MEM0693"/>
        <s v="MEM0694"/>
        <s v="MEM0695"/>
        <s v="MEM0696"/>
        <s v="MEM0697"/>
        <s v="MEM0698"/>
        <s v="MEM0699"/>
        <s v="MEM0700"/>
        <s v="MEM0701"/>
        <s v="MEM0702"/>
        <s v="MEM0703"/>
        <s v="MEM0704"/>
        <s v="MEM0705"/>
        <s v="MEM0706"/>
        <s v="MEM0707"/>
        <s v="MEM0708"/>
        <s v="MEM0709"/>
        <s v="MEM0710"/>
        <s v="MEM0711"/>
        <s v="MEM0712"/>
        <s v="MEM0713"/>
        <s v="MEM0714"/>
        <s v="MEM0715"/>
        <s v="MEM0716"/>
        <s v="MEM0717"/>
        <s v="MEM0718"/>
        <s v="MEM0719"/>
        <s v="MEM0720"/>
        <s v="MEM0721"/>
        <s v="MEM0722"/>
        <s v="MEM0723"/>
        <s v="MEM0724"/>
        <s v="MEM0725"/>
        <s v="MEM0726"/>
        <s v="MEM0727"/>
        <s v="MEM0728"/>
        <s v="MEM0729"/>
        <s v="MEM0730"/>
        <s v="MEM0731"/>
        <s v="MEM0732"/>
        <s v="MEM0733"/>
        <s v="MEM0734"/>
        <s v="MEM0735"/>
        <s v="MEM0736"/>
        <s v="MEM0737"/>
        <s v="MEM0738"/>
        <s v="MEM0739"/>
        <s v="MEM0740"/>
        <s v="MEM0741"/>
        <s v="MEM0742"/>
        <s v="MEM0743"/>
        <s v="MEM0744"/>
        <s v="MEM0745"/>
        <s v="MEM0746"/>
        <s v="MEM0747"/>
        <s v="MEM0748"/>
        <s v="MEM0749"/>
        <s v="MEM0750"/>
        <s v="MEM0751"/>
        <s v="MEM0752"/>
        <s v="MEM0753"/>
        <s v="MEM0754"/>
        <s v="MEM0755"/>
        <s v="MEM0756"/>
        <s v="MEM0757"/>
        <s v="MEM0758"/>
        <s v="MEM0759"/>
        <s v="MEM0760"/>
        <s v="MEM0761"/>
        <s v="MEM0762"/>
        <s v="MEM0763"/>
        <s v="MEM0764"/>
        <s v="MEM0765"/>
        <s v="MEM0766"/>
        <s v="MEM0767"/>
        <s v="MEM0768"/>
        <s v="MEM0769"/>
        <s v="MEM0770"/>
        <s v="MEM0771"/>
        <s v="MEM0772"/>
        <s v="MEM0773"/>
        <s v="MEM0774"/>
        <s v="MEM0775"/>
        <s v="MEM0776"/>
        <s v="MEM0777"/>
        <s v="MEM0778"/>
        <s v="MEM0779"/>
        <s v="MEM0780"/>
        <s v="MEM0781"/>
        <s v="MEM0782"/>
        <s v="MEM0783"/>
        <s v="MEM0784"/>
        <s v="MEM0785"/>
        <s v="MEM0786"/>
        <s v="MEM0787"/>
        <s v="MEM0788"/>
        <s v="MEM0789"/>
        <s v="MEM0790"/>
        <s v="MEM0791"/>
        <s v="MEM0792"/>
        <s v="MEM0793"/>
        <s v="MEM0794"/>
        <s v="MEM0795"/>
        <s v="MEM0796"/>
        <s v="MEM0797"/>
        <s v="MEM0798"/>
        <s v="MEM0799"/>
        <s v="MEM0800"/>
        <s v="MEM0801"/>
        <s v="MEM0802"/>
        <s v="MEM0803"/>
        <s v="MEM0804"/>
        <s v="MEM0805"/>
        <s v="MEM0806"/>
        <s v="MEM0807"/>
        <s v="MEM0808"/>
        <s v="MEM0809"/>
        <s v="MEM0810"/>
        <s v="MEM0811"/>
        <s v="MEM0812"/>
        <s v="MEM0813"/>
        <s v="MEM0814"/>
        <s v="MEM0815"/>
        <s v="MEM0816"/>
        <s v="MEM0817"/>
        <s v="MEM0818"/>
      </sharedItems>
    </cacheField>
    <cacheField name="Branch ID" numFmtId="0">
      <sharedItems count="7">
        <s v="BR03"/>
        <s v="BR02"/>
        <s v="BR05"/>
        <s v="BR07"/>
        <s v="BR06"/>
        <s v="BR01"/>
        <s v="BR04"/>
      </sharedItems>
    </cacheField>
    <cacheField name="Membership Type" numFmtId="0">
      <sharedItems count="3">
        <s v="Standard"/>
        <s v="Premium"/>
        <s v="Basic"/>
      </sharedItems>
    </cacheField>
    <cacheField name="Join Date" numFmtId="14">
      <sharedItems containsSemiMixedTypes="0" containsNonDate="0" containsDate="1" containsString="0" minDate="2023-01-01T00:00:00" maxDate="2026-02-01T00:00:00"/>
    </cacheField>
    <cacheField name="Expiry Date" numFmtId="14">
      <sharedItems containsSemiMixedTypes="0" containsNonDate="0" containsDate="1" containsString="0" minDate="2023-01-31T00:00:00" maxDate="2027-01-30T00:00:00"/>
    </cacheField>
    <cacheField name="Monthly Fee" numFmtId="0">
      <sharedItems containsSemiMixedTypes="0" containsString="0" containsNumber="1" containsInteger="1" minValue="1000" maxValue="3500"/>
    </cacheField>
    <cacheField name="Total Payments" numFmtId="0">
      <sharedItems containsSemiMixedTypes="0" containsString="0" containsNumber="1" containsInteger="1" minValue="1000" maxValue="42000"/>
    </cacheField>
    <cacheField name="Attendance" numFmtId="0">
      <sharedItems containsMixedTypes="1" containsNumber="1" containsInteger="1" minValue="0" maxValue="25"/>
    </cacheField>
    <cacheField name="Status" numFmtId="0">
      <sharedItems/>
    </cacheField>
    <cacheField name="Last Visit Date" numFmtId="14">
      <sharedItems containsDate="1" containsMixedTypes="1" minDate="2023-02-23T00:00:00" maxDate="2026-07-09T00:00:00"/>
    </cacheField>
    <cacheField name="Member Segmentation" numFmtId="0">
      <sharedItems count="3">
        <s v="Highly Active"/>
        <s v="At Risk"/>
        <s v="Moderate"/>
      </sharedItems>
    </cacheField>
    <cacheField name="Duplicate flag" numFmtId="0">
      <sharedItems/>
    </cacheField>
    <cacheField name="Joined Month" numFmtId="0">
      <sharedItems count="37">
        <s v="2024-12"/>
        <s v="2024-06"/>
        <s v="2023-01"/>
        <s v="2024-02"/>
        <s v="2025-08"/>
        <s v="2025-01"/>
        <s v="2023-07"/>
        <s v="2025-11"/>
        <s v="2024-09"/>
        <s v="2024-04"/>
        <s v="2023-06"/>
        <s v="2024-03"/>
        <s v="2024-08"/>
        <s v="2024-07"/>
        <s v="2025-02"/>
        <s v="2024-05"/>
        <s v="2023-02"/>
        <s v="2025-07"/>
        <s v="2025-06"/>
        <s v="2024-10"/>
        <s v="2023-03"/>
        <s v="2023-11"/>
        <s v="2023-12"/>
        <s v="2024-11"/>
        <s v="2025-12"/>
        <s v="2023-09"/>
        <s v="2025-04"/>
        <s v="2023-08"/>
        <s v="2023-04"/>
        <s v="2023-05"/>
        <s v="2025-05"/>
        <s v="2023-10"/>
        <s v="2025-10"/>
        <s v="2025-03"/>
        <s v="2024-01"/>
        <s v="2026-01"/>
        <s v="2025-09"/>
      </sharedItems>
    </cacheField>
    <cacheField name="Effective Last Activity Date" numFmtId="14">
      <sharedItems containsDate="1" containsMixedTypes="1" minDate="2023-02-23T00:00:00" maxDate="2026-07-09T00:00:00"/>
    </cacheField>
    <cacheField name="Months since Join" numFmtId="0">
      <sharedItems containsSemiMixedTypes="0" containsString="0" containsNumber="1" containsInteger="1" minValue="0" maxValue="39"/>
    </cacheField>
    <cacheField name="Recency" numFmtId="0">
      <sharedItems containsSemiMixedTypes="0" containsString="0" containsNumber="1" containsInteger="1" minValue="-83" maxValue="1148"/>
    </cacheField>
    <cacheField name="R Score" numFmtId="0">
      <sharedItems containsSemiMixedTypes="0" containsString="0" containsNumber="1" containsInteger="1" minValue="1" maxValue="5"/>
    </cacheField>
    <cacheField name="F Score" numFmtId="0">
      <sharedItems containsSemiMixedTypes="0" containsString="0" containsNumber="1" containsInteger="1" minValue="1" maxValue="5"/>
    </cacheField>
    <cacheField name="M Score" numFmtId="0">
      <sharedItems containsSemiMixedTypes="0" containsString="0" containsNumber="1" containsInteger="1" minValue="1" maxValue="5"/>
    </cacheField>
    <cacheField name="RFM Score" numFmtId="0">
      <sharedItems count="111">
        <s v="344"/>
        <s v="414"/>
        <s v="113"/>
        <s v="233"/>
        <s v="352"/>
        <s v="315"/>
        <s v="122"/>
        <s v="422"/>
        <s v="234"/>
        <s v="244"/>
        <s v="155"/>
        <s v="334"/>
        <s v="242"/>
        <s v="144"/>
        <s v="434"/>
        <s v="455"/>
        <s v="145"/>
        <s v="345"/>
        <s v="522"/>
        <s v="212"/>
        <s v="433"/>
        <s v="135"/>
        <s v="513"/>
        <s v="115"/>
        <s v="243"/>
        <s v="335"/>
        <s v="355"/>
        <s v="154"/>
        <s v="213"/>
        <s v="325"/>
        <s v="435"/>
        <s v="134"/>
        <s v="444"/>
        <s v="354"/>
        <s v="332"/>
        <s v="453"/>
        <s v="252"/>
        <s v="224"/>
        <s v="553"/>
        <s v="114"/>
        <s v="544"/>
        <s v="253"/>
        <s v="143"/>
        <s v="222"/>
        <s v="221"/>
        <s v="131"/>
        <s v="132"/>
        <s v="124"/>
        <s v="245"/>
        <s v="442"/>
        <s v="341"/>
        <s v="313"/>
        <s v="123"/>
        <s v="424"/>
        <s v="314"/>
        <s v="312"/>
        <s v="254"/>
        <s v="432"/>
        <s v="324"/>
        <s v="542"/>
        <s v="235"/>
        <s v="133"/>
        <s v="232"/>
        <s v="445"/>
        <s v="343"/>
        <s v="545"/>
        <s v="152"/>
        <s v="215"/>
        <s v="535"/>
        <s v="125"/>
        <s v="214"/>
        <s v="251"/>
        <s v="353"/>
        <s v="153"/>
        <s v="515"/>
        <s v="524"/>
        <s v="543"/>
        <s v="554"/>
        <s v="142"/>
        <s v="112"/>
        <s v="415"/>
        <s v="223"/>
        <s v="425"/>
        <s v="255"/>
        <s v="111"/>
        <s v="225"/>
        <s v="342"/>
        <s v="512"/>
        <s v="322"/>
        <s v="514"/>
        <s v="141"/>
        <s v="333"/>
        <s v="511"/>
        <s v="423"/>
        <s v="454"/>
        <s v="231"/>
        <s v="555"/>
        <s v="323"/>
        <s v="443"/>
        <s v="413"/>
        <s v="523"/>
        <s v="534"/>
        <s v="532"/>
        <s v="412"/>
        <s v="151"/>
        <s v="533"/>
        <s v="521"/>
        <s v="525"/>
        <s v="452"/>
        <s v="552"/>
        <s v="351"/>
      </sharedItems>
    </cacheField>
    <cacheField name="Customer Ranking" numFmtId="0">
      <sharedItems count="4">
        <s v="Loyal"/>
        <s v="Others"/>
        <s v="At Risk"/>
        <s v="Champion"/>
      </sharedItems>
    </cacheField>
  </cacheFields>
  <extLst>
    <ext xmlns:x14="http://schemas.microsoft.com/office/spreadsheetml/2009/9/main" uri="{725AE2AE-9491-48be-B2B4-4EB974FC3084}">
      <x14:pivotCacheDefinition pivotCacheId="13455377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">
  <r>
    <s v="MEM0001"/>
    <s v="BR07"/>
    <s v="Premium"/>
    <d v="2024-12-04T00:00:00"/>
    <d v="2025-01-03T00:00:00"/>
    <n v="1000"/>
    <n v="6000"/>
    <n v="18"/>
    <x v="0"/>
    <d v="2025-12-31T00:00:00"/>
    <s v="Highly Active"/>
    <s v="Unique"/>
    <x v="0"/>
    <d v="2025-12-31T00:00:00"/>
    <x v="0"/>
    <n v="1"/>
  </r>
  <r>
    <s v="MEM0002"/>
    <s v="BR04"/>
    <s v="Standard"/>
    <d v="2024-06-03T00:00:00"/>
    <d v="2024-09-01T00:00:00"/>
    <n v="3500"/>
    <n v="3500"/>
    <n v="0"/>
    <x v="1"/>
    <d v="2026-01-28T00:00:00"/>
    <s v="At Risk"/>
    <s v="Unique"/>
    <x v="1"/>
    <d v="2026-01-28T00:00:00"/>
    <x v="1"/>
    <n v="0"/>
  </r>
  <r>
    <s v="MEM0003"/>
    <s v="BR03"/>
    <s v="Standard"/>
    <d v="2023-01-19T00:00:00"/>
    <d v="2023-04-19T00:00:00"/>
    <n v="3500"/>
    <n v="35000"/>
    <n v="1"/>
    <x v="1"/>
    <d v="2023-11-27T00:00:00"/>
    <s v="At Risk"/>
    <s v="Unique"/>
    <x v="2"/>
    <d v="2023-11-27T00:00:00"/>
    <x v="2"/>
    <n v="0"/>
  </r>
  <r>
    <s v="MEM0004"/>
    <s v="BR07"/>
    <s v="Standard"/>
    <d v="2024-02-20T00:00:00"/>
    <d v="2024-05-20T00:00:00"/>
    <n v="3500"/>
    <n v="14000"/>
    <n v="13"/>
    <x v="0"/>
    <d v="2025-10-07T00:00:00"/>
    <s v="Moderate"/>
    <s v="Unique"/>
    <x v="3"/>
    <d v="2025-10-07T00:00:00"/>
    <x v="1"/>
    <n v="1"/>
  </r>
  <r>
    <s v="MEM0005"/>
    <s v="BR02"/>
    <s v="Standard"/>
    <d v="2025-08-22T00:00:00"/>
    <d v="2026-08-22T00:00:00"/>
    <n v="1000"/>
    <n v="9000"/>
    <n v="20"/>
    <x v="0"/>
    <d v="2025-10-30T00:00:00"/>
    <s v="Highly Active"/>
    <s v="Unique"/>
    <x v="4"/>
    <d v="2025-10-30T00:00:00"/>
    <x v="3"/>
    <n v="1"/>
  </r>
  <r>
    <s v="MEM0006"/>
    <s v="BR05"/>
    <s v="Basic"/>
    <d v="2025-01-12T00:00:00"/>
    <d v="2026-01-12T00:00:00"/>
    <n v="3500"/>
    <n v="42000"/>
    <n v="1"/>
    <x v="1"/>
    <d v="2025-12-20T00:00:00"/>
    <s v="At Risk"/>
    <s v="Unique"/>
    <x v="5"/>
    <d v="2025-12-20T00:00:00"/>
    <x v="4"/>
    <n v="0"/>
  </r>
  <r>
    <s v="MEM0007"/>
    <s v="BR05"/>
    <s v="Premium"/>
    <d v="2023-07-09T00:00:00"/>
    <d v="2023-08-08T00:00:00"/>
    <n v="3500"/>
    <n v="35000"/>
    <n v="7"/>
    <x v="0"/>
    <d v="2024-12-23T00:00:00"/>
    <s v="Moderate"/>
    <s v="Unique"/>
    <x v="6"/>
    <d v="2024-12-23T00:00:00"/>
    <x v="5"/>
    <n v="1"/>
  </r>
  <r>
    <s v="MEM0008"/>
    <s v="BR02"/>
    <s v="Standard"/>
    <d v="2025-11-25T00:00:00"/>
    <d v="2026-02-23T00:00:00"/>
    <n v="1000"/>
    <n v="1000"/>
    <n v="8"/>
    <x v="0"/>
    <d v="2026-02-18T00:00:00"/>
    <s v="Moderate"/>
    <s v="Unique"/>
    <x v="7"/>
    <d v="2026-02-18T00:00:00"/>
    <x v="3"/>
    <n v="1"/>
  </r>
  <r>
    <s v="MEM0009"/>
    <s v="BR01"/>
    <s v="Standard"/>
    <d v="2024-09-17T00:00:00"/>
    <d v="2024-10-17T00:00:00"/>
    <n v="2000"/>
    <n v="22000"/>
    <n v="14"/>
    <x v="0"/>
    <d v="2025-07-08T00:00:00"/>
    <s v="Moderate"/>
    <s v="Unique"/>
    <x v="8"/>
    <d v="2025-07-08T00:00:00"/>
    <x v="6"/>
    <n v="1"/>
  </r>
  <r>
    <s v="MEM0010"/>
    <s v="BR05"/>
    <s v="Premium"/>
    <d v="2024-04-08T00:00:00"/>
    <d v="2024-05-08T00:00:00"/>
    <n v="3500"/>
    <n v="38500"/>
    <n v="15"/>
    <x v="0"/>
    <d v="2025-09-26T00:00:00"/>
    <s v="Highly Active"/>
    <s v="Unique"/>
    <x v="9"/>
    <d v="2025-09-26T00:00:00"/>
    <x v="5"/>
    <n v="1"/>
  </r>
  <r>
    <s v="MEM0011"/>
    <s v="BR07"/>
    <s v="Standard"/>
    <d v="2023-06-16T00:00:00"/>
    <d v="2024-06-15T00:00:00"/>
    <n v="2000"/>
    <n v="18000"/>
    <n v="23"/>
    <x v="0"/>
    <d v="2024-08-31T00:00:00"/>
    <s v="Highly Active"/>
    <s v="Unique"/>
    <x v="10"/>
    <d v="2024-08-31T00:00:00"/>
    <x v="7"/>
    <n v="1"/>
  </r>
  <r>
    <s v="MEM0012"/>
    <s v="BR06"/>
    <s v="Standard"/>
    <d v="2024-03-12T00:00:00"/>
    <d v="2025-03-12T00:00:00"/>
    <n v="2000"/>
    <n v="2000"/>
    <n v="14"/>
    <x v="0"/>
    <d v="2026-01-09T00:00:00"/>
    <s v="Moderate"/>
    <s v="Unique"/>
    <x v="11"/>
    <d v="2026-01-09T00:00:00"/>
    <x v="8"/>
    <n v="1"/>
  </r>
  <r>
    <s v="MEM0013"/>
    <s v="BR04"/>
    <s v="Premium"/>
    <d v="2024-08-14T00:00:00"/>
    <d v="2024-09-13T00:00:00"/>
    <n v="1000"/>
    <n v="7000"/>
    <n v="15"/>
    <x v="0"/>
    <d v="2025-08-26T00:00:00"/>
    <s v="Highly Active"/>
    <s v="Unique"/>
    <x v="12"/>
    <d v="2025-08-26T00:00:00"/>
    <x v="0"/>
    <n v="1"/>
  </r>
  <r>
    <s v="MEM0014"/>
    <s v="BR05"/>
    <s v="Basic"/>
    <d v="2024-04-12T00:00:00"/>
    <d v="2024-07-11T00:00:00"/>
    <n v="1000"/>
    <n v="10000"/>
    <n v="10"/>
    <x v="0"/>
    <d v="2025-05-25T00:00:00"/>
    <s v="Moderate"/>
    <s v="Unique"/>
    <x v="9"/>
    <d v="2025-05-25T00:00:00"/>
    <x v="9"/>
    <n v="1"/>
  </r>
  <r>
    <s v="MEM0015"/>
    <s v="BR07"/>
    <s v="Standard"/>
    <d v="2024-07-23T00:00:00"/>
    <d v="2025-07-23T00:00:00"/>
    <n v="1000"/>
    <n v="9000"/>
    <n v="21"/>
    <x v="0"/>
    <d v="2025-12-12T00:00:00"/>
    <s v="Highly Active"/>
    <s v="Unique"/>
    <x v="13"/>
    <d v="2025-12-12T00:00:00"/>
    <x v="10"/>
    <n v="1"/>
  </r>
  <r>
    <s v="MEM0016"/>
    <s v="BR06"/>
    <s v="Standard"/>
    <d v="2025-02-01T00:00:00"/>
    <d v="2025-03-03T00:00:00"/>
    <n v="3500"/>
    <n v="42000"/>
    <n v="6"/>
    <x v="0"/>
    <d v="2025-04-11T00:00:00"/>
    <s v="Moderate"/>
    <s v="Unique"/>
    <x v="14"/>
    <d v="2025-04-11T00:00:00"/>
    <x v="3"/>
    <n v="1"/>
  </r>
  <r>
    <s v="MEM0017"/>
    <s v="BR01"/>
    <s v="Basic"/>
    <d v="2024-03-07T00:00:00"/>
    <d v="2025-03-07T00:00:00"/>
    <n v="3500"/>
    <n v="7000"/>
    <n v="16"/>
    <x v="0"/>
    <d v="2024-04-30T00:00:00"/>
    <s v="Highly Active"/>
    <s v="Unique"/>
    <x v="11"/>
    <d v="2024-04-30T00:00:00"/>
    <x v="11"/>
    <n v="1"/>
  </r>
  <r>
    <s v="MEM0018"/>
    <s v="BR03"/>
    <s v="Basic"/>
    <d v="2025-08-03T00:00:00"/>
    <d v="2026-08-03T00:00:00"/>
    <n v="3500"/>
    <n v="14000"/>
    <n v="14"/>
    <x v="1"/>
    <d v="2026-02-06T00:00:00"/>
    <s v="Moderate"/>
    <s v="Unique"/>
    <x v="4"/>
    <d v="2026-02-06T00:00:00"/>
    <x v="12"/>
    <n v="0"/>
  </r>
  <r>
    <s v="MEM0019"/>
    <s v="BR04"/>
    <s v="Basic"/>
    <d v="2024-05-17T00:00:00"/>
    <d v="2024-06-16T00:00:00"/>
    <n v="3500"/>
    <n v="10500"/>
    <n v="23"/>
    <x v="0"/>
    <d v="2026-02-19T00:00:00"/>
    <s v="Highly Active"/>
    <s v="Unique"/>
    <x v="15"/>
    <d v="2026-02-19T00:00:00"/>
    <x v="8"/>
    <n v="1"/>
  </r>
  <r>
    <s v="MEM0020"/>
    <s v="BR07"/>
    <s v="Premium"/>
    <d v="2023-02-17T00:00:00"/>
    <d v="2023-03-19T00:00:00"/>
    <n v="2000"/>
    <n v="4000"/>
    <n v="19"/>
    <x v="0"/>
    <d v="2023-07-16T00:00:00"/>
    <s v="Highly Active"/>
    <s v="Unique"/>
    <x v="16"/>
    <d v="2023-07-16T00:00:00"/>
    <x v="13"/>
    <n v="1"/>
  </r>
  <r>
    <s v="MEM0021"/>
    <s v="BR04"/>
    <s v="Basic"/>
    <d v="2024-12-03T00:00:00"/>
    <d v="2025-01-02T00:00:00"/>
    <n v="3500"/>
    <n v="21000"/>
    <n v="17"/>
    <x v="0"/>
    <d v="2025-10-20T00:00:00"/>
    <s v="Highly Active"/>
    <s v="Unique"/>
    <x v="0"/>
    <d v="2025-10-20T00:00:00"/>
    <x v="2"/>
    <n v="1"/>
  </r>
  <r>
    <s v="MEM0022"/>
    <s v="BR07"/>
    <s v="Premium"/>
    <d v="2024-02-04T00:00:00"/>
    <d v="2024-03-05T00:00:00"/>
    <n v="1000"/>
    <n v="5000"/>
    <n v="18"/>
    <x v="0"/>
    <d v="2025-07-27T00:00:00"/>
    <s v="Highly Active"/>
    <s v="Unique"/>
    <x v="3"/>
    <d v="2025-07-27T00:00:00"/>
    <x v="5"/>
    <n v="1"/>
  </r>
  <r>
    <s v="MEM0023"/>
    <s v="BR05"/>
    <s v="Premium"/>
    <d v="2025-07-20T00:00:00"/>
    <d v="2026-07-20T00:00:00"/>
    <n v="1000"/>
    <n v="3000"/>
    <n v="9"/>
    <x v="0"/>
    <d v="2026-03-21T00:00:00"/>
    <s v="Moderate"/>
    <s v="Unique"/>
    <x v="17"/>
    <d v="2026-03-21T00:00:00"/>
    <x v="14"/>
    <n v="1"/>
  </r>
  <r>
    <s v="MEM0024"/>
    <s v="BR01"/>
    <s v="Standard"/>
    <d v="2025-06-06T00:00:00"/>
    <d v="2025-09-04T00:00:00"/>
    <n v="1000"/>
    <n v="2000"/>
    <n v="4"/>
    <x v="1"/>
    <d v="2025-07-17T00:00:00"/>
    <s v="At Risk"/>
    <s v="Unique"/>
    <x v="18"/>
    <d v="2025-07-17T00:00:00"/>
    <x v="11"/>
    <n v="0"/>
  </r>
  <r>
    <s v="MEM0025"/>
    <s v="BR03"/>
    <s v="Premium"/>
    <d v="2025-11-02T00:00:00"/>
    <d v="2026-11-02T00:00:00"/>
    <n v="1000"/>
    <n v="12000"/>
    <n v="13"/>
    <x v="0"/>
    <d v="2026-02-05T00:00:00"/>
    <s v="Moderate"/>
    <s v="Unique"/>
    <x v="7"/>
    <d v="2026-02-05T00:00:00"/>
    <x v="15"/>
    <n v="1"/>
  </r>
  <r>
    <s v="MEM0026"/>
    <s v="BR01"/>
    <s v="Standard"/>
    <d v="2024-10-06T00:00:00"/>
    <d v="2025-01-04T00:00:00"/>
    <n v="3500"/>
    <n v="7000"/>
    <n v="12"/>
    <x v="0"/>
    <d v="2025-01-29T00:00:00"/>
    <s v="Moderate"/>
    <s v="Unique"/>
    <x v="19"/>
    <d v="2025-01-29T00:00:00"/>
    <x v="15"/>
    <n v="1"/>
  </r>
  <r>
    <s v="MEM0027"/>
    <s v="BR07"/>
    <s v="Basic"/>
    <d v="2023-02-02T00:00:00"/>
    <d v="2023-03-04T00:00:00"/>
    <n v="3500"/>
    <n v="31500"/>
    <n v="16"/>
    <x v="0"/>
    <d v="2025-10-20T00:00:00"/>
    <s v="Highly Active"/>
    <s v="Unique"/>
    <x v="16"/>
    <d v="2025-10-20T00:00:00"/>
    <x v="16"/>
    <n v="1"/>
  </r>
  <r>
    <s v="MEM0028"/>
    <s v="BR04"/>
    <s v="Standard"/>
    <d v="2023-06-20T00:00:00"/>
    <d v="2024-06-19T00:00:00"/>
    <n v="1000"/>
    <n v="10000"/>
    <n v="17"/>
    <x v="0"/>
    <d v="2024-07-26T00:00:00"/>
    <s v="Highly Active"/>
    <s v="Unique"/>
    <x v="10"/>
    <d v="2024-07-26T00:00:00"/>
    <x v="9"/>
    <n v="1"/>
  </r>
  <r>
    <s v="MEM0029"/>
    <s v="BR07"/>
    <s v="Basic"/>
    <d v="2025-11-10T00:00:00"/>
    <d v="2026-11-10T00:00:00"/>
    <n v="3500"/>
    <n v="17500"/>
    <n v="1"/>
    <x v="1"/>
    <d v="2026-03-29T00:00:00"/>
    <s v="At Risk"/>
    <s v="Unique"/>
    <x v="7"/>
    <d v="2026-03-29T00:00:00"/>
    <x v="13"/>
    <n v="0"/>
  </r>
  <r>
    <s v="MEM0030"/>
    <s v="BR04"/>
    <s v="Standard"/>
    <d v="2023-03-03T00:00:00"/>
    <d v="2024-03-02T00:00:00"/>
    <n v="3500"/>
    <n v="35000"/>
    <n v="0"/>
    <x v="1"/>
    <d v="2023-12-04T00:00:00"/>
    <s v="At Risk"/>
    <s v="Unique"/>
    <x v="20"/>
    <d v="2023-12-04T00:00:00"/>
    <x v="6"/>
    <n v="0"/>
  </r>
  <r>
    <s v="MEM0031"/>
    <s v="BR07"/>
    <s v="Standard"/>
    <d v="2024-07-20T00:00:00"/>
    <d v="2024-10-18T00:00:00"/>
    <n v="2000"/>
    <n v="4000"/>
    <n v="19"/>
    <x v="0"/>
    <d v="2025-06-19T00:00:00"/>
    <s v="Highly Active"/>
    <s v="Unique"/>
    <x v="13"/>
    <d v="2025-06-19T00:00:00"/>
    <x v="2"/>
    <n v="1"/>
  </r>
  <r>
    <s v="MEM0032"/>
    <s v="BR07"/>
    <s v="Basic"/>
    <d v="2023-11-17T00:00:00"/>
    <d v="2024-02-15T00:00:00"/>
    <n v="3500"/>
    <n v="38500"/>
    <n v="11"/>
    <x v="0"/>
    <d v="2025-11-26T00:00:00"/>
    <s v="Moderate"/>
    <s v="Unique"/>
    <x v="21"/>
    <d v="2025-11-26T00:00:00"/>
    <x v="17"/>
    <n v="1"/>
  </r>
  <r>
    <s v="MEM0033"/>
    <s v="BR05"/>
    <s v="Standard"/>
    <d v="2023-12-16T00:00:00"/>
    <d v="2024-12-15T00:00:00"/>
    <n v="2000"/>
    <n v="18000"/>
    <n v="21"/>
    <x v="0"/>
    <d v="2025-11-20T00:00:00"/>
    <s v="Highly Active"/>
    <s v="Unique"/>
    <x v="22"/>
    <d v="2025-11-20T00:00:00"/>
    <x v="18"/>
    <n v="1"/>
  </r>
  <r>
    <s v="MEM0034"/>
    <s v="BR06"/>
    <s v="Standard"/>
    <d v="2024-11-25T00:00:00"/>
    <d v="2025-11-25T00:00:00"/>
    <n v="2000"/>
    <n v="16000"/>
    <n v="24"/>
    <x v="0"/>
    <d v="2025-03-02T00:00:00"/>
    <s v="Highly Active"/>
    <s v="Unique"/>
    <x v="23"/>
    <d v="2025-03-02T00:00:00"/>
    <x v="15"/>
    <n v="1"/>
  </r>
  <r>
    <s v="MEM0035"/>
    <s v="BR01"/>
    <s v="Standard"/>
    <d v="2024-02-18T00:00:00"/>
    <d v="2024-03-19T00:00:00"/>
    <n v="1000"/>
    <n v="1000"/>
    <n v="1"/>
    <x v="0"/>
    <d v="2025-08-12T00:00:00"/>
    <s v="At Risk"/>
    <s v="Unique"/>
    <x v="3"/>
    <d v="2025-08-12T00:00:00"/>
    <x v="5"/>
    <n v="1"/>
  </r>
  <r>
    <s v="MEM0036"/>
    <s v="BR05"/>
    <s v="Standard"/>
    <d v="2023-01-24T00:00:00"/>
    <d v="2023-04-24T00:00:00"/>
    <n v="3500"/>
    <n v="3500"/>
    <n v="9"/>
    <x v="0"/>
    <d v="2025-10-31T00:00:00"/>
    <s v="Moderate"/>
    <s v="Unique"/>
    <x v="2"/>
    <d v="2025-10-31T00:00:00"/>
    <x v="19"/>
    <n v="1"/>
  </r>
  <r>
    <s v="MEM0037"/>
    <s v="BR07"/>
    <s v="Standard"/>
    <d v="2025-07-17T00:00:00"/>
    <d v="2025-10-15T00:00:00"/>
    <n v="3500"/>
    <n v="14000"/>
    <n v="13"/>
    <x v="0"/>
    <d v="2026-01-31T00:00:00"/>
    <s v="Moderate"/>
    <s v="Unique"/>
    <x v="17"/>
    <d v="2026-01-31T00:00:00"/>
    <x v="12"/>
    <n v="1"/>
  </r>
  <r>
    <s v="MEM0038"/>
    <s v="BR02"/>
    <s v="Basic"/>
    <d v="2025-01-16T00:00:00"/>
    <d v="2025-04-16T00:00:00"/>
    <n v="3500"/>
    <n v="7000"/>
    <n v="13"/>
    <x v="0"/>
    <d v="2025-04-12T00:00:00"/>
    <s v="Moderate"/>
    <s v="Unique"/>
    <x v="5"/>
    <d v="2025-04-12T00:00:00"/>
    <x v="3"/>
    <n v="1"/>
  </r>
  <r>
    <s v="MEM0039"/>
    <s v="BR05"/>
    <s v="Premium"/>
    <d v="2025-12-27T00:00:00"/>
    <d v="2026-01-26T00:00:00"/>
    <n v="2000"/>
    <n v="12000"/>
    <n v="15"/>
    <x v="0"/>
    <d v="2026-03-07T00:00:00"/>
    <s v="Highly Active"/>
    <s v="Unique"/>
    <x v="24"/>
    <d v="2026-03-07T00:00:00"/>
    <x v="3"/>
    <n v="1"/>
  </r>
  <r>
    <s v="MEM0040"/>
    <s v="BR04"/>
    <s v="Basic"/>
    <d v="2025-11-26T00:00:00"/>
    <d v="2026-11-26T00:00:00"/>
    <n v="3500"/>
    <n v="10500"/>
    <n v="15"/>
    <x v="1"/>
    <d v="2026-03-11T00:00:00"/>
    <s v="Highly Active"/>
    <s v="Unique"/>
    <x v="7"/>
    <d v="2026-03-11T00:00:00"/>
    <x v="15"/>
    <n v="0"/>
  </r>
  <r>
    <s v="MEM0041"/>
    <s v="BR03"/>
    <s v="Basic"/>
    <d v="2024-06-16T00:00:00"/>
    <d v="2025-06-16T00:00:00"/>
    <n v="1000"/>
    <n v="6000"/>
    <n v="17"/>
    <x v="0"/>
    <d v="2024-10-25T00:00:00"/>
    <s v="Highly Active"/>
    <s v="Unique"/>
    <x v="1"/>
    <d v="2024-10-25T00:00:00"/>
    <x v="13"/>
    <n v="1"/>
  </r>
  <r>
    <s v="MEM0042"/>
    <s v="BR07"/>
    <s v="Premium"/>
    <d v="2023-09-02T00:00:00"/>
    <d v="2023-10-02T00:00:00"/>
    <n v="3500"/>
    <n v="31500"/>
    <n v="20"/>
    <x v="1"/>
    <d v="2025-12-26T00:00:00"/>
    <s v="Highly Active"/>
    <s v="Unique"/>
    <x v="25"/>
    <d v="2025-12-26T00:00:00"/>
    <x v="20"/>
    <n v="0"/>
  </r>
  <r>
    <s v="MEM0043"/>
    <s v="BR01"/>
    <s v="Premium"/>
    <d v="2025-04-12T00:00:00"/>
    <d v="2025-07-11T00:00:00"/>
    <n v="3500"/>
    <n v="7000"/>
    <n v="13"/>
    <x v="0"/>
    <d v="2025-12-20T00:00:00"/>
    <s v="Moderate"/>
    <s v="Unique"/>
    <x v="26"/>
    <d v="2025-12-20T00:00:00"/>
    <x v="14"/>
    <n v="1"/>
  </r>
  <r>
    <s v="MEM0044"/>
    <s v="BR03"/>
    <s v="Premium"/>
    <d v="2023-08-04T00:00:00"/>
    <d v="2023-09-03T00:00:00"/>
    <n v="2000"/>
    <n v="24000"/>
    <n v="11"/>
    <x v="0"/>
    <d v="2024-08-20T00:00:00"/>
    <s v="Moderate"/>
    <s v="Unique"/>
    <x v="27"/>
    <d v="2024-08-20T00:00:00"/>
    <x v="0"/>
    <n v="1"/>
  </r>
  <r>
    <s v="MEM0045"/>
    <s v="BR07"/>
    <s v="Standard"/>
    <d v="2025-08-25T00:00:00"/>
    <d v="2025-11-23T00:00:00"/>
    <n v="1000"/>
    <n v="7000"/>
    <n v="23"/>
    <x v="0"/>
    <d v="2026-01-20T00:00:00"/>
    <s v="Highly Active"/>
    <s v="Unique"/>
    <x v="4"/>
    <d v="2026-01-20T00:00:00"/>
    <x v="13"/>
    <n v="1"/>
  </r>
  <r>
    <s v="MEM0046"/>
    <s v="BR06"/>
    <s v="Basic"/>
    <d v="2024-07-24T00:00:00"/>
    <d v="2024-08-23T00:00:00"/>
    <n v="1000"/>
    <n v="2000"/>
    <n v="24"/>
    <x v="0"/>
    <d v="2025-10-17T00:00:00"/>
    <s v="Highly Active"/>
    <s v="Unique"/>
    <x v="13"/>
    <d v="2025-10-17T00:00:00"/>
    <x v="7"/>
    <n v="1"/>
  </r>
  <r>
    <s v="MEM0047"/>
    <s v="BR05"/>
    <s v="Standard"/>
    <d v="2024-09-06T00:00:00"/>
    <d v="2024-10-06T00:00:00"/>
    <n v="1000"/>
    <n v="7000"/>
    <n v="12"/>
    <x v="0"/>
    <d v="2024-11-01T00:00:00"/>
    <s v="Moderate"/>
    <s v="Unique"/>
    <x v="8"/>
    <d v="2024-11-01T00:00:00"/>
    <x v="11"/>
    <n v="1"/>
  </r>
  <r>
    <s v="MEM0048"/>
    <s v="BR03"/>
    <s v="Standard"/>
    <d v="2023-03-30T00:00:00"/>
    <d v="2024-03-29T00:00:00"/>
    <n v="1000"/>
    <n v="8000"/>
    <n v="9"/>
    <x v="0"/>
    <d v="2025-10-06T00:00:00"/>
    <s v="Moderate"/>
    <s v="Unique"/>
    <x v="20"/>
    <d v="2025-10-06T00:00:00"/>
    <x v="21"/>
    <n v="1"/>
  </r>
  <r>
    <s v="MEM0049"/>
    <s v="BR04"/>
    <s v="Premium"/>
    <d v="2025-12-12T00:00:00"/>
    <d v="2026-03-12T00:00:00"/>
    <n v="3500"/>
    <n v="14000"/>
    <n v="24"/>
    <x v="0"/>
    <d v="2026-04-06T00:00:00"/>
    <s v="Highly Active"/>
    <s v="Unique"/>
    <x v="24"/>
    <d v="2026-04-06T00:00:00"/>
    <x v="15"/>
    <n v="1"/>
  </r>
  <r>
    <s v="MEM0050"/>
    <s v="BR01"/>
    <s v="Standard"/>
    <d v="2024-02-08T00:00:00"/>
    <d v="2025-02-07T00:00:00"/>
    <n v="3500"/>
    <n v="21000"/>
    <n v="22"/>
    <x v="1"/>
    <d v="2025-12-07T00:00:00"/>
    <s v="Highly Active"/>
    <s v="Unique"/>
    <x v="3"/>
    <d v="2025-12-07T00:00:00"/>
    <x v="8"/>
    <n v="0"/>
  </r>
  <r>
    <s v="MEM0051"/>
    <s v="BR03"/>
    <s v="Premium"/>
    <d v="2023-02-27T00:00:00"/>
    <d v="2024-02-27T00:00:00"/>
    <n v="3500"/>
    <n v="21000"/>
    <n v="0"/>
    <x v="0"/>
    <d v="2023-03-29T00:00:00"/>
    <s v="At Risk"/>
    <s v="Unique"/>
    <x v="16"/>
    <d v="2023-03-29T00:00:00"/>
    <x v="11"/>
    <n v="1"/>
  </r>
  <r>
    <s v="MEM0052"/>
    <s v="BR06"/>
    <s v="Standard"/>
    <d v="2023-11-07T00:00:00"/>
    <d v="2024-11-06T00:00:00"/>
    <n v="2000"/>
    <n v="18000"/>
    <n v="1"/>
    <x v="1"/>
    <d v="2024-01-21T00:00:00"/>
    <s v="At Risk"/>
    <s v="Unique"/>
    <x v="21"/>
    <d v="2024-01-21T00:00:00"/>
    <x v="3"/>
    <n v="0"/>
  </r>
  <r>
    <s v="MEM0053"/>
    <s v="BR06"/>
    <s v="Premium"/>
    <d v="2023-04-06T00:00:00"/>
    <d v="2024-04-05T00:00:00"/>
    <n v="2000"/>
    <n v="22000"/>
    <n v="6"/>
    <x v="0"/>
    <d v="2025-06-21T00:00:00"/>
    <s v="Moderate"/>
    <s v="Unique"/>
    <x v="28"/>
    <d v="2025-06-21T00:00:00"/>
    <x v="22"/>
    <n v="1"/>
  </r>
  <r>
    <s v="MEM0054"/>
    <s v="BR06"/>
    <s v="Premium"/>
    <d v="2024-02-19T00:00:00"/>
    <d v="2024-03-20T00:00:00"/>
    <n v="2000"/>
    <n v="22000"/>
    <n v="17"/>
    <x v="0"/>
    <d v="2024-04-24T00:00:00"/>
    <s v="Highly Active"/>
    <s v="Unique"/>
    <x v="3"/>
    <d v="2024-04-24T00:00:00"/>
    <x v="3"/>
    <n v="1"/>
  </r>
  <r>
    <s v="MEM0055"/>
    <s v="BR05"/>
    <s v="Basic"/>
    <d v="2024-12-05T00:00:00"/>
    <d v="2025-03-05T00:00:00"/>
    <n v="3500"/>
    <n v="31500"/>
    <n v="15"/>
    <x v="0"/>
    <d v="2026-04-08T00:00:00"/>
    <s v="Highly Active"/>
    <s v="Unique"/>
    <x v="0"/>
    <d v="2026-04-08T00:00:00"/>
    <x v="10"/>
    <n v="1"/>
  </r>
  <r>
    <s v="MEM0056"/>
    <s v="BR04"/>
    <s v="Standard"/>
    <d v="2025-02-09T00:00:00"/>
    <d v="2025-03-11T00:00:00"/>
    <n v="2000"/>
    <n v="12000"/>
    <n v="23"/>
    <x v="0"/>
    <d v="2025-08-23T00:00:00"/>
    <s v="Highly Active"/>
    <s v="Unique"/>
    <x v="14"/>
    <d v="2025-08-23T00:00:00"/>
    <x v="12"/>
    <n v="1"/>
  </r>
  <r>
    <s v="MEM0057"/>
    <s v="BR03"/>
    <s v="Standard"/>
    <d v="2024-07-18T00:00:00"/>
    <d v="2024-10-16T00:00:00"/>
    <n v="3500"/>
    <n v="14000"/>
    <n v="1"/>
    <x v="1"/>
    <d v="2024-08-02T00:00:00"/>
    <s v="At Risk"/>
    <s v="Unique"/>
    <x v="13"/>
    <d v="2024-08-02T00:00:00"/>
    <x v="23"/>
    <n v="0"/>
  </r>
  <r>
    <s v="MEM0058"/>
    <s v="BR06"/>
    <s v="Standard"/>
    <d v="2023-09-14T00:00:00"/>
    <d v="2023-10-14T00:00:00"/>
    <n v="1000"/>
    <n v="4000"/>
    <n v="17"/>
    <x v="0"/>
    <d v="2025-02-24T00:00:00"/>
    <s v="Highly Active"/>
    <s v="Unique"/>
    <x v="25"/>
    <d v="2025-02-24T00:00:00"/>
    <x v="5"/>
    <n v="1"/>
  </r>
  <r>
    <s v="MEM0059"/>
    <s v="BR07"/>
    <s v="Standard"/>
    <d v="2023-05-21T00:00:00"/>
    <d v="2023-06-20T00:00:00"/>
    <n v="1000"/>
    <n v="1000"/>
    <n v="9"/>
    <x v="0"/>
    <d v="2023-07-23T00:00:00"/>
    <s v="Moderate"/>
    <s v="Unique"/>
    <x v="29"/>
    <d v="2023-07-23T00:00:00"/>
    <x v="3"/>
    <n v="1"/>
  </r>
  <r>
    <s v="MEM0060"/>
    <s v="BR02"/>
    <s v="Premium"/>
    <d v="2024-02-02T00:00:00"/>
    <d v="2024-05-02T00:00:00"/>
    <n v="1000"/>
    <n v="7000"/>
    <n v="13"/>
    <x v="0"/>
    <d v="2026-02-20T00:00:00"/>
    <s v="Moderate"/>
    <s v="Unique"/>
    <x v="3"/>
    <d v="2026-02-20T00:00:00"/>
    <x v="17"/>
    <n v="1"/>
  </r>
  <r>
    <s v="MEM0061"/>
    <s v="BR02"/>
    <s v="Basic"/>
    <d v="2024-04-14T00:00:00"/>
    <d v="2025-04-14T00:00:00"/>
    <n v="1000"/>
    <n v="7000"/>
    <n v="7"/>
    <x v="0"/>
    <d v="2025-07-14T00:00:00"/>
    <s v="Moderate"/>
    <s v="Unique"/>
    <x v="9"/>
    <d v="2025-07-14T00:00:00"/>
    <x v="24"/>
    <n v="1"/>
  </r>
  <r>
    <s v="MEM0062"/>
    <s v="BR07"/>
    <s v="Basic"/>
    <d v="2025-07-23T00:00:00"/>
    <d v="2026-07-23T00:00:00"/>
    <n v="1000"/>
    <n v="11000"/>
    <n v="8"/>
    <x v="0"/>
    <d v="2025-08-06T00:00:00"/>
    <s v="Moderate"/>
    <s v="Unique"/>
    <x v="17"/>
    <d v="2025-08-06T00:00:00"/>
    <x v="23"/>
    <n v="1"/>
  </r>
  <r>
    <s v="MEM0063"/>
    <s v="BR07"/>
    <s v="Basic"/>
    <d v="2023-11-21T00:00:00"/>
    <d v="2023-12-21T00:00:00"/>
    <n v="3500"/>
    <n v="21000"/>
    <n v="10"/>
    <x v="0"/>
    <d v="2024-07-27T00:00:00"/>
    <s v="Moderate"/>
    <s v="Unique"/>
    <x v="21"/>
    <d v="2024-07-27T00:00:00"/>
    <x v="14"/>
    <n v="1"/>
  </r>
  <r>
    <s v="MEM0064"/>
    <s v="BR07"/>
    <s v="Premium"/>
    <d v="2024-10-05T00:00:00"/>
    <d v="2025-01-03T00:00:00"/>
    <n v="1000"/>
    <n v="10000"/>
    <n v="14"/>
    <x v="0"/>
    <d v="2025-04-24T00:00:00"/>
    <s v="Moderate"/>
    <s v="Unique"/>
    <x v="19"/>
    <d v="2025-04-24T00:00:00"/>
    <x v="12"/>
    <n v="1"/>
  </r>
  <r>
    <s v="MEM0065"/>
    <s v="BR03"/>
    <s v="Basic"/>
    <d v="2024-10-07T00:00:00"/>
    <d v="2025-10-07T00:00:00"/>
    <n v="1000"/>
    <n v="11000"/>
    <n v="14"/>
    <x v="0"/>
    <d v="2025-04-13T00:00:00"/>
    <s v="Moderate"/>
    <s v="Unique"/>
    <x v="19"/>
    <d v="2025-04-13T00:00:00"/>
    <x v="12"/>
    <n v="1"/>
  </r>
  <r>
    <s v="MEM0066"/>
    <s v="BR07"/>
    <s v="Premium"/>
    <d v="2023-04-05T00:00:00"/>
    <d v="2023-07-04T00:00:00"/>
    <n v="2000"/>
    <n v="4000"/>
    <n v="14"/>
    <x v="0"/>
    <d v="2025-03-28T00:00:00"/>
    <s v="Moderate"/>
    <s v="Unique"/>
    <x v="28"/>
    <d v="2025-03-28T00:00:00"/>
    <x v="18"/>
    <n v="1"/>
  </r>
  <r>
    <s v="MEM0067"/>
    <s v="BR06"/>
    <s v="Standard"/>
    <d v="2023-09-29T00:00:00"/>
    <d v="2023-12-28T00:00:00"/>
    <n v="1000"/>
    <n v="11000"/>
    <n v="7"/>
    <x v="1"/>
    <d v="2024-12-10T00:00:00"/>
    <s v="Moderate"/>
    <s v="Unique"/>
    <x v="25"/>
    <d v="2024-12-10T00:00:00"/>
    <x v="7"/>
    <n v="0"/>
  </r>
  <r>
    <s v="MEM0068"/>
    <s v="BR01"/>
    <s v="Basic"/>
    <d v="2023-06-12T00:00:00"/>
    <d v="2024-06-11T00:00:00"/>
    <n v="3500"/>
    <n v="14000"/>
    <n v="19"/>
    <x v="1"/>
    <d v="2025-09-14T00:00:00"/>
    <s v="Highly Active"/>
    <s v="Unique"/>
    <x v="10"/>
    <d v="2025-09-14T00:00:00"/>
    <x v="20"/>
    <n v="0"/>
  </r>
  <r>
    <s v="MEM0069"/>
    <s v="BR07"/>
    <s v="Premium"/>
    <d v="2025-07-04T00:00:00"/>
    <d v="2026-07-04T00:00:00"/>
    <n v="3500"/>
    <n v="17500"/>
    <n v="19"/>
    <x v="0"/>
    <d v="2026-01-26T00:00:00"/>
    <s v="Highly Active"/>
    <s v="Unique"/>
    <x v="17"/>
    <d v="2026-01-26T00:00:00"/>
    <x v="12"/>
    <n v="1"/>
  </r>
  <r>
    <s v="MEM0070"/>
    <s v="BR02"/>
    <s v="Standard"/>
    <d v="2023-05-01T00:00:00"/>
    <d v="2024-04-30T00:00:00"/>
    <n v="1000"/>
    <n v="7000"/>
    <n v="17"/>
    <x v="1"/>
    <d v="2026-01-08T00:00:00"/>
    <s v="Highly Active"/>
    <s v="Unique"/>
    <x v="29"/>
    <d v="2026-01-08T00:00:00"/>
    <x v="16"/>
    <n v="0"/>
  </r>
  <r>
    <s v="MEM0071"/>
    <s v="BR05"/>
    <s v="Standard"/>
    <d v="2024-12-02T00:00:00"/>
    <d v="2025-01-01T00:00:00"/>
    <n v="2000"/>
    <n v="22000"/>
    <n v="17"/>
    <x v="0"/>
    <d v="2025-01-24T00:00:00"/>
    <s v="Highly Active"/>
    <s v="Unique"/>
    <x v="0"/>
    <d v="2025-01-24T00:00:00"/>
    <x v="11"/>
    <n v="1"/>
  </r>
  <r>
    <s v="MEM0072"/>
    <s v="BR05"/>
    <s v="Standard"/>
    <d v="2025-07-21T00:00:00"/>
    <d v="2026-07-21T00:00:00"/>
    <n v="2000"/>
    <n v="14000"/>
    <n v="4"/>
    <x v="0"/>
    <d v="2025-10-27T00:00:00"/>
    <s v="At Risk"/>
    <s v="Unique"/>
    <x v="17"/>
    <d v="2025-10-27T00:00:00"/>
    <x v="15"/>
    <n v="1"/>
  </r>
  <r>
    <s v="MEM0073"/>
    <s v="BR04"/>
    <s v="Standard"/>
    <d v="2025-01-30T00:00:00"/>
    <d v="2025-03-01T00:00:00"/>
    <n v="3500"/>
    <n v="35000"/>
    <n v="18"/>
    <x v="0"/>
    <d v="2025-09-12T00:00:00"/>
    <s v="Highly Active"/>
    <s v="Unique"/>
    <x v="5"/>
    <d v="2025-09-12T00:00:00"/>
    <x v="25"/>
    <n v="1"/>
  </r>
  <r>
    <s v="MEM0074"/>
    <s v="BR04"/>
    <s v="Standard"/>
    <d v="2023-11-13T00:00:00"/>
    <d v="2024-11-12T00:00:00"/>
    <n v="1000"/>
    <n v="2000"/>
    <n v="8"/>
    <x v="0"/>
    <d v="2025-01-07T00:00:00"/>
    <s v="Moderate"/>
    <s v="Unique"/>
    <x v="21"/>
    <d v="2025-01-07T00:00:00"/>
    <x v="9"/>
    <n v="1"/>
  </r>
  <r>
    <s v="MEM0075"/>
    <s v="BR07"/>
    <s v="Basic"/>
    <d v="2025-04-15T00:00:00"/>
    <d v="2025-05-15T00:00:00"/>
    <n v="2000"/>
    <n v="16000"/>
    <n v="8"/>
    <x v="0"/>
    <d v="2026-02-01T00:00:00"/>
    <s v="Moderate"/>
    <s v="Unique"/>
    <x v="26"/>
    <d v="2026-02-01T00:00:00"/>
    <x v="6"/>
    <n v="1"/>
  </r>
  <r>
    <s v="MEM0076"/>
    <s v="BR04"/>
    <s v="Basic"/>
    <d v="2025-05-26T00:00:00"/>
    <d v="2026-05-26T00:00:00"/>
    <n v="1000"/>
    <n v="4000"/>
    <n v="0"/>
    <x v="1"/>
    <d v="2025-12-24T00:00:00"/>
    <s v="At Risk"/>
    <s v="Unique"/>
    <x v="30"/>
    <d v="2025-12-24T00:00:00"/>
    <x v="12"/>
    <n v="0"/>
  </r>
  <r>
    <s v="MEM0077"/>
    <s v="BR05"/>
    <s v="Standard"/>
    <d v="2025-11-03T00:00:00"/>
    <d v="2025-12-03T00:00:00"/>
    <n v="1000"/>
    <n v="9000"/>
    <n v="14"/>
    <x v="0"/>
    <d v="2025-11-10T00:00:00"/>
    <s v="Moderate"/>
    <s v="Unique"/>
    <x v="7"/>
    <d v="2025-11-10T00:00:00"/>
    <x v="23"/>
    <n v="1"/>
  </r>
  <r>
    <s v="MEM0078"/>
    <s v="BR06"/>
    <s v="Premium"/>
    <d v="2023-07-17T00:00:00"/>
    <d v="2024-07-16T00:00:00"/>
    <n v="3500"/>
    <n v="7000"/>
    <n v="20"/>
    <x v="0"/>
    <d v="2023-09-02T00:00:00"/>
    <s v="Highly Active"/>
    <s v="Unique"/>
    <x v="6"/>
    <d v="2023-09-02T00:00:00"/>
    <x v="11"/>
    <n v="1"/>
  </r>
  <r>
    <s v="MEM0079"/>
    <s v="BR05"/>
    <s v="Premium"/>
    <d v="2025-07-30T00:00:00"/>
    <d v="2025-10-28T00:00:00"/>
    <n v="3500"/>
    <n v="3500"/>
    <n v="4"/>
    <x v="1"/>
    <d v="2025-10-19T00:00:00"/>
    <s v="At Risk"/>
    <s v="Unique"/>
    <x v="17"/>
    <d v="2025-10-19T00:00:00"/>
    <x v="3"/>
    <n v="0"/>
  </r>
  <r>
    <s v="MEM0080"/>
    <s v="BR07"/>
    <s v="Premium"/>
    <d v="2023-03-15T00:00:00"/>
    <d v="2024-03-14T00:00:00"/>
    <n v="3500"/>
    <n v="17500"/>
    <n v="25"/>
    <x v="0"/>
    <d v="2025-07-04T00:00:00"/>
    <s v="Highly Active"/>
    <s v="Unique"/>
    <x v="20"/>
    <d v="2025-07-04T00:00:00"/>
    <x v="20"/>
    <n v="1"/>
  </r>
  <r>
    <s v="MEM0081"/>
    <s v="BR04"/>
    <s v="Basic"/>
    <d v="2023-10-05T00:00:00"/>
    <d v="2023-11-04T00:00:00"/>
    <n v="3500"/>
    <n v="3500"/>
    <n v="23"/>
    <x v="0"/>
    <d v="2026-02-10T00:00:00"/>
    <s v="Highly Active"/>
    <s v="Unique"/>
    <x v="31"/>
    <d v="2026-02-10T00:00:00"/>
    <x v="26"/>
    <n v="1"/>
  </r>
  <r>
    <s v="MEM0082"/>
    <s v="BR07"/>
    <s v="Basic"/>
    <d v="2025-01-29T00:00:00"/>
    <d v="2025-02-28T00:00:00"/>
    <n v="3500"/>
    <n v="14000"/>
    <n v="20"/>
    <x v="0"/>
    <d v="2025-10-19T00:00:00"/>
    <s v="Highly Active"/>
    <s v="Unique"/>
    <x v="5"/>
    <d v="2025-10-19T00:00:00"/>
    <x v="14"/>
    <n v="1"/>
  </r>
  <r>
    <s v="MEM0083"/>
    <s v="BR06"/>
    <s v="Basic"/>
    <d v="2025-04-09T00:00:00"/>
    <d v="2026-04-09T00:00:00"/>
    <n v="1000"/>
    <n v="2000"/>
    <n v="13"/>
    <x v="0"/>
    <d v="2026-02-02T00:00:00"/>
    <s v="Moderate"/>
    <s v="Unique"/>
    <x v="26"/>
    <d v="2026-02-02T00:00:00"/>
    <x v="6"/>
    <n v="1"/>
  </r>
  <r>
    <s v="MEM0084"/>
    <s v="BR04"/>
    <s v="Basic"/>
    <d v="2025-06-24T00:00:00"/>
    <d v="2025-09-22T00:00:00"/>
    <n v="2000"/>
    <n v="22000"/>
    <n v="7"/>
    <x v="0"/>
    <d v="2025-12-12T00:00:00"/>
    <s v="Moderate"/>
    <s v="Unique"/>
    <x v="18"/>
    <d v="2025-12-12T00:00:00"/>
    <x v="27"/>
    <n v="1"/>
  </r>
  <r>
    <s v="MEM0085"/>
    <s v="BR04"/>
    <s v="Basic"/>
    <d v="2025-04-17T00:00:00"/>
    <d v="2025-07-16T00:00:00"/>
    <n v="1000"/>
    <n v="10000"/>
    <n v="20"/>
    <x v="0"/>
    <d v="2026-01-07T00:00:00"/>
    <s v="Highly Active"/>
    <s v="Unique"/>
    <x v="26"/>
    <d v="2026-01-07T00:00:00"/>
    <x v="14"/>
    <n v="1"/>
  </r>
  <r>
    <s v="MEM0086"/>
    <s v="BR07"/>
    <s v="Standard"/>
    <d v="2025-10-08T00:00:00"/>
    <d v="2026-01-06T00:00:00"/>
    <n v="2000"/>
    <n v="12000"/>
    <n v="25"/>
    <x v="0"/>
    <d v="2025-10-14T00:00:00"/>
    <s v="Highly Active"/>
    <s v="Unique"/>
    <x v="32"/>
    <d v="2025-10-14T00:00:00"/>
    <x v="23"/>
    <n v="1"/>
  </r>
  <r>
    <s v="MEM0087"/>
    <s v="BR06"/>
    <s v="Basic"/>
    <d v="2023-06-10T00:00:00"/>
    <d v="2023-07-10T00:00:00"/>
    <n v="1000"/>
    <n v="9000"/>
    <n v="18"/>
    <x v="0"/>
    <d v="2024-12-29T00:00:00"/>
    <s v="Highly Active"/>
    <s v="Unique"/>
    <x v="10"/>
    <d v="2024-12-29T00:00:00"/>
    <x v="28"/>
    <n v="1"/>
  </r>
  <r>
    <s v="MEM0088"/>
    <s v="BR04"/>
    <s v="Standard"/>
    <d v="2024-07-27T00:00:00"/>
    <d v="2025-07-27T00:00:00"/>
    <n v="2000"/>
    <n v="8000"/>
    <n v="4"/>
    <x v="1"/>
    <d v="2024-08-07T00:00:00"/>
    <s v="At Risk"/>
    <s v="Unique"/>
    <x v="13"/>
    <d v="2024-08-07T00:00:00"/>
    <x v="23"/>
    <n v="0"/>
  </r>
  <r>
    <s v="MEM0089"/>
    <s v="BR05"/>
    <s v="Standard"/>
    <d v="2025-06-26T00:00:00"/>
    <d v="2026-06-26T00:00:00"/>
    <n v="2000"/>
    <n v="20000"/>
    <n v="18"/>
    <x v="0"/>
    <d v="2026-03-18T00:00:00"/>
    <s v="Highly Active"/>
    <s v="Unique"/>
    <x v="18"/>
    <d v="2026-03-18T00:00:00"/>
    <x v="14"/>
    <n v="1"/>
  </r>
  <r>
    <s v="MEM0090"/>
    <s v="BR05"/>
    <s v="Basic"/>
    <d v="2025-07-24T00:00:00"/>
    <d v="2025-10-22T00:00:00"/>
    <n v="3500"/>
    <n v="28000"/>
    <n v="9"/>
    <x v="0"/>
    <d v="2025-12-03T00:00:00"/>
    <s v="Moderate"/>
    <s v="Unique"/>
    <x v="17"/>
    <d v="2025-12-03T00:00:00"/>
    <x v="13"/>
    <n v="1"/>
  </r>
  <r>
    <s v="MEM0091"/>
    <s v="BR04"/>
    <s v="Premium"/>
    <d v="2025-07-31T00:00:00"/>
    <d v="2025-10-29T00:00:00"/>
    <n v="1000"/>
    <n v="11000"/>
    <n v="1"/>
    <x v="1"/>
    <d v="2025-08-20T00:00:00"/>
    <s v="At Risk"/>
    <s v="Unique"/>
    <x v="17"/>
    <d v="2025-08-20T00:00:00"/>
    <x v="23"/>
    <n v="0"/>
  </r>
  <r>
    <s v="MEM0092"/>
    <s v="BR02"/>
    <s v="Basic"/>
    <d v="2025-08-05T00:00:00"/>
    <d v="2025-09-04T00:00:00"/>
    <n v="3500"/>
    <n v="28000"/>
    <n v="3"/>
    <x v="1"/>
    <d v="2025-09-10T00:00:00"/>
    <s v="At Risk"/>
    <s v="Unique"/>
    <x v="4"/>
    <d v="2025-09-10T00:00:00"/>
    <x v="11"/>
    <n v="0"/>
  </r>
  <r>
    <s v="MEM0093"/>
    <s v="BR07"/>
    <s v="Basic"/>
    <d v="2023-12-17T00:00:00"/>
    <d v="2024-01-16T00:00:00"/>
    <n v="3500"/>
    <n v="17500"/>
    <n v="15"/>
    <x v="0"/>
    <d v="2025-09-27T00:00:00"/>
    <s v="Highly Active"/>
    <s v="Unique"/>
    <x v="22"/>
    <d v="2025-09-27T00:00:00"/>
    <x v="8"/>
    <n v="1"/>
  </r>
  <r>
    <s v="MEM0094"/>
    <s v="BR05"/>
    <s v="Premium"/>
    <d v="2024-03-17T00:00:00"/>
    <d v="2024-04-16T00:00:00"/>
    <n v="2000"/>
    <n v="14000"/>
    <n v="8"/>
    <x v="0"/>
    <d v="2025-10-05T00:00:00"/>
    <s v="Moderate"/>
    <s v="Unique"/>
    <x v="11"/>
    <d v="2025-10-05T00:00:00"/>
    <x v="28"/>
    <n v="1"/>
  </r>
  <r>
    <s v="MEM0095"/>
    <s v="BR07"/>
    <s v="Standard"/>
    <d v="2024-03-15T00:00:00"/>
    <d v="2024-04-14T00:00:00"/>
    <n v="2000"/>
    <n v="22000"/>
    <n v="24"/>
    <x v="0"/>
    <d v="2025-06-12T00:00:00"/>
    <s v="Highly Active"/>
    <s v="Unique"/>
    <x v="11"/>
    <d v="2025-06-12T00:00:00"/>
    <x v="7"/>
    <n v="1"/>
  </r>
  <r>
    <s v="MEM0096"/>
    <s v="BR04"/>
    <s v="Basic"/>
    <d v="2025-05-03T00:00:00"/>
    <d v="2025-06-02T00:00:00"/>
    <n v="2000"/>
    <n v="24000"/>
    <n v="5"/>
    <x v="0"/>
    <d v="2025-09-09T00:00:00"/>
    <s v="Moderate"/>
    <s v="Unique"/>
    <x v="30"/>
    <d v="2025-09-09T00:00:00"/>
    <x v="13"/>
    <n v="1"/>
  </r>
  <r>
    <s v="MEM0097"/>
    <s v="BR06"/>
    <s v="Standard"/>
    <d v="2023-09-07T00:00:00"/>
    <d v="2024-09-06T00:00:00"/>
    <n v="1000"/>
    <n v="4000"/>
    <n v="3"/>
    <x v="1"/>
    <d v="2025-01-28T00:00:00"/>
    <s v="At Risk"/>
    <s v="Unique"/>
    <x v="25"/>
    <d v="2025-01-28T00:00:00"/>
    <x v="10"/>
    <n v="0"/>
  </r>
  <r>
    <s v="MEM0098"/>
    <s v="BR06"/>
    <s v="Premium"/>
    <d v="2025-03-31T00:00:00"/>
    <d v="2025-06-29T00:00:00"/>
    <n v="1000"/>
    <n v="1000"/>
    <n v="11"/>
    <x v="0"/>
    <d v="2025-10-12T00:00:00"/>
    <s v="Moderate"/>
    <s v="Unique"/>
    <x v="33"/>
    <d v="2025-10-12T00:00:00"/>
    <x v="12"/>
    <n v="1"/>
  </r>
  <r>
    <s v="MEM0099"/>
    <s v="BR01"/>
    <s v="Basic"/>
    <d v="2024-04-11T00:00:00"/>
    <d v="2025-04-11T00:00:00"/>
    <n v="3500"/>
    <n v="10500"/>
    <n v="2"/>
    <x v="1"/>
    <d v="2024-05-17T00:00:00"/>
    <s v="At Risk"/>
    <s v="Unique"/>
    <x v="9"/>
    <d v="2024-05-17T00:00:00"/>
    <x v="11"/>
    <n v="0"/>
  </r>
  <r>
    <s v="MEM0100"/>
    <s v="BR06"/>
    <s v="Standard"/>
    <d v="2024-04-05T00:00:00"/>
    <d v="2024-05-05T00:00:00"/>
    <n v="1000"/>
    <n v="8000"/>
    <n v="14"/>
    <x v="0"/>
    <d v="2024-09-01T00:00:00"/>
    <s v="Moderate"/>
    <s v="Unique"/>
    <x v="9"/>
    <d v="2024-09-01T00:00:00"/>
    <x v="13"/>
    <n v="1"/>
  </r>
  <r>
    <s v="MEM0101"/>
    <s v="BR06"/>
    <s v="Basic"/>
    <d v="2023-01-12T00:00:00"/>
    <d v="2024-01-12T00:00:00"/>
    <n v="2000"/>
    <n v="10000"/>
    <n v="21"/>
    <x v="0"/>
    <d v="2024-07-22T00:00:00"/>
    <s v="Highly Active"/>
    <s v="Unique"/>
    <x v="2"/>
    <d v="2024-07-22T00:00:00"/>
    <x v="28"/>
    <n v="1"/>
  </r>
  <r>
    <s v="MEM0102"/>
    <s v="BR05"/>
    <s v="Standard"/>
    <d v="2023-12-18T00:00:00"/>
    <d v="2024-01-17T00:00:00"/>
    <n v="3500"/>
    <n v="7000"/>
    <n v="12"/>
    <x v="0"/>
    <d v="2023-12-29T00:00:00"/>
    <s v="Moderate"/>
    <s v="Unique"/>
    <x v="22"/>
    <d v="2023-12-29T00:00:00"/>
    <x v="23"/>
    <n v="1"/>
  </r>
  <r>
    <s v="MEM0103"/>
    <s v="BR07"/>
    <s v="Basic"/>
    <d v="2025-05-01T00:00:00"/>
    <d v="2026-05-01T00:00:00"/>
    <n v="1000"/>
    <n v="8000"/>
    <n v="25"/>
    <x v="0"/>
    <d v="2025-10-28T00:00:00"/>
    <s v="Highly Active"/>
    <s v="Unique"/>
    <x v="30"/>
    <d v="2025-10-28T00:00:00"/>
    <x v="27"/>
    <n v="1"/>
  </r>
  <r>
    <s v="MEM0104"/>
    <s v="BR01"/>
    <s v="Basic"/>
    <d v="2024-06-16T00:00:00"/>
    <d v="2025-06-16T00:00:00"/>
    <n v="3500"/>
    <n v="38500"/>
    <n v="13"/>
    <x v="0"/>
    <d v="2025-07-11T00:00:00"/>
    <s v="Moderate"/>
    <s v="Unique"/>
    <x v="1"/>
    <d v="2025-07-11T00:00:00"/>
    <x v="0"/>
    <n v="1"/>
  </r>
  <r>
    <s v="MEM0105"/>
    <s v="BR04"/>
    <s v="Premium"/>
    <d v="2023-02-27T00:00:00"/>
    <d v="2023-03-29T00:00:00"/>
    <n v="2000"/>
    <n v="14000"/>
    <n v="22"/>
    <x v="0"/>
    <d v="2024-12-27T00:00:00"/>
    <s v="Highly Active"/>
    <s v="Unique"/>
    <x v="16"/>
    <d v="2024-12-27T00:00:00"/>
    <x v="29"/>
    <n v="1"/>
  </r>
  <r>
    <s v="MEM0106"/>
    <s v="BR05"/>
    <s v="Standard"/>
    <d v="2024-03-18T00:00:00"/>
    <d v="2025-03-18T00:00:00"/>
    <n v="1000"/>
    <n v="6000"/>
    <n v="8"/>
    <x v="0"/>
    <d v="2024-06-04T00:00:00"/>
    <s v="Moderate"/>
    <s v="Unique"/>
    <x v="11"/>
    <d v="2024-06-04T00:00:00"/>
    <x v="3"/>
    <n v="1"/>
  </r>
  <r>
    <s v="MEM0107"/>
    <s v="BR01"/>
    <s v="Basic"/>
    <d v="2024-06-10T00:00:00"/>
    <d v="2025-06-10T00:00:00"/>
    <n v="2000"/>
    <n v="16000"/>
    <n v="1"/>
    <x v="0"/>
    <d v="2024-06-23T00:00:00"/>
    <s v="At Risk"/>
    <s v="Unique"/>
    <x v="1"/>
    <d v="2024-06-23T00:00:00"/>
    <x v="23"/>
    <n v="1"/>
  </r>
  <r>
    <s v="MEM0108"/>
    <s v="BR06"/>
    <s v="Premium"/>
    <d v="2024-12-30T00:00:00"/>
    <d v="2025-12-30T00:00:00"/>
    <n v="1000"/>
    <n v="11000"/>
    <n v="14"/>
    <x v="1"/>
    <d v="2025-05-20T00:00:00"/>
    <s v="Moderate"/>
    <s v="Unique"/>
    <x v="0"/>
    <d v="2025-05-20T00:00:00"/>
    <x v="13"/>
    <n v="0"/>
  </r>
  <r>
    <s v="MEM0109"/>
    <s v="BR02"/>
    <s v="Basic"/>
    <d v="2024-04-26T00:00:00"/>
    <d v="2024-05-26T00:00:00"/>
    <n v="3500"/>
    <n v="31500"/>
    <n v="4"/>
    <x v="1"/>
    <d v="2024-05-20T00:00:00"/>
    <s v="At Risk"/>
    <s v="Unique"/>
    <x v="9"/>
    <d v="2024-05-20T00:00:00"/>
    <x v="23"/>
    <n v="0"/>
  </r>
  <r>
    <s v="MEM0110"/>
    <s v="BR07"/>
    <s v="Standard"/>
    <d v="2024-07-30T00:00:00"/>
    <d v="2025-07-30T00:00:00"/>
    <n v="3500"/>
    <n v="17500"/>
    <n v="13"/>
    <x v="1"/>
    <d v="2025-07-23T00:00:00"/>
    <s v="Moderate"/>
    <s v="Unique"/>
    <x v="13"/>
    <d v="2025-07-23T00:00:00"/>
    <x v="4"/>
    <n v="0"/>
  </r>
  <r>
    <s v="MEM0111"/>
    <s v="BR01"/>
    <s v="Premium"/>
    <d v="2023-07-23T00:00:00"/>
    <d v="2023-08-22T00:00:00"/>
    <n v="1000"/>
    <n v="8000"/>
    <n v="10"/>
    <x v="0"/>
    <d v="2023-09-19T00:00:00"/>
    <s v="Moderate"/>
    <s v="Unique"/>
    <x v="6"/>
    <d v="2023-09-19T00:00:00"/>
    <x v="11"/>
    <n v="1"/>
  </r>
  <r>
    <s v="MEM0112"/>
    <s v="BR04"/>
    <s v="Premium"/>
    <d v="2024-05-06T00:00:00"/>
    <d v="2024-06-05T00:00:00"/>
    <n v="2000"/>
    <n v="2000"/>
    <n v="19"/>
    <x v="0"/>
    <d v="2025-08-01T00:00:00"/>
    <s v="Highly Active"/>
    <s v="Unique"/>
    <x v="15"/>
    <d v="2025-08-01T00:00:00"/>
    <x v="7"/>
    <n v="1"/>
  </r>
  <r>
    <s v="MEM0113"/>
    <s v="BR03"/>
    <s v="Standard"/>
    <d v="2025-03-04T00:00:00"/>
    <d v="2025-06-02T00:00:00"/>
    <n v="1000"/>
    <n v="9000"/>
    <n v="10"/>
    <x v="0"/>
    <d v="2025-06-09T00:00:00"/>
    <s v="Moderate"/>
    <s v="Unique"/>
    <x v="33"/>
    <d v="2025-06-09T00:00:00"/>
    <x v="15"/>
    <n v="1"/>
  </r>
  <r>
    <s v="MEM0114"/>
    <s v="BR06"/>
    <s v="Premium"/>
    <d v="2024-01-21T00:00:00"/>
    <d v="2024-04-20T00:00:00"/>
    <n v="1000"/>
    <n v="7000"/>
    <n v="13"/>
    <x v="0"/>
    <d v="2024-06-08T00:00:00"/>
    <s v="Moderate"/>
    <s v="Unique"/>
    <x v="34"/>
    <d v="2024-06-08T00:00:00"/>
    <x v="13"/>
    <n v="1"/>
  </r>
  <r>
    <s v="MEM0115"/>
    <s v="BR04"/>
    <s v="Standard"/>
    <d v="2024-11-26T00:00:00"/>
    <d v="2024-12-26T00:00:00"/>
    <n v="3500"/>
    <n v="38500"/>
    <n v="19"/>
    <x v="0"/>
    <d v="2024-12-06T00:00:00"/>
    <s v="Highly Active"/>
    <s v="Unique"/>
    <x v="23"/>
    <d v="2024-12-06T00:00:00"/>
    <x v="23"/>
    <n v="1"/>
  </r>
  <r>
    <s v="MEM0116"/>
    <s v="BR05"/>
    <s v="Standard"/>
    <d v="2024-07-03T00:00:00"/>
    <d v="2025-07-03T00:00:00"/>
    <n v="3500"/>
    <n v="35000"/>
    <n v="0"/>
    <x v="0"/>
    <d v="2024-09-07T00:00:00"/>
    <s v="At Risk"/>
    <s v="Unique"/>
    <x v="13"/>
    <d v="2024-09-07T00:00:00"/>
    <x v="3"/>
    <n v="1"/>
  </r>
  <r>
    <s v="MEM0117"/>
    <s v="BR04"/>
    <s v="Basic"/>
    <d v="2025-06-22T00:00:00"/>
    <d v="2025-09-20T00:00:00"/>
    <n v="3500"/>
    <n v="35000"/>
    <n v="24"/>
    <x v="0"/>
    <d v="2025-08-01T00:00:00"/>
    <s v="Highly Active"/>
    <s v="Unique"/>
    <x v="18"/>
    <d v="2025-08-01T00:00:00"/>
    <x v="11"/>
    <n v="1"/>
  </r>
  <r>
    <s v="MEM0118"/>
    <s v="BR07"/>
    <s v="Standard"/>
    <d v="2023-11-15T00:00:00"/>
    <d v="2024-02-13T00:00:00"/>
    <n v="2000"/>
    <n v="6000"/>
    <n v="19"/>
    <x v="0"/>
    <d v="2023-12-03T00:00:00"/>
    <s v="Highly Active"/>
    <s v="Unique"/>
    <x v="21"/>
    <d v="2023-12-03T00:00:00"/>
    <x v="23"/>
    <n v="1"/>
  </r>
  <r>
    <s v="MEM0119"/>
    <s v="BR03"/>
    <s v="Standard"/>
    <d v="2025-12-30T00:00:00"/>
    <d v="2026-03-30T00:00:00"/>
    <n v="3500"/>
    <n v="7000"/>
    <n v="12"/>
    <x v="0"/>
    <d v="2026-03-15T00:00:00"/>
    <s v="Moderate"/>
    <s v="Unique"/>
    <x v="24"/>
    <d v="2026-03-15T00:00:00"/>
    <x v="3"/>
    <n v="1"/>
  </r>
  <r>
    <s v="MEM0120"/>
    <s v="BR02"/>
    <s v="Premium"/>
    <d v="2025-01-24T00:00:00"/>
    <d v="2025-04-24T00:00:00"/>
    <n v="2000"/>
    <n v="12000"/>
    <n v="16"/>
    <x v="0"/>
    <d v="2026-03-04T00:00:00"/>
    <s v="Highly Active"/>
    <s v="Unique"/>
    <x v="5"/>
    <d v="2026-03-04T00:00:00"/>
    <x v="9"/>
    <n v="1"/>
  </r>
  <r>
    <s v="MEM0121"/>
    <s v="BR05"/>
    <s v="Premium"/>
    <d v="2023-02-14T00:00:00"/>
    <d v="2023-05-15T00:00:00"/>
    <n v="2000"/>
    <n v="6000"/>
    <n v="22"/>
    <x v="0"/>
    <d v="2025-08-14T00:00:00"/>
    <s v="Highly Active"/>
    <s v="Unique"/>
    <x v="16"/>
    <d v="2025-08-14T00:00:00"/>
    <x v="21"/>
    <n v="1"/>
  </r>
  <r>
    <s v="MEM0122"/>
    <s v="BR01"/>
    <s v="Premium"/>
    <d v="2025-05-14T00:00:00"/>
    <d v="2025-08-12T00:00:00"/>
    <n v="1000"/>
    <n v="2000"/>
    <n v="11"/>
    <x v="0"/>
    <d v="2025-10-05T00:00:00"/>
    <s v="Moderate"/>
    <s v="Unique"/>
    <x v="30"/>
    <d v="2025-10-05T00:00:00"/>
    <x v="13"/>
    <n v="1"/>
  </r>
  <r>
    <s v="MEM0123"/>
    <s v="BR02"/>
    <s v="Standard"/>
    <d v="2025-03-08T00:00:00"/>
    <d v="2026-03-08T00:00:00"/>
    <n v="3500"/>
    <n v="38500"/>
    <n v="21"/>
    <x v="0"/>
    <d v="2026-01-24T00:00:00"/>
    <s v="Highly Active"/>
    <s v="Unique"/>
    <x v="33"/>
    <d v="2026-01-24T00:00:00"/>
    <x v="2"/>
    <n v="1"/>
  </r>
  <r>
    <s v="MEM0124"/>
    <s v="BR01"/>
    <s v="Standard"/>
    <d v="2025-06-07T00:00:00"/>
    <d v="2025-07-07T00:00:00"/>
    <n v="1000"/>
    <n v="12000"/>
    <n v="11"/>
    <x v="0"/>
    <d v="2025-11-02T00:00:00"/>
    <s v="Moderate"/>
    <s v="Unique"/>
    <x v="18"/>
    <d v="2025-11-02T00:00:00"/>
    <x v="13"/>
    <n v="1"/>
  </r>
  <r>
    <s v="MEM0125"/>
    <s v="BR01"/>
    <s v="Basic"/>
    <d v="2025-08-26T00:00:00"/>
    <d v="2025-09-25T00:00:00"/>
    <n v="2000"/>
    <n v="18000"/>
    <n v="16"/>
    <x v="1"/>
    <d v="2025-12-03T00:00:00"/>
    <s v="Highly Active"/>
    <s v="Unique"/>
    <x v="4"/>
    <d v="2025-12-03T00:00:00"/>
    <x v="15"/>
    <n v="0"/>
  </r>
  <r>
    <s v="MEM0126"/>
    <s v="BR02"/>
    <s v="Standard"/>
    <d v="2023-09-22T00:00:00"/>
    <d v="2023-12-21T00:00:00"/>
    <n v="1000"/>
    <n v="3000"/>
    <n v="15"/>
    <x v="0"/>
    <d v="2024-10-26T00:00:00"/>
    <s v="Highly Active"/>
    <s v="Unique"/>
    <x v="25"/>
    <d v="2024-10-26T00:00:00"/>
    <x v="9"/>
    <n v="1"/>
  </r>
  <r>
    <s v="MEM0127"/>
    <s v="BR03"/>
    <s v="Premium"/>
    <d v="2024-07-27T00:00:00"/>
    <d v="2024-08-26T00:00:00"/>
    <n v="3500"/>
    <n v="10500"/>
    <n v="6"/>
    <x v="0"/>
    <d v="2025-12-28T00:00:00"/>
    <s v="Moderate"/>
    <s v="Unique"/>
    <x v="13"/>
    <d v="2025-12-28T00:00:00"/>
    <x v="5"/>
    <n v="1"/>
  </r>
  <r>
    <s v="MEM0128"/>
    <s v="BR07"/>
    <s v="Premium"/>
    <d v="2023-03-13T00:00:00"/>
    <d v="2023-06-11T00:00:00"/>
    <n v="2000"/>
    <n v="18000"/>
    <n v="11"/>
    <x v="0"/>
    <d v="2024-03-26T00:00:00"/>
    <s v="Moderate"/>
    <s v="Unique"/>
    <x v="20"/>
    <d v="2024-03-26T00:00:00"/>
    <x v="0"/>
    <n v="1"/>
  </r>
  <r>
    <s v="MEM0129"/>
    <s v="BR06"/>
    <s v="Standard"/>
    <d v="2024-09-21T00:00:00"/>
    <d v="2025-09-21T00:00:00"/>
    <n v="2000"/>
    <n v="8000"/>
    <n v="18"/>
    <x v="0"/>
    <d v="2026-04-02T00:00:00"/>
    <s v="Highly Active"/>
    <s v="Unique"/>
    <x v="8"/>
    <d v="2026-04-02T00:00:00"/>
    <x v="28"/>
    <n v="1"/>
  </r>
  <r>
    <s v="MEM0130"/>
    <s v="BR06"/>
    <s v="Premium"/>
    <d v="2024-11-29T00:00:00"/>
    <d v="2025-11-29T00:00:00"/>
    <n v="1000"/>
    <n v="3000"/>
    <n v="5"/>
    <x v="1"/>
    <d v="2024-12-11T00:00:00"/>
    <s v="Moderate"/>
    <s v="Unique"/>
    <x v="23"/>
    <d v="2024-12-11T00:00:00"/>
    <x v="23"/>
    <n v="0"/>
  </r>
  <r>
    <s v="MEM0131"/>
    <s v="BR07"/>
    <s v="Basic"/>
    <d v="2023-05-11T00:00:00"/>
    <d v="2023-06-10T00:00:00"/>
    <n v="1000"/>
    <n v="1000"/>
    <n v="19"/>
    <x v="0"/>
    <d v="2026-02-09T00:00:00"/>
    <s v="Highly Active"/>
    <s v="Unique"/>
    <x v="29"/>
    <d v="2026-02-09T00:00:00"/>
    <x v="16"/>
    <n v="1"/>
  </r>
  <r>
    <s v="MEM0132"/>
    <s v="BR05"/>
    <s v="Basic"/>
    <d v="2025-02-20T00:00:00"/>
    <d v="2026-02-20T00:00:00"/>
    <n v="3500"/>
    <n v="3500"/>
    <n v="18"/>
    <x v="0"/>
    <d v="2025-07-04T00:00:00"/>
    <s v="Highly Active"/>
    <s v="Unique"/>
    <x v="14"/>
    <d v="2025-07-04T00:00:00"/>
    <x v="13"/>
    <n v="1"/>
  </r>
  <r>
    <s v="MEM0133"/>
    <s v="BR01"/>
    <s v="Premium"/>
    <d v="2025-12-27T00:00:00"/>
    <d v="2026-12-27T00:00:00"/>
    <n v="3500"/>
    <n v="7000"/>
    <n v="15"/>
    <x v="0"/>
    <d v="2026-03-18T00:00:00"/>
    <s v="Highly Active"/>
    <s v="Unique"/>
    <x v="24"/>
    <d v="2026-03-18T00:00:00"/>
    <x v="3"/>
    <n v="1"/>
  </r>
  <r>
    <s v="MEM0134"/>
    <s v="BR02"/>
    <s v="Basic"/>
    <d v="2023-03-02T00:00:00"/>
    <d v="2023-04-01T00:00:00"/>
    <n v="2000"/>
    <n v="22000"/>
    <n v="20"/>
    <x v="0"/>
    <d v="2024-09-30T00:00:00"/>
    <s v="Highly Active"/>
    <s v="Unique"/>
    <x v="20"/>
    <d v="2024-09-30T00:00:00"/>
    <x v="28"/>
    <n v="1"/>
  </r>
  <r>
    <s v="MEM0135"/>
    <s v="BR02"/>
    <s v="Premium"/>
    <d v="2024-05-22T00:00:00"/>
    <d v="2024-08-20T00:00:00"/>
    <n v="2000"/>
    <n v="2000"/>
    <n v="4"/>
    <x v="1"/>
    <d v="2024-11-11T00:00:00"/>
    <s v="At Risk"/>
    <s v="Unique"/>
    <x v="15"/>
    <d v="2024-11-11T00:00:00"/>
    <x v="27"/>
    <n v="0"/>
  </r>
  <r>
    <s v="MEM0136"/>
    <s v="BR03"/>
    <s v="Premium"/>
    <d v="2024-03-05T00:00:00"/>
    <d v="2024-06-03T00:00:00"/>
    <n v="3500"/>
    <n v="28000"/>
    <n v="8"/>
    <x v="0"/>
    <d v="2024-03-18T00:00:00"/>
    <s v="Moderate"/>
    <s v="Unique"/>
    <x v="11"/>
    <d v="2024-03-18T00:00:00"/>
    <x v="23"/>
    <n v="1"/>
  </r>
  <r>
    <s v="MEM0137"/>
    <s v="BR03"/>
    <s v="Premium"/>
    <d v="2024-05-25T00:00:00"/>
    <d v="2024-06-24T00:00:00"/>
    <n v="3500"/>
    <n v="24500"/>
    <n v="4"/>
    <x v="0"/>
    <d v="2025-07-15T00:00:00"/>
    <s v="At Risk"/>
    <s v="Unique"/>
    <x v="15"/>
    <d v="2025-07-15T00:00:00"/>
    <x v="9"/>
    <n v="1"/>
  </r>
  <r>
    <s v="MEM0138"/>
    <s v="BR03"/>
    <s v="Basic"/>
    <d v="2023-03-07T00:00:00"/>
    <d v="2023-06-05T00:00:00"/>
    <n v="2000"/>
    <n v="22000"/>
    <n v="21"/>
    <x v="0"/>
    <d v="2025-07-03T00:00:00"/>
    <s v="Highly Active"/>
    <s v="Unique"/>
    <x v="20"/>
    <d v="2025-07-03T00:00:00"/>
    <x v="20"/>
    <n v="1"/>
  </r>
  <r>
    <s v="MEM0139"/>
    <s v="BR05"/>
    <s v="Basic"/>
    <d v="2023-09-11T00:00:00"/>
    <d v="2023-10-11T00:00:00"/>
    <n v="3500"/>
    <n v="17500"/>
    <n v="10"/>
    <x v="0"/>
    <d v="2026-03-26T00:00:00"/>
    <s v="Moderate"/>
    <s v="Unique"/>
    <x v="25"/>
    <d v="2026-03-26T00:00:00"/>
    <x v="21"/>
    <n v="1"/>
  </r>
  <r>
    <s v="MEM0140"/>
    <s v="BR05"/>
    <s v="Premium"/>
    <d v="2023-03-08T00:00:00"/>
    <d v="2023-06-06T00:00:00"/>
    <n v="1000"/>
    <n v="8000"/>
    <n v="4"/>
    <x v="1"/>
    <d v="2026-04-03T00:00:00"/>
    <s v="At Risk"/>
    <s v="Unique"/>
    <x v="20"/>
    <d v="2026-04-03T00:00:00"/>
    <x v="30"/>
    <n v="0"/>
  </r>
  <r>
    <s v="MEM0141"/>
    <s v="BR07"/>
    <s v="Premium"/>
    <d v="2023-09-24T00:00:00"/>
    <d v="2023-12-23T00:00:00"/>
    <n v="3500"/>
    <n v="7000"/>
    <n v="1"/>
    <x v="1"/>
    <d v="2023-11-22T00:00:00"/>
    <s v="At Risk"/>
    <s v="Unique"/>
    <x v="25"/>
    <d v="2023-11-22T00:00:00"/>
    <x v="11"/>
    <n v="0"/>
  </r>
  <r>
    <s v="MEM0142"/>
    <s v="BR04"/>
    <s v="Standard"/>
    <d v="2024-04-14T00:00:00"/>
    <d v="2024-05-14T00:00:00"/>
    <n v="3500"/>
    <n v="28000"/>
    <n v="9"/>
    <x v="0"/>
    <d v="2025-02-28T00:00:00"/>
    <s v="Moderate"/>
    <s v="Unique"/>
    <x v="9"/>
    <d v="2025-02-28T00:00:00"/>
    <x v="2"/>
    <n v="1"/>
  </r>
  <r>
    <s v="MEM0143"/>
    <s v="BR04"/>
    <s v="Premium"/>
    <d v="2025-11-16T00:00:00"/>
    <d v="2025-12-16T00:00:00"/>
    <n v="3500"/>
    <n v="3500"/>
    <n v="21"/>
    <x v="0"/>
    <d v="2026-02-18T00:00:00"/>
    <s v="Highly Active"/>
    <s v="Unique"/>
    <x v="7"/>
    <d v="2026-02-18T00:00:00"/>
    <x v="15"/>
    <n v="1"/>
  </r>
  <r>
    <s v="MEM0144"/>
    <s v="BR03"/>
    <s v="Basic"/>
    <d v="2025-03-06T00:00:00"/>
    <d v="2025-06-04T00:00:00"/>
    <n v="2000"/>
    <n v="20000"/>
    <n v="15"/>
    <x v="0"/>
    <d v="2025-10-24T00:00:00"/>
    <s v="Highly Active"/>
    <s v="Unique"/>
    <x v="33"/>
    <d v="2025-10-24T00:00:00"/>
    <x v="25"/>
    <n v="1"/>
  </r>
  <r>
    <s v="MEM0145"/>
    <s v="BR01"/>
    <s v="Basic"/>
    <d v="2023-12-25T00:00:00"/>
    <d v="2024-12-24T00:00:00"/>
    <n v="2000"/>
    <n v="6000"/>
    <n v="16"/>
    <x v="0"/>
    <d v="2025-03-12T00:00:00"/>
    <s v="Highly Active"/>
    <s v="Unique"/>
    <x v="22"/>
    <d v="2025-03-12T00:00:00"/>
    <x v="7"/>
    <n v="1"/>
  </r>
  <r>
    <s v="MEM0146"/>
    <s v="BR03"/>
    <s v="Standard"/>
    <d v="2024-09-08T00:00:00"/>
    <d v="2024-12-07T00:00:00"/>
    <n v="1000"/>
    <n v="8000"/>
    <n v="25"/>
    <x v="0"/>
    <d v="2026-02-21T00:00:00"/>
    <s v="Highly Active"/>
    <s v="Unique"/>
    <x v="8"/>
    <d v="2026-02-21T00:00:00"/>
    <x v="5"/>
    <n v="1"/>
  </r>
  <r>
    <s v="MEM0147"/>
    <s v="BR02"/>
    <s v="Standard"/>
    <d v="2025-11-25T00:00:00"/>
    <d v="2025-12-25T00:00:00"/>
    <n v="2000"/>
    <n v="8000"/>
    <n v="10"/>
    <x v="1"/>
    <d v="2025-12-09T00:00:00"/>
    <s v="Moderate"/>
    <s v="Unique"/>
    <x v="7"/>
    <d v="2025-12-09T00:00:00"/>
    <x v="23"/>
    <n v="0"/>
  </r>
  <r>
    <s v="MEM0148"/>
    <s v="BR06"/>
    <s v="Premium"/>
    <d v="2024-07-10T00:00:00"/>
    <d v="2024-10-08T00:00:00"/>
    <n v="3500"/>
    <n v="3500"/>
    <n v="19"/>
    <x v="0"/>
    <d v="2025-06-30T00:00:00"/>
    <s v="Highly Active"/>
    <s v="Unique"/>
    <x v="13"/>
    <d v="2025-06-30T00:00:00"/>
    <x v="4"/>
    <n v="1"/>
  </r>
  <r>
    <s v="MEM0149"/>
    <s v="BR03"/>
    <s v="Standard"/>
    <d v="2024-02-15T00:00:00"/>
    <d v="2024-05-15T00:00:00"/>
    <n v="3500"/>
    <n v="38500"/>
    <n v="17"/>
    <x v="0"/>
    <d v="2024-10-21T00:00:00"/>
    <s v="Highly Active"/>
    <s v="Unique"/>
    <x v="3"/>
    <d v="2024-10-21T00:00:00"/>
    <x v="14"/>
    <n v="1"/>
  </r>
  <r>
    <s v="MEM0150"/>
    <s v="BR07"/>
    <s v="Standard"/>
    <d v="2024-03-03T00:00:00"/>
    <d v="2024-04-02T00:00:00"/>
    <n v="3500"/>
    <n v="42000"/>
    <n v="11"/>
    <x v="0"/>
    <d v="2024-03-27T00:00:00"/>
    <s v="Moderate"/>
    <s v="Unique"/>
    <x v="11"/>
    <d v="2024-03-27T00:00:00"/>
    <x v="23"/>
    <n v="1"/>
  </r>
  <r>
    <s v="MEM0151"/>
    <s v="BR05"/>
    <s v="Standard"/>
    <d v="2025-04-16T00:00:00"/>
    <d v="2026-04-16T00:00:00"/>
    <n v="3500"/>
    <n v="28000"/>
    <n v="3"/>
    <x v="1"/>
    <d v="2025-05-02T00:00:00"/>
    <s v="At Risk"/>
    <s v="Unique"/>
    <x v="26"/>
    <d v="2025-05-02T00:00:00"/>
    <x v="23"/>
    <n v="0"/>
  </r>
  <r>
    <s v="MEM0152"/>
    <s v="BR04"/>
    <s v="Premium"/>
    <d v="2025-04-21T00:00:00"/>
    <d v="2025-05-21T00:00:00"/>
    <n v="1000"/>
    <n v="12000"/>
    <n v="16"/>
    <x v="0"/>
    <d v="2026-03-04T00:00:00"/>
    <s v="Highly Active"/>
    <s v="Unique"/>
    <x v="26"/>
    <d v="2026-03-04T00:00:00"/>
    <x v="2"/>
    <n v="1"/>
  </r>
  <r>
    <s v="MEM0153"/>
    <s v="BR02"/>
    <s v="Premium"/>
    <d v="2026-01-22T00:00:00"/>
    <d v="2026-04-22T00:00:00"/>
    <n v="1000"/>
    <n v="6000"/>
    <n v="21"/>
    <x v="0"/>
    <d v="2026-02-23T00:00:00"/>
    <s v="Highly Active"/>
    <s v="Unique"/>
    <x v="35"/>
    <d v="2026-02-23T00:00:00"/>
    <x v="11"/>
    <n v="1"/>
  </r>
  <r>
    <s v="MEM0154"/>
    <s v="BR04"/>
    <s v="Basic"/>
    <d v="2024-03-24T00:00:00"/>
    <d v="2025-03-24T00:00:00"/>
    <n v="2000"/>
    <n v="10000"/>
    <n v="9"/>
    <x v="0"/>
    <d v="2025-10-26T00:00:00"/>
    <s v="Moderate"/>
    <s v="Unique"/>
    <x v="11"/>
    <d v="2025-10-26T00:00:00"/>
    <x v="1"/>
    <n v="1"/>
  </r>
  <r>
    <s v="MEM0155"/>
    <s v="BR04"/>
    <s v="Basic"/>
    <d v="2025-04-04T00:00:00"/>
    <d v="2025-07-03T00:00:00"/>
    <n v="3500"/>
    <n v="24500"/>
    <n v="21"/>
    <x v="1"/>
    <d v="2026-03-01T00:00:00"/>
    <s v="Highly Active"/>
    <s v="Unique"/>
    <x v="26"/>
    <d v="2026-03-01T00:00:00"/>
    <x v="2"/>
    <n v="0"/>
  </r>
  <r>
    <s v="MEM0156"/>
    <s v="BR03"/>
    <s v="Basic"/>
    <d v="2025-01-07T00:00:00"/>
    <d v="2026-01-07T00:00:00"/>
    <n v="1000"/>
    <n v="9000"/>
    <n v="6"/>
    <x v="0"/>
    <d v="2025-10-02T00:00:00"/>
    <s v="Moderate"/>
    <s v="Unique"/>
    <x v="5"/>
    <d v="2025-10-02T00:00:00"/>
    <x v="14"/>
    <n v="1"/>
  </r>
  <r>
    <s v="MEM0157"/>
    <s v="BR01"/>
    <s v="Premium"/>
    <d v="2024-03-29T00:00:00"/>
    <d v="2024-04-28T00:00:00"/>
    <n v="2000"/>
    <n v="16000"/>
    <n v="24"/>
    <x v="0"/>
    <d v="2025-10-02T00:00:00"/>
    <s v="Highly Active"/>
    <s v="Unique"/>
    <x v="11"/>
    <d v="2025-10-02T00:00:00"/>
    <x v="28"/>
    <n v="1"/>
  </r>
  <r>
    <s v="MEM0158"/>
    <s v="BR04"/>
    <s v="Standard"/>
    <d v="2025-11-07T00:00:00"/>
    <d v="2026-11-07T00:00:00"/>
    <n v="3500"/>
    <n v="7000"/>
    <n v="12"/>
    <x v="0"/>
    <d v="2025-12-08T00:00:00"/>
    <s v="Moderate"/>
    <s v="Unique"/>
    <x v="7"/>
    <d v="2025-12-08T00:00:00"/>
    <x v="11"/>
    <n v="1"/>
  </r>
  <r>
    <s v="MEM0159"/>
    <s v="BR07"/>
    <s v="Basic"/>
    <d v="2025-07-03T00:00:00"/>
    <d v="2026-07-03T00:00:00"/>
    <n v="1000"/>
    <n v="11000"/>
    <n v="20"/>
    <x v="0"/>
    <d v="2025-07-13T00:00:00"/>
    <s v="Highly Active"/>
    <s v="Unique"/>
    <x v="17"/>
    <d v="2025-07-13T00:00:00"/>
    <x v="23"/>
    <n v="1"/>
  </r>
  <r>
    <s v="MEM0160"/>
    <s v="BR05"/>
    <s v="Premium"/>
    <d v="2025-08-17T00:00:00"/>
    <d v="2025-11-15T00:00:00"/>
    <n v="1000"/>
    <n v="10000"/>
    <n v="17"/>
    <x v="0"/>
    <d v="2025-12-05T00:00:00"/>
    <s v="Highly Active"/>
    <s v="Unique"/>
    <x v="4"/>
    <d v="2025-12-05T00:00:00"/>
    <x v="15"/>
    <n v="1"/>
  </r>
  <r>
    <s v="MEM0161"/>
    <s v="BR04"/>
    <s v="Basic"/>
    <d v="2024-03-26T00:00:00"/>
    <d v="2024-06-24T00:00:00"/>
    <n v="3500"/>
    <n v="31500"/>
    <n v="3"/>
    <x v="0"/>
    <d v="2024-04-26T00:00:00"/>
    <s v="At Risk"/>
    <s v="Unique"/>
    <x v="11"/>
    <d v="2024-04-26T00:00:00"/>
    <x v="11"/>
    <n v="1"/>
  </r>
  <r>
    <s v="MEM0162"/>
    <s v="BR07"/>
    <s v="Standard"/>
    <d v="2024-02-20T00:00:00"/>
    <d v="2025-02-19T00:00:00"/>
    <n v="1000"/>
    <n v="3000"/>
    <n v="7"/>
    <x v="0"/>
    <d v="2024-08-28T00:00:00"/>
    <s v="Moderate"/>
    <s v="Unique"/>
    <x v="3"/>
    <d v="2024-08-28T00:00:00"/>
    <x v="12"/>
    <n v="1"/>
  </r>
  <r>
    <s v="MEM0163"/>
    <s v="BR03"/>
    <s v="Standard"/>
    <d v="2024-04-09T00:00:00"/>
    <d v="2025-04-09T00:00:00"/>
    <n v="2000"/>
    <n v="16000"/>
    <n v="23"/>
    <x v="0"/>
    <d v="2025-03-30T00:00:00"/>
    <s v="Highly Active"/>
    <s v="Unique"/>
    <x v="9"/>
    <d v="2025-03-30T00:00:00"/>
    <x v="4"/>
    <n v="1"/>
  </r>
  <r>
    <s v="MEM0164"/>
    <s v="BR07"/>
    <s v="Premium"/>
    <d v="2025-09-23T00:00:00"/>
    <d v="2025-12-22T00:00:00"/>
    <n v="1000"/>
    <n v="5000"/>
    <n v="14"/>
    <x v="1"/>
    <d v="2025-12-10T00:00:00"/>
    <s v="Moderate"/>
    <s v="Unique"/>
    <x v="36"/>
    <d v="2025-12-10T00:00:00"/>
    <x v="3"/>
    <n v="0"/>
  </r>
  <r>
    <s v="MEM0165"/>
    <s v="BR03"/>
    <s v="Standard"/>
    <d v="2024-03-31T00:00:00"/>
    <d v="2024-06-29T00:00:00"/>
    <n v="3500"/>
    <n v="14000"/>
    <n v="23"/>
    <x v="1"/>
    <d v="2026-01-09T00:00:00"/>
    <s v="Highly Active"/>
    <s v="Unique"/>
    <x v="11"/>
    <d v="2026-01-09T00:00:00"/>
    <x v="8"/>
    <n v="0"/>
  </r>
  <r>
    <s v="MEM0166"/>
    <s v="BR04"/>
    <s v="Premium"/>
    <d v="2025-01-29T00:00:00"/>
    <d v="2025-04-29T00:00:00"/>
    <n v="2000"/>
    <n v="6000"/>
    <n v="3"/>
    <x v="1"/>
    <d v="2025-02-12T00:00:00"/>
    <s v="At Risk"/>
    <s v="Unique"/>
    <x v="5"/>
    <d v="2025-02-12T00:00:00"/>
    <x v="23"/>
    <n v="0"/>
  </r>
  <r>
    <s v="MEM0167"/>
    <s v="BR01"/>
    <s v="Basic"/>
    <d v="2025-05-29T00:00:00"/>
    <d v="2025-06-28T00:00:00"/>
    <n v="1000"/>
    <n v="2000"/>
    <n v="20"/>
    <x v="1"/>
    <d v="2025-06-12T00:00:00"/>
    <s v="Highly Active"/>
    <s v="Unique"/>
    <x v="30"/>
    <d v="2025-06-12T00:00:00"/>
    <x v="23"/>
    <n v="0"/>
  </r>
  <r>
    <s v="MEM0168"/>
    <s v="BR04"/>
    <s v="Standard"/>
    <d v="2025-10-10T00:00:00"/>
    <d v="2025-11-09T00:00:00"/>
    <n v="1000"/>
    <n v="9000"/>
    <n v="22"/>
    <x v="0"/>
    <d v="2025-10-20T00:00:00"/>
    <s v="Highly Active"/>
    <s v="Unique"/>
    <x v="32"/>
    <d v="2025-10-20T00:00:00"/>
    <x v="23"/>
    <n v="1"/>
  </r>
  <r>
    <s v="MEM0169"/>
    <s v="BR01"/>
    <s v="Premium"/>
    <d v="2023-05-15T00:00:00"/>
    <d v="2023-06-14T00:00:00"/>
    <n v="1000"/>
    <n v="1000"/>
    <n v="4"/>
    <x v="0"/>
    <d v="2023-09-22T00:00:00"/>
    <s v="At Risk"/>
    <s v="Unique"/>
    <x v="29"/>
    <d v="2023-09-22T00:00:00"/>
    <x v="13"/>
    <n v="1"/>
  </r>
  <r>
    <s v="MEM0170"/>
    <s v="BR04"/>
    <s v="Standard"/>
    <d v="2024-03-18T00:00:00"/>
    <d v="2025-03-18T00:00:00"/>
    <n v="2000"/>
    <n v="18000"/>
    <n v="14"/>
    <x v="0"/>
    <d v="2024-09-04T00:00:00"/>
    <s v="Moderate"/>
    <s v="Unique"/>
    <x v="11"/>
    <d v="2024-09-04T00:00:00"/>
    <x v="27"/>
    <n v="1"/>
  </r>
  <r>
    <s v="MEM0171"/>
    <s v="BR03"/>
    <s v="Standard"/>
    <d v="2023-09-20T00:00:00"/>
    <d v="2023-12-19T00:00:00"/>
    <n v="1000"/>
    <n v="4000"/>
    <n v="15"/>
    <x v="0"/>
    <d v="2025-03-16T00:00:00"/>
    <s v="Highly Active"/>
    <s v="Unique"/>
    <x v="25"/>
    <d v="2025-03-16T00:00:00"/>
    <x v="5"/>
    <n v="1"/>
  </r>
  <r>
    <s v="MEM0172"/>
    <s v="BR03"/>
    <s v="Premium"/>
    <d v="2025-11-07T00:00:00"/>
    <d v="2025-12-07T00:00:00"/>
    <n v="1000"/>
    <n v="6000"/>
    <n v="4"/>
    <x v="1"/>
    <d v="2025-12-04T00:00:00"/>
    <s v="At Risk"/>
    <s v="Unique"/>
    <x v="7"/>
    <d v="2025-12-04T00:00:00"/>
    <x v="23"/>
    <n v="0"/>
  </r>
  <r>
    <s v="MEM0173"/>
    <s v="BR03"/>
    <s v="Standard"/>
    <d v="2023-08-20T00:00:00"/>
    <d v="2023-11-18T00:00:00"/>
    <n v="1000"/>
    <n v="2000"/>
    <n v="19"/>
    <x v="0"/>
    <d v="2023-10-31T00:00:00"/>
    <s v="Highly Active"/>
    <s v="Unique"/>
    <x v="27"/>
    <d v="2023-10-31T00:00:00"/>
    <x v="3"/>
    <n v="1"/>
  </r>
  <r>
    <s v="MEM0174"/>
    <s v="BR02"/>
    <s v="Premium"/>
    <d v="2024-04-16T00:00:00"/>
    <d v="2025-04-16T00:00:00"/>
    <n v="2000"/>
    <n v="20000"/>
    <n v="23"/>
    <x v="0"/>
    <d v="2025-12-03T00:00:00"/>
    <s v="Highly Active"/>
    <s v="Unique"/>
    <x v="9"/>
    <d v="2025-12-03T00:00:00"/>
    <x v="1"/>
    <n v="1"/>
  </r>
  <r>
    <s v="MEM0175"/>
    <s v="BR02"/>
    <s v="Basic"/>
    <d v="2024-06-27T00:00:00"/>
    <d v="2024-09-25T00:00:00"/>
    <n v="1000"/>
    <n v="10000"/>
    <n v="16"/>
    <x v="0"/>
    <d v="2026-01-12T00:00:00"/>
    <s v="Highly Active"/>
    <s v="Unique"/>
    <x v="1"/>
    <d v="2026-01-12T00:00:00"/>
    <x v="28"/>
    <n v="1"/>
  </r>
  <r>
    <s v="MEM0176"/>
    <s v="BR04"/>
    <s v="Premium"/>
    <d v="2024-08-03T00:00:00"/>
    <d v="2025-08-03T00:00:00"/>
    <n v="1000"/>
    <n v="7000"/>
    <n v="21"/>
    <x v="0"/>
    <d v="2024-09-02T00:00:00"/>
    <s v="Highly Active"/>
    <s v="Unique"/>
    <x v="12"/>
    <d v="2024-09-02T00:00:00"/>
    <x v="23"/>
    <n v="1"/>
  </r>
  <r>
    <s v="MEM0177"/>
    <s v="BR02"/>
    <s v="Basic"/>
    <d v="2023-12-14T00:00:00"/>
    <d v="2024-12-13T00:00:00"/>
    <n v="1000"/>
    <n v="10000"/>
    <n v="8"/>
    <x v="0"/>
    <d v="2025-07-30T00:00:00"/>
    <s v="Moderate"/>
    <s v="Unique"/>
    <x v="22"/>
    <d v="2025-07-30T00:00:00"/>
    <x v="1"/>
    <n v="1"/>
  </r>
  <r>
    <s v="MEM0178"/>
    <s v="BR07"/>
    <s v="Basic"/>
    <d v="2024-09-10T00:00:00"/>
    <d v="2024-10-10T00:00:00"/>
    <n v="1000"/>
    <n v="4000"/>
    <n v="12"/>
    <x v="0"/>
    <d v="2025-04-23T00:00:00"/>
    <s v="Moderate"/>
    <s v="Unique"/>
    <x v="8"/>
    <d v="2025-04-23T00:00:00"/>
    <x v="25"/>
    <n v="1"/>
  </r>
  <r>
    <s v="MEM0179"/>
    <s v="BR06"/>
    <s v="Basic"/>
    <d v="2023-03-31T00:00:00"/>
    <d v="2023-04-30T00:00:00"/>
    <n v="2000"/>
    <n v="24000"/>
    <n v="17"/>
    <x v="0"/>
    <d v="2024-10-06T00:00:00"/>
    <s v="Highly Active"/>
    <s v="Unique"/>
    <x v="20"/>
    <d v="2024-10-06T00:00:00"/>
    <x v="28"/>
    <n v="1"/>
  </r>
  <r>
    <s v="MEM0180"/>
    <s v="BR06"/>
    <s v="Basic"/>
    <d v="2025-01-09T00:00:00"/>
    <d v="2025-02-08T00:00:00"/>
    <n v="1000"/>
    <n v="11000"/>
    <n v="1"/>
    <x v="0"/>
    <d v="2025-01-31T00:00:00"/>
    <s v="At Risk"/>
    <s v="Unique"/>
    <x v="5"/>
    <d v="2025-01-31T00:00:00"/>
    <x v="23"/>
    <n v="1"/>
  </r>
  <r>
    <s v="MEM0181"/>
    <s v="BR04"/>
    <s v="Basic"/>
    <d v="2025-10-28T00:00:00"/>
    <d v="2025-11-27T00:00:00"/>
    <n v="3500"/>
    <n v="7000"/>
    <n v="4"/>
    <x v="1"/>
    <d v="2026-07-08T00:00:00"/>
    <s v="At Risk"/>
    <s v="Unique"/>
    <x v="32"/>
    <d v="2026-07-08T00:00:00"/>
    <x v="14"/>
    <n v="0"/>
  </r>
  <r>
    <s v="MEM0182"/>
    <s v="BR03"/>
    <s v="Premium"/>
    <d v="2023-07-01T00:00:00"/>
    <d v="2023-07-31T00:00:00"/>
    <n v="1000"/>
    <n v="4000"/>
    <n v="3"/>
    <x v="1"/>
    <d v="2023-07-22T00:00:00"/>
    <s v="At Risk"/>
    <s v="Unique"/>
    <x v="6"/>
    <d v="2023-07-22T00:00:00"/>
    <x v="23"/>
    <n v="0"/>
  </r>
  <r>
    <s v="MEM0183"/>
    <s v="BR04"/>
    <s v="Basic"/>
    <d v="2024-08-25T00:00:00"/>
    <d v="2025-08-25T00:00:00"/>
    <n v="3500"/>
    <n v="3500"/>
    <n v="15"/>
    <x v="0"/>
    <d v="2025-09-07T00:00:00"/>
    <s v="Highly Active"/>
    <s v="Unique"/>
    <x v="12"/>
    <d v="2025-09-07T00:00:00"/>
    <x v="0"/>
    <n v="1"/>
  </r>
  <r>
    <s v="MEM0184"/>
    <s v="BR02"/>
    <s v="Basic"/>
    <d v="2026-01-13T00:00:00"/>
    <d v="2026-02-12T00:00:00"/>
    <n v="2000"/>
    <n v="18000"/>
    <n v="2"/>
    <x v="0"/>
    <d v="2026-02-02T00:00:00"/>
    <s v="At Risk"/>
    <s v="Unique"/>
    <x v="35"/>
    <d v="2026-02-02T00:00:00"/>
    <x v="23"/>
    <n v="1"/>
  </r>
  <r>
    <s v="MEM0185"/>
    <s v="BR01"/>
    <s v="Basic"/>
    <d v="2025-09-11T00:00:00"/>
    <d v="2025-10-11T00:00:00"/>
    <n v="3500"/>
    <n v="3500"/>
    <n v="8"/>
    <x v="1"/>
    <d v="2026-04-03T00:00:00"/>
    <s v="Moderate"/>
    <s v="Unique"/>
    <x v="36"/>
    <d v="2026-04-03T00:00:00"/>
    <x v="12"/>
    <n v="0"/>
  </r>
  <r>
    <s v="MEM0186"/>
    <s v="BR01"/>
    <s v="Standard"/>
    <d v="2024-03-16T00:00:00"/>
    <d v="2025-03-16T00:00:00"/>
    <n v="1000"/>
    <n v="8000"/>
    <n v="10"/>
    <x v="1"/>
    <d v="2026-03-11T00:00:00"/>
    <s v="Moderate"/>
    <s v="Unique"/>
    <x v="11"/>
    <d v="2026-03-11T00:00:00"/>
    <x v="18"/>
    <n v="0"/>
  </r>
  <r>
    <s v="MEM0187"/>
    <s v="BR02"/>
    <s v="Standard"/>
    <d v="2023-01-01T00:00:00"/>
    <d v="2023-01-31T00:00:00"/>
    <n v="2000"/>
    <n v="2000"/>
    <n v="6"/>
    <x v="0"/>
    <d v="2023-09-23T00:00:00"/>
    <s v="Moderate"/>
    <s v="Unique"/>
    <x v="2"/>
    <d v="2023-09-23T00:00:00"/>
    <x v="14"/>
    <n v="1"/>
  </r>
  <r>
    <s v="MEM0188"/>
    <s v="BR06"/>
    <s v="Premium"/>
    <d v="2025-12-12T00:00:00"/>
    <d v="2026-12-12T00:00:00"/>
    <n v="1000"/>
    <n v="6000"/>
    <n v="17"/>
    <x v="0"/>
    <d v="2026-03-30T00:00:00"/>
    <s v="Highly Active"/>
    <s v="Unique"/>
    <x v="24"/>
    <d v="2026-03-30T00:00:00"/>
    <x v="15"/>
    <n v="1"/>
  </r>
  <r>
    <s v="MEM0189"/>
    <s v="BR03"/>
    <s v="Basic"/>
    <d v="2024-08-15T00:00:00"/>
    <d v="2024-09-14T00:00:00"/>
    <n v="3500"/>
    <n v="28000"/>
    <n v="4"/>
    <x v="1"/>
    <d v="2024-08-27T00:00:00"/>
    <s v="At Risk"/>
    <s v="Unique"/>
    <x v="12"/>
    <d v="2024-08-27T00:00:00"/>
    <x v="23"/>
    <n v="0"/>
  </r>
  <r>
    <s v="MEM0190"/>
    <s v="BR06"/>
    <s v="Premium"/>
    <d v="2024-03-20T00:00:00"/>
    <d v="2024-04-19T00:00:00"/>
    <n v="2000"/>
    <n v="12000"/>
    <n v="12"/>
    <x v="0"/>
    <d v="2025-07-27T00:00:00"/>
    <s v="Moderate"/>
    <s v="Unique"/>
    <x v="11"/>
    <d v="2025-07-27T00:00:00"/>
    <x v="10"/>
    <n v="1"/>
  </r>
  <r>
    <s v="MEM0191"/>
    <s v="BR05"/>
    <s v="Premium"/>
    <d v="2024-10-19T00:00:00"/>
    <d v="2025-10-19T00:00:00"/>
    <n v="1000"/>
    <n v="4000"/>
    <n v="23"/>
    <x v="1"/>
    <d v="2025-01-21T00:00:00"/>
    <s v="Highly Active"/>
    <s v="Unique"/>
    <x v="19"/>
    <d v="2025-01-21T00:00:00"/>
    <x v="15"/>
    <n v="0"/>
  </r>
  <r>
    <s v="MEM0192"/>
    <s v="BR02"/>
    <s v="Standard"/>
    <d v="2023-10-13T00:00:00"/>
    <d v="2024-10-12T00:00:00"/>
    <n v="1000"/>
    <n v="8000"/>
    <n v="12"/>
    <x v="0"/>
    <d v="2026-01-22T00:00:00"/>
    <s v="Moderate"/>
    <s v="Unique"/>
    <x v="31"/>
    <d v="2026-01-22T00:00:00"/>
    <x v="20"/>
    <n v="1"/>
  </r>
  <r>
    <s v="MEM0193"/>
    <s v="BR02"/>
    <s v="Premium"/>
    <d v="2023-08-24T00:00:00"/>
    <d v="2023-11-22T00:00:00"/>
    <n v="3500"/>
    <n v="35000"/>
    <n v="16"/>
    <x v="0"/>
    <d v="2024-03-21T00:00:00"/>
    <s v="Highly Active"/>
    <s v="Unique"/>
    <x v="27"/>
    <d v="2024-03-21T00:00:00"/>
    <x v="12"/>
    <n v="1"/>
  </r>
  <r>
    <s v="MEM0194"/>
    <s v="BR02"/>
    <s v="Premium"/>
    <d v="2024-08-17T00:00:00"/>
    <d v="2025-08-17T00:00:00"/>
    <n v="1000"/>
    <n v="10000"/>
    <n v="22"/>
    <x v="0"/>
    <d v="2025-06-06T00:00:00"/>
    <s v="Highly Active"/>
    <s v="Unique"/>
    <x v="12"/>
    <d v="2025-06-06T00:00:00"/>
    <x v="6"/>
    <n v="1"/>
  </r>
  <r>
    <s v="MEM0195"/>
    <s v="BR07"/>
    <s v="Standard"/>
    <d v="2023-09-18T00:00:00"/>
    <d v="2024-09-17T00:00:00"/>
    <n v="1000"/>
    <n v="4000"/>
    <n v="0"/>
    <x v="1"/>
    <d v="2023-10-04T00:00:00"/>
    <s v="At Risk"/>
    <s v="Unique"/>
    <x v="25"/>
    <d v="2023-10-04T00:00:00"/>
    <x v="23"/>
    <n v="0"/>
  </r>
  <r>
    <s v="MEM0196"/>
    <s v="BR06"/>
    <s v="Standard"/>
    <d v="2023-01-14T00:00:00"/>
    <d v="2023-04-14T00:00:00"/>
    <n v="2000"/>
    <n v="24000"/>
    <n v="11"/>
    <x v="0"/>
    <d v="2025-08-10T00:00:00"/>
    <s v="Moderate"/>
    <s v="Unique"/>
    <x v="2"/>
    <d v="2025-08-10T00:00:00"/>
    <x v="21"/>
    <n v="1"/>
  </r>
  <r>
    <s v="MEM0197"/>
    <s v="BR02"/>
    <s v="Standard"/>
    <d v="2025-04-17T00:00:00"/>
    <d v="2025-05-17T00:00:00"/>
    <n v="1000"/>
    <n v="4000"/>
    <n v="16"/>
    <x v="0"/>
    <d v="2025-11-28T00:00:00"/>
    <s v="Highly Active"/>
    <s v="Unique"/>
    <x v="26"/>
    <d v="2025-11-28T00:00:00"/>
    <x v="25"/>
    <n v="1"/>
  </r>
  <r>
    <s v="MEM0198"/>
    <s v="BR03"/>
    <s v="Premium"/>
    <d v="2024-10-09T00:00:00"/>
    <d v="2025-10-09T00:00:00"/>
    <n v="3500"/>
    <n v="7000"/>
    <n v="19"/>
    <x v="0"/>
    <d v="2025-12-20T00:00:00"/>
    <s v="Highly Active"/>
    <s v="Unique"/>
    <x v="19"/>
    <d v="2025-12-20T00:00:00"/>
    <x v="7"/>
    <n v="1"/>
  </r>
  <r>
    <s v="MEM0199"/>
    <s v="BR07"/>
    <s v="Basic"/>
    <d v="2024-04-21T00:00:00"/>
    <d v="2024-05-21T00:00:00"/>
    <n v="1000"/>
    <n v="12000"/>
    <n v="23"/>
    <x v="0"/>
    <d v="2024-06-26T00:00:00"/>
    <s v="Highly Active"/>
    <s v="Unique"/>
    <x v="9"/>
    <d v="2024-06-26T00:00:00"/>
    <x v="3"/>
    <n v="1"/>
  </r>
  <r>
    <s v="MEM0200"/>
    <s v="BR07"/>
    <s v="Basic"/>
    <d v="2023-08-19T00:00:00"/>
    <d v="2023-09-18T00:00:00"/>
    <n v="2000"/>
    <n v="10000"/>
    <n v="12"/>
    <x v="0"/>
    <d v="2024-11-12T00:00:00"/>
    <s v="Moderate"/>
    <s v="Unique"/>
    <x v="27"/>
    <d v="2024-11-12T00:00:00"/>
    <x v="7"/>
    <n v="1"/>
  </r>
  <r>
    <s v="MEM0201"/>
    <s v="BR06"/>
    <s v="Basic"/>
    <d v="2024-01-25T00:00:00"/>
    <d v="2024-02-24T00:00:00"/>
    <n v="1000"/>
    <n v="1000"/>
    <n v="3"/>
    <x v="1"/>
    <d v="2024-10-09T00:00:00"/>
    <s v="At Risk"/>
    <s v="Unique"/>
    <x v="34"/>
    <d v="2024-10-09T00:00:00"/>
    <x v="14"/>
    <n v="0"/>
  </r>
  <r>
    <s v="MEM0202"/>
    <s v="BR02"/>
    <s v="Standard"/>
    <d v="2023-02-07T00:00:00"/>
    <d v="2024-02-07T00:00:00"/>
    <n v="1000"/>
    <n v="1000"/>
    <n v="21"/>
    <x v="0"/>
    <d v="2025-03-20T00:00:00"/>
    <s v="Highly Active"/>
    <s v="Unique"/>
    <x v="16"/>
    <d v="2025-03-20T00:00:00"/>
    <x v="31"/>
    <n v="1"/>
  </r>
  <r>
    <s v="MEM0203"/>
    <s v="BR03"/>
    <s v="Basic"/>
    <d v="2025-10-11T00:00:00"/>
    <d v="2026-01-09T00:00:00"/>
    <n v="3500"/>
    <n v="7000"/>
    <n v="19"/>
    <x v="0"/>
    <d v="2025-10-23T00:00:00"/>
    <s v="Highly Active"/>
    <s v="Unique"/>
    <x v="32"/>
    <d v="2025-10-23T00:00:00"/>
    <x v="23"/>
    <n v="1"/>
  </r>
  <r>
    <s v="MEM0204"/>
    <s v="BR03"/>
    <s v="Basic"/>
    <d v="2025-04-29T00:00:00"/>
    <d v="2025-05-29T00:00:00"/>
    <n v="2000"/>
    <n v="14000"/>
    <n v="11"/>
    <x v="0"/>
    <d v="2025-12-29T00:00:00"/>
    <s v="Moderate"/>
    <s v="Unique"/>
    <x v="26"/>
    <d v="2025-12-29T00:00:00"/>
    <x v="14"/>
    <n v="1"/>
  </r>
  <r>
    <s v="MEM0205"/>
    <s v="BR07"/>
    <s v="Premium"/>
    <d v="2025-02-15T00:00:00"/>
    <d v="2025-05-16T00:00:00"/>
    <n v="1000"/>
    <n v="4000"/>
    <n v="20"/>
    <x v="1"/>
    <d v="2026-03-29T00:00:00"/>
    <s v="Highly Active"/>
    <s v="Unique"/>
    <x v="14"/>
    <d v="2026-03-29T00:00:00"/>
    <x v="9"/>
    <n v="0"/>
  </r>
  <r>
    <s v="MEM0206"/>
    <s v="BR02"/>
    <s v="Standard"/>
    <d v="2023-10-30T00:00:00"/>
    <d v="2024-01-28T00:00:00"/>
    <n v="1000"/>
    <n v="5000"/>
    <n v="13"/>
    <x v="0"/>
    <d v="2025-08-28T00:00:00"/>
    <s v="Moderate"/>
    <s v="Unique"/>
    <x v="31"/>
    <d v="2025-08-28T00:00:00"/>
    <x v="8"/>
    <n v="1"/>
  </r>
  <r>
    <s v="MEM0207"/>
    <s v="BR06"/>
    <s v="Premium"/>
    <d v="2024-09-17T00:00:00"/>
    <d v="2024-10-17T00:00:00"/>
    <n v="1000"/>
    <n v="10000"/>
    <n v="5"/>
    <x v="0"/>
    <d v="2025-02-12T00:00:00"/>
    <s v="Moderate"/>
    <s v="Unique"/>
    <x v="8"/>
    <d v="2025-02-12T00:00:00"/>
    <x v="13"/>
    <n v="1"/>
  </r>
  <r>
    <s v="MEM0208"/>
    <s v="BR05"/>
    <s v="Basic"/>
    <d v="2024-10-01T00:00:00"/>
    <d v="2024-12-30T00:00:00"/>
    <n v="3500"/>
    <n v="28000"/>
    <n v="4"/>
    <x v="1"/>
    <d v="2024-10-15T00:00:00"/>
    <s v="At Risk"/>
    <s v="Unique"/>
    <x v="19"/>
    <d v="2024-10-15T00:00:00"/>
    <x v="23"/>
    <n v="0"/>
  </r>
  <r>
    <s v="MEM0209"/>
    <s v="BR07"/>
    <s v="Basic"/>
    <d v="2024-01-31T00:00:00"/>
    <d v="2024-03-01T00:00:00"/>
    <n v="3500"/>
    <n v="28000"/>
    <n v="19"/>
    <x v="0"/>
    <d v="2024-08-01T00:00:00"/>
    <s v="Highly Active"/>
    <s v="Unique"/>
    <x v="34"/>
    <d v="2024-08-01T00:00:00"/>
    <x v="12"/>
    <n v="1"/>
  </r>
  <r>
    <s v="MEM0210"/>
    <s v="BR04"/>
    <s v="Premium"/>
    <d v="2024-02-13T00:00:00"/>
    <d v="2025-02-12T00:00:00"/>
    <n v="3500"/>
    <n v="14000"/>
    <n v="21"/>
    <x v="0"/>
    <d v="2026-01-20T00:00:00"/>
    <s v="Highly Active"/>
    <s v="Unique"/>
    <x v="3"/>
    <d v="2026-01-20T00:00:00"/>
    <x v="18"/>
    <n v="1"/>
  </r>
  <r>
    <s v="MEM0211"/>
    <s v="BR04"/>
    <s v="Standard"/>
    <d v="2025-11-23T00:00:00"/>
    <d v="2025-12-23T00:00:00"/>
    <n v="3500"/>
    <n v="24500"/>
    <n v="5"/>
    <x v="0"/>
    <d v="2026-02-02T00:00:00"/>
    <s v="Moderate"/>
    <s v="Unique"/>
    <x v="7"/>
    <d v="2026-02-02T00:00:00"/>
    <x v="3"/>
    <n v="1"/>
  </r>
  <r>
    <s v="MEM0212"/>
    <s v="BR03"/>
    <s v="Premium"/>
    <d v="2024-05-27T00:00:00"/>
    <d v="2024-06-26T00:00:00"/>
    <n v="1000"/>
    <n v="2000"/>
    <n v="15"/>
    <x v="0"/>
    <d v="2025-02-14T00:00:00"/>
    <s v="Highly Active"/>
    <s v="Unique"/>
    <x v="15"/>
    <d v="2025-02-14T00:00:00"/>
    <x v="14"/>
    <n v="1"/>
  </r>
  <r>
    <s v="MEM0213"/>
    <s v="BR06"/>
    <s v="Basic"/>
    <d v="2025-02-02T00:00:00"/>
    <d v="2026-02-02T00:00:00"/>
    <n v="3500"/>
    <n v="7000"/>
    <n v="13"/>
    <x v="0"/>
    <d v="2025-04-17T00:00:00"/>
    <s v="Moderate"/>
    <s v="Unique"/>
    <x v="14"/>
    <d v="2025-04-17T00:00:00"/>
    <x v="3"/>
    <n v="1"/>
  </r>
  <r>
    <s v="MEM0214"/>
    <s v="BR01"/>
    <s v="Premium"/>
    <d v="2025-11-25T00:00:00"/>
    <d v="2026-02-23T00:00:00"/>
    <n v="3500"/>
    <n v="35000"/>
    <n v="13"/>
    <x v="0"/>
    <d v="2026-03-08T00:00:00"/>
    <s v="Moderate"/>
    <s v="Unique"/>
    <x v="7"/>
    <d v="2026-03-08T00:00:00"/>
    <x v="15"/>
    <n v="1"/>
  </r>
  <r>
    <s v="MEM0215"/>
    <s v="BR04"/>
    <s v="Premium"/>
    <d v="2023-03-28T00:00:00"/>
    <d v="2023-04-27T00:00:00"/>
    <n v="3500"/>
    <n v="28000"/>
    <n v="1"/>
    <x v="1"/>
    <d v="2025-11-19T00:00:00"/>
    <s v="At Risk"/>
    <s v="Unique"/>
    <x v="20"/>
    <d v="2025-11-19T00:00:00"/>
    <x v="32"/>
    <n v="0"/>
  </r>
  <r>
    <s v="MEM0216"/>
    <s v="BR02"/>
    <s v="Standard"/>
    <d v="2023-06-30T00:00:00"/>
    <d v="2024-06-29T00:00:00"/>
    <n v="1000"/>
    <n v="8000"/>
    <n v="21"/>
    <x v="1"/>
    <d v="2025-11-29T00:00:00"/>
    <s v="Highly Active"/>
    <s v="Unique"/>
    <x v="10"/>
    <d v="2025-11-29T00:00:00"/>
    <x v="26"/>
    <n v="0"/>
  </r>
  <r>
    <s v="MEM0217"/>
    <s v="BR04"/>
    <s v="Standard"/>
    <d v="2024-09-12T00:00:00"/>
    <d v="2024-12-11T00:00:00"/>
    <n v="3500"/>
    <n v="35000"/>
    <n v="13"/>
    <x v="0"/>
    <d v="2026-03-24T00:00:00"/>
    <s v="Moderate"/>
    <s v="Unique"/>
    <x v="8"/>
    <d v="2026-03-24T00:00:00"/>
    <x v="28"/>
    <n v="1"/>
  </r>
  <r>
    <s v="MEM0218"/>
    <s v="BR06"/>
    <s v="Premium"/>
    <d v="2024-04-05T00:00:00"/>
    <d v="2024-05-05T00:00:00"/>
    <n v="3500"/>
    <n v="10500"/>
    <n v="5"/>
    <x v="0"/>
    <d v="2024-06-12T00:00:00"/>
    <s v="Moderate"/>
    <s v="Unique"/>
    <x v="9"/>
    <d v="2024-06-12T00:00:00"/>
    <x v="3"/>
    <n v="1"/>
  </r>
  <r>
    <s v="MEM0219"/>
    <s v="BR02"/>
    <s v="Basic"/>
    <d v="2025-11-26T00:00:00"/>
    <d v="2026-11-26T00:00:00"/>
    <n v="2000"/>
    <n v="16000"/>
    <n v="25"/>
    <x v="0"/>
    <d v="2026-01-03T00:00:00"/>
    <s v="Highly Active"/>
    <s v="Unique"/>
    <x v="7"/>
    <d v="2026-01-03T00:00:00"/>
    <x v="11"/>
    <n v="1"/>
  </r>
  <r>
    <s v="MEM0220"/>
    <s v="BR05"/>
    <s v="Basic"/>
    <d v="2024-08-23T00:00:00"/>
    <d v="2024-09-22T00:00:00"/>
    <n v="2000"/>
    <n v="12000"/>
    <n v="11"/>
    <x v="0"/>
    <d v="2025-11-26T00:00:00"/>
    <s v="Moderate"/>
    <s v="Unique"/>
    <x v="12"/>
    <d v="2025-11-26T00:00:00"/>
    <x v="24"/>
    <n v="1"/>
  </r>
  <r>
    <s v="MEM0221"/>
    <s v="BR05"/>
    <s v="Premium"/>
    <d v="2024-11-27T00:00:00"/>
    <d v="2025-11-27T00:00:00"/>
    <n v="3500"/>
    <n v="3500"/>
    <n v="11"/>
    <x v="0"/>
    <d v="2024-12-30T00:00:00"/>
    <s v="Moderate"/>
    <s v="Unique"/>
    <x v="23"/>
    <d v="2024-12-30T00:00:00"/>
    <x v="11"/>
    <n v="1"/>
  </r>
  <r>
    <s v="MEM0222"/>
    <s v="BR05"/>
    <s v="Premium"/>
    <d v="2024-03-09T00:00:00"/>
    <d v="2024-04-08T00:00:00"/>
    <n v="1000"/>
    <n v="8000"/>
    <n v="12"/>
    <x v="0"/>
    <d v="2024-06-29T00:00:00"/>
    <s v="Moderate"/>
    <s v="Unique"/>
    <x v="11"/>
    <d v="2024-06-29T00:00:00"/>
    <x v="15"/>
    <n v="1"/>
  </r>
  <r>
    <s v="MEM0223"/>
    <s v="BR07"/>
    <s v="Standard"/>
    <d v="2024-02-19T00:00:00"/>
    <d v="2025-02-18T00:00:00"/>
    <n v="1000"/>
    <n v="1000"/>
    <n v="21"/>
    <x v="0"/>
    <d v="2024-11-11T00:00:00"/>
    <s v="Highly Active"/>
    <s v="Unique"/>
    <x v="3"/>
    <d v="2024-11-11T00:00:00"/>
    <x v="14"/>
    <n v="1"/>
  </r>
  <r>
    <s v="MEM0224"/>
    <s v="BR04"/>
    <s v="Standard"/>
    <d v="2024-09-03T00:00:00"/>
    <d v="2024-10-03T00:00:00"/>
    <n v="3500"/>
    <n v="31500"/>
    <n v="3"/>
    <x v="0"/>
    <d v="2024-09-24T00:00:00"/>
    <s v="At Risk"/>
    <s v="Unique"/>
    <x v="8"/>
    <d v="2024-09-24T00:00:00"/>
    <x v="23"/>
    <n v="1"/>
  </r>
  <r>
    <s v="MEM0225"/>
    <s v="BR03"/>
    <s v="Standard"/>
    <d v="2023-05-28T00:00:00"/>
    <d v="2023-06-27T00:00:00"/>
    <n v="3500"/>
    <n v="7000"/>
    <n v="24"/>
    <x v="0"/>
    <d v="2025-03-08T00:00:00"/>
    <s v="Highly Active"/>
    <s v="Unique"/>
    <x v="29"/>
    <d v="2025-03-08T00:00:00"/>
    <x v="8"/>
    <n v="1"/>
  </r>
  <r>
    <s v="MEM0226"/>
    <s v="BR03"/>
    <s v="Standard"/>
    <d v="2025-07-12T00:00:00"/>
    <d v="2025-08-11T00:00:00"/>
    <n v="3500"/>
    <n v="17500"/>
    <n v="22"/>
    <x v="0"/>
    <d v="2026-03-09T00:00:00"/>
    <s v="Highly Active"/>
    <s v="Unique"/>
    <x v="17"/>
    <d v="2026-03-09T00:00:00"/>
    <x v="25"/>
    <n v="1"/>
  </r>
  <r>
    <s v="MEM0227"/>
    <s v="BR02"/>
    <s v="Premium"/>
    <d v="2023-05-01T00:00:00"/>
    <d v="2023-07-30T00:00:00"/>
    <n v="1000"/>
    <n v="10000"/>
    <n v="7"/>
    <x v="0"/>
    <d v="2023-05-21T00:00:00"/>
    <s v="Moderate"/>
    <s v="Unique"/>
    <x v="29"/>
    <d v="2023-05-21T00:00:00"/>
    <x v="23"/>
    <n v="1"/>
  </r>
  <r>
    <s v="MEM0228"/>
    <s v="BR02"/>
    <s v="Premium"/>
    <d v="2026-01-19T00:00:00"/>
    <d v="2027-01-19T00:00:00"/>
    <n v="1000"/>
    <n v="11000"/>
    <n v="10"/>
    <x v="0"/>
    <d v="2026-03-11T00:00:00"/>
    <s v="Moderate"/>
    <s v="Unique"/>
    <x v="35"/>
    <d v="2026-03-11T00:00:00"/>
    <x v="11"/>
    <n v="1"/>
  </r>
  <r>
    <s v="MEM0229"/>
    <s v="BR02"/>
    <s v="Standard"/>
    <d v="2023-04-16T00:00:00"/>
    <d v="2023-07-15T00:00:00"/>
    <n v="3500"/>
    <n v="17500"/>
    <n v="11"/>
    <x v="0"/>
    <d v="2024-03-31T00:00:00"/>
    <s v="Moderate"/>
    <s v="Unique"/>
    <x v="28"/>
    <d v="2024-03-31T00:00:00"/>
    <x v="4"/>
    <n v="1"/>
  </r>
  <r>
    <s v="MEM0230"/>
    <s v="BR06"/>
    <s v="Premium"/>
    <d v="2023-05-04T00:00:00"/>
    <d v="2023-06-03T00:00:00"/>
    <n v="2000"/>
    <n v="6000"/>
    <n v="23"/>
    <x v="1"/>
    <d v="2024-12-20T00:00:00"/>
    <s v="Highly Active"/>
    <s v="Unique"/>
    <x v="29"/>
    <d v="2024-12-20T00:00:00"/>
    <x v="1"/>
    <n v="0"/>
  </r>
  <r>
    <s v="MEM0231"/>
    <s v="BR01"/>
    <s v="Basic"/>
    <d v="2025-03-16T00:00:00"/>
    <d v="2025-04-15T00:00:00"/>
    <n v="1000"/>
    <n v="6000"/>
    <n v="22"/>
    <x v="0"/>
    <d v="2025-08-22T00:00:00"/>
    <s v="Highly Active"/>
    <s v="Unique"/>
    <x v="33"/>
    <d v="2025-08-22T00:00:00"/>
    <x v="27"/>
    <n v="1"/>
  </r>
  <r>
    <s v="MEM0232"/>
    <s v="BR04"/>
    <s v="Basic"/>
    <d v="2024-02-15T00:00:00"/>
    <d v="2024-03-16T00:00:00"/>
    <n v="1000"/>
    <n v="7000"/>
    <n v="17"/>
    <x v="0"/>
    <d v="2024-10-05T00:00:00"/>
    <s v="Highly Active"/>
    <s v="Unique"/>
    <x v="3"/>
    <d v="2024-10-05T00:00:00"/>
    <x v="25"/>
    <n v="1"/>
  </r>
  <r>
    <s v="MEM0233"/>
    <s v="BR07"/>
    <s v="Premium"/>
    <d v="2025-10-22T00:00:00"/>
    <d v="2025-11-21T00:00:00"/>
    <n v="2000"/>
    <n v="24000"/>
    <n v="19"/>
    <x v="0"/>
    <d v="2025-12-06T00:00:00"/>
    <s v="Highly Active"/>
    <s v="Unique"/>
    <x v="32"/>
    <d v="2025-12-06T00:00:00"/>
    <x v="11"/>
    <n v="1"/>
  </r>
  <r>
    <s v="MEM0234"/>
    <s v="BR07"/>
    <s v="Premium"/>
    <d v="2023-08-14T00:00:00"/>
    <d v="2023-11-12T00:00:00"/>
    <n v="3500"/>
    <n v="38500"/>
    <n v="23"/>
    <x v="0"/>
    <d v="2024-07-14T00:00:00"/>
    <s v="Highly Active"/>
    <s v="Unique"/>
    <x v="27"/>
    <d v="2024-07-14T00:00:00"/>
    <x v="4"/>
    <n v="1"/>
  </r>
  <r>
    <s v="MEM0235"/>
    <s v="BR07"/>
    <s v="Standard"/>
    <d v="2023-02-12T00:00:00"/>
    <d v="2023-03-14T00:00:00"/>
    <n v="1000"/>
    <n v="11000"/>
    <n v="9"/>
    <x v="0"/>
    <d v="2026-04-02T00:00:00"/>
    <s v="Moderate"/>
    <s v="Unique"/>
    <x v="16"/>
    <d v="2026-04-02T00:00:00"/>
    <x v="33"/>
    <n v="1"/>
  </r>
  <r>
    <s v="MEM0236"/>
    <s v="BR04"/>
    <s v="Standard"/>
    <d v="2024-08-03T00:00:00"/>
    <d v="2025-08-03T00:00:00"/>
    <n v="3500"/>
    <n v="28000"/>
    <n v="17"/>
    <x v="0"/>
    <d v="2025-06-03T00:00:00"/>
    <s v="Highly Active"/>
    <s v="Unique"/>
    <x v="12"/>
    <d v="2025-06-03T00:00:00"/>
    <x v="2"/>
    <n v="1"/>
  </r>
  <r>
    <s v="MEM0237"/>
    <s v="BR01"/>
    <s v="Standard"/>
    <d v="2023-12-18T00:00:00"/>
    <d v="2024-12-17T00:00:00"/>
    <n v="2000"/>
    <n v="6000"/>
    <n v="4"/>
    <x v="1"/>
    <d v="2026-02-17T00:00:00"/>
    <s v="At Risk"/>
    <s v="Unique"/>
    <x v="22"/>
    <d v="2026-02-17T00:00:00"/>
    <x v="31"/>
    <n v="0"/>
  </r>
  <r>
    <s v="MEM0238"/>
    <s v="BR06"/>
    <s v="Premium"/>
    <d v="2024-08-17T00:00:00"/>
    <d v="2025-08-17T00:00:00"/>
    <n v="2000"/>
    <n v="10000"/>
    <n v="18"/>
    <x v="0"/>
    <d v="2026-03-26T00:00:00"/>
    <s v="Highly Active"/>
    <s v="Unique"/>
    <x v="12"/>
    <d v="2026-03-26T00:00:00"/>
    <x v="1"/>
    <n v="1"/>
  </r>
  <r>
    <s v="MEM0239"/>
    <s v="BR04"/>
    <s v="Standard"/>
    <d v="2024-06-22T00:00:00"/>
    <d v="2024-09-20T00:00:00"/>
    <n v="2000"/>
    <n v="20000"/>
    <n v="0"/>
    <x v="0"/>
    <d v="2024-07-28T00:00:00"/>
    <s v="At Risk"/>
    <s v="Unique"/>
    <x v="1"/>
    <d v="2024-07-28T00:00:00"/>
    <x v="11"/>
    <n v="1"/>
  </r>
  <r>
    <s v="MEM0240"/>
    <s v="BR07"/>
    <s v="Basic"/>
    <d v="2023-10-18T00:00:00"/>
    <d v="2023-11-17T00:00:00"/>
    <n v="2000"/>
    <n v="20000"/>
    <n v="13"/>
    <x v="0"/>
    <d v="2025-07-21T00:00:00"/>
    <s v="Moderate"/>
    <s v="Unique"/>
    <x v="31"/>
    <d v="2025-07-21T00:00:00"/>
    <x v="8"/>
    <n v="1"/>
  </r>
  <r>
    <s v="MEM0241"/>
    <s v="BR03"/>
    <s v="Standard"/>
    <d v="2024-07-13T00:00:00"/>
    <d v="2024-08-12T00:00:00"/>
    <n v="2000"/>
    <n v="24000"/>
    <n v="17"/>
    <x v="0"/>
    <d v="2025-09-12T00:00:00"/>
    <s v="Highly Active"/>
    <s v="Unique"/>
    <x v="13"/>
    <d v="2025-09-12T00:00:00"/>
    <x v="9"/>
    <n v="1"/>
  </r>
  <r>
    <s v="MEM0242"/>
    <s v="BR07"/>
    <s v="Premium"/>
    <d v="2025-08-13T00:00:00"/>
    <d v="2025-11-11T00:00:00"/>
    <n v="2000"/>
    <n v="14000"/>
    <n v="3"/>
    <x v="1"/>
    <d v="2026-01-25T00:00:00"/>
    <s v="At Risk"/>
    <s v="Unique"/>
    <x v="4"/>
    <d v="2026-01-25T00:00:00"/>
    <x v="27"/>
    <n v="0"/>
  </r>
  <r>
    <s v="MEM0243"/>
    <s v="BR05"/>
    <s v="Basic"/>
    <d v="2024-11-25T00:00:00"/>
    <d v="2025-02-23T00:00:00"/>
    <n v="2000"/>
    <n v="24000"/>
    <n v="8"/>
    <x v="0"/>
    <d v="2025-07-30T00:00:00"/>
    <s v="Moderate"/>
    <s v="Unique"/>
    <x v="23"/>
    <d v="2025-07-30T00:00:00"/>
    <x v="14"/>
    <n v="1"/>
  </r>
  <r>
    <s v="MEM0244"/>
    <s v="BR04"/>
    <s v="Standard"/>
    <d v="2025-05-31T00:00:00"/>
    <d v="2026-05-31T00:00:00"/>
    <n v="3500"/>
    <n v="7000"/>
    <n v="22"/>
    <x v="0"/>
    <d v="2026-04-11T00:00:00"/>
    <s v="Highly Active"/>
    <s v="Unique"/>
    <x v="30"/>
    <d v="2026-04-11T00:00:00"/>
    <x v="2"/>
    <n v="1"/>
  </r>
  <r>
    <s v="MEM0245"/>
    <s v="BR06"/>
    <s v="Premium"/>
    <d v="2025-11-05T00:00:00"/>
    <d v="2025-12-05T00:00:00"/>
    <n v="1000"/>
    <n v="3000"/>
    <n v="12"/>
    <x v="0"/>
    <d v="2026-02-08T00:00:00"/>
    <s v="Moderate"/>
    <s v="Unique"/>
    <x v="7"/>
    <d v="2026-02-08T00:00:00"/>
    <x v="15"/>
    <n v="1"/>
  </r>
  <r>
    <s v="MEM0246"/>
    <s v="BR01"/>
    <s v="Premium"/>
    <d v="2024-11-11T00:00:00"/>
    <d v="2025-02-09T00:00:00"/>
    <n v="3500"/>
    <n v="31500"/>
    <n v="17"/>
    <x v="0"/>
    <d v="2025-07-15T00:00:00"/>
    <s v="Highly Active"/>
    <s v="Unique"/>
    <x v="23"/>
    <d v="2025-07-15T00:00:00"/>
    <x v="14"/>
    <n v="1"/>
  </r>
  <r>
    <s v="MEM0247"/>
    <s v="BR02"/>
    <s v="Basic"/>
    <d v="2025-02-04T00:00:00"/>
    <d v="2025-03-06T00:00:00"/>
    <n v="2000"/>
    <n v="4000"/>
    <n v="20"/>
    <x v="0"/>
    <d v="2025-08-17T00:00:00"/>
    <s v="Highly Active"/>
    <s v="Unique"/>
    <x v="14"/>
    <d v="2025-08-17T00:00:00"/>
    <x v="12"/>
    <n v="1"/>
  </r>
  <r>
    <s v="MEM0248"/>
    <s v="BR03"/>
    <s v="Premium"/>
    <d v="2024-01-14T00:00:00"/>
    <d v="2024-04-13T00:00:00"/>
    <n v="3500"/>
    <n v="14000"/>
    <n v="6"/>
    <x v="0"/>
    <d v="2025-01-17T00:00:00"/>
    <s v="Moderate"/>
    <s v="Unique"/>
    <x v="34"/>
    <d v="2025-01-17T00:00:00"/>
    <x v="0"/>
    <n v="1"/>
  </r>
  <r>
    <s v="MEM0249"/>
    <s v="BR05"/>
    <s v="Basic"/>
    <d v="2023-09-07T00:00:00"/>
    <d v="2023-10-07T00:00:00"/>
    <n v="3500"/>
    <n v="24500"/>
    <n v="21"/>
    <x v="0"/>
    <d v="2026-03-01T00:00:00"/>
    <s v="Highly Active"/>
    <s v="Unique"/>
    <x v="25"/>
    <d v="2026-03-01T00:00:00"/>
    <x v="34"/>
    <n v="1"/>
  </r>
  <r>
    <s v="MEM0250"/>
    <s v="BR05"/>
    <s v="Premium"/>
    <d v="2025-11-11T00:00:00"/>
    <d v="2026-11-11T00:00:00"/>
    <n v="2000"/>
    <n v="8000"/>
    <n v="5"/>
    <x v="0"/>
    <d v="2026-01-03T00:00:00"/>
    <s v="Moderate"/>
    <s v="Unique"/>
    <x v="7"/>
    <d v="2026-01-03T00:00:00"/>
    <x v="11"/>
    <n v="1"/>
  </r>
  <r>
    <s v="MEM0251"/>
    <s v="BR01"/>
    <s v="Premium"/>
    <d v="2025-12-02T00:00:00"/>
    <d v="2026-12-02T00:00:00"/>
    <n v="1000"/>
    <n v="2000"/>
    <n v="14"/>
    <x v="0"/>
    <d v="2026-01-20T00:00:00"/>
    <s v="Moderate"/>
    <s v="Unique"/>
    <x v="24"/>
    <d v="2026-01-20T00:00:00"/>
    <x v="11"/>
    <n v="1"/>
  </r>
  <r>
    <s v="MEM0252"/>
    <s v="BR06"/>
    <s v="Basic"/>
    <d v="2024-08-31T00:00:00"/>
    <d v="2024-09-30T00:00:00"/>
    <n v="2000"/>
    <n v="14000"/>
    <n v="8"/>
    <x v="0"/>
    <d v="2026-02-20T00:00:00"/>
    <s v="Moderate"/>
    <s v="Unique"/>
    <x v="12"/>
    <d v="2026-02-20T00:00:00"/>
    <x v="5"/>
    <n v="1"/>
  </r>
  <r>
    <s v="MEM0253"/>
    <s v="BR07"/>
    <s v="Standard"/>
    <d v="2024-01-21T00:00:00"/>
    <d v="2024-04-20T00:00:00"/>
    <n v="2000"/>
    <n v="24000"/>
    <n v="0"/>
    <x v="1"/>
    <d v="2025-11-18T00:00:00"/>
    <s v="At Risk"/>
    <s v="Unique"/>
    <x v="34"/>
    <d v="2025-11-18T00:00:00"/>
    <x v="8"/>
    <n v="0"/>
  </r>
  <r>
    <s v="MEM0254"/>
    <s v="BR01"/>
    <s v="Basic"/>
    <d v="2025-06-22T00:00:00"/>
    <d v="2025-09-20T00:00:00"/>
    <n v="2000"/>
    <n v="22000"/>
    <n v="3"/>
    <x v="0"/>
    <d v="2025-08-01T00:00:00"/>
    <s v="At Risk"/>
    <s v="Unique"/>
    <x v="18"/>
    <d v="2025-08-01T00:00:00"/>
    <x v="11"/>
    <n v="1"/>
  </r>
  <r>
    <s v="MEM0255"/>
    <s v="BR05"/>
    <s v="Basic"/>
    <d v="2024-02-15T00:00:00"/>
    <d v="2024-03-16T00:00:00"/>
    <n v="3500"/>
    <n v="17500"/>
    <n v="18"/>
    <x v="0"/>
    <d v="2026-01-01T00:00:00"/>
    <s v="Highly Active"/>
    <s v="Unique"/>
    <x v="3"/>
    <d v="2026-01-01T00:00:00"/>
    <x v="29"/>
    <n v="1"/>
  </r>
  <r>
    <s v="MEM0256"/>
    <s v="BR04"/>
    <s v="Premium"/>
    <d v="2024-07-04T00:00:00"/>
    <d v="2024-10-02T00:00:00"/>
    <n v="3500"/>
    <n v="28000"/>
    <n v="24"/>
    <x v="0"/>
    <d v="2025-07-23T00:00:00"/>
    <s v="Highly Active"/>
    <s v="Unique"/>
    <x v="13"/>
    <d v="2025-07-23T00:00:00"/>
    <x v="0"/>
    <n v="1"/>
  </r>
  <r>
    <s v="MEM0257"/>
    <s v="BR06"/>
    <s v="Premium"/>
    <d v="2025-03-08T00:00:00"/>
    <d v="2025-04-07T00:00:00"/>
    <n v="2000"/>
    <n v="14000"/>
    <n v="8"/>
    <x v="0"/>
    <d v="2025-10-01T00:00:00"/>
    <s v="Moderate"/>
    <s v="Unique"/>
    <x v="33"/>
    <d v="2025-10-01T00:00:00"/>
    <x v="12"/>
    <n v="1"/>
  </r>
  <r>
    <s v="MEM0258"/>
    <s v="BR03"/>
    <s v="Premium"/>
    <d v="2024-08-03T00:00:00"/>
    <d v="2024-09-02T00:00:00"/>
    <n v="1000"/>
    <n v="9000"/>
    <n v="4"/>
    <x v="1"/>
    <d v="2024-08-18T00:00:00"/>
    <s v="At Risk"/>
    <s v="Unique"/>
    <x v="12"/>
    <d v="2024-08-18T00:00:00"/>
    <x v="23"/>
    <n v="0"/>
  </r>
  <r>
    <s v="MEM0259"/>
    <s v="BR04"/>
    <s v="Basic"/>
    <d v="2025-05-23T00:00:00"/>
    <d v="2026-05-23T00:00:00"/>
    <n v="3500"/>
    <n v="21000"/>
    <n v="25"/>
    <x v="0"/>
    <d v="2025-12-15T00:00:00"/>
    <s v="Highly Active"/>
    <s v="Unique"/>
    <x v="30"/>
    <d v="2025-12-15T00:00:00"/>
    <x v="12"/>
    <n v="1"/>
  </r>
  <r>
    <s v="MEM0260"/>
    <s v="BR07"/>
    <s v="Premium"/>
    <d v="2023-03-25T00:00:00"/>
    <d v="2024-03-24T00:00:00"/>
    <n v="3500"/>
    <n v="24500"/>
    <n v="11"/>
    <x v="0"/>
    <d v="2023-11-05T00:00:00"/>
    <s v="Moderate"/>
    <s v="Unique"/>
    <x v="20"/>
    <d v="2023-11-05T00:00:00"/>
    <x v="25"/>
    <n v="1"/>
  </r>
  <r>
    <s v="MEM0261"/>
    <s v="BR03"/>
    <s v="Basic"/>
    <d v="2024-02-28T00:00:00"/>
    <d v="2024-05-28T00:00:00"/>
    <n v="2000"/>
    <n v="24000"/>
    <n v="2"/>
    <x v="0"/>
    <d v="2024-09-24T00:00:00"/>
    <s v="At Risk"/>
    <s v="Unique"/>
    <x v="3"/>
    <d v="2024-09-24T00:00:00"/>
    <x v="12"/>
    <n v="1"/>
  </r>
  <r>
    <s v="MEM0262"/>
    <s v="BR03"/>
    <s v="Premium"/>
    <d v="2024-05-21T00:00:00"/>
    <d v="2024-08-19T00:00:00"/>
    <n v="2000"/>
    <n v="2000"/>
    <n v="3"/>
    <x v="1"/>
    <d v="2024-06-12T00:00:00"/>
    <s v="At Risk"/>
    <s v="Unique"/>
    <x v="15"/>
    <d v="2024-06-12T00:00:00"/>
    <x v="23"/>
    <n v="0"/>
  </r>
  <r>
    <s v="MEM0263"/>
    <s v="BR01"/>
    <s v="Standard"/>
    <d v="2023-03-31T00:00:00"/>
    <d v="2023-06-29T00:00:00"/>
    <n v="2000"/>
    <n v="12000"/>
    <n v="18"/>
    <x v="0"/>
    <d v="2024-10-27T00:00:00"/>
    <s v="Highly Active"/>
    <s v="Unique"/>
    <x v="20"/>
    <d v="2024-10-27T00:00:00"/>
    <x v="28"/>
    <n v="1"/>
  </r>
  <r>
    <s v="MEM0264"/>
    <s v="BR07"/>
    <s v="Premium"/>
    <d v="2025-08-17T00:00:00"/>
    <d v="2026-08-17T00:00:00"/>
    <n v="1000"/>
    <n v="6000"/>
    <n v="1"/>
    <x v="1"/>
    <d v="2025-12-06T00:00:00"/>
    <s v="At Risk"/>
    <s v="Unique"/>
    <x v="4"/>
    <d v="2025-12-06T00:00:00"/>
    <x v="15"/>
    <n v="0"/>
  </r>
  <r>
    <s v="MEM0265"/>
    <s v="BR05"/>
    <s v="Standard"/>
    <d v="2023-01-01T00:00:00"/>
    <d v="2023-04-01T00:00:00"/>
    <n v="1000"/>
    <n v="4000"/>
    <n v="4"/>
    <x v="0"/>
    <d v="2023-10-19T00:00:00"/>
    <s v="At Risk"/>
    <s v="Unique"/>
    <x v="2"/>
    <d v="2023-10-19T00:00:00"/>
    <x v="6"/>
    <n v="1"/>
  </r>
  <r>
    <s v="MEM0266"/>
    <s v="BR06"/>
    <s v="Premium"/>
    <d v="2024-12-07T00:00:00"/>
    <d v="2025-12-07T00:00:00"/>
    <n v="3500"/>
    <n v="31500"/>
    <n v="5"/>
    <x v="0"/>
    <d v="2025-04-17T00:00:00"/>
    <s v="Moderate"/>
    <s v="Unique"/>
    <x v="0"/>
    <d v="2025-04-17T00:00:00"/>
    <x v="13"/>
    <n v="1"/>
  </r>
  <r>
    <s v="MEM0267"/>
    <s v="BR03"/>
    <s v="Standard"/>
    <d v="2024-04-27T00:00:00"/>
    <d v="2024-05-27T00:00:00"/>
    <n v="3500"/>
    <n v="38500"/>
    <n v="25"/>
    <x v="0"/>
    <d v="2026-01-27T00:00:00"/>
    <s v="Highly Active"/>
    <s v="Unique"/>
    <x v="9"/>
    <d v="2026-01-27T00:00:00"/>
    <x v="8"/>
    <n v="1"/>
  </r>
  <r>
    <s v="MEM0268"/>
    <s v="BR06"/>
    <s v="Premium"/>
    <d v="2024-02-20T00:00:00"/>
    <d v="2025-02-19T00:00:00"/>
    <n v="3500"/>
    <n v="42000"/>
    <n v="17"/>
    <x v="0"/>
    <d v="2025-12-21T00:00:00"/>
    <s v="Highly Active"/>
    <s v="Unique"/>
    <x v="3"/>
    <d v="2025-12-21T00:00:00"/>
    <x v="29"/>
    <n v="1"/>
  </r>
  <r>
    <s v="MEM0269"/>
    <s v="BR05"/>
    <s v="Premium"/>
    <d v="2023-04-22T00:00:00"/>
    <d v="2023-07-21T00:00:00"/>
    <n v="1000"/>
    <n v="4000"/>
    <n v="6"/>
    <x v="0"/>
    <d v="2026-02-21T00:00:00"/>
    <s v="Moderate"/>
    <s v="Unique"/>
    <x v="28"/>
    <d v="2026-02-21T00:00:00"/>
    <x v="19"/>
    <n v="1"/>
  </r>
  <r>
    <s v="MEM0270"/>
    <s v="BR05"/>
    <s v="Basic"/>
    <d v="2024-06-04T00:00:00"/>
    <d v="2024-07-04T00:00:00"/>
    <n v="2000"/>
    <n v="6000"/>
    <n v="15"/>
    <x v="0"/>
    <d v="2025-11-21T00:00:00"/>
    <s v="Highly Active"/>
    <s v="Unique"/>
    <x v="1"/>
    <d v="2025-11-21T00:00:00"/>
    <x v="5"/>
    <n v="1"/>
  </r>
  <r>
    <s v="MEM0271"/>
    <s v="BR01"/>
    <s v="Premium"/>
    <d v="2024-06-14T00:00:00"/>
    <d v="2024-09-12T00:00:00"/>
    <n v="2000"/>
    <n v="2000"/>
    <n v="17"/>
    <x v="0"/>
    <d v="2025-08-14T00:00:00"/>
    <s v="Highly Active"/>
    <s v="Unique"/>
    <x v="1"/>
    <d v="2025-08-14T00:00:00"/>
    <x v="7"/>
    <n v="1"/>
  </r>
  <r>
    <s v="MEM0272"/>
    <s v="BR01"/>
    <s v="Standard"/>
    <d v="2023-10-21T00:00:00"/>
    <d v="2024-01-19T00:00:00"/>
    <n v="1000"/>
    <n v="10000"/>
    <n v="8"/>
    <x v="0"/>
    <d v="2025-01-01T00:00:00"/>
    <s v="Moderate"/>
    <s v="Unique"/>
    <x v="31"/>
    <d v="2025-01-01T00:00:00"/>
    <x v="7"/>
    <n v="1"/>
  </r>
  <r>
    <s v="MEM0273"/>
    <s v="BR06"/>
    <s v="Standard"/>
    <d v="2025-12-25T00:00:00"/>
    <d v="2026-12-25T00:00:00"/>
    <n v="2000"/>
    <n v="20000"/>
    <n v="4"/>
    <x v="1"/>
    <d v="2026-02-04T00:00:00"/>
    <s v="At Risk"/>
    <s v="Unique"/>
    <x v="24"/>
    <d v="2026-02-04T00:00:00"/>
    <x v="11"/>
    <n v="0"/>
  </r>
  <r>
    <s v="MEM0274"/>
    <s v="BR03"/>
    <s v="Basic"/>
    <d v="2023-06-08T00:00:00"/>
    <d v="2023-09-06T00:00:00"/>
    <n v="1000"/>
    <n v="7000"/>
    <n v="4"/>
    <x v="0"/>
    <d v="2025-03-09T00:00:00"/>
    <s v="At Risk"/>
    <s v="Unique"/>
    <x v="10"/>
    <d v="2025-03-09T00:00:00"/>
    <x v="8"/>
    <n v="1"/>
  </r>
  <r>
    <s v="MEM0275"/>
    <s v="BR01"/>
    <s v="Basic"/>
    <d v="2023-07-26T00:00:00"/>
    <d v="2024-07-25T00:00:00"/>
    <n v="1000"/>
    <n v="8000"/>
    <n v="8"/>
    <x v="0"/>
    <d v="2023-10-14T00:00:00"/>
    <s v="Moderate"/>
    <s v="Unique"/>
    <x v="6"/>
    <d v="2023-10-14T00:00:00"/>
    <x v="3"/>
    <n v="1"/>
  </r>
  <r>
    <s v="MEM0276"/>
    <s v="BR03"/>
    <s v="Basic"/>
    <d v="2024-02-28T00:00:00"/>
    <d v="2024-05-28T00:00:00"/>
    <n v="3500"/>
    <n v="31500"/>
    <n v="25"/>
    <x v="0"/>
    <d v="2025-02-23T00:00:00"/>
    <s v="Highly Active"/>
    <s v="Unique"/>
    <x v="3"/>
    <d v="2025-02-23T00:00:00"/>
    <x v="4"/>
    <n v="1"/>
  </r>
  <r>
    <s v="MEM0277"/>
    <s v="BR04"/>
    <s v="Basic"/>
    <d v="2023-06-19T00:00:00"/>
    <d v="2023-07-19T00:00:00"/>
    <n v="1000"/>
    <n v="7000"/>
    <n v="21"/>
    <x v="0"/>
    <d v="2023-07-30T00:00:00"/>
    <s v="Highly Active"/>
    <s v="Unique"/>
    <x v="10"/>
    <d v="2023-07-30T00:00:00"/>
    <x v="11"/>
    <n v="1"/>
  </r>
  <r>
    <s v="MEM0278"/>
    <s v="BR01"/>
    <s v="Basic"/>
    <d v="2025-09-17T00:00:00"/>
    <d v="2025-12-16T00:00:00"/>
    <n v="3500"/>
    <n v="10500"/>
    <n v="2"/>
    <x v="1"/>
    <d v="2025-10-10T00:00:00"/>
    <s v="At Risk"/>
    <s v="Unique"/>
    <x v="36"/>
    <d v="2025-10-10T00:00:00"/>
    <x v="23"/>
    <n v="0"/>
  </r>
  <r>
    <s v="MEM0279"/>
    <s v="BR06"/>
    <s v="Basic"/>
    <d v="2025-05-20T00:00:00"/>
    <d v="2026-05-20T00:00:00"/>
    <n v="3500"/>
    <n v="35000"/>
    <n v="23"/>
    <x v="0"/>
    <d v="2025-06-11T00:00:00"/>
    <s v="Highly Active"/>
    <s v="Unique"/>
    <x v="30"/>
    <d v="2025-06-11T00:00:00"/>
    <x v="23"/>
    <n v="1"/>
  </r>
  <r>
    <s v="MEM0280"/>
    <s v="BR03"/>
    <s v="Standard"/>
    <d v="2024-10-08T00:00:00"/>
    <d v="2025-01-06T00:00:00"/>
    <n v="2000"/>
    <n v="12000"/>
    <n v="15"/>
    <x v="0"/>
    <d v="2026-04-09T00:00:00"/>
    <s v="Highly Active"/>
    <s v="Unique"/>
    <x v="19"/>
    <d v="2026-04-09T00:00:00"/>
    <x v="28"/>
    <n v="1"/>
  </r>
  <r>
    <s v="MEM0281"/>
    <s v="BR06"/>
    <s v="Basic"/>
    <d v="2023-04-07T00:00:00"/>
    <d v="2023-05-07T00:00:00"/>
    <n v="2000"/>
    <n v="16000"/>
    <n v="2"/>
    <x v="1"/>
    <d v="2023-05-18T00:00:00"/>
    <s v="At Risk"/>
    <s v="Unique"/>
    <x v="28"/>
    <d v="2023-05-18T00:00:00"/>
    <x v="11"/>
    <n v="0"/>
  </r>
  <r>
    <s v="MEM0282"/>
    <s v="BR05"/>
    <s v="Premium"/>
    <d v="2023-08-09T00:00:00"/>
    <d v="2024-08-08T00:00:00"/>
    <n v="1000"/>
    <n v="9000"/>
    <n v="8"/>
    <x v="1"/>
    <d v="2024-02-08T00:00:00"/>
    <s v="Moderate"/>
    <s v="Unique"/>
    <x v="27"/>
    <d v="2024-02-08T00:00:00"/>
    <x v="27"/>
    <n v="0"/>
  </r>
  <r>
    <s v="MEM0283"/>
    <s v="BR04"/>
    <s v="Standard"/>
    <d v="2024-08-31T00:00:00"/>
    <d v="2024-09-30T00:00:00"/>
    <n v="1000"/>
    <n v="8000"/>
    <n v="21"/>
    <x v="0"/>
    <d v="2025-09-03T00:00:00"/>
    <s v="Highly Active"/>
    <s v="Unique"/>
    <x v="12"/>
    <d v="2025-09-03T00:00:00"/>
    <x v="0"/>
    <n v="1"/>
  </r>
  <r>
    <s v="MEM0284"/>
    <s v="BR07"/>
    <s v="Standard"/>
    <d v="2025-06-04T00:00:00"/>
    <d v="2025-07-04T00:00:00"/>
    <n v="3500"/>
    <n v="31500"/>
    <n v="16"/>
    <x v="0"/>
    <d v="2025-08-02T00:00:00"/>
    <s v="Highly Active"/>
    <s v="Unique"/>
    <x v="18"/>
    <d v="2025-08-02T00:00:00"/>
    <x v="11"/>
    <n v="1"/>
  </r>
  <r>
    <s v="MEM0285"/>
    <s v="BR07"/>
    <s v="Standard"/>
    <d v="2023-02-03T00:00:00"/>
    <d v="2024-02-03T00:00:00"/>
    <n v="1000"/>
    <n v="6000"/>
    <n v="24"/>
    <x v="1"/>
    <d v="2023-08-08T00:00:00"/>
    <s v="Highly Active"/>
    <s v="Unique"/>
    <x v="16"/>
    <d v="2023-08-08T00:00:00"/>
    <x v="12"/>
    <n v="0"/>
  </r>
  <r>
    <s v="MEM0286"/>
    <s v="BR01"/>
    <s v="Premium"/>
    <d v="2024-09-16T00:00:00"/>
    <d v="2025-09-16T00:00:00"/>
    <n v="2000"/>
    <n v="10000"/>
    <n v="5"/>
    <x v="0"/>
    <d v="2024-12-27T00:00:00"/>
    <s v="Moderate"/>
    <s v="Unique"/>
    <x v="8"/>
    <d v="2024-12-27T00:00:00"/>
    <x v="15"/>
    <n v="1"/>
  </r>
  <r>
    <s v="MEM0287"/>
    <s v="BR05"/>
    <s v="Basic"/>
    <d v="2023-09-20T00:00:00"/>
    <d v="2023-10-20T00:00:00"/>
    <n v="2000"/>
    <n v="12000"/>
    <n v="7"/>
    <x v="0"/>
    <d v="2025-10-20T00:00:00"/>
    <s v="Moderate"/>
    <s v="Unique"/>
    <x v="25"/>
    <d v="2025-10-20T00:00:00"/>
    <x v="31"/>
    <n v="1"/>
  </r>
  <r>
    <s v="MEM0288"/>
    <s v="BR01"/>
    <s v="Basic"/>
    <d v="2023-01-23T00:00:00"/>
    <d v="2024-01-23T00:00:00"/>
    <n v="2000"/>
    <n v="4000"/>
    <n v="5"/>
    <x v="0"/>
    <d v="2023-04-09T00:00:00"/>
    <s v="Moderate"/>
    <s v="Unique"/>
    <x v="2"/>
    <d v="2023-04-09T00:00:00"/>
    <x v="3"/>
    <n v="1"/>
  </r>
  <r>
    <s v="MEM0289"/>
    <s v="BR03"/>
    <s v="Premium"/>
    <d v="2025-11-13T00:00:00"/>
    <d v="2025-12-13T00:00:00"/>
    <n v="3500"/>
    <n v="3500"/>
    <n v="10"/>
    <x v="0"/>
    <d v="2026-03-25T00:00:00"/>
    <s v="Moderate"/>
    <s v="Unique"/>
    <x v="7"/>
    <d v="2026-03-25T00:00:00"/>
    <x v="13"/>
    <n v="1"/>
  </r>
  <r>
    <s v="MEM0290"/>
    <s v="BR03"/>
    <s v="Standard"/>
    <d v="2025-06-14T00:00:00"/>
    <d v="2025-09-12T00:00:00"/>
    <n v="3500"/>
    <n v="38500"/>
    <n v="8"/>
    <x v="0"/>
    <d v="2025-07-16T00:00:00"/>
    <s v="Moderate"/>
    <s v="Unique"/>
    <x v="18"/>
    <d v="2025-07-16T00:00:00"/>
    <x v="11"/>
    <n v="1"/>
  </r>
  <r>
    <s v="MEM0291"/>
    <s v="BR02"/>
    <s v="Standard"/>
    <d v="2025-01-18T00:00:00"/>
    <d v="2025-04-18T00:00:00"/>
    <n v="3500"/>
    <n v="24500"/>
    <n v="21"/>
    <x v="0"/>
    <d v="2025-04-29T00:00:00"/>
    <s v="Highly Active"/>
    <s v="Unique"/>
    <x v="5"/>
    <d v="2025-04-29T00:00:00"/>
    <x v="15"/>
    <n v="1"/>
  </r>
  <r>
    <s v="MEM0292"/>
    <s v="BR07"/>
    <s v="Basic"/>
    <d v="2025-10-04T00:00:00"/>
    <d v="2025-11-03T00:00:00"/>
    <n v="2000"/>
    <n v="10000"/>
    <n v="19"/>
    <x v="1"/>
    <d v="2026-04-05T00:00:00"/>
    <s v="Highly Active"/>
    <s v="Unique"/>
    <x v="32"/>
    <d v="2026-04-05T00:00:00"/>
    <x v="12"/>
    <n v="0"/>
  </r>
  <r>
    <s v="MEM0293"/>
    <s v="BR05"/>
    <s v="Standard"/>
    <d v="2023-03-12T00:00:00"/>
    <d v="2024-03-11T00:00:00"/>
    <n v="3500"/>
    <n v="21000"/>
    <n v="4"/>
    <x v="0"/>
    <d v="2025-10-31T00:00:00"/>
    <s v="At Risk"/>
    <s v="Unique"/>
    <x v="20"/>
    <d v="2025-10-31T00:00:00"/>
    <x v="32"/>
    <n v="1"/>
  </r>
  <r>
    <s v="MEM0294"/>
    <s v="BR02"/>
    <s v="Basic"/>
    <d v="2025-04-21T00:00:00"/>
    <d v="2025-05-21T00:00:00"/>
    <n v="1000"/>
    <n v="1000"/>
    <n v="23"/>
    <x v="1"/>
    <d v="2025-06-05T00:00:00"/>
    <s v="Highly Active"/>
    <s v="Unique"/>
    <x v="26"/>
    <d v="2025-06-05T00:00:00"/>
    <x v="11"/>
    <n v="0"/>
  </r>
  <r>
    <s v="MEM0295"/>
    <s v="BR02"/>
    <s v="Basic"/>
    <d v="2025-07-24T00:00:00"/>
    <d v="2025-08-23T00:00:00"/>
    <n v="2000"/>
    <n v="2000"/>
    <n v="15"/>
    <x v="1"/>
    <d v="2025-10-20T00:00:00"/>
    <s v="Highly Active"/>
    <s v="Unique"/>
    <x v="17"/>
    <d v="2025-10-20T00:00:00"/>
    <x v="3"/>
    <n v="0"/>
  </r>
  <r>
    <s v="MEM0296"/>
    <s v="BR05"/>
    <s v="Premium"/>
    <d v="2024-01-03T00:00:00"/>
    <d v="2024-02-02T00:00:00"/>
    <n v="1000"/>
    <n v="4000"/>
    <n v="16"/>
    <x v="0"/>
    <d v="2024-10-08T00:00:00"/>
    <s v="Highly Active"/>
    <s v="Unique"/>
    <x v="34"/>
    <d v="2024-10-08T00:00:00"/>
    <x v="6"/>
    <n v="1"/>
  </r>
  <r>
    <s v="MEM0297"/>
    <s v="BR02"/>
    <s v="Premium"/>
    <d v="2023-07-30T00:00:00"/>
    <d v="2023-10-28T00:00:00"/>
    <n v="2000"/>
    <n v="2000"/>
    <n v="25"/>
    <x v="0"/>
    <d v="2023-12-17T00:00:00"/>
    <s v="Highly Active"/>
    <s v="Unique"/>
    <x v="6"/>
    <d v="2023-12-17T00:00:00"/>
    <x v="13"/>
    <n v="1"/>
  </r>
  <r>
    <s v="MEM0298"/>
    <s v="BR04"/>
    <s v="Premium"/>
    <d v="2025-08-13T00:00:00"/>
    <d v="2025-09-12T00:00:00"/>
    <n v="1000"/>
    <n v="7000"/>
    <n v="17"/>
    <x v="1"/>
    <d v="2026-04-07T00:00:00"/>
    <s v="Highly Active"/>
    <s v="Unique"/>
    <x v="4"/>
    <d v="2026-04-07T00:00:00"/>
    <x v="25"/>
    <n v="0"/>
  </r>
  <r>
    <s v="MEM0299"/>
    <s v="BR02"/>
    <s v="Basic"/>
    <d v="2025-12-25T00:00:00"/>
    <d v="2026-12-25T00:00:00"/>
    <n v="1000"/>
    <n v="6000"/>
    <n v="1"/>
    <x v="0"/>
    <d v="2026-04-12T00:00:00"/>
    <s v="At Risk"/>
    <s v="Unique"/>
    <x v="24"/>
    <d v="2026-04-12T00:00:00"/>
    <x v="15"/>
    <n v="1"/>
  </r>
  <r>
    <s v="MEM0300"/>
    <s v="BR01"/>
    <s v="Standard"/>
    <d v="2026-01-30T00:00:00"/>
    <d v="2026-04-30T00:00:00"/>
    <n v="3500"/>
    <n v="14000"/>
    <n v="2"/>
    <x v="1"/>
    <d v="2026-03-01T00:00:00"/>
    <s v="At Risk"/>
    <s v="Unique"/>
    <x v="35"/>
    <d v="2026-03-01T00:00:00"/>
    <x v="11"/>
    <n v="0"/>
  </r>
  <r>
    <s v="MEM0301"/>
    <s v="BR06"/>
    <s v="Basic"/>
    <d v="2024-11-18T00:00:00"/>
    <d v="2024-12-18T00:00:00"/>
    <n v="3500"/>
    <n v="7000"/>
    <n v="1"/>
    <x v="0"/>
    <d v="2025-05-23T00:00:00"/>
    <s v="At Risk"/>
    <s v="Unique"/>
    <x v="23"/>
    <d v="2025-05-23T00:00:00"/>
    <x v="12"/>
    <n v="1"/>
  </r>
  <r>
    <s v="MEM0302"/>
    <s v="BR04"/>
    <s v="Premium"/>
    <d v="2023-11-16T00:00:00"/>
    <d v="2023-12-16T00:00:00"/>
    <n v="1000"/>
    <n v="5000"/>
    <n v="12"/>
    <x v="0"/>
    <d v="2025-09-26T00:00:00"/>
    <s v="Moderate"/>
    <s v="Unique"/>
    <x v="21"/>
    <d v="2025-09-26T00:00:00"/>
    <x v="29"/>
    <n v="1"/>
  </r>
  <r>
    <s v="MEM0303"/>
    <s v="BR04"/>
    <s v="Basic"/>
    <d v="2024-12-21T00:00:00"/>
    <d v="2025-01-20T00:00:00"/>
    <n v="2000"/>
    <n v="4000"/>
    <n v="1"/>
    <x v="1"/>
    <d v="2025-06-03T00:00:00"/>
    <s v="At Risk"/>
    <s v="Unique"/>
    <x v="0"/>
    <d v="2025-06-03T00:00:00"/>
    <x v="27"/>
    <n v="0"/>
  </r>
  <r>
    <s v="MEM0304"/>
    <s v="BR01"/>
    <s v="Standard"/>
    <d v="2025-05-12T00:00:00"/>
    <d v="2026-05-12T00:00:00"/>
    <n v="2000"/>
    <n v="10000"/>
    <n v="17"/>
    <x v="0"/>
    <d v="2025-05-23T00:00:00"/>
    <s v="Highly Active"/>
    <s v="Unique"/>
    <x v="30"/>
    <d v="2025-05-23T00:00:00"/>
    <x v="23"/>
    <n v="1"/>
  </r>
  <r>
    <s v="MEM0305"/>
    <s v="BR02"/>
    <s v="Standard"/>
    <d v="2025-04-27T00:00:00"/>
    <d v="2026-04-27T00:00:00"/>
    <n v="1000"/>
    <n v="9000"/>
    <n v="13"/>
    <x v="0"/>
    <d v="2025-05-09T00:00:00"/>
    <s v="Moderate"/>
    <s v="Unique"/>
    <x v="26"/>
    <d v="2025-05-09T00:00:00"/>
    <x v="23"/>
    <n v="1"/>
  </r>
  <r>
    <s v="MEM0306"/>
    <s v="BR04"/>
    <s v="Premium"/>
    <d v="2025-08-15T00:00:00"/>
    <d v="2026-08-15T00:00:00"/>
    <n v="3500"/>
    <n v="14000"/>
    <n v="17"/>
    <x v="0"/>
    <d v="2025-12-05T00:00:00"/>
    <s v="Highly Active"/>
    <s v="Unique"/>
    <x v="4"/>
    <d v="2025-12-05T00:00:00"/>
    <x v="15"/>
    <n v="1"/>
  </r>
  <r>
    <s v="MEM0307"/>
    <s v="BR04"/>
    <s v="Basic"/>
    <d v="2025-09-02T00:00:00"/>
    <d v="2025-12-01T00:00:00"/>
    <n v="1000"/>
    <n v="11000"/>
    <n v="2"/>
    <x v="1"/>
    <d v="2026-03-21T00:00:00"/>
    <s v="At Risk"/>
    <s v="Unique"/>
    <x v="36"/>
    <d v="2026-03-21T00:00:00"/>
    <x v="12"/>
    <n v="0"/>
  </r>
  <r>
    <s v="MEM0308"/>
    <s v="BR06"/>
    <s v="Standard"/>
    <d v="2024-03-07T00:00:00"/>
    <d v="2025-03-07T00:00:00"/>
    <n v="3500"/>
    <n v="14000"/>
    <n v="22"/>
    <x v="1"/>
    <d v="2024-07-06T00:00:00"/>
    <s v="Highly Active"/>
    <s v="Unique"/>
    <x v="11"/>
    <d v="2024-07-06T00:00:00"/>
    <x v="15"/>
    <n v="0"/>
  </r>
  <r>
    <s v="MEM0309"/>
    <s v="BR03"/>
    <s v="Basic"/>
    <d v="2025-09-15T00:00:00"/>
    <d v="2025-10-15T00:00:00"/>
    <n v="1000"/>
    <n v="1000"/>
    <n v="6"/>
    <x v="0"/>
    <d v="2025-11-12T00:00:00"/>
    <s v="Moderate"/>
    <s v="Unique"/>
    <x v="36"/>
    <d v="2025-11-12T00:00:00"/>
    <x v="11"/>
    <n v="1"/>
  </r>
  <r>
    <s v="MEM0310"/>
    <s v="BR03"/>
    <s v="Premium"/>
    <d v="2025-06-29T00:00:00"/>
    <d v="2026-06-29T00:00:00"/>
    <n v="3500"/>
    <n v="31500"/>
    <n v="9"/>
    <x v="1"/>
    <d v="2025-11-11T00:00:00"/>
    <s v="Moderate"/>
    <s v="Unique"/>
    <x v="18"/>
    <d v="2025-11-11T00:00:00"/>
    <x v="13"/>
    <n v="0"/>
  </r>
  <r>
    <s v="MEM0311"/>
    <s v="BR02"/>
    <s v="Standard"/>
    <d v="2023-10-09T00:00:00"/>
    <d v="2024-10-08T00:00:00"/>
    <n v="3500"/>
    <n v="35000"/>
    <n v="2"/>
    <x v="0"/>
    <d v="2024-07-22T00:00:00"/>
    <s v="At Risk"/>
    <s v="Unique"/>
    <x v="31"/>
    <d v="2024-07-22T00:00:00"/>
    <x v="6"/>
    <n v="1"/>
  </r>
  <r>
    <s v="MEM0312"/>
    <s v="BR01"/>
    <s v="Standard"/>
    <d v="2024-05-27T00:00:00"/>
    <d v="2025-05-27T00:00:00"/>
    <n v="1000"/>
    <n v="7000"/>
    <n v="13"/>
    <x v="0"/>
    <d v="2025-10-05T00:00:00"/>
    <s v="Moderate"/>
    <s v="Unique"/>
    <x v="15"/>
    <d v="2025-10-05T00:00:00"/>
    <x v="10"/>
    <n v="1"/>
  </r>
  <r>
    <s v="MEM0313"/>
    <s v="BR04"/>
    <s v="Premium"/>
    <d v="2025-04-13T00:00:00"/>
    <d v="2025-05-13T00:00:00"/>
    <n v="1000"/>
    <n v="7000"/>
    <n v="15"/>
    <x v="0"/>
    <d v="2026-02-12T00:00:00"/>
    <s v="Highly Active"/>
    <s v="Unique"/>
    <x v="26"/>
    <d v="2026-02-12T00:00:00"/>
    <x v="6"/>
    <n v="1"/>
  </r>
  <r>
    <s v="MEM0314"/>
    <s v="BR03"/>
    <s v="Basic"/>
    <d v="2025-05-18T00:00:00"/>
    <d v="2025-08-16T00:00:00"/>
    <n v="1000"/>
    <n v="9000"/>
    <n v="0"/>
    <x v="0"/>
    <d v="2026-04-12T00:00:00"/>
    <s v="At Risk"/>
    <s v="Unique"/>
    <x v="30"/>
    <d v="2026-04-12T00:00:00"/>
    <x v="2"/>
    <n v="1"/>
  </r>
  <r>
    <s v="MEM0315"/>
    <s v="BR07"/>
    <s v="Standard"/>
    <d v="2023-02-02T00:00:00"/>
    <d v="2023-03-04T00:00:00"/>
    <n v="3500"/>
    <n v="38500"/>
    <n v="13"/>
    <x v="0"/>
    <d v="2024-12-05T00:00:00"/>
    <s v="Moderate"/>
    <s v="Unique"/>
    <x v="16"/>
    <d v="2024-12-05T00:00:00"/>
    <x v="29"/>
    <n v="1"/>
  </r>
  <r>
    <s v="MEM0316"/>
    <s v="BR03"/>
    <s v="Premium"/>
    <d v="2024-03-04T00:00:00"/>
    <d v="2025-03-04T00:00:00"/>
    <n v="3500"/>
    <n v="21000"/>
    <n v="5"/>
    <x v="1"/>
    <d v="2025-03-06T00:00:00"/>
    <s v="Moderate"/>
    <s v="Unique"/>
    <x v="11"/>
    <d v="2025-03-06T00:00:00"/>
    <x v="0"/>
    <n v="0"/>
  </r>
  <r>
    <s v="MEM0317"/>
    <s v="BR04"/>
    <s v="Basic"/>
    <d v="2024-04-10T00:00:00"/>
    <d v="2025-04-10T00:00:00"/>
    <n v="1000"/>
    <n v="3000"/>
    <n v="16"/>
    <x v="1"/>
    <d v="2024-04-26T00:00:00"/>
    <s v="Highly Active"/>
    <s v="Unique"/>
    <x v="9"/>
    <d v="2024-04-26T00:00:00"/>
    <x v="23"/>
    <n v="0"/>
  </r>
  <r>
    <s v="MEM0318"/>
    <s v="BR07"/>
    <s v="Basic"/>
    <d v="2023-11-20T00:00:00"/>
    <d v="2024-02-18T00:00:00"/>
    <n v="3500"/>
    <n v="3500"/>
    <n v="16"/>
    <x v="0"/>
    <d v="2024-06-03T00:00:00"/>
    <s v="Highly Active"/>
    <s v="Unique"/>
    <x v="21"/>
    <d v="2024-06-03T00:00:00"/>
    <x v="12"/>
    <n v="1"/>
  </r>
  <r>
    <s v="MEM0319"/>
    <s v="BR03"/>
    <s v="Premium"/>
    <d v="2023-05-28T00:00:00"/>
    <d v="2023-08-26T00:00:00"/>
    <n v="2000"/>
    <n v="18000"/>
    <n v="22"/>
    <x v="0"/>
    <d v="2025-06-06T00:00:00"/>
    <s v="Highly Active"/>
    <s v="Unique"/>
    <x v="29"/>
    <d v="2025-06-06T00:00:00"/>
    <x v="17"/>
    <n v="1"/>
  </r>
  <r>
    <s v="MEM0320"/>
    <s v="BR07"/>
    <s v="Basic"/>
    <d v="2026-01-17T00:00:00"/>
    <d v="2027-01-17T00:00:00"/>
    <n v="2000"/>
    <n v="2000"/>
    <n v="14"/>
    <x v="0"/>
    <d v="2026-02-04T00:00:00"/>
    <s v="Moderate"/>
    <s v="Unique"/>
    <x v="35"/>
    <d v="2026-02-04T00:00:00"/>
    <x v="23"/>
    <n v="1"/>
  </r>
  <r>
    <s v="MEM0321"/>
    <s v="BR02"/>
    <s v="Basic"/>
    <d v="2023-04-27T00:00:00"/>
    <d v="2024-04-26T00:00:00"/>
    <n v="1000"/>
    <n v="10000"/>
    <n v="23"/>
    <x v="0"/>
    <d v="2024-07-24T00:00:00"/>
    <s v="Highly Active"/>
    <s v="Unique"/>
    <x v="28"/>
    <d v="2024-07-24T00:00:00"/>
    <x v="7"/>
    <n v="1"/>
  </r>
  <r>
    <s v="MEM0322"/>
    <s v="BR02"/>
    <s v="Premium"/>
    <d v="2024-03-03T00:00:00"/>
    <d v="2024-04-02T00:00:00"/>
    <n v="1000"/>
    <n v="4000"/>
    <n v="11"/>
    <x v="0"/>
    <d v="2025-11-11T00:00:00"/>
    <s v="Moderate"/>
    <s v="Unique"/>
    <x v="11"/>
    <d v="2025-11-11T00:00:00"/>
    <x v="35"/>
    <n v="1"/>
  </r>
  <r>
    <s v="MEM0323"/>
    <s v="BR06"/>
    <s v="Standard"/>
    <d v="2023-02-11T00:00:00"/>
    <d v="2023-03-13T00:00:00"/>
    <n v="2000"/>
    <n v="22000"/>
    <n v="3"/>
    <x v="0"/>
    <d v="2023-03-04T00:00:00"/>
    <s v="At Risk"/>
    <s v="Unique"/>
    <x v="16"/>
    <d v="2023-03-04T00:00:00"/>
    <x v="23"/>
    <n v="1"/>
  </r>
  <r>
    <s v="MEM0324"/>
    <s v="BR03"/>
    <s v="Premium"/>
    <d v="2025-06-19T00:00:00"/>
    <d v="2025-07-19T00:00:00"/>
    <n v="1000"/>
    <n v="3000"/>
    <n v="13"/>
    <x v="0"/>
    <d v="2025-11-28T00:00:00"/>
    <s v="Moderate"/>
    <s v="Unique"/>
    <x v="18"/>
    <d v="2025-11-28T00:00:00"/>
    <x v="27"/>
    <n v="1"/>
  </r>
  <r>
    <s v="MEM0325"/>
    <s v="BR04"/>
    <s v="Premium"/>
    <d v="2023-12-02T00:00:00"/>
    <d v="2024-12-01T00:00:00"/>
    <n v="1000"/>
    <n v="3000"/>
    <n v="20"/>
    <x v="0"/>
    <d v="2025-12-17T00:00:00"/>
    <s v="Highly Active"/>
    <s v="Unique"/>
    <x v="22"/>
    <d v="2025-12-17T00:00:00"/>
    <x v="17"/>
    <n v="1"/>
  </r>
  <r>
    <s v="MEM0326"/>
    <s v="BR02"/>
    <s v="Premium"/>
    <d v="2025-09-26T00:00:00"/>
    <d v="2025-10-26T00:00:00"/>
    <n v="2000"/>
    <n v="12000"/>
    <n v="4"/>
    <x v="1"/>
    <d v="2025-11-04T00:00:00"/>
    <s v="At Risk"/>
    <s v="Unique"/>
    <x v="36"/>
    <d v="2025-11-04T00:00:00"/>
    <x v="11"/>
    <n v="0"/>
  </r>
  <r>
    <s v="MEM0327"/>
    <s v="BR04"/>
    <s v="Standard"/>
    <d v="2024-10-04T00:00:00"/>
    <d v="2025-01-02T00:00:00"/>
    <n v="3500"/>
    <n v="42000"/>
    <n v="21"/>
    <x v="0"/>
    <d v="2025-03-10T00:00:00"/>
    <s v="Highly Active"/>
    <s v="Unique"/>
    <x v="19"/>
    <d v="2025-03-10T00:00:00"/>
    <x v="27"/>
    <n v="1"/>
  </r>
  <r>
    <s v="MEM0328"/>
    <s v="BR01"/>
    <s v="Premium"/>
    <d v="2023-12-31T00:00:00"/>
    <d v="2024-03-30T00:00:00"/>
    <n v="3500"/>
    <n v="17500"/>
    <n v="14"/>
    <x v="0"/>
    <d v="2026-02-01T00:00:00"/>
    <s v="Moderate"/>
    <s v="Unique"/>
    <x v="22"/>
    <d v="2026-02-01T00:00:00"/>
    <x v="31"/>
    <n v="1"/>
  </r>
  <r>
    <s v="MEM0329"/>
    <s v="BR02"/>
    <s v="Standard"/>
    <d v="2023-06-23T00:00:00"/>
    <d v="2024-06-22T00:00:00"/>
    <n v="1000"/>
    <n v="1000"/>
    <n v="1"/>
    <x v="0"/>
    <d v="2026-03-18T00:00:00"/>
    <s v="At Risk"/>
    <s v="Unique"/>
    <x v="10"/>
    <d v="2026-03-18T00:00:00"/>
    <x v="16"/>
    <n v="1"/>
  </r>
  <r>
    <s v="MEM0330"/>
    <s v="BR07"/>
    <s v="Basic"/>
    <d v="2025-10-09T00:00:00"/>
    <d v="2025-11-08T00:00:00"/>
    <n v="2000"/>
    <n v="2000"/>
    <n v="10"/>
    <x v="0"/>
    <d v="2026-02-08T00:00:00"/>
    <s v="Moderate"/>
    <s v="Unique"/>
    <x v="32"/>
    <d v="2026-02-08T00:00:00"/>
    <x v="15"/>
    <n v="1"/>
  </r>
  <r>
    <s v="MEM0331"/>
    <s v="BR06"/>
    <s v="Premium"/>
    <d v="2023-11-27T00:00:00"/>
    <d v="2024-02-25T00:00:00"/>
    <n v="1000"/>
    <n v="11000"/>
    <n v="14"/>
    <x v="0"/>
    <d v="2026-01-14T00:00:00"/>
    <s v="Moderate"/>
    <s v="Unique"/>
    <x v="21"/>
    <d v="2026-01-14T00:00:00"/>
    <x v="31"/>
    <n v="1"/>
  </r>
  <r>
    <s v="MEM0332"/>
    <s v="BR07"/>
    <s v="Basic"/>
    <d v="2023-10-19T00:00:00"/>
    <d v="2024-10-18T00:00:00"/>
    <n v="1000"/>
    <n v="3000"/>
    <n v="21"/>
    <x v="1"/>
    <d v="2025-12-30T00:00:00"/>
    <s v="Highly Active"/>
    <s v="Unique"/>
    <x v="31"/>
    <d v="2025-12-30T00:00:00"/>
    <x v="22"/>
    <n v="0"/>
  </r>
  <r>
    <s v="MEM0333"/>
    <s v="BR02"/>
    <s v="Standard"/>
    <d v="2024-07-24T00:00:00"/>
    <d v="2025-07-24T00:00:00"/>
    <n v="1000"/>
    <n v="5000"/>
    <n v="11"/>
    <x v="0"/>
    <d v="2026-02-11T00:00:00"/>
    <s v="Moderate"/>
    <s v="Unique"/>
    <x v="13"/>
    <d v="2026-02-11T00:00:00"/>
    <x v="28"/>
    <n v="1"/>
  </r>
  <r>
    <s v="MEM0334"/>
    <s v="BR04"/>
    <s v="Basic"/>
    <d v="2023-05-10T00:00:00"/>
    <d v="2023-08-08T00:00:00"/>
    <n v="2000"/>
    <n v="24000"/>
    <n v="21"/>
    <x v="0"/>
    <d v="2025-01-21T00:00:00"/>
    <s v="Highly Active"/>
    <s v="Unique"/>
    <x v="29"/>
    <d v="2025-01-21T00:00:00"/>
    <x v="35"/>
    <n v="1"/>
  </r>
  <r>
    <s v="MEM0335"/>
    <s v="BR05"/>
    <s v="Premium"/>
    <d v="2023-10-02T00:00:00"/>
    <d v="2023-12-31T00:00:00"/>
    <n v="3500"/>
    <n v="3500"/>
    <n v="15"/>
    <x v="0"/>
    <d v="2026-01-12T00:00:00"/>
    <s v="Highly Active"/>
    <s v="Unique"/>
    <x v="31"/>
    <d v="2026-01-12T00:00:00"/>
    <x v="20"/>
    <n v="1"/>
  </r>
  <r>
    <s v="MEM0336"/>
    <s v="BR05"/>
    <s v="Basic"/>
    <d v="2025-01-24T00:00:00"/>
    <d v="2026-01-24T00:00:00"/>
    <n v="3500"/>
    <n v="42000"/>
    <n v="22"/>
    <x v="0"/>
    <d v="2025-01-31T00:00:00"/>
    <s v="Highly Active"/>
    <s v="Unique"/>
    <x v="5"/>
    <d v="2025-01-31T00:00:00"/>
    <x v="23"/>
    <n v="1"/>
  </r>
  <r>
    <s v="MEM0337"/>
    <s v="BR04"/>
    <s v="Basic"/>
    <d v="2025-12-04T00:00:00"/>
    <d v="2026-12-04T00:00:00"/>
    <n v="1000"/>
    <n v="5000"/>
    <n v="18"/>
    <x v="0"/>
    <d v="2026-03-28T00:00:00"/>
    <s v="Highly Active"/>
    <s v="Unique"/>
    <x v="24"/>
    <d v="2026-03-28T00:00:00"/>
    <x v="15"/>
    <n v="1"/>
  </r>
  <r>
    <s v="MEM0338"/>
    <s v="BR01"/>
    <s v="Basic"/>
    <d v="2025-06-13T00:00:00"/>
    <d v="2026-06-13T00:00:00"/>
    <n v="2000"/>
    <n v="4000"/>
    <n v="8"/>
    <x v="0"/>
    <d v="2026-02-06T00:00:00"/>
    <s v="Moderate"/>
    <s v="Unique"/>
    <x v="18"/>
    <d v="2026-02-06T00:00:00"/>
    <x v="25"/>
    <n v="1"/>
  </r>
  <r>
    <s v="MEM0339"/>
    <s v="BR02"/>
    <s v="Standard"/>
    <d v="2024-12-30T00:00:00"/>
    <d v="2025-01-29T00:00:00"/>
    <n v="3500"/>
    <n v="17500"/>
    <n v="18"/>
    <x v="0"/>
    <d v="2025-06-02T00:00:00"/>
    <s v="Highly Active"/>
    <s v="Unique"/>
    <x v="0"/>
    <d v="2025-06-02T00:00:00"/>
    <x v="27"/>
    <n v="1"/>
  </r>
  <r>
    <s v="MEM0340"/>
    <s v="BR07"/>
    <s v="Premium"/>
    <d v="2024-03-13T00:00:00"/>
    <d v="2024-04-12T00:00:00"/>
    <n v="3500"/>
    <n v="10500"/>
    <n v="1"/>
    <x v="1"/>
    <d v="2025-07-16T00:00:00"/>
    <s v="At Risk"/>
    <s v="Unique"/>
    <x v="11"/>
    <d v="2025-07-16T00:00:00"/>
    <x v="10"/>
    <n v="0"/>
  </r>
  <r>
    <s v="MEM0341"/>
    <s v="BR01"/>
    <s v="Premium"/>
    <d v="2025-12-22T00:00:00"/>
    <d v="2026-01-21T00:00:00"/>
    <n v="2000"/>
    <n v="6000"/>
    <n v="21"/>
    <x v="0"/>
    <d v="2026-02-19T00:00:00"/>
    <s v="Highly Active"/>
    <s v="Unique"/>
    <x v="24"/>
    <d v="2026-02-19T00:00:00"/>
    <x v="11"/>
    <n v="1"/>
  </r>
  <r>
    <s v="MEM0342"/>
    <s v="BR03"/>
    <s v="Standard"/>
    <d v="2023-08-18T00:00:00"/>
    <d v="2023-09-17T00:00:00"/>
    <n v="2000"/>
    <n v="10000"/>
    <n v="22"/>
    <x v="0"/>
    <d v="2023-11-09T00:00:00"/>
    <s v="Highly Active"/>
    <s v="Unique"/>
    <x v="27"/>
    <d v="2023-11-09T00:00:00"/>
    <x v="3"/>
    <n v="1"/>
  </r>
  <r>
    <s v="MEM0343"/>
    <s v="BR01"/>
    <s v="Basic"/>
    <d v="2025-05-10T00:00:00"/>
    <d v="2026-05-10T00:00:00"/>
    <n v="3500"/>
    <n v="35000"/>
    <n v="18"/>
    <x v="0"/>
    <d v="2026-03-16T00:00:00"/>
    <s v="Highly Active"/>
    <s v="Unique"/>
    <x v="30"/>
    <d v="2026-03-16T00:00:00"/>
    <x v="2"/>
    <n v="1"/>
  </r>
  <r>
    <s v="MEM0344"/>
    <s v="BR01"/>
    <s v="Basic"/>
    <d v="2025-04-29T00:00:00"/>
    <d v="2025-05-29T00:00:00"/>
    <n v="2000"/>
    <n v="20000"/>
    <n v="4"/>
    <x v="0"/>
    <d v="2025-06-30T00:00:00"/>
    <s v="At Risk"/>
    <s v="Unique"/>
    <x v="26"/>
    <d v="2025-06-30T00:00:00"/>
    <x v="3"/>
    <n v="1"/>
  </r>
  <r>
    <s v="MEM0345"/>
    <s v="BR01"/>
    <s v="Basic"/>
    <d v="2024-03-24T00:00:00"/>
    <d v="2024-04-23T00:00:00"/>
    <n v="2000"/>
    <n v="16000"/>
    <n v="17"/>
    <x v="0"/>
    <d v="2024-04-27T00:00:00"/>
    <s v="Highly Active"/>
    <s v="Unique"/>
    <x v="11"/>
    <d v="2024-04-27T00:00:00"/>
    <x v="11"/>
    <n v="1"/>
  </r>
  <r>
    <s v="MEM0346"/>
    <s v="BR06"/>
    <s v="Standard"/>
    <d v="2025-09-01T00:00:00"/>
    <d v="2025-11-30T00:00:00"/>
    <n v="1000"/>
    <n v="5000"/>
    <n v="25"/>
    <x v="0"/>
    <d v="2026-04-07T00:00:00"/>
    <s v="Highly Active"/>
    <s v="Unique"/>
    <x v="36"/>
    <d v="2026-04-07T00:00:00"/>
    <x v="25"/>
    <n v="1"/>
  </r>
  <r>
    <s v="MEM0347"/>
    <s v="BR04"/>
    <s v="Standard"/>
    <d v="2023-01-05T00:00:00"/>
    <d v="2023-02-04T00:00:00"/>
    <n v="1000"/>
    <n v="12000"/>
    <n v="3"/>
    <x v="1"/>
    <d v="2026-04-10T00:00:00"/>
    <s v="At Risk"/>
    <s v="Unique"/>
    <x v="2"/>
    <d v="2026-04-10T00:00:00"/>
    <x v="36"/>
    <n v="0"/>
  </r>
  <r>
    <s v="MEM0348"/>
    <s v="BR04"/>
    <s v="Basic"/>
    <d v="2023-05-25T00:00:00"/>
    <d v="2023-08-23T00:00:00"/>
    <n v="3500"/>
    <n v="42000"/>
    <n v="3"/>
    <x v="1"/>
    <d v="2025-08-21T00:00:00"/>
    <s v="At Risk"/>
    <s v="Unique"/>
    <x v="29"/>
    <d v="2025-08-21T00:00:00"/>
    <x v="22"/>
    <n v="0"/>
  </r>
  <r>
    <s v="MEM0349"/>
    <s v="BR04"/>
    <s v="Premium"/>
    <d v="2023-11-08T00:00:00"/>
    <d v="2023-12-08T00:00:00"/>
    <n v="3500"/>
    <n v="35000"/>
    <n v="18"/>
    <x v="1"/>
    <d v="2026-02-10T00:00:00"/>
    <s v="Highly Active"/>
    <s v="Unique"/>
    <x v="21"/>
    <d v="2026-02-10T00:00:00"/>
    <x v="20"/>
    <n v="0"/>
  </r>
  <r>
    <s v="MEM0350"/>
    <s v="BR01"/>
    <s v="Basic"/>
    <d v="2024-02-03T00:00:00"/>
    <d v="2024-05-03T00:00:00"/>
    <n v="2000"/>
    <n v="20000"/>
    <n v="11"/>
    <x v="0"/>
    <d v="2024-06-30T00:00:00"/>
    <s v="Moderate"/>
    <s v="Unique"/>
    <x v="3"/>
    <d v="2024-06-30T00:00:00"/>
    <x v="13"/>
    <n v="1"/>
  </r>
  <r>
    <s v="MEM0351"/>
    <s v="BR06"/>
    <s v="Basic"/>
    <d v="2023-03-16T00:00:00"/>
    <d v="2023-04-15T00:00:00"/>
    <n v="3500"/>
    <n v="14000"/>
    <n v="11"/>
    <x v="0"/>
    <d v="2023-05-06T00:00:00"/>
    <s v="Moderate"/>
    <s v="Unique"/>
    <x v="20"/>
    <d v="2023-05-06T00:00:00"/>
    <x v="11"/>
    <n v="1"/>
  </r>
  <r>
    <s v="MEM0352"/>
    <s v="BR07"/>
    <s v="Standard"/>
    <d v="2025-01-13T00:00:00"/>
    <d v="2025-04-13T00:00:00"/>
    <n v="1000"/>
    <n v="1000"/>
    <n v="6"/>
    <x v="0"/>
    <d v="2025-09-04T00:00:00"/>
    <s v="Moderate"/>
    <s v="Unique"/>
    <x v="5"/>
    <d v="2025-09-04T00:00:00"/>
    <x v="25"/>
    <n v="1"/>
  </r>
  <r>
    <s v="MEM0353"/>
    <s v="BR06"/>
    <s v="Standard"/>
    <d v="2023-11-22T00:00:00"/>
    <d v="2024-11-21T00:00:00"/>
    <n v="1000"/>
    <n v="6000"/>
    <n v="7"/>
    <x v="0"/>
    <d v="2025-02-09T00:00:00"/>
    <s v="Moderate"/>
    <s v="Unique"/>
    <x v="21"/>
    <d v="2025-02-09T00:00:00"/>
    <x v="7"/>
    <n v="1"/>
  </r>
  <r>
    <s v="MEM0354"/>
    <s v="BR07"/>
    <s v="Standard"/>
    <d v="2024-07-22T00:00:00"/>
    <d v="2025-07-22T00:00:00"/>
    <n v="3500"/>
    <n v="28000"/>
    <n v="2"/>
    <x v="1"/>
    <d v="2026-01-27T00:00:00"/>
    <s v="At Risk"/>
    <s v="Unique"/>
    <x v="13"/>
    <d v="2026-01-27T00:00:00"/>
    <x v="28"/>
    <n v="0"/>
  </r>
  <r>
    <s v="MEM0355"/>
    <s v="BR05"/>
    <s v="Basic"/>
    <d v="2023-11-21T00:00:00"/>
    <d v="2023-12-21T00:00:00"/>
    <n v="3500"/>
    <n v="28000"/>
    <n v="19"/>
    <x v="0"/>
    <d v="2024-07-08T00:00:00"/>
    <s v="Highly Active"/>
    <s v="Unique"/>
    <x v="21"/>
    <d v="2024-07-08T00:00:00"/>
    <x v="25"/>
    <n v="1"/>
  </r>
  <r>
    <s v="MEM0356"/>
    <s v="BR07"/>
    <s v="Basic"/>
    <d v="2024-10-10T00:00:00"/>
    <d v="2024-11-09T00:00:00"/>
    <n v="3500"/>
    <n v="14000"/>
    <n v="17"/>
    <x v="0"/>
    <d v="2025-08-20T00:00:00"/>
    <s v="Highly Active"/>
    <s v="Unique"/>
    <x v="19"/>
    <d v="2025-08-20T00:00:00"/>
    <x v="2"/>
    <n v="1"/>
  </r>
  <r>
    <s v="MEM0357"/>
    <s v="BR04"/>
    <s v="Basic"/>
    <d v="2025-11-28T00:00:00"/>
    <d v="2026-11-28T00:00:00"/>
    <n v="3500"/>
    <n v="10500"/>
    <n v="4"/>
    <x v="1"/>
    <d v="2025-12-23T00:00:00"/>
    <s v="At Risk"/>
    <s v="Unique"/>
    <x v="7"/>
    <d v="2025-12-23T00:00:00"/>
    <x v="23"/>
    <n v="0"/>
  </r>
  <r>
    <s v="MEM0358"/>
    <s v="BR02"/>
    <s v="Standard"/>
    <d v="2024-10-15T00:00:00"/>
    <d v="2025-01-13T00:00:00"/>
    <n v="1000"/>
    <n v="2000"/>
    <n v="4"/>
    <x v="1"/>
    <d v="2024-11-29T00:00:00"/>
    <s v="At Risk"/>
    <s v="Unique"/>
    <x v="19"/>
    <d v="2024-11-29T00:00:00"/>
    <x v="11"/>
    <n v="0"/>
  </r>
  <r>
    <s v="MEM0359"/>
    <s v="BR05"/>
    <s v="Premium"/>
    <d v="2024-12-19T00:00:00"/>
    <d v="2025-12-19T00:00:00"/>
    <n v="2000"/>
    <n v="16000"/>
    <n v="13"/>
    <x v="0"/>
    <d v="2025-06-20T00:00:00"/>
    <s v="Moderate"/>
    <s v="Unique"/>
    <x v="0"/>
    <d v="2025-06-20T00:00:00"/>
    <x v="12"/>
    <n v="1"/>
  </r>
  <r>
    <s v="MEM0360"/>
    <s v="BR03"/>
    <s v="Premium"/>
    <d v="2023-03-27T00:00:00"/>
    <d v="2023-06-25T00:00:00"/>
    <n v="1000"/>
    <n v="7000"/>
    <n v="23"/>
    <x v="0"/>
    <d v="2023-06-13T00:00:00"/>
    <s v="Highly Active"/>
    <s v="Unique"/>
    <x v="20"/>
    <d v="2023-06-13T00:00:00"/>
    <x v="3"/>
    <n v="1"/>
  </r>
  <r>
    <s v="MEM0361"/>
    <s v="BR07"/>
    <s v="Standard"/>
    <d v="2023-06-30T00:00:00"/>
    <d v="2023-07-30T00:00:00"/>
    <n v="1000"/>
    <n v="8000"/>
    <n v="1"/>
    <x v="1"/>
    <d v="2025-01-06T00:00:00"/>
    <s v="At Risk"/>
    <s v="Unique"/>
    <x v="10"/>
    <d v="2025-01-06T00:00:00"/>
    <x v="28"/>
    <n v="0"/>
  </r>
  <r>
    <s v="MEM0362"/>
    <s v="BR07"/>
    <s v="Premium"/>
    <d v="2024-09-28T00:00:00"/>
    <d v="2025-09-28T00:00:00"/>
    <n v="3500"/>
    <n v="7000"/>
    <n v="23"/>
    <x v="0"/>
    <d v="2025-12-18T00:00:00"/>
    <s v="Highly Active"/>
    <s v="Unique"/>
    <x v="8"/>
    <d v="2025-12-18T00:00:00"/>
    <x v="7"/>
    <n v="1"/>
  </r>
  <r>
    <s v="MEM0363"/>
    <s v="BR03"/>
    <s v="Premium"/>
    <d v="2025-11-10T00:00:00"/>
    <d v="2026-11-10T00:00:00"/>
    <n v="3500"/>
    <n v="35000"/>
    <n v="8"/>
    <x v="0"/>
    <d v="2025-12-19T00:00:00"/>
    <s v="Moderate"/>
    <s v="Unique"/>
    <x v="7"/>
    <d v="2025-12-19T00:00:00"/>
    <x v="11"/>
    <n v="1"/>
  </r>
  <r>
    <s v="MEM0364"/>
    <s v="BR01"/>
    <s v="Premium"/>
    <d v="2025-06-27T00:00:00"/>
    <d v="2026-06-27T00:00:00"/>
    <n v="2000"/>
    <n v="16000"/>
    <n v="24"/>
    <x v="0"/>
    <d v="2025-10-02T00:00:00"/>
    <s v="Highly Active"/>
    <s v="Unique"/>
    <x v="18"/>
    <d v="2025-10-02T00:00:00"/>
    <x v="15"/>
    <n v="1"/>
  </r>
  <r>
    <s v="MEM0365"/>
    <s v="BR07"/>
    <s v="Basic"/>
    <d v="2025-12-28T00:00:00"/>
    <d v="2026-01-27T00:00:00"/>
    <n v="2000"/>
    <n v="24000"/>
    <n v="24"/>
    <x v="0"/>
    <d v="2026-01-04T00:00:00"/>
    <s v="Highly Active"/>
    <s v="Unique"/>
    <x v="24"/>
    <d v="2026-01-04T00:00:00"/>
    <x v="23"/>
    <n v="1"/>
  </r>
  <r>
    <s v="MEM0366"/>
    <s v="BR06"/>
    <s v="Premium"/>
    <d v="2023-07-14T00:00:00"/>
    <d v="2023-08-13T00:00:00"/>
    <n v="1000"/>
    <n v="5000"/>
    <n v="18"/>
    <x v="0"/>
    <d v="2026-01-05T00:00:00"/>
    <s v="Highly Active"/>
    <s v="Unique"/>
    <x v="6"/>
    <d v="2026-01-05T00:00:00"/>
    <x v="34"/>
    <n v="1"/>
  </r>
  <r>
    <s v="MEM0367"/>
    <s v="BR03"/>
    <s v="Premium"/>
    <d v="2024-10-09T00:00:00"/>
    <d v="2025-10-09T00:00:00"/>
    <n v="1000"/>
    <n v="6000"/>
    <n v="8"/>
    <x v="0"/>
    <d v="2025-05-04T00:00:00"/>
    <s v="Moderate"/>
    <s v="Unique"/>
    <x v="19"/>
    <d v="2025-05-04T00:00:00"/>
    <x v="12"/>
    <n v="1"/>
  </r>
  <r>
    <s v="MEM0368"/>
    <s v="BR06"/>
    <s v="Premium"/>
    <d v="2025-08-04T00:00:00"/>
    <d v="2025-09-03T00:00:00"/>
    <n v="3500"/>
    <n v="38500"/>
    <n v="14"/>
    <x v="0"/>
    <d v="2026-02-02T00:00:00"/>
    <s v="Moderate"/>
    <s v="Unique"/>
    <x v="4"/>
    <d v="2026-02-02T00:00:00"/>
    <x v="27"/>
    <n v="1"/>
  </r>
  <r>
    <s v="MEM0369"/>
    <s v="BR03"/>
    <s v="Standard"/>
    <d v="2023-04-04T00:00:00"/>
    <d v="2023-05-04T00:00:00"/>
    <n v="2000"/>
    <n v="2000"/>
    <n v="24"/>
    <x v="0"/>
    <d v="2025-07-17T00:00:00"/>
    <s v="Highly Active"/>
    <s v="Unique"/>
    <x v="28"/>
    <d v="2025-07-17T00:00:00"/>
    <x v="20"/>
    <n v="1"/>
  </r>
  <r>
    <s v="MEM0370"/>
    <s v="BR03"/>
    <s v="Basic"/>
    <d v="2024-07-20T00:00:00"/>
    <d v="2024-10-18T00:00:00"/>
    <n v="2000"/>
    <n v="22000"/>
    <n v="16"/>
    <x v="0"/>
    <d v="2025-06-28T00:00:00"/>
    <s v="Highly Active"/>
    <s v="Unique"/>
    <x v="13"/>
    <d v="2025-06-28T00:00:00"/>
    <x v="4"/>
    <n v="1"/>
  </r>
  <r>
    <s v="MEM0371"/>
    <s v="BR07"/>
    <s v="Basic"/>
    <d v="2025-02-05T00:00:00"/>
    <d v="2025-03-07T00:00:00"/>
    <n v="3500"/>
    <n v="10500"/>
    <n v="16"/>
    <x v="0"/>
    <d v="2026-01-23T00:00:00"/>
    <s v="Highly Active"/>
    <s v="Unique"/>
    <x v="14"/>
    <d v="2026-01-23T00:00:00"/>
    <x v="4"/>
    <n v="1"/>
  </r>
  <r>
    <s v="MEM0372"/>
    <s v="BR06"/>
    <s v="Premium"/>
    <d v="2024-09-03T00:00:00"/>
    <d v="2024-12-02T00:00:00"/>
    <n v="3500"/>
    <n v="31500"/>
    <n v="22"/>
    <x v="0"/>
    <d v="2024-10-12T00:00:00"/>
    <s v="Highly Active"/>
    <s v="Unique"/>
    <x v="8"/>
    <d v="2024-10-12T00:00:00"/>
    <x v="11"/>
    <n v="1"/>
  </r>
  <r>
    <s v="MEM0373"/>
    <s v="BR04"/>
    <s v="Standard"/>
    <d v="2023-10-24T00:00:00"/>
    <d v="2023-11-23T00:00:00"/>
    <n v="1000"/>
    <n v="9000"/>
    <n v="24"/>
    <x v="0"/>
    <d v="2026-04-02T00:00:00"/>
    <s v="Highly Active"/>
    <s v="Unique"/>
    <x v="31"/>
    <d v="2026-04-02T00:00:00"/>
    <x v="34"/>
    <n v="1"/>
  </r>
  <r>
    <s v="MEM0374"/>
    <s v="BR05"/>
    <s v="Basic"/>
    <d v="2023-07-09T00:00:00"/>
    <d v="2023-10-07T00:00:00"/>
    <n v="1000"/>
    <n v="3000"/>
    <n v="2"/>
    <x v="1"/>
    <d v="2025-07-09T00:00:00"/>
    <s v="At Risk"/>
    <s v="Unique"/>
    <x v="6"/>
    <d v="2025-07-09T00:00:00"/>
    <x v="17"/>
    <n v="0"/>
  </r>
  <r>
    <s v="MEM0375"/>
    <s v="BR07"/>
    <s v="Standard"/>
    <d v="2023-02-04T00:00:00"/>
    <d v="2023-03-06T00:00:00"/>
    <n v="1000"/>
    <n v="8000"/>
    <n v="1"/>
    <x v="0"/>
    <d v="2025-06-17T00:00:00"/>
    <s v="At Risk"/>
    <s v="Unique"/>
    <x v="16"/>
    <d v="2025-06-17T00:00:00"/>
    <x v="26"/>
    <n v="1"/>
  </r>
  <r>
    <s v="MEM0376"/>
    <s v="BR01"/>
    <s v="Premium"/>
    <d v="2025-07-22T00:00:00"/>
    <d v="2025-10-20T00:00:00"/>
    <n v="3500"/>
    <n v="14000"/>
    <n v="19"/>
    <x v="0"/>
    <d v="2026-04-11T00:00:00"/>
    <s v="Highly Active"/>
    <s v="Unique"/>
    <x v="17"/>
    <d v="2026-04-11T00:00:00"/>
    <x v="14"/>
    <n v="1"/>
  </r>
  <r>
    <s v="MEM0377"/>
    <s v="BR05"/>
    <s v="Premium"/>
    <d v="2024-03-28T00:00:00"/>
    <d v="2024-04-27T00:00:00"/>
    <n v="2000"/>
    <n v="14000"/>
    <n v="1"/>
    <x v="0"/>
    <d v="2025-06-07T00:00:00"/>
    <s v="At Risk"/>
    <s v="Unique"/>
    <x v="11"/>
    <d v="2025-06-07T00:00:00"/>
    <x v="7"/>
    <n v="1"/>
  </r>
  <r>
    <s v="MEM0378"/>
    <s v="BR05"/>
    <s v="Premium"/>
    <d v="2025-04-03T00:00:00"/>
    <d v="2026-04-03T00:00:00"/>
    <n v="3500"/>
    <n v="10500"/>
    <n v="6"/>
    <x v="0"/>
    <d v="2025-09-17T00:00:00"/>
    <s v="Moderate"/>
    <s v="Unique"/>
    <x v="26"/>
    <d v="2025-09-17T00:00:00"/>
    <x v="27"/>
    <n v="1"/>
  </r>
  <r>
    <s v="MEM0379"/>
    <s v="BR06"/>
    <s v="Basic"/>
    <d v="2025-07-04T00:00:00"/>
    <d v="2026-07-04T00:00:00"/>
    <n v="2000"/>
    <n v="16000"/>
    <n v="3"/>
    <x v="0"/>
    <d v="2025-07-13T00:00:00"/>
    <s v="At Risk"/>
    <s v="Unique"/>
    <x v="17"/>
    <d v="2025-07-13T00:00:00"/>
    <x v="23"/>
    <n v="1"/>
  </r>
  <r>
    <s v="MEM0380"/>
    <s v="BR02"/>
    <s v="Premium"/>
    <d v="2023-08-05T00:00:00"/>
    <d v="2023-11-03T00:00:00"/>
    <n v="1000"/>
    <n v="4000"/>
    <n v="11"/>
    <x v="0"/>
    <d v="2024-03-09T00:00:00"/>
    <s v="Moderate"/>
    <s v="Unique"/>
    <x v="27"/>
    <d v="2024-03-09T00:00:00"/>
    <x v="25"/>
    <n v="1"/>
  </r>
  <r>
    <s v="MEM0381"/>
    <s v="BR02"/>
    <s v="Premium"/>
    <d v="2024-11-11T00:00:00"/>
    <d v="2025-02-09T00:00:00"/>
    <n v="3500"/>
    <n v="38500"/>
    <n v="12"/>
    <x v="0"/>
    <d v="2025-06-20T00:00:00"/>
    <s v="Moderate"/>
    <s v="Unique"/>
    <x v="23"/>
    <d v="2025-06-20T00:00:00"/>
    <x v="25"/>
    <n v="1"/>
  </r>
  <r>
    <s v="MEM0382"/>
    <s v="BR01"/>
    <s v="Basic"/>
    <d v="2025-02-17T00:00:00"/>
    <d v="2026-02-17T00:00:00"/>
    <n v="1000"/>
    <n v="2000"/>
    <n v="22"/>
    <x v="0"/>
    <d v="2025-12-18T00:00:00"/>
    <s v="Highly Active"/>
    <s v="Unique"/>
    <x v="14"/>
    <d v="2025-12-18T00:00:00"/>
    <x v="2"/>
    <n v="1"/>
  </r>
  <r>
    <s v="MEM0383"/>
    <s v="BR01"/>
    <s v="Basic"/>
    <d v="2024-06-13T00:00:00"/>
    <d v="2024-07-13T00:00:00"/>
    <n v="1000"/>
    <n v="1000"/>
    <n v="4"/>
    <x v="0"/>
    <d v="2024-06-25T00:00:00"/>
    <s v="At Risk"/>
    <s v="Unique"/>
    <x v="1"/>
    <d v="2024-06-25T00:00:00"/>
    <x v="23"/>
    <n v="1"/>
  </r>
  <r>
    <s v="MEM0384"/>
    <s v="BR01"/>
    <s v="Premium"/>
    <d v="2025-01-19T00:00:00"/>
    <d v="2026-01-19T00:00:00"/>
    <n v="1000"/>
    <n v="8000"/>
    <n v="12"/>
    <x v="0"/>
    <d v="2026-02-26T00:00:00"/>
    <s v="Moderate"/>
    <s v="Unique"/>
    <x v="5"/>
    <d v="2026-02-26T00:00:00"/>
    <x v="9"/>
    <n v="1"/>
  </r>
  <r>
    <s v="MEM0385"/>
    <s v="BR06"/>
    <s v="Basic"/>
    <d v="2025-04-24T00:00:00"/>
    <d v="2025-05-24T00:00:00"/>
    <n v="1000"/>
    <n v="9000"/>
    <n v="25"/>
    <x v="0"/>
    <d v="2025-10-03T00:00:00"/>
    <s v="Highly Active"/>
    <s v="Unique"/>
    <x v="26"/>
    <d v="2025-10-03T00:00:00"/>
    <x v="27"/>
    <n v="1"/>
  </r>
  <r>
    <s v="MEM0386"/>
    <s v="BR02"/>
    <s v="Basic"/>
    <d v="2025-10-11T00:00:00"/>
    <d v="2026-01-09T00:00:00"/>
    <n v="2000"/>
    <n v="18000"/>
    <n v="5"/>
    <x v="0"/>
    <d v="2026-02-10T00:00:00"/>
    <s v="Moderate"/>
    <s v="Unique"/>
    <x v="32"/>
    <d v="2026-02-10T00:00:00"/>
    <x v="15"/>
    <n v="1"/>
  </r>
  <r>
    <s v="MEM0387"/>
    <s v="BR05"/>
    <s v="Standard"/>
    <d v="2023-06-13T00:00:00"/>
    <d v="2023-09-11T00:00:00"/>
    <n v="1000"/>
    <n v="8000"/>
    <n v="22"/>
    <x v="0"/>
    <d v="2023-08-29T00:00:00"/>
    <s v="Highly Active"/>
    <s v="Unique"/>
    <x v="10"/>
    <d v="2023-08-29T00:00:00"/>
    <x v="3"/>
    <n v="1"/>
  </r>
  <r>
    <s v="MEM0388"/>
    <s v="BR01"/>
    <s v="Standard"/>
    <d v="2025-07-09T00:00:00"/>
    <d v="2025-10-07T00:00:00"/>
    <n v="2000"/>
    <n v="6000"/>
    <n v="6"/>
    <x v="0"/>
    <d v="2025-08-28T00:00:00"/>
    <s v="Moderate"/>
    <s v="Unique"/>
    <x v="17"/>
    <d v="2025-08-28T00:00:00"/>
    <x v="11"/>
    <n v="1"/>
  </r>
  <r>
    <s v="MEM0389"/>
    <s v="BR04"/>
    <s v="Premium"/>
    <d v="2024-04-02T00:00:00"/>
    <d v="2024-07-01T00:00:00"/>
    <n v="1000"/>
    <n v="1000"/>
    <n v="13"/>
    <x v="0"/>
    <d v="2025-09-18T00:00:00"/>
    <s v="Moderate"/>
    <s v="Unique"/>
    <x v="9"/>
    <d v="2025-09-18T00:00:00"/>
    <x v="5"/>
    <n v="1"/>
  </r>
  <r>
    <s v="MEM0390"/>
    <s v="BR01"/>
    <s v="Basic"/>
    <d v="2025-04-15T00:00:00"/>
    <d v="2025-05-15T00:00:00"/>
    <n v="3500"/>
    <n v="10500"/>
    <n v="24"/>
    <x v="0"/>
    <d v="2025-10-14T00:00:00"/>
    <s v="Highly Active"/>
    <s v="Unique"/>
    <x v="26"/>
    <d v="2025-10-14T00:00:00"/>
    <x v="27"/>
    <n v="1"/>
  </r>
  <r>
    <s v="MEM0391"/>
    <s v="BR04"/>
    <s v="Standard"/>
    <d v="2023-11-10T00:00:00"/>
    <d v="2024-11-09T00:00:00"/>
    <n v="1000"/>
    <n v="2000"/>
    <n v="21"/>
    <x v="0"/>
    <d v="2024-09-19T00:00:00"/>
    <s v="Highly Active"/>
    <s v="Unique"/>
    <x v="21"/>
    <d v="2024-09-19T00:00:00"/>
    <x v="2"/>
    <n v="1"/>
  </r>
  <r>
    <s v="MEM0392"/>
    <s v="BR03"/>
    <s v="Premium"/>
    <d v="2023-01-20T00:00:00"/>
    <d v="2023-02-19T00:00:00"/>
    <n v="1000"/>
    <n v="1000"/>
    <n v="25"/>
    <x v="0"/>
    <d v="2024-04-13T00:00:00"/>
    <s v="Highly Active"/>
    <s v="Unique"/>
    <x v="2"/>
    <d v="2024-04-13T00:00:00"/>
    <x v="7"/>
    <n v="1"/>
  </r>
  <r>
    <s v="MEM0393"/>
    <s v="BR02"/>
    <s v="Standard"/>
    <d v="2025-05-27T00:00:00"/>
    <d v="2026-05-27T00:00:00"/>
    <n v="2000"/>
    <n v="2000"/>
    <n v="12"/>
    <x v="0"/>
    <d v="2025-06-27T00:00:00"/>
    <s v="Moderate"/>
    <s v="Unique"/>
    <x v="30"/>
    <d v="2025-06-27T00:00:00"/>
    <x v="11"/>
    <n v="1"/>
  </r>
  <r>
    <s v="MEM0394"/>
    <s v="BR07"/>
    <s v="Basic"/>
    <d v="2023-07-13T00:00:00"/>
    <d v="2024-07-12T00:00:00"/>
    <n v="2000"/>
    <n v="14000"/>
    <n v="3"/>
    <x v="1"/>
    <d v="2023-08-02T00:00:00"/>
    <s v="At Risk"/>
    <s v="Unique"/>
    <x v="6"/>
    <d v="2023-08-02T00:00:00"/>
    <x v="23"/>
    <n v="0"/>
  </r>
  <r>
    <s v="MEM0395"/>
    <s v="BR01"/>
    <s v="Standard"/>
    <d v="2024-12-04T00:00:00"/>
    <d v="2025-12-04T00:00:00"/>
    <n v="3500"/>
    <n v="28000"/>
    <n v="3"/>
    <x v="0"/>
    <d v="2025-02-09T00:00:00"/>
    <s v="At Risk"/>
    <s v="Unique"/>
    <x v="0"/>
    <d v="2025-02-09T00:00:00"/>
    <x v="3"/>
    <n v="1"/>
  </r>
  <r>
    <s v="MEM0396"/>
    <s v="BR05"/>
    <s v="Premium"/>
    <d v="2024-07-10T00:00:00"/>
    <d v="2024-08-09T00:00:00"/>
    <n v="2000"/>
    <n v="4000"/>
    <n v="22"/>
    <x v="0"/>
    <d v="2025-02-15T00:00:00"/>
    <s v="Highly Active"/>
    <s v="Unique"/>
    <x v="13"/>
    <d v="2025-02-15T00:00:00"/>
    <x v="25"/>
    <n v="1"/>
  </r>
  <r>
    <s v="MEM0397"/>
    <s v="BR01"/>
    <s v="Basic"/>
    <d v="2026-01-17T00:00:00"/>
    <d v="2026-02-16T00:00:00"/>
    <n v="2000"/>
    <n v="10000"/>
    <n v="8"/>
    <x v="0"/>
    <d v="2026-02-08T00:00:00"/>
    <s v="Moderate"/>
    <s v="Unique"/>
    <x v="35"/>
    <d v="2026-02-08T00:00:00"/>
    <x v="23"/>
    <n v="1"/>
  </r>
  <r>
    <s v="MEM0398"/>
    <s v="BR05"/>
    <s v="Basic"/>
    <d v="2024-07-28T00:00:00"/>
    <d v="2024-10-26T00:00:00"/>
    <n v="2000"/>
    <n v="2000"/>
    <n v="7"/>
    <x v="0"/>
    <d v="2025-09-04T00:00:00"/>
    <s v="Moderate"/>
    <s v="Unique"/>
    <x v="13"/>
    <d v="2025-09-04T00:00:00"/>
    <x v="9"/>
    <n v="1"/>
  </r>
  <r>
    <s v="MEM0399"/>
    <s v="BR07"/>
    <s v="Premium"/>
    <d v="2024-07-27T00:00:00"/>
    <d v="2024-08-26T00:00:00"/>
    <n v="2000"/>
    <n v="24000"/>
    <n v="20"/>
    <x v="0"/>
    <d v="2024-12-17T00:00:00"/>
    <s v="Highly Active"/>
    <s v="Unique"/>
    <x v="13"/>
    <d v="2024-12-17T00:00:00"/>
    <x v="13"/>
    <n v="1"/>
  </r>
  <r>
    <s v="MEM0400"/>
    <s v="BR05"/>
    <s v="Standard"/>
    <d v="2025-03-12T00:00:00"/>
    <d v="2025-04-11T00:00:00"/>
    <n v="2000"/>
    <n v="18000"/>
    <n v="7"/>
    <x v="0"/>
    <d v="2025-08-04T00:00:00"/>
    <s v="Moderate"/>
    <s v="Unique"/>
    <x v="33"/>
    <d v="2025-08-04T00:00:00"/>
    <x v="13"/>
    <n v="1"/>
  </r>
  <r>
    <s v="MEM0401"/>
    <s v="BR02"/>
    <s v="Premium"/>
    <d v="2023-08-24T00:00:00"/>
    <d v="2023-09-23T00:00:00"/>
    <n v="3500"/>
    <n v="14000"/>
    <n v="0"/>
    <x v="0"/>
    <d v="2024-04-11T00:00:00"/>
    <s v="At Risk"/>
    <s v="Unique"/>
    <x v="27"/>
    <d v="2024-04-11T00:00:00"/>
    <x v="25"/>
    <n v="1"/>
  </r>
  <r>
    <s v="MEM0402"/>
    <s v="BR01"/>
    <s v="Basic"/>
    <d v="2025-07-27T00:00:00"/>
    <d v="2026-07-27T00:00:00"/>
    <n v="3500"/>
    <n v="3500"/>
    <n v="21"/>
    <x v="0"/>
    <d v="2026-03-01T00:00:00"/>
    <s v="Highly Active"/>
    <s v="Unique"/>
    <x v="17"/>
    <d v="2026-03-01T00:00:00"/>
    <x v="25"/>
    <n v="1"/>
  </r>
  <r>
    <s v="MEM0403"/>
    <s v="BR06"/>
    <s v="Basic"/>
    <d v="2025-11-10T00:00:00"/>
    <d v="2026-11-10T00:00:00"/>
    <n v="1000"/>
    <n v="7000"/>
    <n v="9"/>
    <x v="0"/>
    <d v="2026-01-08T00:00:00"/>
    <s v="Moderate"/>
    <s v="Unique"/>
    <x v="7"/>
    <d v="2026-01-08T00:00:00"/>
    <x v="11"/>
    <n v="1"/>
  </r>
  <r>
    <s v="MEM0404"/>
    <s v="BR06"/>
    <s v="Premium"/>
    <d v="2024-07-21T00:00:00"/>
    <d v="2024-08-20T00:00:00"/>
    <n v="3500"/>
    <n v="3500"/>
    <n v="17"/>
    <x v="0"/>
    <d v="2025-06-24T00:00:00"/>
    <s v="Highly Active"/>
    <s v="Unique"/>
    <x v="13"/>
    <d v="2025-06-24T00:00:00"/>
    <x v="4"/>
    <n v="1"/>
  </r>
  <r>
    <s v="MEM0405"/>
    <s v="BR07"/>
    <s v="Standard"/>
    <d v="2024-06-14T00:00:00"/>
    <d v="2024-07-14T00:00:00"/>
    <n v="3500"/>
    <n v="28000"/>
    <n v="7"/>
    <x v="0"/>
    <d v="2025-03-09T00:00:00"/>
    <s v="Moderate"/>
    <s v="Unique"/>
    <x v="1"/>
    <d v="2025-03-09T00:00:00"/>
    <x v="14"/>
    <n v="1"/>
  </r>
  <r>
    <s v="MEM0406"/>
    <s v="BR02"/>
    <s v="Premium"/>
    <d v="2025-04-11T00:00:00"/>
    <d v="2025-05-11T00:00:00"/>
    <n v="3500"/>
    <n v="10500"/>
    <n v="25"/>
    <x v="0"/>
    <d v="2025-09-30T00:00:00"/>
    <s v="Highly Active"/>
    <s v="Unique"/>
    <x v="26"/>
    <d v="2025-09-30T00:00:00"/>
    <x v="27"/>
    <n v="1"/>
  </r>
  <r>
    <s v="MEM0407"/>
    <s v="BR04"/>
    <s v="Premium"/>
    <d v="2025-04-27T00:00:00"/>
    <d v="2025-05-27T00:00:00"/>
    <n v="2000"/>
    <n v="2000"/>
    <n v="3"/>
    <x v="0"/>
    <d v="2025-05-16T00:00:00"/>
    <s v="At Risk"/>
    <s v="Unique"/>
    <x v="26"/>
    <d v="2025-05-16T00:00:00"/>
    <x v="23"/>
    <n v="1"/>
  </r>
  <r>
    <s v="MEM0408"/>
    <s v="BR02"/>
    <s v="Standard"/>
    <d v="2025-01-12T00:00:00"/>
    <d v="2026-01-12T00:00:00"/>
    <n v="2000"/>
    <n v="16000"/>
    <n v="16"/>
    <x v="1"/>
    <d v="2025-05-14T00:00:00"/>
    <s v="Highly Active"/>
    <s v="Unique"/>
    <x v="5"/>
    <d v="2025-05-14T00:00:00"/>
    <x v="13"/>
    <n v="0"/>
  </r>
  <r>
    <s v="MEM0409"/>
    <s v="BR03"/>
    <s v="Premium"/>
    <d v="2023-09-25T00:00:00"/>
    <d v="2024-09-24T00:00:00"/>
    <n v="2000"/>
    <n v="18000"/>
    <n v="9"/>
    <x v="0"/>
    <d v="2024-01-25T00:00:00"/>
    <s v="Moderate"/>
    <s v="Unique"/>
    <x v="25"/>
    <d v="2024-01-25T00:00:00"/>
    <x v="13"/>
    <n v="1"/>
  </r>
  <r>
    <s v="MEM0410"/>
    <s v="BR03"/>
    <s v="Basic"/>
    <d v="2023-07-20T00:00:00"/>
    <d v="2024-07-19T00:00:00"/>
    <n v="2000"/>
    <n v="24000"/>
    <n v="12"/>
    <x v="0"/>
    <d v="2025-03-30T00:00:00"/>
    <s v="Moderate"/>
    <s v="Unique"/>
    <x v="6"/>
    <d v="2025-03-30T00:00:00"/>
    <x v="35"/>
    <n v="1"/>
  </r>
  <r>
    <s v="MEM0411"/>
    <s v="BR04"/>
    <s v="Standard"/>
    <d v="2024-05-04T00:00:00"/>
    <d v="2024-06-03T00:00:00"/>
    <n v="2000"/>
    <n v="14000"/>
    <n v="21"/>
    <x v="0"/>
    <d v="2025-11-07T00:00:00"/>
    <s v="Highly Active"/>
    <s v="Unique"/>
    <x v="15"/>
    <d v="2025-11-07T00:00:00"/>
    <x v="28"/>
    <n v="1"/>
  </r>
  <r>
    <s v="MEM0412"/>
    <s v="BR06"/>
    <s v="Premium"/>
    <d v="2024-04-21T00:00:00"/>
    <d v="2024-05-21T00:00:00"/>
    <n v="3500"/>
    <n v="10500"/>
    <n v="0"/>
    <x v="0"/>
    <d v="2024-08-15T00:00:00"/>
    <s v="At Risk"/>
    <s v="Unique"/>
    <x v="9"/>
    <d v="2024-08-15T00:00:00"/>
    <x v="15"/>
    <n v="1"/>
  </r>
  <r>
    <s v="MEM0413"/>
    <s v="BR02"/>
    <s v="Premium"/>
    <d v="2025-02-16T00:00:00"/>
    <d v="2026-02-16T00:00:00"/>
    <n v="1000"/>
    <n v="9000"/>
    <n v="10"/>
    <x v="0"/>
    <d v="2025-09-09T00:00:00"/>
    <s v="Moderate"/>
    <s v="Unique"/>
    <x v="14"/>
    <d v="2025-09-09T00:00:00"/>
    <x v="12"/>
    <n v="1"/>
  </r>
  <r>
    <s v="MEM0414"/>
    <s v="BR04"/>
    <s v="Premium"/>
    <d v="2025-07-29T00:00:00"/>
    <d v="2025-08-28T00:00:00"/>
    <n v="2000"/>
    <n v="24000"/>
    <n v="11"/>
    <x v="0"/>
    <d v="2025-08-18T00:00:00"/>
    <s v="Moderate"/>
    <s v="Unique"/>
    <x v="17"/>
    <d v="2025-08-18T00:00:00"/>
    <x v="23"/>
    <n v="1"/>
  </r>
  <r>
    <s v="MEM0415"/>
    <s v="BR04"/>
    <s v="Premium"/>
    <d v="2024-11-30T00:00:00"/>
    <d v="2025-02-28T00:00:00"/>
    <n v="2000"/>
    <n v="24000"/>
    <n v="20"/>
    <x v="0"/>
    <d v="2025-11-14T00:00:00"/>
    <s v="Highly Active"/>
    <s v="Unique"/>
    <x v="23"/>
    <d v="2025-11-14T00:00:00"/>
    <x v="4"/>
    <n v="1"/>
  </r>
  <r>
    <s v="MEM0416"/>
    <s v="BR06"/>
    <s v="Standard"/>
    <d v="2026-01-30T00:00:00"/>
    <d v="2026-03-01T00:00:00"/>
    <n v="3500"/>
    <n v="3500"/>
    <n v="12"/>
    <x v="0"/>
    <d v="2026-02-20T00:00:00"/>
    <s v="Moderate"/>
    <s v="Unique"/>
    <x v="35"/>
    <d v="2026-02-20T00:00:00"/>
    <x v="23"/>
    <n v="1"/>
  </r>
  <r>
    <s v="MEM0417"/>
    <s v="BR04"/>
    <s v="Standard"/>
    <d v="2025-12-30T00:00:00"/>
    <d v="2026-03-30T00:00:00"/>
    <n v="3500"/>
    <n v="7000"/>
    <n v="16"/>
    <x v="1"/>
    <d v="2026-01-14T00:00:00"/>
    <s v="Highly Active"/>
    <s v="Unique"/>
    <x v="24"/>
    <d v="2026-01-14T00:00:00"/>
    <x v="23"/>
    <n v="0"/>
  </r>
  <r>
    <s v="MEM0418"/>
    <s v="BR04"/>
    <s v="Premium"/>
    <d v="2024-07-22T00:00:00"/>
    <d v="2024-10-20T00:00:00"/>
    <n v="2000"/>
    <n v="20000"/>
    <n v="18"/>
    <x v="0"/>
    <d v="2024-10-01T00:00:00"/>
    <s v="Highly Active"/>
    <s v="Unique"/>
    <x v="13"/>
    <d v="2024-10-01T00:00:00"/>
    <x v="3"/>
    <n v="1"/>
  </r>
  <r>
    <s v="MEM0419"/>
    <s v="BR07"/>
    <s v="Premium"/>
    <d v="2024-07-30T00:00:00"/>
    <d v="2025-07-30T00:00:00"/>
    <n v="2000"/>
    <n v="4000"/>
    <n v="17"/>
    <x v="0"/>
    <d v="2025-08-01T00:00:00"/>
    <s v="Highly Active"/>
    <s v="Unique"/>
    <x v="13"/>
    <d v="2025-08-01T00:00:00"/>
    <x v="0"/>
    <n v="1"/>
  </r>
  <r>
    <s v="MEM0420"/>
    <s v="BR03"/>
    <s v="Standard"/>
    <d v="2024-11-26T00:00:00"/>
    <d v="2024-12-26T00:00:00"/>
    <n v="3500"/>
    <n v="10500"/>
    <n v="25"/>
    <x v="1"/>
    <d v="2026-03-30T00:00:00"/>
    <s v="Highly Active"/>
    <s v="Unique"/>
    <x v="23"/>
    <d v="2026-03-30T00:00:00"/>
    <x v="10"/>
    <n v="0"/>
  </r>
  <r>
    <s v="MEM0421"/>
    <s v="BR06"/>
    <s v="Premium"/>
    <d v="2024-05-27T00:00:00"/>
    <d v="2025-05-27T00:00:00"/>
    <n v="1000"/>
    <n v="6000"/>
    <n v="10"/>
    <x v="0"/>
    <d v="2026-01-10T00:00:00"/>
    <s v="Moderate"/>
    <s v="Unique"/>
    <x v="15"/>
    <d v="2026-01-10T00:00:00"/>
    <x v="1"/>
    <n v="1"/>
  </r>
  <r>
    <s v="MEM0422"/>
    <s v="BR06"/>
    <s v="Premium"/>
    <d v="2024-07-05T00:00:00"/>
    <d v="2024-10-03T00:00:00"/>
    <n v="2000"/>
    <n v="4000"/>
    <n v="12"/>
    <x v="0"/>
    <d v="2025-09-09T00:00:00"/>
    <s v="Moderate"/>
    <s v="Unique"/>
    <x v="13"/>
    <d v="2025-09-09T00:00:00"/>
    <x v="7"/>
    <n v="1"/>
  </r>
  <r>
    <s v="MEM0423"/>
    <s v="BR06"/>
    <s v="Premium"/>
    <d v="2023-09-07T00:00:00"/>
    <d v="2024-09-06T00:00:00"/>
    <n v="2000"/>
    <n v="20000"/>
    <n v="23"/>
    <x v="0"/>
    <d v="2024-06-30T00:00:00"/>
    <s v="Highly Active"/>
    <s v="Unique"/>
    <x v="25"/>
    <d v="2024-06-30T00:00:00"/>
    <x v="6"/>
    <n v="1"/>
  </r>
  <r>
    <s v="MEM0424"/>
    <s v="BR01"/>
    <s v="Standard"/>
    <d v="2023-09-14T00:00:00"/>
    <d v="2023-10-14T00:00:00"/>
    <n v="1000"/>
    <n v="5000"/>
    <n v="1"/>
    <x v="1"/>
    <d v="2023-10-17T00:00:00"/>
    <s v="At Risk"/>
    <s v="Unique"/>
    <x v="25"/>
    <d v="2023-10-17T00:00:00"/>
    <x v="11"/>
    <n v="0"/>
  </r>
  <r>
    <s v="MEM0425"/>
    <s v="BR03"/>
    <s v="Standard"/>
    <d v="2024-07-27T00:00:00"/>
    <d v="2024-08-26T00:00:00"/>
    <n v="3500"/>
    <n v="7000"/>
    <n v="5"/>
    <x v="0"/>
    <d v="2025-04-03T00:00:00"/>
    <s v="Moderate"/>
    <s v="Unique"/>
    <x v="13"/>
    <d v="2025-04-03T00:00:00"/>
    <x v="14"/>
    <n v="1"/>
  </r>
  <r>
    <s v="MEM0426"/>
    <s v="BR05"/>
    <s v="Basic"/>
    <d v="2025-04-11T00:00:00"/>
    <d v="2026-04-11T00:00:00"/>
    <n v="3500"/>
    <n v="42000"/>
    <n v="13"/>
    <x v="0"/>
    <d v="2026-01-20T00:00:00"/>
    <s v="Moderate"/>
    <s v="Unique"/>
    <x v="26"/>
    <d v="2026-01-20T00:00:00"/>
    <x v="6"/>
    <n v="1"/>
  </r>
  <r>
    <s v="MEM0427"/>
    <s v="BR07"/>
    <s v="Premium"/>
    <d v="2023-01-22T00:00:00"/>
    <d v="2023-02-21T00:00:00"/>
    <n v="2000"/>
    <n v="18000"/>
    <n v="17"/>
    <x v="0"/>
    <d v="2025-06-02T00:00:00"/>
    <s v="Highly Active"/>
    <s v="Unique"/>
    <x v="2"/>
    <d v="2025-06-02T00:00:00"/>
    <x v="26"/>
    <n v="1"/>
  </r>
  <r>
    <s v="MEM0428"/>
    <s v="BR03"/>
    <s v="Premium"/>
    <d v="2025-09-23T00:00:00"/>
    <d v="2025-10-23T00:00:00"/>
    <n v="2000"/>
    <n v="12000"/>
    <n v="9"/>
    <x v="0"/>
    <d v="2025-10-31T00:00:00"/>
    <s v="Moderate"/>
    <s v="Unique"/>
    <x v="36"/>
    <d v="2025-10-31T00:00:00"/>
    <x v="11"/>
    <n v="1"/>
  </r>
  <r>
    <s v="MEM0429"/>
    <s v="BR07"/>
    <s v="Standard"/>
    <d v="2024-05-26T00:00:00"/>
    <d v="2024-06-25T00:00:00"/>
    <n v="2000"/>
    <n v="24000"/>
    <n v="12"/>
    <x v="0"/>
    <d v="2025-07-27T00:00:00"/>
    <s v="Moderate"/>
    <s v="Unique"/>
    <x v="15"/>
    <d v="2025-07-27T00:00:00"/>
    <x v="7"/>
    <n v="1"/>
  </r>
  <r>
    <s v="MEM0430"/>
    <s v="BR06"/>
    <s v="Standard"/>
    <d v="2023-11-01T00:00:00"/>
    <d v="2023-12-01T00:00:00"/>
    <n v="2000"/>
    <n v="22000"/>
    <n v="16"/>
    <x v="0"/>
    <d v="2026-04-03T00:00:00"/>
    <s v="Highly Active"/>
    <s v="Unique"/>
    <x v="21"/>
    <d v="2026-04-03T00:00:00"/>
    <x v="34"/>
    <n v="1"/>
  </r>
  <r>
    <s v="MEM0431"/>
    <s v="BR03"/>
    <s v="Premium"/>
    <d v="2024-08-02T00:00:00"/>
    <d v="2025-08-02T00:00:00"/>
    <n v="3500"/>
    <n v="38500"/>
    <n v="24"/>
    <x v="0"/>
    <d v="2024-08-26T00:00:00"/>
    <s v="Highly Active"/>
    <s v="Unique"/>
    <x v="12"/>
    <d v="2024-08-26T00:00:00"/>
    <x v="23"/>
    <n v="1"/>
  </r>
  <r>
    <s v="MEM0432"/>
    <s v="BR06"/>
    <s v="Premium"/>
    <d v="2024-02-24T00:00:00"/>
    <d v="2024-03-25T00:00:00"/>
    <n v="3500"/>
    <n v="42000"/>
    <n v="13"/>
    <x v="0"/>
    <d v="2024-08-16T00:00:00"/>
    <s v="Moderate"/>
    <s v="Unique"/>
    <x v="3"/>
    <d v="2024-08-16T00:00:00"/>
    <x v="27"/>
    <n v="1"/>
  </r>
  <r>
    <s v="MEM0433"/>
    <s v="BR03"/>
    <s v="Premium"/>
    <d v="2025-08-04T00:00:00"/>
    <d v="2025-11-02T00:00:00"/>
    <n v="2000"/>
    <n v="24000"/>
    <n v="17"/>
    <x v="1"/>
    <d v="2025-10-19T00:00:00"/>
    <s v="Highly Active"/>
    <s v="Unique"/>
    <x v="4"/>
    <d v="2025-10-19T00:00:00"/>
    <x v="3"/>
    <n v="0"/>
  </r>
  <r>
    <s v="MEM0434"/>
    <s v="BR04"/>
    <s v="Basic"/>
    <d v="2023-04-27T00:00:00"/>
    <d v="2023-05-27T00:00:00"/>
    <n v="1000"/>
    <n v="8000"/>
    <n v="15"/>
    <x v="0"/>
    <d v="2024-11-22T00:00:00"/>
    <s v="Highly Active"/>
    <s v="Unique"/>
    <x v="28"/>
    <d v="2024-11-22T00:00:00"/>
    <x v="28"/>
    <n v="1"/>
  </r>
  <r>
    <s v="MEM0435"/>
    <s v="BR06"/>
    <s v="Premium"/>
    <d v="2025-11-20T00:00:00"/>
    <d v="2025-12-20T00:00:00"/>
    <n v="3500"/>
    <n v="28000"/>
    <n v="17"/>
    <x v="1"/>
    <d v="2026-04-05T00:00:00"/>
    <s v="Highly Active"/>
    <s v="Unique"/>
    <x v="7"/>
    <d v="2026-04-05T00:00:00"/>
    <x v="13"/>
    <n v="0"/>
  </r>
  <r>
    <s v="MEM0436"/>
    <s v="BR05"/>
    <s v="Premium"/>
    <d v="2023-12-22T00:00:00"/>
    <d v="2024-01-21T00:00:00"/>
    <n v="2000"/>
    <n v="12000"/>
    <n v="15"/>
    <x v="0"/>
    <d v="2024-05-30T00:00:00"/>
    <s v="Highly Active"/>
    <s v="Unique"/>
    <x v="22"/>
    <d v="2024-05-30T00:00:00"/>
    <x v="27"/>
    <n v="1"/>
  </r>
  <r>
    <s v="MEM0437"/>
    <s v="BR05"/>
    <s v="Premium"/>
    <d v="2024-02-25T00:00:00"/>
    <d v="2024-05-25T00:00:00"/>
    <n v="1000"/>
    <n v="9000"/>
    <n v="24"/>
    <x v="0"/>
    <d v="2025-10-26T00:00:00"/>
    <s v="Highly Active"/>
    <s v="Unique"/>
    <x v="3"/>
    <d v="2025-10-26T00:00:00"/>
    <x v="35"/>
    <n v="1"/>
  </r>
  <r>
    <s v="MEM0438"/>
    <s v="BR05"/>
    <s v="Standard"/>
    <d v="2024-06-14T00:00:00"/>
    <d v="2025-06-14T00:00:00"/>
    <n v="2000"/>
    <n v="20000"/>
    <n v="23"/>
    <x v="0"/>
    <d v="2025-07-12T00:00:00"/>
    <s v="Highly Active"/>
    <s v="Unique"/>
    <x v="1"/>
    <d v="2025-07-12T00:00:00"/>
    <x v="0"/>
    <n v="1"/>
  </r>
  <r>
    <s v="MEM0439"/>
    <s v="BR02"/>
    <s v="Standard"/>
    <d v="2024-05-31T00:00:00"/>
    <d v="2024-08-29T00:00:00"/>
    <n v="3500"/>
    <n v="38500"/>
    <n v="5"/>
    <x v="0"/>
    <d v="2025-10-08T00:00:00"/>
    <s v="Moderate"/>
    <s v="Unique"/>
    <x v="15"/>
    <d v="2025-10-08T00:00:00"/>
    <x v="10"/>
    <n v="1"/>
  </r>
  <r>
    <s v="MEM0440"/>
    <s v="BR03"/>
    <s v="Basic"/>
    <d v="2024-11-05T00:00:00"/>
    <d v="2025-02-03T00:00:00"/>
    <n v="2000"/>
    <n v="4000"/>
    <n v="18"/>
    <x v="0"/>
    <d v="2026-03-05T00:00:00"/>
    <s v="Highly Active"/>
    <s v="Unique"/>
    <x v="23"/>
    <d v="2026-03-05T00:00:00"/>
    <x v="10"/>
    <n v="1"/>
  </r>
  <r>
    <s v="MEM0441"/>
    <s v="BR04"/>
    <s v="Standard"/>
    <d v="2025-05-21T00:00:00"/>
    <d v="2025-06-20T00:00:00"/>
    <n v="1000"/>
    <n v="4000"/>
    <n v="11"/>
    <x v="0"/>
    <d v="2025-12-02T00:00:00"/>
    <s v="Moderate"/>
    <s v="Unique"/>
    <x v="30"/>
    <d v="2025-12-02T00:00:00"/>
    <x v="12"/>
    <n v="1"/>
  </r>
  <r>
    <s v="MEM0442"/>
    <s v="BR06"/>
    <s v="Standard"/>
    <d v="2024-11-27T00:00:00"/>
    <d v="2024-12-27T00:00:00"/>
    <n v="3500"/>
    <n v="7000"/>
    <n v="11"/>
    <x v="0"/>
    <d v="2025-08-28T00:00:00"/>
    <s v="Moderate"/>
    <s v="Unique"/>
    <x v="23"/>
    <d v="2025-08-28T00:00:00"/>
    <x v="6"/>
    <n v="1"/>
  </r>
  <r>
    <s v="MEM0443"/>
    <s v="BR05"/>
    <s v="Premium"/>
    <d v="2024-06-13T00:00:00"/>
    <d v="2024-07-13T00:00:00"/>
    <n v="1000"/>
    <n v="7000"/>
    <n v="16"/>
    <x v="0"/>
    <d v="2025-10-07T00:00:00"/>
    <s v="Highly Active"/>
    <s v="Unique"/>
    <x v="1"/>
    <d v="2025-10-07T00:00:00"/>
    <x v="24"/>
    <n v="1"/>
  </r>
  <r>
    <s v="MEM0444"/>
    <s v="BR01"/>
    <s v="Basic"/>
    <d v="2023-02-15T00:00:00"/>
    <d v="2024-02-15T00:00:00"/>
    <n v="3500"/>
    <n v="10500"/>
    <n v="19"/>
    <x v="0"/>
    <d v="2023-04-10T00:00:00"/>
    <s v="Highly Active"/>
    <s v="Unique"/>
    <x v="16"/>
    <d v="2023-04-10T00:00:00"/>
    <x v="11"/>
    <n v="1"/>
  </r>
  <r>
    <s v="MEM0445"/>
    <s v="BR03"/>
    <s v="Standard"/>
    <d v="2023-09-02T00:00:00"/>
    <d v="2024-09-01T00:00:00"/>
    <n v="2000"/>
    <n v="2000"/>
    <n v="1"/>
    <x v="0"/>
    <d v="2025-03-13T00:00:00"/>
    <s v="At Risk"/>
    <s v="Unique"/>
    <x v="25"/>
    <d v="2025-03-13T00:00:00"/>
    <x v="28"/>
    <n v="1"/>
  </r>
  <r>
    <s v="MEM0446"/>
    <s v="BR02"/>
    <s v="Basic"/>
    <d v="2024-03-30T00:00:00"/>
    <d v="2024-06-28T00:00:00"/>
    <n v="2000"/>
    <n v="4000"/>
    <n v="6"/>
    <x v="0"/>
    <d v="2024-05-18T00:00:00"/>
    <s v="Moderate"/>
    <s v="Unique"/>
    <x v="11"/>
    <d v="2024-05-18T00:00:00"/>
    <x v="11"/>
    <n v="1"/>
  </r>
  <r>
    <s v="MEM0447"/>
    <s v="BR07"/>
    <s v="Basic"/>
    <d v="2023-05-16T00:00:00"/>
    <d v="2023-06-15T00:00:00"/>
    <n v="2000"/>
    <n v="4000"/>
    <n v="14"/>
    <x v="0"/>
    <d v="2023-08-13T00:00:00"/>
    <s v="Moderate"/>
    <s v="Unique"/>
    <x v="29"/>
    <d v="2023-08-13T00:00:00"/>
    <x v="3"/>
    <n v="1"/>
  </r>
  <r>
    <s v="MEM0448"/>
    <s v="BR05"/>
    <s v="Basic"/>
    <d v="2026-01-07T00:00:00"/>
    <d v="2026-04-07T00:00:00"/>
    <n v="1000"/>
    <n v="6000"/>
    <n v="15"/>
    <x v="0"/>
    <d v="2026-01-30T00:00:00"/>
    <s v="Highly Active"/>
    <s v="Unique"/>
    <x v="35"/>
    <d v="2026-01-30T00:00:00"/>
    <x v="23"/>
    <n v="1"/>
  </r>
  <r>
    <s v="MEM0449"/>
    <s v="BR02"/>
    <s v="Premium"/>
    <d v="2024-11-12T00:00:00"/>
    <d v="2024-12-12T00:00:00"/>
    <n v="3500"/>
    <n v="10500"/>
    <n v="4"/>
    <x v="1"/>
    <d v="2025-05-27T00:00:00"/>
    <s v="At Risk"/>
    <s v="Unique"/>
    <x v="23"/>
    <d v="2025-05-27T00:00:00"/>
    <x v="12"/>
    <n v="0"/>
  </r>
  <r>
    <s v="MEM0450"/>
    <s v="BR05"/>
    <s v="Basic"/>
    <d v="2024-12-09T00:00:00"/>
    <d v="2025-03-09T00:00:00"/>
    <n v="3500"/>
    <n v="10500"/>
    <n v="7"/>
    <x v="0"/>
    <d v="2025-11-03T00:00:00"/>
    <s v="Moderate"/>
    <s v="Unique"/>
    <x v="0"/>
    <d v="2025-11-03T00:00:00"/>
    <x v="2"/>
    <n v="1"/>
  </r>
  <r>
    <s v="MEM0451"/>
    <s v="BR02"/>
    <s v="Basic"/>
    <d v="2023-02-28T00:00:00"/>
    <d v="2023-05-29T00:00:00"/>
    <n v="2000"/>
    <n v="20000"/>
    <n v="16"/>
    <x v="0"/>
    <d v="2024-12-21T00:00:00"/>
    <s v="Highly Active"/>
    <s v="Unique"/>
    <x v="16"/>
    <d v="2024-12-21T00:00:00"/>
    <x v="8"/>
    <n v="1"/>
  </r>
  <r>
    <s v="MEM0452"/>
    <s v="BR04"/>
    <s v="Standard"/>
    <d v="2023-12-18T00:00:00"/>
    <d v="2024-01-17T00:00:00"/>
    <n v="1000"/>
    <n v="3000"/>
    <n v="12"/>
    <x v="0"/>
    <d v="2024-05-18T00:00:00"/>
    <s v="Moderate"/>
    <s v="Unique"/>
    <x v="22"/>
    <d v="2024-05-18T00:00:00"/>
    <x v="27"/>
    <n v="1"/>
  </r>
  <r>
    <s v="MEM0453"/>
    <s v="BR03"/>
    <s v="Basic"/>
    <d v="2025-02-14T00:00:00"/>
    <d v="2025-03-16T00:00:00"/>
    <n v="3500"/>
    <n v="31500"/>
    <n v="21"/>
    <x v="0"/>
    <d v="2025-06-17T00:00:00"/>
    <s v="Highly Active"/>
    <s v="Unique"/>
    <x v="14"/>
    <d v="2025-06-17T00:00:00"/>
    <x v="13"/>
    <n v="1"/>
  </r>
  <r>
    <s v="MEM0454"/>
    <s v="BR07"/>
    <s v="Premium"/>
    <d v="2024-10-10T00:00:00"/>
    <d v="2024-11-09T00:00:00"/>
    <n v="1000"/>
    <n v="2000"/>
    <n v="18"/>
    <x v="1"/>
    <d v="2025-03-05T00:00:00"/>
    <s v="Highly Active"/>
    <s v="Unique"/>
    <x v="19"/>
    <d v="2025-03-05T00:00:00"/>
    <x v="13"/>
    <n v="0"/>
  </r>
  <r>
    <s v="MEM0455"/>
    <s v="BR02"/>
    <s v="Basic"/>
    <d v="2023-11-03T00:00:00"/>
    <d v="2023-12-03T00:00:00"/>
    <n v="2000"/>
    <n v="6000"/>
    <n v="3"/>
    <x v="0"/>
    <d v="2023-12-10T00:00:00"/>
    <s v="At Risk"/>
    <s v="Unique"/>
    <x v="21"/>
    <d v="2023-12-10T00:00:00"/>
    <x v="11"/>
    <n v="1"/>
  </r>
  <r>
    <s v="MEM0456"/>
    <s v="BR07"/>
    <s v="Basic"/>
    <d v="2023-04-29T00:00:00"/>
    <d v="2023-07-28T00:00:00"/>
    <n v="1000"/>
    <n v="10000"/>
    <n v="19"/>
    <x v="0"/>
    <d v="2024-09-14T00:00:00"/>
    <s v="Highly Active"/>
    <s v="Unique"/>
    <x v="28"/>
    <d v="2024-09-14T00:00:00"/>
    <x v="10"/>
    <n v="1"/>
  </r>
  <r>
    <s v="MEM0457"/>
    <s v="BR03"/>
    <s v="Basic"/>
    <d v="2025-03-24T00:00:00"/>
    <d v="2025-06-22T00:00:00"/>
    <n v="2000"/>
    <n v="8000"/>
    <n v="16"/>
    <x v="1"/>
    <d v="2025-04-27T00:00:00"/>
    <s v="Highly Active"/>
    <s v="Unique"/>
    <x v="33"/>
    <d v="2025-04-27T00:00:00"/>
    <x v="11"/>
    <n v="0"/>
  </r>
  <r>
    <s v="MEM0458"/>
    <s v="BR03"/>
    <s v="Premium"/>
    <d v="2024-09-25T00:00:00"/>
    <d v="2024-12-24T00:00:00"/>
    <n v="3500"/>
    <n v="14000"/>
    <n v="18"/>
    <x v="0"/>
    <d v="2025-01-20T00:00:00"/>
    <s v="Highly Active"/>
    <s v="Unique"/>
    <x v="8"/>
    <d v="2025-01-20T00:00:00"/>
    <x v="15"/>
    <n v="1"/>
  </r>
  <r>
    <s v="MEM0459"/>
    <s v="BR07"/>
    <s v="Premium"/>
    <d v="2025-07-16T00:00:00"/>
    <d v="2025-10-14T00:00:00"/>
    <n v="3500"/>
    <n v="3500"/>
    <n v="8"/>
    <x v="0"/>
    <d v="2026-02-22T00:00:00"/>
    <s v="Moderate"/>
    <s v="Unique"/>
    <x v="17"/>
    <d v="2026-02-22T00:00:00"/>
    <x v="25"/>
    <n v="1"/>
  </r>
  <r>
    <s v="MEM0460"/>
    <s v="BR07"/>
    <s v="Premium"/>
    <d v="2025-06-26T00:00:00"/>
    <d v="2026-06-26T00:00:00"/>
    <n v="2000"/>
    <n v="20000"/>
    <n v="23"/>
    <x v="0"/>
    <d v="2025-12-03T00:00:00"/>
    <s v="Highly Active"/>
    <s v="Unique"/>
    <x v="18"/>
    <d v="2025-12-03T00:00:00"/>
    <x v="27"/>
    <n v="1"/>
  </r>
  <r>
    <s v="MEM0461"/>
    <s v="BR06"/>
    <s v="Standard"/>
    <d v="2025-11-24T00:00:00"/>
    <d v="2026-02-22T00:00:00"/>
    <n v="1000"/>
    <n v="7000"/>
    <n v="3"/>
    <x v="0"/>
    <d v="2026-03-07T00:00:00"/>
    <s v="At Risk"/>
    <s v="Unique"/>
    <x v="7"/>
    <d v="2026-03-07T00:00:00"/>
    <x v="15"/>
    <n v="1"/>
  </r>
  <r>
    <s v="MEM0462"/>
    <s v="BR05"/>
    <s v="Basic"/>
    <d v="2026-01-07T00:00:00"/>
    <d v="2027-01-07T00:00:00"/>
    <n v="2000"/>
    <n v="8000"/>
    <n v="11"/>
    <x v="0"/>
    <d v="2026-01-20T00:00:00"/>
    <s v="Moderate"/>
    <s v="Unique"/>
    <x v="35"/>
    <d v="2026-01-20T00:00:00"/>
    <x v="23"/>
    <n v="1"/>
  </r>
  <r>
    <s v="MEM0463"/>
    <s v="BR03"/>
    <s v="Premium"/>
    <d v="2023-06-02T00:00:00"/>
    <d v="2024-06-01T00:00:00"/>
    <n v="2000"/>
    <n v="20000"/>
    <n v="20"/>
    <x v="0"/>
    <d v="2023-12-08T00:00:00"/>
    <s v="Highly Active"/>
    <s v="Unique"/>
    <x v="10"/>
    <d v="2023-12-08T00:00:00"/>
    <x v="12"/>
    <n v="1"/>
  </r>
  <r>
    <s v="MEM0464"/>
    <s v="BR01"/>
    <s v="Premium"/>
    <d v="2025-10-03T00:00:00"/>
    <d v="2025-11-02T00:00:00"/>
    <n v="1000"/>
    <n v="9000"/>
    <n v="16"/>
    <x v="0"/>
    <d v="2026-01-22T00:00:00"/>
    <s v="Highly Active"/>
    <s v="Unique"/>
    <x v="32"/>
    <d v="2026-01-22T00:00:00"/>
    <x v="15"/>
    <n v="1"/>
  </r>
  <r>
    <s v="MEM0465"/>
    <s v="BR05"/>
    <s v="Premium"/>
    <d v="2025-11-12T00:00:00"/>
    <d v="2026-02-10T00:00:00"/>
    <n v="2000"/>
    <n v="16000"/>
    <n v="14"/>
    <x v="0"/>
    <d v="2025-12-03T00:00:00"/>
    <s v="Moderate"/>
    <s v="Unique"/>
    <x v="7"/>
    <d v="2025-12-03T00:00:00"/>
    <x v="23"/>
    <n v="1"/>
  </r>
  <r>
    <s v="MEM0466"/>
    <s v="BR05"/>
    <s v="Standard"/>
    <d v="2024-08-26T00:00:00"/>
    <d v="2024-11-24T00:00:00"/>
    <n v="1000"/>
    <n v="6000"/>
    <n v="0"/>
    <x v="1"/>
    <d v="2025-08-06T00:00:00"/>
    <s v="At Risk"/>
    <s v="Unique"/>
    <x v="12"/>
    <d v="2025-08-06T00:00:00"/>
    <x v="4"/>
    <n v="0"/>
  </r>
  <r>
    <s v="MEM0467"/>
    <s v="BR04"/>
    <s v="Standard"/>
    <d v="2023-11-06T00:00:00"/>
    <d v="2023-12-06T00:00:00"/>
    <n v="2000"/>
    <n v="14000"/>
    <n v="4"/>
    <x v="1"/>
    <d v="2024-09-11T00:00:00"/>
    <s v="At Risk"/>
    <s v="Unique"/>
    <x v="21"/>
    <d v="2024-09-11T00:00:00"/>
    <x v="2"/>
    <n v="0"/>
  </r>
  <r>
    <s v="MEM0468"/>
    <s v="BR07"/>
    <s v="Standard"/>
    <d v="2026-01-12T00:00:00"/>
    <d v="2026-04-12T00:00:00"/>
    <n v="3500"/>
    <n v="38500"/>
    <n v="20"/>
    <x v="0"/>
    <d v="2026-03-04T00:00:00"/>
    <s v="Highly Active"/>
    <s v="Unique"/>
    <x v="35"/>
    <d v="2026-03-04T00:00:00"/>
    <x v="11"/>
    <n v="1"/>
  </r>
  <r>
    <s v="MEM0469"/>
    <s v="BR06"/>
    <s v="Premium"/>
    <d v="2025-03-26T00:00:00"/>
    <d v="2026-03-26T00:00:00"/>
    <n v="1000"/>
    <n v="10000"/>
    <n v="10"/>
    <x v="0"/>
    <d v="2025-04-13T00:00:00"/>
    <s v="Moderate"/>
    <s v="Unique"/>
    <x v="33"/>
    <d v="2025-04-13T00:00:00"/>
    <x v="23"/>
    <n v="1"/>
  </r>
  <r>
    <s v="MEM0470"/>
    <s v="BR07"/>
    <s v="Standard"/>
    <d v="2024-12-21T00:00:00"/>
    <d v="2025-12-21T00:00:00"/>
    <n v="1000"/>
    <n v="8000"/>
    <n v="0"/>
    <x v="0"/>
    <d v="2025-01-09T00:00:00"/>
    <s v="At Risk"/>
    <s v="Unique"/>
    <x v="0"/>
    <d v="2025-01-09T00:00:00"/>
    <x v="23"/>
    <n v="1"/>
  </r>
  <r>
    <s v="MEM0471"/>
    <s v="BR04"/>
    <s v="Premium"/>
    <d v="2024-05-23T00:00:00"/>
    <d v="2024-08-21T00:00:00"/>
    <n v="2000"/>
    <n v="18000"/>
    <n v="24"/>
    <x v="0"/>
    <d v="2026-01-22T00:00:00"/>
    <s v="Highly Active"/>
    <s v="Unique"/>
    <x v="15"/>
    <d v="2026-01-22T00:00:00"/>
    <x v="1"/>
    <n v="1"/>
  </r>
  <r>
    <s v="MEM0472"/>
    <s v="BR04"/>
    <s v="Basic"/>
    <d v="2023-12-31T00:00:00"/>
    <d v="2024-01-30T00:00:00"/>
    <n v="1000"/>
    <n v="8000"/>
    <n v="14"/>
    <x v="0"/>
    <d v="2025-02-27T00:00:00"/>
    <s v="Moderate"/>
    <s v="Unique"/>
    <x v="22"/>
    <d v="2025-02-27T00:00:00"/>
    <x v="9"/>
    <n v="1"/>
  </r>
  <r>
    <s v="MEM0473"/>
    <s v="BR05"/>
    <s v="Premium"/>
    <d v="2025-07-25T00:00:00"/>
    <d v="2026-07-25T00:00:00"/>
    <n v="3500"/>
    <n v="42000"/>
    <n v="20"/>
    <x v="0"/>
    <d v="2026-01-29T00:00:00"/>
    <s v="Highly Active"/>
    <s v="Unique"/>
    <x v="17"/>
    <d v="2026-01-29T00:00:00"/>
    <x v="12"/>
    <n v="1"/>
  </r>
  <r>
    <s v="MEM0474"/>
    <s v="BR07"/>
    <s v="Basic"/>
    <d v="2023-10-18T00:00:00"/>
    <d v="2024-10-17T00:00:00"/>
    <n v="1000"/>
    <n v="6000"/>
    <n v="4"/>
    <x v="0"/>
    <d v="2024-12-17T00:00:00"/>
    <s v="At Risk"/>
    <s v="Unique"/>
    <x v="31"/>
    <d v="2024-12-17T00:00:00"/>
    <x v="9"/>
    <n v="1"/>
  </r>
  <r>
    <s v="MEM0475"/>
    <s v="BR04"/>
    <s v="Basic"/>
    <d v="2024-11-04T00:00:00"/>
    <d v="2025-02-02T00:00:00"/>
    <n v="3500"/>
    <n v="14000"/>
    <n v="25"/>
    <x v="0"/>
    <d v="2025-09-19T00:00:00"/>
    <s v="Highly Active"/>
    <s v="Unique"/>
    <x v="23"/>
    <d v="2025-09-19T00:00:00"/>
    <x v="2"/>
    <n v="1"/>
  </r>
  <r>
    <s v="MEM0476"/>
    <s v="BR04"/>
    <s v="Basic"/>
    <d v="2023-03-06T00:00:00"/>
    <d v="2023-06-04T00:00:00"/>
    <n v="1000"/>
    <n v="1000"/>
    <n v="6"/>
    <x v="0"/>
    <d v="2026-04-09T00:00:00"/>
    <s v="Moderate"/>
    <s v="Unique"/>
    <x v="20"/>
    <d v="2026-04-09T00:00:00"/>
    <x v="33"/>
    <n v="1"/>
  </r>
  <r>
    <s v="MEM0477"/>
    <s v="BR03"/>
    <s v="Standard"/>
    <d v="2024-03-28T00:00:00"/>
    <d v="2025-03-28T00:00:00"/>
    <n v="1000"/>
    <n v="1000"/>
    <n v="24"/>
    <x v="0"/>
    <d v="2025-05-06T00:00:00"/>
    <s v="Highly Active"/>
    <s v="Unique"/>
    <x v="11"/>
    <d v="2025-05-06T00:00:00"/>
    <x v="9"/>
    <n v="1"/>
  </r>
  <r>
    <s v="MEM0478"/>
    <s v="BR04"/>
    <s v="Standard"/>
    <d v="2024-08-20T00:00:00"/>
    <d v="2024-11-18T00:00:00"/>
    <n v="1000"/>
    <n v="3000"/>
    <n v="25"/>
    <x v="0"/>
    <d v="2025-10-29T00:00:00"/>
    <s v="Highly Active"/>
    <s v="Unique"/>
    <x v="12"/>
    <d v="2025-10-29T00:00:00"/>
    <x v="7"/>
    <n v="1"/>
  </r>
  <r>
    <s v="MEM0479"/>
    <s v="BR01"/>
    <s v="Standard"/>
    <d v="2023-08-05T00:00:00"/>
    <d v="2023-09-04T00:00:00"/>
    <n v="2000"/>
    <n v="18000"/>
    <n v="21"/>
    <x v="0"/>
    <d v="2026-03-04T00:00:00"/>
    <s v="Highly Active"/>
    <s v="Unique"/>
    <x v="27"/>
    <d v="2026-03-04T00:00:00"/>
    <x v="21"/>
    <n v="1"/>
  </r>
  <r>
    <s v="MEM0480"/>
    <s v="BR05"/>
    <s v="Basic"/>
    <d v="2024-05-12T00:00:00"/>
    <d v="2025-05-12T00:00:00"/>
    <n v="3500"/>
    <n v="35000"/>
    <n v="8"/>
    <x v="0"/>
    <d v="2026-02-17T00:00:00"/>
    <s v="Moderate"/>
    <s v="Unique"/>
    <x v="15"/>
    <d v="2026-02-17T00:00:00"/>
    <x v="8"/>
    <n v="1"/>
  </r>
  <r>
    <s v="MEM0481"/>
    <s v="BR03"/>
    <s v="Premium"/>
    <d v="2025-05-04T00:00:00"/>
    <d v="2026-05-04T00:00:00"/>
    <n v="3500"/>
    <n v="17500"/>
    <n v="17"/>
    <x v="0"/>
    <d v="2026-02-20T00:00:00"/>
    <s v="Highly Active"/>
    <s v="Unique"/>
    <x v="30"/>
    <d v="2026-02-20T00:00:00"/>
    <x v="6"/>
    <n v="1"/>
  </r>
  <r>
    <s v="MEM0482"/>
    <s v="BR03"/>
    <s v="Standard"/>
    <d v="2023-03-09T00:00:00"/>
    <d v="2023-04-08T00:00:00"/>
    <n v="3500"/>
    <n v="7000"/>
    <n v="6"/>
    <x v="0"/>
    <d v="2023-06-26T00:00:00"/>
    <s v="Moderate"/>
    <s v="Unique"/>
    <x v="20"/>
    <d v="2023-06-26T00:00:00"/>
    <x v="15"/>
    <n v="1"/>
  </r>
  <r>
    <s v="MEM0483"/>
    <s v="BR04"/>
    <s v="Premium"/>
    <d v="2025-04-07T00:00:00"/>
    <d v="2025-05-07T00:00:00"/>
    <n v="2000"/>
    <n v="4000"/>
    <n v="15"/>
    <x v="0"/>
    <d v="2025-05-25T00:00:00"/>
    <s v="Highly Active"/>
    <s v="Unique"/>
    <x v="26"/>
    <d v="2025-05-25T00:00:00"/>
    <x v="11"/>
    <n v="1"/>
  </r>
  <r>
    <s v="MEM0484"/>
    <s v="BR06"/>
    <s v="Standard"/>
    <d v="2023-11-25T00:00:00"/>
    <d v="2023-12-25T00:00:00"/>
    <n v="2000"/>
    <n v="8000"/>
    <n v="8"/>
    <x v="0"/>
    <d v="2026-02-02T00:00:00"/>
    <s v="Moderate"/>
    <s v="Unique"/>
    <x v="21"/>
    <d v="2026-02-02T00:00:00"/>
    <x v="22"/>
    <n v="1"/>
  </r>
  <r>
    <s v="MEM0485"/>
    <s v="BR03"/>
    <s v="Standard"/>
    <d v="2023-10-24T00:00:00"/>
    <d v="2024-10-23T00:00:00"/>
    <n v="2000"/>
    <n v="18000"/>
    <n v="5"/>
    <x v="0"/>
    <d v="2024-06-15T00:00:00"/>
    <s v="Moderate"/>
    <s v="Unique"/>
    <x v="31"/>
    <d v="2024-06-15T00:00:00"/>
    <x v="25"/>
    <n v="1"/>
  </r>
  <r>
    <s v="MEM0486"/>
    <s v="BR01"/>
    <s v="Standard"/>
    <d v="2025-09-11T00:00:00"/>
    <d v="2025-12-10T00:00:00"/>
    <n v="3500"/>
    <n v="10500"/>
    <n v="10"/>
    <x v="0"/>
    <d v="2025-09-30T00:00:00"/>
    <s v="Moderate"/>
    <s v="Unique"/>
    <x v="36"/>
    <d v="2025-09-30T00:00:00"/>
    <x v="23"/>
    <n v="1"/>
  </r>
  <r>
    <s v="MEM0487"/>
    <s v="BR06"/>
    <s v="Basic"/>
    <d v="2023-07-21T00:00:00"/>
    <d v="2024-07-20T00:00:00"/>
    <n v="1000"/>
    <n v="7000"/>
    <n v="13"/>
    <x v="1"/>
    <d v="2024-01-07T00:00:00"/>
    <s v="Moderate"/>
    <s v="Unique"/>
    <x v="6"/>
    <d v="2024-01-07T00:00:00"/>
    <x v="27"/>
    <n v="0"/>
  </r>
  <r>
    <s v="MEM0488"/>
    <s v="BR07"/>
    <s v="Basic"/>
    <d v="2024-10-25T00:00:00"/>
    <d v="2024-11-24T00:00:00"/>
    <n v="1000"/>
    <n v="1000"/>
    <n v="7"/>
    <x v="0"/>
    <d v="2025-10-05T00:00:00"/>
    <s v="Moderate"/>
    <s v="Unique"/>
    <x v="19"/>
    <d v="2025-10-05T00:00:00"/>
    <x v="4"/>
    <n v="1"/>
  </r>
  <r>
    <s v="MEM0489"/>
    <s v="BR02"/>
    <s v="Premium"/>
    <d v="2024-05-10T00:00:00"/>
    <d v="2024-08-08T00:00:00"/>
    <n v="2000"/>
    <n v="6000"/>
    <n v="18"/>
    <x v="0"/>
    <d v="2024-06-01T00:00:00"/>
    <s v="Highly Active"/>
    <s v="Unique"/>
    <x v="15"/>
    <d v="2024-06-01T00:00:00"/>
    <x v="23"/>
    <n v="1"/>
  </r>
  <r>
    <s v="MEM0490"/>
    <s v="BR04"/>
    <s v="Standard"/>
    <d v="2025-04-20T00:00:00"/>
    <d v="2025-07-19T00:00:00"/>
    <n v="2000"/>
    <n v="24000"/>
    <n v="24"/>
    <x v="0"/>
    <d v="2025-09-23T00:00:00"/>
    <s v="Highly Active"/>
    <s v="Unique"/>
    <x v="26"/>
    <d v="2025-09-23T00:00:00"/>
    <x v="27"/>
    <n v="1"/>
  </r>
  <r>
    <s v="MEM0491"/>
    <s v="BR03"/>
    <s v="Basic"/>
    <d v="2026-01-09T00:00:00"/>
    <d v="2026-02-08T00:00:00"/>
    <n v="2000"/>
    <n v="10000"/>
    <n v="8"/>
    <x v="0"/>
    <d v="2026-03-19T00:00:00"/>
    <s v="Moderate"/>
    <s v="Unique"/>
    <x v="35"/>
    <d v="2026-03-19T00:00:00"/>
    <x v="3"/>
    <n v="1"/>
  </r>
  <r>
    <s v="MEM0492"/>
    <s v="BR03"/>
    <s v="Basic"/>
    <d v="2024-06-03T00:00:00"/>
    <d v="2024-09-01T00:00:00"/>
    <n v="1000"/>
    <n v="12000"/>
    <n v="13"/>
    <x v="0"/>
    <d v="2025-03-19T00:00:00"/>
    <s v="Moderate"/>
    <s v="Unique"/>
    <x v="1"/>
    <d v="2025-03-19T00:00:00"/>
    <x v="6"/>
    <n v="1"/>
  </r>
  <r>
    <s v="MEM0493"/>
    <s v="BR04"/>
    <s v="Premium"/>
    <d v="2026-01-09T00:00:00"/>
    <d v="2027-01-09T00:00:00"/>
    <n v="3500"/>
    <n v="14000"/>
    <n v="7"/>
    <x v="0"/>
    <d v="2026-01-14T00:00:00"/>
    <s v="Moderate"/>
    <s v="Unique"/>
    <x v="35"/>
    <d v="2026-01-14T00:00:00"/>
    <x v="23"/>
    <n v="1"/>
  </r>
  <r>
    <s v="MEM0494"/>
    <s v="BR01"/>
    <s v="Basic"/>
    <d v="2024-07-01T00:00:00"/>
    <d v="2024-07-31T00:00:00"/>
    <n v="2000"/>
    <n v="22000"/>
    <n v="16"/>
    <x v="0"/>
    <d v="2025-12-30T00:00:00"/>
    <s v="Highly Active"/>
    <s v="Unique"/>
    <x v="13"/>
    <d v="2025-12-30T00:00:00"/>
    <x v="5"/>
    <n v="1"/>
  </r>
  <r>
    <s v="MEM0495"/>
    <s v="BR01"/>
    <s v="Premium"/>
    <d v="2024-12-06T00:00:00"/>
    <d v="2025-12-06T00:00:00"/>
    <n v="1000"/>
    <n v="8000"/>
    <n v="17"/>
    <x v="0"/>
    <d v="2025-06-26T00:00:00"/>
    <s v="Highly Active"/>
    <s v="Unique"/>
    <x v="0"/>
    <d v="2025-06-26T00:00:00"/>
    <x v="12"/>
    <n v="1"/>
  </r>
  <r>
    <s v="MEM0496"/>
    <s v="BR02"/>
    <s v="Standard"/>
    <d v="2023-03-10T00:00:00"/>
    <d v="2023-06-08T00:00:00"/>
    <n v="1000"/>
    <n v="9000"/>
    <n v="18"/>
    <x v="0"/>
    <d v="2025-09-29T00:00:00"/>
    <s v="Highly Active"/>
    <s v="Unique"/>
    <x v="20"/>
    <d v="2025-09-29T00:00:00"/>
    <x v="21"/>
    <n v="1"/>
  </r>
  <r>
    <s v="MEM0497"/>
    <s v="BR07"/>
    <s v="Standard"/>
    <d v="2024-06-18T00:00:00"/>
    <d v="2025-06-18T00:00:00"/>
    <n v="2000"/>
    <n v="24000"/>
    <n v="5"/>
    <x v="0"/>
    <d v="2025-04-29T00:00:00"/>
    <s v="Moderate"/>
    <s v="Unique"/>
    <x v="1"/>
    <d v="2025-04-29T00:00:00"/>
    <x v="2"/>
    <n v="1"/>
  </r>
  <r>
    <s v="MEM0498"/>
    <s v="BR02"/>
    <s v="Basic"/>
    <d v="2023-08-02T00:00:00"/>
    <d v="2024-08-01T00:00:00"/>
    <n v="3500"/>
    <n v="21000"/>
    <n v="14"/>
    <x v="0"/>
    <d v="2025-03-29T00:00:00"/>
    <s v="Moderate"/>
    <s v="Unique"/>
    <x v="27"/>
    <d v="2025-03-29T00:00:00"/>
    <x v="1"/>
    <n v="1"/>
  </r>
  <r>
    <s v="MEM0499"/>
    <s v="BR04"/>
    <s v="Basic"/>
    <d v="2023-08-21T00:00:00"/>
    <d v="2024-08-20T00:00:00"/>
    <n v="1000"/>
    <n v="5000"/>
    <n v="6"/>
    <x v="0"/>
    <d v="2024-07-12T00:00:00"/>
    <s v="Moderate"/>
    <s v="Unique"/>
    <x v="27"/>
    <d v="2024-07-12T00:00:00"/>
    <x v="2"/>
    <n v="1"/>
  </r>
  <r>
    <s v="MEM0500"/>
    <s v="BR04"/>
    <s v="Standard"/>
    <d v="2024-05-05T00:00:00"/>
    <d v="2024-06-04T00:00:00"/>
    <n v="3500"/>
    <n v="3500"/>
    <n v="4"/>
    <x v="0"/>
    <d v="2024-05-22T00:00:00"/>
    <s v="At Risk"/>
    <s v="Unique"/>
    <x v="15"/>
    <d v="2024-05-22T00:00:00"/>
    <x v="23"/>
    <n v="1"/>
  </r>
  <r>
    <s v="MEM0501"/>
    <s v="BR02"/>
    <s v="Premium"/>
    <d v="2024-01-06T00:00:00"/>
    <d v="2024-02-05T00:00:00"/>
    <n v="1000"/>
    <n v="8000"/>
    <n v="6"/>
    <x v="0"/>
    <d v="2025-07-19T00:00:00"/>
    <s v="Moderate"/>
    <s v="Unique"/>
    <x v="34"/>
    <d v="2025-07-19T00:00:00"/>
    <x v="28"/>
    <n v="1"/>
  </r>
  <r>
    <s v="MEM0502"/>
    <s v="BR07"/>
    <s v="Premium"/>
    <d v="2024-09-13T00:00:00"/>
    <d v="2025-09-13T00:00:00"/>
    <n v="1000"/>
    <n v="8000"/>
    <n v="10"/>
    <x v="0"/>
    <d v="2025-03-30T00:00:00"/>
    <s v="Moderate"/>
    <s v="Unique"/>
    <x v="8"/>
    <d v="2025-03-30T00:00:00"/>
    <x v="12"/>
    <n v="1"/>
  </r>
  <r>
    <s v="MEM0503"/>
    <s v="BR05"/>
    <s v="Standard"/>
    <d v="2025-02-08T00:00:00"/>
    <d v="2025-03-10T00:00:00"/>
    <n v="1000"/>
    <n v="5000"/>
    <n v="0"/>
    <x v="1"/>
    <d v="2025-03-28T00:00:00"/>
    <s v="At Risk"/>
    <s v="Unique"/>
    <x v="14"/>
    <d v="2025-03-28T00:00:00"/>
    <x v="11"/>
    <n v="0"/>
  </r>
  <r>
    <s v="MEM0504"/>
    <s v="BR02"/>
    <s v="Standard"/>
    <d v="2023-12-24T00:00:00"/>
    <d v="2024-12-23T00:00:00"/>
    <n v="2000"/>
    <n v="22000"/>
    <n v="14"/>
    <x v="0"/>
    <d v="2024-04-04T00:00:00"/>
    <s v="Moderate"/>
    <s v="Unique"/>
    <x v="22"/>
    <d v="2024-04-04T00:00:00"/>
    <x v="15"/>
    <n v="1"/>
  </r>
  <r>
    <s v="MEM0505"/>
    <s v="BR07"/>
    <s v="Basic"/>
    <d v="2024-06-14T00:00:00"/>
    <d v="2024-09-12T00:00:00"/>
    <n v="1000"/>
    <n v="7000"/>
    <n v="3"/>
    <x v="1"/>
    <d v="2025-02-17T00:00:00"/>
    <s v="At Risk"/>
    <s v="Unique"/>
    <x v="1"/>
    <d v="2025-02-17T00:00:00"/>
    <x v="14"/>
    <n v="0"/>
  </r>
  <r>
    <s v="MEM0506"/>
    <s v="BR03"/>
    <s v="Basic"/>
    <d v="2023-06-24T00:00:00"/>
    <d v="2023-07-24T00:00:00"/>
    <n v="3500"/>
    <n v="7000"/>
    <n v="14"/>
    <x v="0"/>
    <d v="2025-05-27T00:00:00"/>
    <s v="Moderate"/>
    <s v="Unique"/>
    <x v="10"/>
    <d v="2025-05-27T00:00:00"/>
    <x v="18"/>
    <n v="1"/>
  </r>
  <r>
    <s v="MEM0507"/>
    <s v="BR03"/>
    <s v="Premium"/>
    <d v="2023-08-18T00:00:00"/>
    <d v="2023-11-16T00:00:00"/>
    <n v="3500"/>
    <n v="14000"/>
    <n v="12"/>
    <x v="0"/>
    <d v="2025-09-25T00:00:00"/>
    <s v="Moderate"/>
    <s v="Unique"/>
    <x v="27"/>
    <d v="2025-09-25T00:00:00"/>
    <x v="31"/>
    <n v="1"/>
  </r>
  <r>
    <s v="MEM0508"/>
    <s v="BR01"/>
    <s v="Premium"/>
    <d v="2024-12-25T00:00:00"/>
    <d v="2025-12-25T00:00:00"/>
    <n v="1000"/>
    <n v="12000"/>
    <n v="12"/>
    <x v="0"/>
    <d v="2025-11-23T00:00:00"/>
    <s v="Moderate"/>
    <s v="Unique"/>
    <x v="0"/>
    <d v="2025-11-23T00:00:00"/>
    <x v="2"/>
    <n v="1"/>
  </r>
  <r>
    <s v="MEM0509"/>
    <s v="BR06"/>
    <s v="Standard"/>
    <d v="2023-04-04T00:00:00"/>
    <d v="2024-04-03T00:00:00"/>
    <n v="1000"/>
    <n v="3000"/>
    <n v="13"/>
    <x v="0"/>
    <d v="2024-01-22T00:00:00"/>
    <s v="Moderate"/>
    <s v="Unique"/>
    <x v="28"/>
    <d v="2024-01-22T00:00:00"/>
    <x v="6"/>
    <n v="1"/>
  </r>
  <r>
    <s v="MEM0510"/>
    <s v="BR05"/>
    <s v="Premium"/>
    <d v="2023-08-19T00:00:00"/>
    <d v="2023-11-17T00:00:00"/>
    <n v="3500"/>
    <n v="3500"/>
    <n v="24"/>
    <x v="1"/>
    <d v="2026-04-08T00:00:00"/>
    <s v="Highly Active"/>
    <s v="Unique"/>
    <x v="27"/>
    <d v="2026-04-08T00:00:00"/>
    <x v="32"/>
    <n v="0"/>
  </r>
  <r>
    <s v="MEM0511"/>
    <s v="BR05"/>
    <s v="Premium"/>
    <d v="2024-11-18T00:00:00"/>
    <d v="2025-11-18T00:00:00"/>
    <n v="3500"/>
    <n v="38500"/>
    <n v="23"/>
    <x v="0"/>
    <d v="2025-10-09T00:00:00"/>
    <s v="Highly Active"/>
    <s v="Unique"/>
    <x v="23"/>
    <d v="2025-10-09T00:00:00"/>
    <x v="2"/>
    <n v="1"/>
  </r>
  <r>
    <s v="MEM0512"/>
    <s v="BR05"/>
    <s v="Standard"/>
    <d v="2024-08-22T00:00:00"/>
    <d v="2025-08-22T00:00:00"/>
    <n v="3500"/>
    <n v="17500"/>
    <n v="4"/>
    <x v="0"/>
    <d v="2024-09-11T00:00:00"/>
    <s v="At Risk"/>
    <s v="Unique"/>
    <x v="12"/>
    <d v="2024-09-11T00:00:00"/>
    <x v="23"/>
    <n v="1"/>
  </r>
  <r>
    <s v="MEM0513"/>
    <s v="BR05"/>
    <s v="Standard"/>
    <d v="2025-07-27T00:00:00"/>
    <d v="2026-07-27T00:00:00"/>
    <n v="2000"/>
    <n v="16000"/>
    <n v="9"/>
    <x v="1"/>
    <d v="2025-09-29T00:00:00"/>
    <s v="Moderate"/>
    <s v="Unique"/>
    <x v="17"/>
    <d v="2025-09-29T00:00:00"/>
    <x v="3"/>
    <n v="0"/>
  </r>
  <r>
    <s v="MEM0514"/>
    <s v="BR07"/>
    <s v="Basic"/>
    <d v="2025-02-06T00:00:00"/>
    <d v="2026-02-06T00:00:00"/>
    <n v="1000"/>
    <n v="5000"/>
    <n v="0"/>
    <x v="0"/>
    <d v="2025-03-24T00:00:00"/>
    <s v="At Risk"/>
    <s v="Unique"/>
    <x v="14"/>
    <d v="2025-03-24T00:00:00"/>
    <x v="11"/>
    <n v="1"/>
  </r>
  <r>
    <s v="MEM0515"/>
    <s v="BR05"/>
    <s v="Basic"/>
    <d v="2024-01-25T00:00:00"/>
    <d v="2024-02-24T00:00:00"/>
    <n v="2000"/>
    <n v="8000"/>
    <n v="24"/>
    <x v="0"/>
    <d v="2025-08-01T00:00:00"/>
    <s v="Highly Active"/>
    <s v="Unique"/>
    <x v="34"/>
    <d v="2025-08-01T00:00:00"/>
    <x v="28"/>
    <n v="1"/>
  </r>
  <r>
    <s v="MEM0516"/>
    <s v="BR03"/>
    <s v="Basic"/>
    <d v="2024-11-27T00:00:00"/>
    <d v="2025-02-25T00:00:00"/>
    <n v="1000"/>
    <n v="1000"/>
    <n v="13"/>
    <x v="0"/>
    <d v="2025-03-02T00:00:00"/>
    <s v="Moderate"/>
    <s v="Unique"/>
    <x v="23"/>
    <d v="2025-03-02T00:00:00"/>
    <x v="15"/>
    <n v="1"/>
  </r>
  <r>
    <s v="MEM0517"/>
    <s v="BR07"/>
    <s v="Standard"/>
    <d v="2025-04-29T00:00:00"/>
    <d v="2025-05-29T00:00:00"/>
    <n v="1000"/>
    <n v="11000"/>
    <n v="4"/>
    <x v="0"/>
    <d v="2025-08-26T00:00:00"/>
    <s v="At Risk"/>
    <s v="Unique"/>
    <x v="26"/>
    <d v="2025-08-26T00:00:00"/>
    <x v="15"/>
    <n v="1"/>
  </r>
  <r>
    <s v="MEM0518"/>
    <s v="BR02"/>
    <s v="Standard"/>
    <d v="2025-01-04T00:00:00"/>
    <d v="2026-01-04T00:00:00"/>
    <n v="3500"/>
    <n v="10500"/>
    <n v="19"/>
    <x v="0"/>
    <d v="2025-09-17T00:00:00"/>
    <s v="Highly Active"/>
    <s v="Unique"/>
    <x v="5"/>
    <d v="2025-09-17T00:00:00"/>
    <x v="14"/>
    <n v="1"/>
  </r>
  <r>
    <s v="MEM0519"/>
    <s v="BR02"/>
    <s v="Standard"/>
    <d v="2025-12-15T00:00:00"/>
    <d v="2026-01-14T00:00:00"/>
    <n v="2000"/>
    <n v="10000"/>
    <n v="8"/>
    <x v="1"/>
    <d v="2026-01-23T00:00:00"/>
    <s v="Moderate"/>
    <s v="Unique"/>
    <x v="24"/>
    <d v="2026-01-23T00:00:00"/>
    <x v="11"/>
    <n v="0"/>
  </r>
  <r>
    <s v="MEM0520"/>
    <s v="BR05"/>
    <s v="Premium"/>
    <d v="2024-05-07T00:00:00"/>
    <d v="2024-06-06T00:00:00"/>
    <n v="3500"/>
    <n v="21000"/>
    <n v="24"/>
    <x v="0"/>
    <d v="2025-01-04T00:00:00"/>
    <s v="Highly Active"/>
    <s v="Unique"/>
    <x v="15"/>
    <d v="2025-01-04T00:00:00"/>
    <x v="25"/>
    <n v="1"/>
  </r>
  <r>
    <s v="MEM0521"/>
    <s v="BR04"/>
    <s v="Basic"/>
    <d v="2023-04-07T00:00:00"/>
    <d v="2023-05-07T00:00:00"/>
    <n v="1000"/>
    <n v="8000"/>
    <n v="12"/>
    <x v="0"/>
    <d v="2024-01-20T00:00:00"/>
    <s v="Moderate"/>
    <s v="Unique"/>
    <x v="28"/>
    <d v="2024-01-20T00:00:00"/>
    <x v="6"/>
    <n v="1"/>
  </r>
  <r>
    <s v="MEM0522"/>
    <s v="BR04"/>
    <s v="Basic"/>
    <d v="2023-11-09T00:00:00"/>
    <d v="2024-11-08T00:00:00"/>
    <n v="2000"/>
    <n v="22000"/>
    <n v="19"/>
    <x v="0"/>
    <d v="2025-01-05T00:00:00"/>
    <s v="Highly Active"/>
    <s v="Unique"/>
    <x v="21"/>
    <d v="2025-01-05T00:00:00"/>
    <x v="9"/>
    <n v="1"/>
  </r>
  <r>
    <s v="MEM0523"/>
    <s v="BR03"/>
    <s v="Basic"/>
    <d v="2024-10-13T00:00:00"/>
    <d v="2025-10-13T00:00:00"/>
    <n v="2000"/>
    <n v="20000"/>
    <n v="22"/>
    <x v="0"/>
    <d v="2025-06-04T00:00:00"/>
    <s v="Highly Active"/>
    <s v="Unique"/>
    <x v="19"/>
    <d v="2025-06-04T00:00:00"/>
    <x v="25"/>
    <n v="1"/>
  </r>
  <r>
    <s v="MEM0524"/>
    <s v="BR02"/>
    <s v="Standard"/>
    <d v="2024-10-12T00:00:00"/>
    <d v="2024-11-11T00:00:00"/>
    <n v="1000"/>
    <n v="9000"/>
    <n v="22"/>
    <x v="0"/>
    <d v="2025-09-07T00:00:00"/>
    <s v="Highly Active"/>
    <s v="Unique"/>
    <x v="19"/>
    <d v="2025-09-07T00:00:00"/>
    <x v="2"/>
    <n v="1"/>
  </r>
  <r>
    <s v="MEM0525"/>
    <s v="BR07"/>
    <s v="Premium"/>
    <d v="2023-09-27T00:00:00"/>
    <d v="2023-12-26T00:00:00"/>
    <n v="1000"/>
    <n v="3000"/>
    <n v="13"/>
    <x v="0"/>
    <d v="2024-12-03T00:00:00"/>
    <s v="Moderate"/>
    <s v="Unique"/>
    <x v="25"/>
    <d v="2024-12-03T00:00:00"/>
    <x v="7"/>
    <n v="1"/>
  </r>
  <r>
    <s v="MEM0526"/>
    <s v="BR07"/>
    <s v="Standard"/>
    <d v="2024-08-30T00:00:00"/>
    <d v="2024-11-28T00:00:00"/>
    <n v="3500"/>
    <n v="42000"/>
    <n v="11"/>
    <x v="0"/>
    <d v="2025-02-25T00:00:00"/>
    <s v="Moderate"/>
    <s v="Unique"/>
    <x v="12"/>
    <d v="2025-02-25T00:00:00"/>
    <x v="27"/>
    <n v="1"/>
  </r>
  <r>
    <s v="MEM0527"/>
    <s v="BR05"/>
    <s v="Standard"/>
    <d v="2024-02-11T00:00:00"/>
    <d v="2024-05-11T00:00:00"/>
    <n v="1000"/>
    <n v="3000"/>
    <n v="3"/>
    <x v="0"/>
    <d v="2024-04-01T00:00:00"/>
    <s v="At Risk"/>
    <s v="Unique"/>
    <x v="3"/>
    <d v="2024-04-01T00:00:00"/>
    <x v="11"/>
    <n v="1"/>
  </r>
  <r>
    <s v="MEM0528"/>
    <s v="BR06"/>
    <s v="Basic"/>
    <d v="2024-08-18T00:00:00"/>
    <d v="2024-11-16T00:00:00"/>
    <n v="2000"/>
    <n v="16000"/>
    <n v="18"/>
    <x v="0"/>
    <d v="2025-10-02T00:00:00"/>
    <s v="Highly Active"/>
    <s v="Unique"/>
    <x v="12"/>
    <d v="2025-10-02T00:00:00"/>
    <x v="9"/>
    <n v="1"/>
  </r>
  <r>
    <s v="MEM0529"/>
    <s v="BR01"/>
    <s v="Basic"/>
    <d v="2023-08-08T00:00:00"/>
    <d v="2023-09-07T00:00:00"/>
    <n v="3500"/>
    <n v="35000"/>
    <n v="0"/>
    <x v="0"/>
    <d v="2023-09-07T00:00:00"/>
    <s v="At Risk"/>
    <s v="Unique"/>
    <x v="27"/>
    <d v="2023-09-07T00:00:00"/>
    <x v="23"/>
    <n v="1"/>
  </r>
  <r>
    <s v="MEM0530"/>
    <s v="BR01"/>
    <s v="Premium"/>
    <d v="2023-04-29T00:00:00"/>
    <d v="2024-04-28T00:00:00"/>
    <n v="3500"/>
    <n v="3500"/>
    <n v="6"/>
    <x v="1"/>
    <d v="2023-11-07T00:00:00"/>
    <s v="Moderate"/>
    <s v="Unique"/>
    <x v="28"/>
    <d v="2023-11-07T00:00:00"/>
    <x v="12"/>
    <n v="0"/>
  </r>
  <r>
    <s v="MEM0531"/>
    <s v="BR07"/>
    <s v="Premium"/>
    <d v="2023-02-03T00:00:00"/>
    <d v="2023-03-05T00:00:00"/>
    <n v="3500"/>
    <n v="42000"/>
    <n v="2"/>
    <x v="0"/>
    <d v="2023-02-23T00:00:00"/>
    <s v="At Risk"/>
    <s v="Unique"/>
    <x v="16"/>
    <d v="2023-02-23T00:00:00"/>
    <x v="23"/>
    <n v="1"/>
  </r>
  <r>
    <s v="MEM0532"/>
    <s v="BR01"/>
    <s v="Standard"/>
    <d v="2025-10-04T00:00:00"/>
    <d v="2026-10-04T00:00:00"/>
    <n v="3500"/>
    <n v="10500"/>
    <n v="5"/>
    <x v="0"/>
    <d v="2025-11-17T00:00:00"/>
    <s v="Moderate"/>
    <s v="Unique"/>
    <x v="32"/>
    <d v="2025-11-17T00:00:00"/>
    <x v="11"/>
    <n v="1"/>
  </r>
  <r>
    <s v="MEM0533"/>
    <s v="BR05"/>
    <s v="Standard"/>
    <d v="2023-01-23T00:00:00"/>
    <d v="2024-01-23T00:00:00"/>
    <n v="1000"/>
    <n v="6000"/>
    <n v="7"/>
    <x v="0"/>
    <d v="2023-04-04T00:00:00"/>
    <s v="Moderate"/>
    <s v="Unique"/>
    <x v="2"/>
    <d v="2023-04-04T00:00:00"/>
    <x v="3"/>
    <n v="1"/>
  </r>
  <r>
    <s v="MEM0534"/>
    <s v="BR06"/>
    <s v="Standard"/>
    <d v="2026-01-12T00:00:00"/>
    <d v="2026-02-11T00:00:00"/>
    <n v="3500"/>
    <n v="28000"/>
    <n v="14"/>
    <x v="0"/>
    <d v="2026-04-01T00:00:00"/>
    <s v="Moderate"/>
    <s v="Unique"/>
    <x v="35"/>
    <d v="2026-04-01T00:00:00"/>
    <x v="3"/>
    <n v="1"/>
  </r>
  <r>
    <s v="MEM0535"/>
    <s v="BR04"/>
    <s v="Basic"/>
    <d v="2023-11-16T00:00:00"/>
    <d v="2024-11-15T00:00:00"/>
    <n v="1000"/>
    <n v="11000"/>
    <n v="13"/>
    <x v="0"/>
    <d v="2024-01-29T00:00:00"/>
    <s v="Moderate"/>
    <s v="Unique"/>
    <x v="21"/>
    <d v="2024-01-29T00:00:00"/>
    <x v="3"/>
    <n v="1"/>
  </r>
  <r>
    <s v="MEM0536"/>
    <s v="BR03"/>
    <s v="Basic"/>
    <d v="2025-09-12T00:00:00"/>
    <d v="2025-12-11T00:00:00"/>
    <n v="3500"/>
    <n v="14000"/>
    <n v="22"/>
    <x v="1"/>
    <d v="2026-02-01T00:00:00"/>
    <s v="Highly Active"/>
    <s v="Unique"/>
    <x v="36"/>
    <d v="2026-02-01T00:00:00"/>
    <x v="13"/>
    <n v="0"/>
  </r>
  <r>
    <s v="MEM0537"/>
    <s v="BR01"/>
    <s v="Premium"/>
    <d v="2025-02-06T00:00:00"/>
    <d v="2025-03-08T00:00:00"/>
    <n v="2000"/>
    <n v="4000"/>
    <n v="17"/>
    <x v="0"/>
    <d v="2026-03-09T00:00:00"/>
    <s v="Highly Active"/>
    <s v="Unique"/>
    <x v="14"/>
    <d v="2026-03-09T00:00:00"/>
    <x v="9"/>
    <n v="1"/>
  </r>
  <r>
    <s v="MEM0538"/>
    <s v="BR04"/>
    <s v="Premium"/>
    <d v="2024-06-16T00:00:00"/>
    <d v="2024-09-14T00:00:00"/>
    <n v="3500"/>
    <n v="21000"/>
    <n v="3"/>
    <x v="1"/>
    <d v="2026-01-11T00:00:00"/>
    <s v="At Risk"/>
    <s v="Unique"/>
    <x v="1"/>
    <d v="2026-01-11T00:00:00"/>
    <x v="28"/>
    <n v="0"/>
  </r>
  <r>
    <s v="MEM0539"/>
    <s v="BR04"/>
    <s v="Standard"/>
    <d v="2024-05-02T00:00:00"/>
    <d v="2024-07-31T00:00:00"/>
    <n v="1000"/>
    <n v="6000"/>
    <n v="19"/>
    <x v="1"/>
    <d v="2024-05-09T00:00:00"/>
    <s v="Highly Active"/>
    <s v="Unique"/>
    <x v="15"/>
    <d v="2024-05-09T00:00:00"/>
    <x v="23"/>
    <n v="0"/>
  </r>
  <r>
    <s v="MEM0540"/>
    <s v="BR04"/>
    <s v="Basic"/>
    <d v="2024-03-25T00:00:00"/>
    <d v="2024-04-24T00:00:00"/>
    <n v="1000"/>
    <n v="5000"/>
    <n v="25"/>
    <x v="0"/>
    <d v="2025-03-02T00:00:00"/>
    <s v="Highly Active"/>
    <s v="Unique"/>
    <x v="11"/>
    <d v="2025-03-02T00:00:00"/>
    <x v="4"/>
    <n v="1"/>
  </r>
  <r>
    <s v="MEM0541"/>
    <s v="BR03"/>
    <s v="Premium"/>
    <d v="2024-04-18T00:00:00"/>
    <d v="2025-04-18T00:00:00"/>
    <n v="2000"/>
    <n v="20000"/>
    <n v="6"/>
    <x v="0"/>
    <d v="2025-01-01T00:00:00"/>
    <s v="Moderate"/>
    <s v="Unique"/>
    <x v="9"/>
    <d v="2025-01-01T00:00:00"/>
    <x v="14"/>
    <n v="1"/>
  </r>
  <r>
    <s v="MEM0542"/>
    <s v="BR07"/>
    <s v="Basic"/>
    <d v="2024-06-03T00:00:00"/>
    <d v="2024-07-03T00:00:00"/>
    <n v="3500"/>
    <n v="24500"/>
    <n v="8"/>
    <x v="1"/>
    <d v="2024-08-12T00:00:00"/>
    <s v="Moderate"/>
    <s v="Unique"/>
    <x v="1"/>
    <d v="2024-08-12T00:00:00"/>
    <x v="3"/>
    <n v="0"/>
  </r>
  <r>
    <s v="MEM0543"/>
    <s v="BR05"/>
    <s v="Premium"/>
    <d v="2024-02-25T00:00:00"/>
    <d v="2025-02-24T00:00:00"/>
    <n v="2000"/>
    <n v="6000"/>
    <n v="12"/>
    <x v="0"/>
    <d v="2024-10-22T00:00:00"/>
    <s v="Moderate"/>
    <s v="Unique"/>
    <x v="3"/>
    <d v="2024-10-22T00:00:00"/>
    <x v="25"/>
    <n v="1"/>
  </r>
  <r>
    <s v="MEM0544"/>
    <s v="BR06"/>
    <s v="Standard"/>
    <d v="2024-04-30T00:00:00"/>
    <d v="2025-04-30T00:00:00"/>
    <n v="2000"/>
    <n v="14000"/>
    <n v="6"/>
    <x v="0"/>
    <d v="2024-07-21T00:00:00"/>
    <s v="Moderate"/>
    <s v="Unique"/>
    <x v="9"/>
    <d v="2024-07-21T00:00:00"/>
    <x v="3"/>
    <n v="1"/>
  </r>
  <r>
    <s v="MEM0545"/>
    <s v="BR04"/>
    <s v="Standard"/>
    <d v="2025-11-24T00:00:00"/>
    <d v="2026-11-24T00:00:00"/>
    <n v="3500"/>
    <n v="14000"/>
    <n v="10"/>
    <x v="0"/>
    <d v="2026-03-18T00:00:00"/>
    <s v="Moderate"/>
    <s v="Unique"/>
    <x v="7"/>
    <d v="2026-03-18T00:00:00"/>
    <x v="15"/>
    <n v="1"/>
  </r>
  <r>
    <s v="MEM0546"/>
    <s v="BR04"/>
    <s v="Premium"/>
    <d v="2023-11-07T00:00:00"/>
    <d v="2024-11-06T00:00:00"/>
    <n v="2000"/>
    <n v="8000"/>
    <n v="9"/>
    <x v="0"/>
    <d v="2023-11-28T00:00:00"/>
    <s v="Moderate"/>
    <s v="Unique"/>
    <x v="21"/>
    <d v="2023-11-28T00:00:00"/>
    <x v="23"/>
    <n v="1"/>
  </r>
  <r>
    <s v="MEM0547"/>
    <s v="BR03"/>
    <s v="Standard"/>
    <d v="2024-12-03T00:00:00"/>
    <d v="2025-01-02T00:00:00"/>
    <n v="2000"/>
    <n v="10000"/>
    <n v="2"/>
    <x v="0"/>
    <d v="2024-12-29T00:00:00"/>
    <s v="At Risk"/>
    <s v="Unique"/>
    <x v="0"/>
    <d v="2024-12-29T00:00:00"/>
    <x v="23"/>
    <n v="1"/>
  </r>
  <r>
    <s v="MEM0548"/>
    <s v="BR02"/>
    <s v="Premium"/>
    <d v="2024-12-20T00:00:00"/>
    <d v="2025-03-20T00:00:00"/>
    <n v="1000"/>
    <n v="11000"/>
    <n v="21"/>
    <x v="0"/>
    <d v="2025-01-22T00:00:00"/>
    <s v="Highly Active"/>
    <s v="Unique"/>
    <x v="0"/>
    <d v="2025-01-22T00:00:00"/>
    <x v="11"/>
    <n v="1"/>
  </r>
  <r>
    <s v="MEM0549"/>
    <s v="BR05"/>
    <s v="Basic"/>
    <d v="2023-07-03T00:00:00"/>
    <d v="2023-10-01T00:00:00"/>
    <n v="2000"/>
    <n v="12000"/>
    <n v="2"/>
    <x v="0"/>
    <d v="2024-06-19T00:00:00"/>
    <s v="At Risk"/>
    <s v="Unique"/>
    <x v="6"/>
    <d v="2024-06-19T00:00:00"/>
    <x v="4"/>
    <n v="1"/>
  </r>
  <r>
    <s v="MEM0550"/>
    <s v="BR06"/>
    <s v="Basic"/>
    <d v="2024-05-19T00:00:00"/>
    <d v="2024-06-18T00:00:00"/>
    <n v="3500"/>
    <n v="42000"/>
    <n v="13"/>
    <x v="0"/>
    <d v="2025-05-06T00:00:00"/>
    <s v="Moderate"/>
    <s v="Unique"/>
    <x v="15"/>
    <d v="2025-05-06T00:00:00"/>
    <x v="4"/>
    <n v="1"/>
  </r>
  <r>
    <s v="MEM0551"/>
    <s v="BR03"/>
    <s v="Basic"/>
    <d v="2023-09-05T00:00:00"/>
    <d v="2023-10-05T00:00:00"/>
    <n v="3500"/>
    <n v="28000"/>
    <n v="4"/>
    <x v="0"/>
    <d v="2026-04-01T00:00:00"/>
    <s v="At Risk"/>
    <s v="Unique"/>
    <x v="25"/>
    <d v="2026-04-01T00:00:00"/>
    <x v="21"/>
    <n v="1"/>
  </r>
  <r>
    <s v="MEM0552"/>
    <s v="BR01"/>
    <s v="Basic"/>
    <d v="2023-12-15T00:00:00"/>
    <d v="2024-12-14T00:00:00"/>
    <n v="3500"/>
    <n v="35000"/>
    <n v="14"/>
    <x v="0"/>
    <d v="2025-12-13T00:00:00"/>
    <s v="Moderate"/>
    <s v="Unique"/>
    <x v="22"/>
    <d v="2025-12-13T00:00:00"/>
    <x v="18"/>
    <n v="1"/>
  </r>
  <r>
    <s v="MEM0553"/>
    <s v="BR06"/>
    <s v="Standard"/>
    <d v="2024-04-01T00:00:00"/>
    <d v="2025-04-01T00:00:00"/>
    <n v="3500"/>
    <n v="38500"/>
    <n v="10"/>
    <x v="0"/>
    <d v="2026-04-12T00:00:00"/>
    <s v="Moderate"/>
    <s v="Unique"/>
    <x v="9"/>
    <d v="2026-04-12T00:00:00"/>
    <x v="17"/>
    <n v="1"/>
  </r>
  <r>
    <s v="MEM0554"/>
    <s v="BR05"/>
    <s v="Premium"/>
    <d v="2025-12-14T00:00:00"/>
    <d v="2026-12-14T00:00:00"/>
    <n v="1000"/>
    <n v="11000"/>
    <n v="11"/>
    <x v="0"/>
    <d v="2026-04-03T00:00:00"/>
    <s v="Moderate"/>
    <s v="Unique"/>
    <x v="24"/>
    <d v="2026-04-03T00:00:00"/>
    <x v="15"/>
    <n v="1"/>
  </r>
  <r>
    <s v="MEM0555"/>
    <s v="BR04"/>
    <s v="Standard"/>
    <d v="2025-04-10T00:00:00"/>
    <d v="2025-07-09T00:00:00"/>
    <n v="1000"/>
    <n v="9000"/>
    <n v="1"/>
    <x v="0"/>
    <d v="2025-07-24T00:00:00"/>
    <s v="At Risk"/>
    <s v="Unique"/>
    <x v="26"/>
    <d v="2025-07-24T00:00:00"/>
    <x v="15"/>
    <n v="1"/>
  </r>
  <r>
    <s v="MEM0556"/>
    <s v="BR04"/>
    <s v="Premium"/>
    <d v="2025-02-14T00:00:00"/>
    <d v="2025-03-16T00:00:00"/>
    <n v="3500"/>
    <n v="10500"/>
    <n v="16"/>
    <x v="0"/>
    <d v="2025-08-25T00:00:00"/>
    <s v="Highly Active"/>
    <s v="Unique"/>
    <x v="14"/>
    <d v="2025-08-25T00:00:00"/>
    <x v="12"/>
    <n v="1"/>
  </r>
  <r>
    <s v="MEM0557"/>
    <s v="BR02"/>
    <s v="Basic"/>
    <d v="2025-01-25T00:00:00"/>
    <d v="2026-01-25T00:00:00"/>
    <n v="2000"/>
    <n v="22000"/>
    <n v="13"/>
    <x v="0"/>
    <d v="2025-12-09T00:00:00"/>
    <s v="Moderate"/>
    <s v="Unique"/>
    <x v="5"/>
    <d v="2025-12-09T00:00:00"/>
    <x v="2"/>
    <n v="1"/>
  </r>
  <r>
    <s v="MEM0558"/>
    <s v="BR03"/>
    <s v="Standard"/>
    <d v="2023-10-16T00:00:00"/>
    <d v="2024-10-15T00:00:00"/>
    <n v="2000"/>
    <n v="14000"/>
    <n v="14"/>
    <x v="1"/>
    <d v="2026-02-23T00:00:00"/>
    <s v="Moderate"/>
    <s v="Unique"/>
    <x v="31"/>
    <d v="2026-02-23T00:00:00"/>
    <x v="26"/>
    <n v="0"/>
  </r>
  <r>
    <s v="MEM0559"/>
    <s v="BR06"/>
    <s v="Premium"/>
    <d v="2024-01-31T00:00:00"/>
    <d v="2024-03-01T00:00:00"/>
    <n v="1000"/>
    <n v="1000"/>
    <n v="3"/>
    <x v="1"/>
    <d v="2025-11-23T00:00:00"/>
    <s v="At Risk"/>
    <s v="Unique"/>
    <x v="34"/>
    <d v="2025-11-23T00:00:00"/>
    <x v="8"/>
    <n v="0"/>
  </r>
  <r>
    <s v="MEM0560"/>
    <s v="BR06"/>
    <s v="Standard"/>
    <d v="2023-12-21T00:00:00"/>
    <d v="2024-01-20T00:00:00"/>
    <n v="2000"/>
    <n v="8000"/>
    <n v="1"/>
    <x v="1"/>
    <d v="2026-02-13T00:00:00"/>
    <s v="At Risk"/>
    <s v="Unique"/>
    <x v="22"/>
    <d v="2026-02-13T00:00:00"/>
    <x v="31"/>
    <n v="0"/>
  </r>
  <r>
    <s v="MEM0561"/>
    <s v="BR03"/>
    <s v="Premium"/>
    <d v="2024-01-26T00:00:00"/>
    <d v="2024-02-25T00:00:00"/>
    <n v="2000"/>
    <n v="2000"/>
    <n v="4"/>
    <x v="0"/>
    <d v="2024-02-19T00:00:00"/>
    <s v="At Risk"/>
    <s v="Unique"/>
    <x v="34"/>
    <d v="2024-02-19T00:00:00"/>
    <x v="23"/>
    <n v="1"/>
  </r>
  <r>
    <s v="MEM0562"/>
    <s v="BR07"/>
    <s v="Premium"/>
    <d v="2025-11-02T00:00:00"/>
    <d v="2025-12-02T00:00:00"/>
    <n v="2000"/>
    <n v="10000"/>
    <n v="8"/>
    <x v="0"/>
    <d v="2026-02-28T00:00:00"/>
    <s v="Moderate"/>
    <s v="Unique"/>
    <x v="7"/>
    <d v="2026-02-28T00:00:00"/>
    <x v="15"/>
    <n v="1"/>
  </r>
  <r>
    <s v="MEM0563"/>
    <s v="BR07"/>
    <s v="Premium"/>
    <d v="2025-10-28T00:00:00"/>
    <d v="2026-01-26T00:00:00"/>
    <n v="2000"/>
    <n v="12000"/>
    <n v="20"/>
    <x v="0"/>
    <d v="2026-01-21T00:00:00"/>
    <s v="Highly Active"/>
    <s v="Unique"/>
    <x v="32"/>
    <d v="2026-01-21T00:00:00"/>
    <x v="3"/>
    <n v="1"/>
  </r>
  <r>
    <s v="MEM0564"/>
    <s v="BR06"/>
    <s v="Standard"/>
    <d v="2023-03-14T00:00:00"/>
    <d v="2023-06-12T00:00:00"/>
    <n v="2000"/>
    <n v="24000"/>
    <n v="1"/>
    <x v="0"/>
    <d v="2023-06-07T00:00:00"/>
    <s v="At Risk"/>
    <s v="Unique"/>
    <x v="20"/>
    <d v="2023-06-07T00:00:00"/>
    <x v="3"/>
    <n v="1"/>
  </r>
  <r>
    <s v="MEM0565"/>
    <s v="BR05"/>
    <s v="Premium"/>
    <d v="2025-06-18T00:00:00"/>
    <d v="2025-07-18T00:00:00"/>
    <n v="3500"/>
    <n v="28000"/>
    <n v="21"/>
    <x v="0"/>
    <d v="2025-09-01T00:00:00"/>
    <s v="Highly Active"/>
    <s v="Unique"/>
    <x v="18"/>
    <d v="2025-09-01T00:00:00"/>
    <x v="3"/>
    <n v="1"/>
  </r>
  <r>
    <s v="MEM0566"/>
    <s v="BR01"/>
    <s v="Premium"/>
    <d v="2024-01-26T00:00:00"/>
    <d v="2024-02-25T00:00:00"/>
    <n v="1000"/>
    <n v="2000"/>
    <n v="5"/>
    <x v="0"/>
    <d v="2024-10-17T00:00:00"/>
    <s v="Moderate"/>
    <s v="Unique"/>
    <x v="34"/>
    <d v="2024-10-17T00:00:00"/>
    <x v="14"/>
    <n v="1"/>
  </r>
  <r>
    <s v="MEM0567"/>
    <s v="BR03"/>
    <s v="Standard"/>
    <d v="2024-09-29T00:00:00"/>
    <d v="2024-10-29T00:00:00"/>
    <n v="1000"/>
    <n v="10000"/>
    <n v="21"/>
    <x v="0"/>
    <d v="2025-04-16T00:00:00"/>
    <s v="Highly Active"/>
    <s v="Unique"/>
    <x v="8"/>
    <d v="2025-04-16T00:00:00"/>
    <x v="12"/>
    <n v="1"/>
  </r>
  <r>
    <s v="MEM0568"/>
    <s v="BR07"/>
    <s v="Basic"/>
    <d v="2026-01-31T00:00:00"/>
    <d v="2026-03-02T00:00:00"/>
    <n v="3500"/>
    <n v="7000"/>
    <n v="16"/>
    <x v="0"/>
    <d v="2026-04-02T00:00:00"/>
    <s v="Highly Active"/>
    <s v="Unique"/>
    <x v="35"/>
    <d v="2026-04-02T00:00:00"/>
    <x v="3"/>
    <n v="1"/>
  </r>
  <r>
    <s v="MEM0569"/>
    <s v="BR02"/>
    <s v="Standard"/>
    <d v="2024-10-17T00:00:00"/>
    <d v="2025-10-17T00:00:00"/>
    <n v="3500"/>
    <n v="35000"/>
    <n v="25"/>
    <x v="0"/>
    <d v="2025-07-24T00:00:00"/>
    <s v="Highly Active"/>
    <s v="Unique"/>
    <x v="19"/>
    <d v="2025-07-24T00:00:00"/>
    <x v="6"/>
    <n v="1"/>
  </r>
  <r>
    <s v="MEM0570"/>
    <s v="BR02"/>
    <s v="Premium"/>
    <d v="2024-12-23T00:00:00"/>
    <d v="2025-12-23T00:00:00"/>
    <n v="2000"/>
    <n v="18000"/>
    <n v="21"/>
    <x v="0"/>
    <d v="2025-09-03T00:00:00"/>
    <s v="Highly Active"/>
    <s v="Unique"/>
    <x v="0"/>
    <d v="2025-09-03T00:00:00"/>
    <x v="14"/>
    <n v="1"/>
  </r>
  <r>
    <s v="MEM0571"/>
    <s v="BR04"/>
    <s v="Basic"/>
    <d v="2025-07-10T00:00:00"/>
    <d v="2025-10-08T00:00:00"/>
    <n v="2000"/>
    <n v="16000"/>
    <n v="9"/>
    <x v="0"/>
    <d v="2026-01-17T00:00:00"/>
    <s v="Moderate"/>
    <s v="Unique"/>
    <x v="17"/>
    <d v="2026-01-17T00:00:00"/>
    <x v="12"/>
    <n v="1"/>
  </r>
  <r>
    <s v="MEM0572"/>
    <s v="BR02"/>
    <s v="Standard"/>
    <d v="2025-12-08T00:00:00"/>
    <d v="2026-01-07T00:00:00"/>
    <n v="3500"/>
    <n v="10500"/>
    <n v="25"/>
    <x v="1"/>
    <d v="2025-12-23T00:00:00"/>
    <s v="Highly Active"/>
    <s v="Unique"/>
    <x v="24"/>
    <d v="2025-12-23T00:00:00"/>
    <x v="23"/>
    <n v="0"/>
  </r>
  <r>
    <s v="MEM0573"/>
    <s v="BR05"/>
    <s v="Premium"/>
    <d v="2024-07-07T00:00:00"/>
    <d v="2024-08-06T00:00:00"/>
    <n v="1000"/>
    <n v="2000"/>
    <n v="18"/>
    <x v="0"/>
    <d v="2025-09-03T00:00:00"/>
    <s v="Highly Active"/>
    <s v="Unique"/>
    <x v="13"/>
    <d v="2025-09-03T00:00:00"/>
    <x v="9"/>
    <n v="1"/>
  </r>
  <r>
    <s v="MEM0574"/>
    <s v="BR06"/>
    <s v="Premium"/>
    <d v="2023-05-21T00:00:00"/>
    <d v="2024-05-20T00:00:00"/>
    <n v="2000"/>
    <n v="8000"/>
    <n v="10"/>
    <x v="0"/>
    <d v="2025-10-07T00:00:00"/>
    <s v="Moderate"/>
    <s v="Unique"/>
    <x v="29"/>
    <d v="2025-10-07T00:00:00"/>
    <x v="26"/>
    <n v="1"/>
  </r>
  <r>
    <s v="MEM0575"/>
    <s v="BR05"/>
    <s v="Standard"/>
    <d v="2023-01-26T00:00:00"/>
    <d v="2023-04-26T00:00:00"/>
    <n v="1000"/>
    <n v="9000"/>
    <n v="22"/>
    <x v="0"/>
    <d v="2025-06-21T00:00:00"/>
    <s v="Highly Active"/>
    <s v="Unique"/>
    <x v="2"/>
    <d v="2025-06-21T00:00:00"/>
    <x v="26"/>
    <n v="1"/>
  </r>
  <r>
    <s v="MEM0576"/>
    <s v="BR01"/>
    <s v="Standard"/>
    <d v="2025-10-19T00:00:00"/>
    <d v="2026-10-19T00:00:00"/>
    <n v="3500"/>
    <n v="24500"/>
    <n v="21"/>
    <x v="0"/>
    <d v="2026-02-08T00:00:00"/>
    <s v="Highly Active"/>
    <s v="Unique"/>
    <x v="32"/>
    <d v="2026-02-08T00:00:00"/>
    <x v="15"/>
    <n v="1"/>
  </r>
  <r>
    <s v="MEM0577"/>
    <s v="BR03"/>
    <s v="Premium"/>
    <d v="2025-03-18T00:00:00"/>
    <d v="2025-04-17T00:00:00"/>
    <n v="2000"/>
    <n v="20000"/>
    <n v="1"/>
    <x v="1"/>
    <d v="2025-04-30T00:00:00"/>
    <s v="At Risk"/>
    <s v="Unique"/>
    <x v="33"/>
    <d v="2025-04-30T00:00:00"/>
    <x v="11"/>
    <n v="0"/>
  </r>
  <r>
    <s v="MEM0578"/>
    <s v="BR02"/>
    <s v="Premium"/>
    <d v="2024-08-29T00:00:00"/>
    <d v="2025-08-29T00:00:00"/>
    <n v="1000"/>
    <n v="12000"/>
    <n v="6"/>
    <x v="0"/>
    <d v="2026-02-28T00:00:00"/>
    <s v="Moderate"/>
    <s v="Unique"/>
    <x v="12"/>
    <d v="2026-02-28T00:00:00"/>
    <x v="5"/>
    <n v="1"/>
  </r>
  <r>
    <s v="MEM0579"/>
    <s v="BR04"/>
    <s v="Basic"/>
    <d v="2024-03-06T00:00:00"/>
    <d v="2024-06-04T00:00:00"/>
    <n v="2000"/>
    <n v="24000"/>
    <n v="3"/>
    <x v="0"/>
    <d v="2026-02-25T00:00:00"/>
    <s v="At Risk"/>
    <s v="Unique"/>
    <x v="11"/>
    <d v="2026-02-25T00:00:00"/>
    <x v="18"/>
    <n v="1"/>
  </r>
  <r>
    <s v="MEM0580"/>
    <s v="BR02"/>
    <s v="Premium"/>
    <d v="2025-09-28T00:00:00"/>
    <d v="2025-12-27T00:00:00"/>
    <n v="1000"/>
    <n v="2000"/>
    <n v="6"/>
    <x v="1"/>
    <d v="2026-03-12T00:00:00"/>
    <s v="Moderate"/>
    <s v="Unique"/>
    <x v="36"/>
    <d v="2026-03-12T00:00:00"/>
    <x v="27"/>
    <n v="0"/>
  </r>
  <r>
    <s v="MEM0581"/>
    <s v="BR07"/>
    <s v="Standard"/>
    <d v="2025-03-18T00:00:00"/>
    <d v="2026-03-18T00:00:00"/>
    <n v="1000"/>
    <n v="8000"/>
    <n v="25"/>
    <x v="0"/>
    <d v="2025-07-19T00:00:00"/>
    <s v="Highly Active"/>
    <s v="Unique"/>
    <x v="33"/>
    <d v="2025-07-19T00:00:00"/>
    <x v="13"/>
    <n v="1"/>
  </r>
  <r>
    <s v="MEM0582"/>
    <s v="BR01"/>
    <s v="Standard"/>
    <d v="2023-12-08T00:00:00"/>
    <d v="2024-01-07T00:00:00"/>
    <n v="2000"/>
    <n v="8000"/>
    <n v="21"/>
    <x v="0"/>
    <d v="2025-04-03T00:00:00"/>
    <s v="Highly Active"/>
    <s v="Unique"/>
    <x v="22"/>
    <d v="2025-04-03T00:00:00"/>
    <x v="24"/>
    <n v="1"/>
  </r>
  <r>
    <s v="MEM0583"/>
    <s v="BR01"/>
    <s v="Standard"/>
    <d v="2024-06-05T00:00:00"/>
    <d v="2025-06-05T00:00:00"/>
    <n v="2000"/>
    <n v="22000"/>
    <n v="12"/>
    <x v="1"/>
    <d v="2025-07-21T00:00:00"/>
    <s v="Moderate"/>
    <s v="Unique"/>
    <x v="1"/>
    <d v="2025-07-21T00:00:00"/>
    <x v="9"/>
    <n v="0"/>
  </r>
  <r>
    <s v="MEM0584"/>
    <s v="BR01"/>
    <s v="Basic"/>
    <d v="2025-06-20T00:00:00"/>
    <d v="2025-09-18T00:00:00"/>
    <n v="2000"/>
    <n v="24000"/>
    <n v="2"/>
    <x v="1"/>
    <d v="2025-11-13T00:00:00"/>
    <s v="At Risk"/>
    <s v="Unique"/>
    <x v="18"/>
    <d v="2025-11-13T00:00:00"/>
    <x v="13"/>
    <n v="0"/>
  </r>
  <r>
    <s v="MEM0585"/>
    <s v="BR02"/>
    <s v="Basic"/>
    <d v="2025-08-21T00:00:00"/>
    <d v="2025-09-20T00:00:00"/>
    <n v="2000"/>
    <n v="14000"/>
    <n v="21"/>
    <x v="1"/>
    <d v="2025-12-11T00:00:00"/>
    <s v="Highly Active"/>
    <s v="Unique"/>
    <x v="4"/>
    <d v="2025-12-11T00:00:00"/>
    <x v="15"/>
    <n v="0"/>
  </r>
  <r>
    <s v="MEM0586"/>
    <s v="BR06"/>
    <s v="Standard"/>
    <d v="2023-11-30T00:00:00"/>
    <d v="2024-02-28T00:00:00"/>
    <n v="3500"/>
    <n v="17500"/>
    <n v="14"/>
    <x v="0"/>
    <d v="2023-12-06T00:00:00"/>
    <s v="Moderate"/>
    <s v="Unique"/>
    <x v="21"/>
    <d v="2023-12-06T00:00:00"/>
    <x v="23"/>
    <n v="1"/>
  </r>
  <r>
    <s v="MEM0587"/>
    <s v="BR05"/>
    <s v="Basic"/>
    <d v="2023-05-03T00:00:00"/>
    <d v="2023-06-02T00:00:00"/>
    <n v="3500"/>
    <n v="3500"/>
    <n v="5"/>
    <x v="0"/>
    <d v="2024-03-29T00:00:00"/>
    <s v="Moderate"/>
    <s v="Unique"/>
    <x v="29"/>
    <d v="2024-03-29T00:00:00"/>
    <x v="2"/>
    <n v="1"/>
  </r>
  <r>
    <s v="MEM0588"/>
    <s v="BR04"/>
    <s v="Standard"/>
    <d v="2025-01-03T00:00:00"/>
    <d v="2025-02-02T00:00:00"/>
    <n v="1000"/>
    <n v="8000"/>
    <n v="25"/>
    <x v="0"/>
    <d v="2025-11-27T00:00:00"/>
    <s v="Highly Active"/>
    <s v="Unique"/>
    <x v="5"/>
    <d v="2025-11-27T00:00:00"/>
    <x v="2"/>
    <n v="1"/>
  </r>
  <r>
    <s v="MEM0589"/>
    <s v="BR07"/>
    <s v="Standard"/>
    <d v="2024-10-04T00:00:00"/>
    <d v="2024-11-03T00:00:00"/>
    <n v="2000"/>
    <n v="4000"/>
    <n v="4"/>
    <x v="0"/>
    <d v="2024-12-24T00:00:00"/>
    <s v="At Risk"/>
    <s v="Unique"/>
    <x v="19"/>
    <d v="2024-12-24T00:00:00"/>
    <x v="3"/>
    <n v="1"/>
  </r>
  <r>
    <s v="MEM0590"/>
    <s v="BR07"/>
    <s v="Basic"/>
    <d v="2023-06-25T00:00:00"/>
    <d v="2023-07-25T00:00:00"/>
    <n v="2000"/>
    <n v="6000"/>
    <n v="14"/>
    <x v="0"/>
    <d v="2025-11-10T00:00:00"/>
    <s v="Moderate"/>
    <s v="Unique"/>
    <x v="10"/>
    <d v="2025-11-10T00:00:00"/>
    <x v="26"/>
    <n v="1"/>
  </r>
  <r>
    <s v="MEM0591"/>
    <s v="BR02"/>
    <s v="Premium"/>
    <d v="2023-05-30T00:00:00"/>
    <d v="2023-06-29T00:00:00"/>
    <n v="3500"/>
    <n v="38500"/>
    <n v="7"/>
    <x v="0"/>
    <d v="2023-06-27T00:00:00"/>
    <s v="Moderate"/>
    <s v="Unique"/>
    <x v="29"/>
    <d v="2023-06-27T00:00:00"/>
    <x v="23"/>
    <n v="1"/>
  </r>
  <r>
    <s v="MEM0592"/>
    <s v="BR02"/>
    <s v="Premium"/>
    <d v="2025-04-09T00:00:00"/>
    <d v="2026-04-09T00:00:00"/>
    <n v="1000"/>
    <n v="12000"/>
    <n v="23"/>
    <x v="0"/>
    <d v="2026-01-23T00:00:00"/>
    <s v="Highly Active"/>
    <s v="Unique"/>
    <x v="26"/>
    <d v="2026-01-23T00:00:00"/>
    <x v="6"/>
    <n v="1"/>
  </r>
  <r>
    <s v="MEM0593"/>
    <s v="BR01"/>
    <s v="Premium"/>
    <d v="2023-07-17T00:00:00"/>
    <d v="2023-10-15T00:00:00"/>
    <n v="2000"/>
    <n v="8000"/>
    <n v="13"/>
    <x v="0"/>
    <d v="2025-11-02T00:00:00"/>
    <s v="Moderate"/>
    <s v="Unique"/>
    <x v="6"/>
    <d v="2025-11-02T00:00:00"/>
    <x v="20"/>
    <n v="1"/>
  </r>
  <r>
    <s v="MEM0594"/>
    <s v="BR02"/>
    <s v="Standard"/>
    <d v="2025-10-17T00:00:00"/>
    <d v="2026-10-17T00:00:00"/>
    <n v="2000"/>
    <n v="22000"/>
    <n v="6"/>
    <x v="1"/>
    <d v="2025-12-09T00:00:00"/>
    <s v="Moderate"/>
    <s v="Unique"/>
    <x v="32"/>
    <d v="2025-12-09T00:00:00"/>
    <x v="11"/>
    <n v="0"/>
  </r>
  <r>
    <s v="MEM0595"/>
    <s v="BR06"/>
    <s v="Standard"/>
    <d v="2025-04-18T00:00:00"/>
    <d v="2026-04-18T00:00:00"/>
    <n v="3500"/>
    <n v="10500"/>
    <n v="25"/>
    <x v="0"/>
    <d v="2025-06-14T00:00:00"/>
    <s v="Highly Active"/>
    <s v="Unique"/>
    <x v="26"/>
    <d v="2025-06-14T00:00:00"/>
    <x v="11"/>
    <n v="1"/>
  </r>
  <r>
    <s v="MEM0596"/>
    <s v="BR07"/>
    <s v="Standard"/>
    <d v="2023-01-03T00:00:00"/>
    <d v="2024-01-03T00:00:00"/>
    <n v="3500"/>
    <n v="7000"/>
    <n v="8"/>
    <x v="0"/>
    <d v="2025-10-26T00:00:00"/>
    <s v="Moderate"/>
    <s v="Unique"/>
    <x v="2"/>
    <d v="2025-10-26T00:00:00"/>
    <x v="19"/>
    <n v="1"/>
  </r>
  <r>
    <s v="MEM0597"/>
    <s v="BR01"/>
    <s v="Premium"/>
    <d v="2025-03-18T00:00:00"/>
    <d v="2025-06-16T00:00:00"/>
    <n v="2000"/>
    <n v="18000"/>
    <n v="13"/>
    <x v="0"/>
    <d v="2025-04-03T00:00:00"/>
    <s v="Moderate"/>
    <s v="Unique"/>
    <x v="33"/>
    <d v="2025-04-03T00:00:00"/>
    <x v="23"/>
    <n v="1"/>
  </r>
  <r>
    <s v="MEM0598"/>
    <s v="BR04"/>
    <s v="Basic"/>
    <d v="2024-05-06T00:00:00"/>
    <d v="2024-08-04T00:00:00"/>
    <n v="3500"/>
    <n v="35000"/>
    <n v="14"/>
    <x v="0"/>
    <d v="2024-07-12T00:00:00"/>
    <s v="Moderate"/>
    <s v="Unique"/>
    <x v="15"/>
    <d v="2024-07-12T00:00:00"/>
    <x v="3"/>
    <n v="1"/>
  </r>
  <r>
    <s v="MEM0599"/>
    <s v="BR07"/>
    <s v="Basic"/>
    <d v="2024-09-09T00:00:00"/>
    <d v="2024-10-09T00:00:00"/>
    <n v="3500"/>
    <n v="38500"/>
    <n v="13"/>
    <x v="0"/>
    <d v="2026-03-01T00:00:00"/>
    <s v="Moderate"/>
    <s v="Unique"/>
    <x v="8"/>
    <d v="2026-03-01T00:00:00"/>
    <x v="5"/>
    <n v="1"/>
  </r>
  <r>
    <s v="MEM0600"/>
    <s v="BR04"/>
    <s v="Standard"/>
    <d v="2023-05-17T00:00:00"/>
    <d v="2023-08-15T00:00:00"/>
    <n v="3500"/>
    <n v="38500"/>
    <n v="24"/>
    <x v="0"/>
    <d v="2025-06-11T00:00:00"/>
    <s v="Highly Active"/>
    <s v="Unique"/>
    <x v="29"/>
    <d v="2025-06-11T00:00:00"/>
    <x v="17"/>
    <n v="1"/>
  </r>
  <r>
    <s v="MEM0601"/>
    <s v="BR02"/>
    <s v="Basic"/>
    <d v="2024-10-16T00:00:00"/>
    <d v="2025-01-14T00:00:00"/>
    <n v="1000"/>
    <n v="4000"/>
    <n v="19"/>
    <x v="1"/>
    <d v="2026-04-02T00:00:00"/>
    <s v="Highly Active"/>
    <s v="Unique"/>
    <x v="19"/>
    <d v="2026-04-02T00:00:00"/>
    <x v="5"/>
    <n v="0"/>
  </r>
  <r>
    <s v="MEM0602"/>
    <s v="BR02"/>
    <s v="Basic"/>
    <d v="2023-02-02T00:00:00"/>
    <d v="2023-03-04T00:00:00"/>
    <n v="1000"/>
    <n v="9000"/>
    <n v="9"/>
    <x v="0"/>
    <d v="2025-04-27T00:00:00"/>
    <s v="Moderate"/>
    <s v="Unique"/>
    <x v="16"/>
    <d v="2025-04-27T00:00:00"/>
    <x v="22"/>
    <n v="1"/>
  </r>
  <r>
    <s v="MEM0603"/>
    <s v="BR06"/>
    <s v="Basic"/>
    <d v="2025-06-29T00:00:00"/>
    <d v="2025-07-29T00:00:00"/>
    <n v="2000"/>
    <n v="2000"/>
    <n v="12"/>
    <x v="0"/>
    <d v="2025-11-06T00:00:00"/>
    <s v="Moderate"/>
    <s v="Unique"/>
    <x v="18"/>
    <d v="2025-11-06T00:00:00"/>
    <x v="13"/>
    <n v="1"/>
  </r>
  <r>
    <s v="MEM0604"/>
    <s v="BR04"/>
    <s v="Premium"/>
    <d v="2023-09-09T00:00:00"/>
    <d v="2023-12-08T00:00:00"/>
    <n v="3500"/>
    <n v="17500"/>
    <n v="20"/>
    <x v="0"/>
    <d v="2025-12-10T00:00:00"/>
    <s v="Highly Active"/>
    <s v="Unique"/>
    <x v="25"/>
    <d v="2025-12-10T00:00:00"/>
    <x v="20"/>
    <n v="1"/>
  </r>
  <r>
    <s v="MEM0605"/>
    <s v="BR06"/>
    <s v="Standard"/>
    <d v="2023-08-17T00:00:00"/>
    <d v="2023-11-15T00:00:00"/>
    <n v="3500"/>
    <n v="7000"/>
    <n v="25"/>
    <x v="0"/>
    <d v="2023-11-07T00:00:00"/>
    <s v="Highly Active"/>
    <s v="Unique"/>
    <x v="27"/>
    <d v="2023-11-07T00:00:00"/>
    <x v="3"/>
    <n v="1"/>
  </r>
  <r>
    <s v="MEM0606"/>
    <s v="BR04"/>
    <s v="Premium"/>
    <d v="2023-11-21T00:00:00"/>
    <d v="2023-12-21T00:00:00"/>
    <n v="1000"/>
    <n v="12000"/>
    <n v="20"/>
    <x v="0"/>
    <d v="2024-12-16T00:00:00"/>
    <s v="Highly Active"/>
    <s v="Unique"/>
    <x v="21"/>
    <d v="2024-12-16T00:00:00"/>
    <x v="0"/>
    <n v="1"/>
  </r>
  <r>
    <s v="MEM0607"/>
    <s v="BR04"/>
    <s v="Premium"/>
    <d v="2025-03-04T00:00:00"/>
    <d v="2026-03-04T00:00:00"/>
    <n v="2000"/>
    <n v="2000"/>
    <n v="16"/>
    <x v="0"/>
    <d v="2026-02-12T00:00:00"/>
    <s v="Highly Active"/>
    <s v="Unique"/>
    <x v="33"/>
    <d v="2026-02-12T00:00:00"/>
    <x v="4"/>
    <n v="1"/>
  </r>
  <r>
    <s v="MEM0608"/>
    <s v="BR06"/>
    <s v="Basic"/>
    <d v="2023-09-20T00:00:00"/>
    <d v="2023-12-19T00:00:00"/>
    <n v="3500"/>
    <n v="24500"/>
    <n v="19"/>
    <x v="0"/>
    <d v="2023-12-13T00:00:00"/>
    <s v="Highly Active"/>
    <s v="Unique"/>
    <x v="25"/>
    <d v="2023-12-13T00:00:00"/>
    <x v="3"/>
    <n v="1"/>
  </r>
  <r>
    <s v="MEM0609"/>
    <s v="BR01"/>
    <s v="Standard"/>
    <d v="2026-01-19T00:00:00"/>
    <d v="2026-02-18T00:00:00"/>
    <n v="3500"/>
    <n v="3500"/>
    <n v="20"/>
    <x v="0"/>
    <d v="2026-03-01T00:00:00"/>
    <s v="Highly Active"/>
    <s v="Unique"/>
    <x v="35"/>
    <d v="2026-03-01T00:00:00"/>
    <x v="11"/>
    <n v="1"/>
  </r>
  <r>
    <s v="MEM0610"/>
    <s v="BR04"/>
    <s v="Basic"/>
    <d v="2024-12-03T00:00:00"/>
    <d v="2025-01-02T00:00:00"/>
    <n v="2000"/>
    <n v="8000"/>
    <n v="1"/>
    <x v="1"/>
    <d v="2025-01-07T00:00:00"/>
    <s v="At Risk"/>
    <s v="Unique"/>
    <x v="0"/>
    <d v="2025-01-07T00:00:00"/>
    <x v="11"/>
    <n v="0"/>
  </r>
  <r>
    <s v="MEM0611"/>
    <s v="BR04"/>
    <s v="Standard"/>
    <d v="2025-09-27T00:00:00"/>
    <d v="2025-10-27T00:00:00"/>
    <n v="3500"/>
    <n v="17500"/>
    <n v="12"/>
    <x v="0"/>
    <d v="2026-02-08T00:00:00"/>
    <s v="Moderate"/>
    <s v="Unique"/>
    <x v="36"/>
    <d v="2026-02-08T00:00:00"/>
    <x v="13"/>
    <n v="1"/>
  </r>
  <r>
    <s v="MEM0612"/>
    <s v="BR03"/>
    <s v="Standard"/>
    <d v="2024-05-25T00:00:00"/>
    <d v="2024-06-24T00:00:00"/>
    <n v="2000"/>
    <n v="14000"/>
    <n v="1"/>
    <x v="0"/>
    <d v="2024-06-14T00:00:00"/>
    <s v="At Risk"/>
    <s v="Unique"/>
    <x v="15"/>
    <d v="2024-06-14T00:00:00"/>
    <x v="23"/>
    <n v="1"/>
  </r>
  <r>
    <s v="MEM0613"/>
    <s v="BR03"/>
    <s v="Premium"/>
    <d v="2023-11-23T00:00:00"/>
    <d v="2024-02-21T00:00:00"/>
    <n v="2000"/>
    <n v="20000"/>
    <n v="12"/>
    <x v="0"/>
    <d v="2026-02-18T00:00:00"/>
    <s v="Moderate"/>
    <s v="Unique"/>
    <x v="21"/>
    <d v="2026-02-18T00:00:00"/>
    <x v="22"/>
    <n v="1"/>
  </r>
  <r>
    <s v="MEM0614"/>
    <s v="BR07"/>
    <s v="Basic"/>
    <d v="2026-01-09T00:00:00"/>
    <d v="2026-04-09T00:00:00"/>
    <n v="3500"/>
    <n v="14000"/>
    <n v="15"/>
    <x v="0"/>
    <d v="2026-02-24T00:00:00"/>
    <s v="Highly Active"/>
    <s v="Unique"/>
    <x v="35"/>
    <d v="2026-02-24T00:00:00"/>
    <x v="11"/>
    <n v="1"/>
  </r>
  <r>
    <s v="MEM0615"/>
    <s v="BR05"/>
    <s v="Premium"/>
    <d v="2024-01-28T00:00:00"/>
    <d v="2025-01-27T00:00:00"/>
    <n v="3500"/>
    <n v="38500"/>
    <n v="13"/>
    <x v="1"/>
    <d v="2024-12-02T00:00:00"/>
    <s v="Moderate"/>
    <s v="Unique"/>
    <x v="34"/>
    <d v="2024-12-02T00:00:00"/>
    <x v="2"/>
    <n v="0"/>
  </r>
  <r>
    <s v="MEM0616"/>
    <s v="BR01"/>
    <s v="Standard"/>
    <d v="2024-08-24T00:00:00"/>
    <d v="2024-09-23T00:00:00"/>
    <n v="1000"/>
    <n v="6000"/>
    <n v="0"/>
    <x v="1"/>
    <d v="2024-09-24T00:00:00"/>
    <s v="At Risk"/>
    <s v="Unique"/>
    <x v="12"/>
    <d v="2024-09-24T00:00:00"/>
    <x v="11"/>
    <n v="0"/>
  </r>
  <r>
    <s v="MEM0617"/>
    <s v="BR07"/>
    <s v="Standard"/>
    <d v="2023-11-18T00:00:00"/>
    <d v="2023-12-18T00:00:00"/>
    <n v="2000"/>
    <n v="14000"/>
    <n v="24"/>
    <x v="1"/>
    <d v="2024-01-13T00:00:00"/>
    <s v="Highly Active"/>
    <s v="Unique"/>
    <x v="21"/>
    <d v="2024-01-13T00:00:00"/>
    <x v="11"/>
    <n v="0"/>
  </r>
  <r>
    <s v="MEM0618"/>
    <s v="BR04"/>
    <s v="Standard"/>
    <d v="2025-07-05T00:00:00"/>
    <d v="2026-07-05T00:00:00"/>
    <n v="1000"/>
    <n v="3000"/>
    <n v="9"/>
    <x v="0"/>
    <d v="2025-10-13T00:00:00"/>
    <s v="Moderate"/>
    <s v="Unique"/>
    <x v="17"/>
    <d v="2025-10-13T00:00:00"/>
    <x v="15"/>
    <n v="1"/>
  </r>
  <r>
    <s v="MEM0619"/>
    <s v="BR01"/>
    <s v="Premium"/>
    <d v="2023-01-11T00:00:00"/>
    <d v="2023-04-11T00:00:00"/>
    <n v="1000"/>
    <n v="10000"/>
    <n v="15"/>
    <x v="0"/>
    <d v="2025-05-15T00:00:00"/>
    <s v="Highly Active"/>
    <s v="Unique"/>
    <x v="2"/>
    <d v="2025-05-15T00:00:00"/>
    <x v="26"/>
    <n v="1"/>
  </r>
  <r>
    <s v="MEM0620"/>
    <s v="BR06"/>
    <s v="Premium"/>
    <d v="2023-05-06T00:00:00"/>
    <d v="2023-08-04T00:00:00"/>
    <n v="2000"/>
    <n v="2000"/>
    <n v="20"/>
    <x v="0"/>
    <d v="2026-03-28T00:00:00"/>
    <s v="Highly Active"/>
    <s v="Unique"/>
    <x v="29"/>
    <d v="2026-03-28T00:00:00"/>
    <x v="37"/>
    <n v="1"/>
  </r>
  <r>
    <s v="MEM0621"/>
    <s v="BR04"/>
    <s v="Basic"/>
    <d v="2024-10-20T00:00:00"/>
    <d v="2024-11-19T00:00:00"/>
    <n v="3500"/>
    <n v="7000"/>
    <n v="7"/>
    <x v="0"/>
    <d v="2025-01-02T00:00:00"/>
    <s v="Moderate"/>
    <s v="Unique"/>
    <x v="19"/>
    <d v="2025-01-02T00:00:00"/>
    <x v="3"/>
    <n v="1"/>
  </r>
  <r>
    <s v="MEM0622"/>
    <s v="BR03"/>
    <s v="Basic"/>
    <d v="2025-11-18T00:00:00"/>
    <d v="2025-12-18T00:00:00"/>
    <n v="2000"/>
    <n v="12000"/>
    <n v="10"/>
    <x v="0"/>
    <d v="2025-12-31T00:00:00"/>
    <s v="Moderate"/>
    <s v="Unique"/>
    <x v="7"/>
    <d v="2025-12-31T00:00:00"/>
    <x v="11"/>
    <n v="1"/>
  </r>
  <r>
    <s v="MEM0623"/>
    <s v="BR05"/>
    <s v="Premium"/>
    <d v="2024-10-30T00:00:00"/>
    <d v="2025-10-30T00:00:00"/>
    <n v="2000"/>
    <n v="6000"/>
    <n v="21"/>
    <x v="0"/>
    <d v="2025-09-27T00:00:00"/>
    <s v="Highly Active"/>
    <s v="Unique"/>
    <x v="19"/>
    <d v="2025-09-27T00:00:00"/>
    <x v="2"/>
    <n v="1"/>
  </r>
  <r>
    <s v="MEM0624"/>
    <s v="BR01"/>
    <s v="Premium"/>
    <d v="2023-01-08T00:00:00"/>
    <d v="2023-02-07T00:00:00"/>
    <n v="2000"/>
    <n v="10000"/>
    <n v="6"/>
    <x v="0"/>
    <d v="2025-10-30T00:00:00"/>
    <s v="Moderate"/>
    <s v="Unique"/>
    <x v="2"/>
    <d v="2025-10-30T00:00:00"/>
    <x v="19"/>
    <n v="1"/>
  </r>
  <r>
    <s v="MEM0625"/>
    <s v="BR01"/>
    <s v="Standard"/>
    <d v="2025-02-24T00:00:00"/>
    <d v="2025-05-25T00:00:00"/>
    <n v="1000"/>
    <n v="4000"/>
    <n v="15"/>
    <x v="0"/>
    <d v="2025-07-02T00:00:00"/>
    <s v="Highly Active"/>
    <s v="Unique"/>
    <x v="14"/>
    <d v="2025-07-02T00:00:00"/>
    <x v="13"/>
    <n v="1"/>
  </r>
  <r>
    <s v="MEM0626"/>
    <s v="BR01"/>
    <s v="Premium"/>
    <d v="2025-05-29T00:00:00"/>
    <d v="2025-06-28T00:00:00"/>
    <n v="3500"/>
    <n v="17500"/>
    <n v="25"/>
    <x v="0"/>
    <d v="2025-10-04T00:00:00"/>
    <s v="Highly Active"/>
    <s v="Unique"/>
    <x v="30"/>
    <d v="2025-10-04T00:00:00"/>
    <x v="13"/>
    <n v="1"/>
  </r>
  <r>
    <s v="MEM0627"/>
    <s v="BR03"/>
    <s v="Standard"/>
    <d v="2023-04-15T00:00:00"/>
    <d v="2023-05-15T00:00:00"/>
    <n v="2000"/>
    <n v="12000"/>
    <n v="21"/>
    <x v="0"/>
    <d v="2025-01-06T00:00:00"/>
    <s v="Highly Active"/>
    <s v="Unique"/>
    <x v="28"/>
    <d v="2025-01-06T00:00:00"/>
    <x v="35"/>
    <n v="1"/>
  </r>
  <r>
    <s v="MEM0628"/>
    <s v="BR07"/>
    <s v="Premium"/>
    <d v="2025-03-14T00:00:00"/>
    <d v="2025-04-13T00:00:00"/>
    <n v="3500"/>
    <n v="38500"/>
    <n v="3"/>
    <x v="1"/>
    <d v="2026-02-01T00:00:00"/>
    <s v="At Risk"/>
    <s v="Unique"/>
    <x v="33"/>
    <d v="2026-02-01T00:00:00"/>
    <x v="2"/>
    <n v="0"/>
  </r>
  <r>
    <s v="MEM0629"/>
    <s v="BR03"/>
    <s v="Basic"/>
    <d v="2023-01-22T00:00:00"/>
    <d v="2023-02-21T00:00:00"/>
    <n v="3500"/>
    <n v="31500"/>
    <n v="16"/>
    <x v="0"/>
    <d v="2024-12-28T00:00:00"/>
    <s v="Highly Active"/>
    <s v="Unique"/>
    <x v="2"/>
    <d v="2024-12-28T00:00:00"/>
    <x v="18"/>
    <n v="1"/>
  </r>
  <r>
    <s v="MEM0630"/>
    <s v="BR05"/>
    <s v="Standard"/>
    <d v="2025-02-02T00:00:00"/>
    <d v="2025-03-04T00:00:00"/>
    <n v="2000"/>
    <n v="18000"/>
    <n v="22"/>
    <x v="0"/>
    <d v="2025-10-13T00:00:00"/>
    <s v="Highly Active"/>
    <s v="Unique"/>
    <x v="14"/>
    <d v="2025-10-13T00:00:00"/>
    <x v="14"/>
    <n v="1"/>
  </r>
  <r>
    <s v="MEM0631"/>
    <s v="BR04"/>
    <s v="Standard"/>
    <d v="2025-08-18T00:00:00"/>
    <d v="2025-11-16T00:00:00"/>
    <n v="2000"/>
    <n v="24000"/>
    <n v="24"/>
    <x v="0"/>
    <d v="2026-01-21T00:00:00"/>
    <s v="Highly Active"/>
    <s v="Unique"/>
    <x v="4"/>
    <d v="2026-01-21T00:00:00"/>
    <x v="27"/>
    <n v="1"/>
  </r>
  <r>
    <s v="MEM0632"/>
    <s v="BR04"/>
    <s v="Premium"/>
    <d v="2024-03-30T00:00:00"/>
    <d v="2024-06-28T00:00:00"/>
    <n v="2000"/>
    <n v="22000"/>
    <n v="8"/>
    <x v="0"/>
    <d v="2024-08-07T00:00:00"/>
    <s v="Moderate"/>
    <s v="Unique"/>
    <x v="11"/>
    <d v="2024-08-07T00:00:00"/>
    <x v="13"/>
    <n v="1"/>
  </r>
  <r>
    <s v="MEM0633"/>
    <s v="BR02"/>
    <s v="Basic"/>
    <d v="2023-01-24T00:00:00"/>
    <d v="2024-01-24T00:00:00"/>
    <n v="3500"/>
    <n v="42000"/>
    <n v="3"/>
    <x v="0"/>
    <d v="2025-03-11T00:00:00"/>
    <s v="At Risk"/>
    <s v="Unique"/>
    <x v="2"/>
    <d v="2025-03-11T00:00:00"/>
    <x v="31"/>
    <n v="1"/>
  </r>
  <r>
    <s v="MEM0634"/>
    <s v="BR02"/>
    <s v="Premium"/>
    <d v="2025-11-16T00:00:00"/>
    <d v="2025-12-16T00:00:00"/>
    <n v="3500"/>
    <n v="42000"/>
    <n v="24"/>
    <x v="0"/>
    <d v="2026-03-01T00:00:00"/>
    <s v="Highly Active"/>
    <s v="Unique"/>
    <x v="7"/>
    <d v="2026-03-01T00:00:00"/>
    <x v="15"/>
    <n v="1"/>
  </r>
  <r>
    <s v="MEM0635"/>
    <s v="BR01"/>
    <s v="Basic"/>
    <d v="2025-09-28T00:00:00"/>
    <d v="2025-10-28T00:00:00"/>
    <n v="1000"/>
    <n v="7000"/>
    <n v="14"/>
    <x v="0"/>
    <d v="2025-10-15T00:00:00"/>
    <s v="Moderate"/>
    <s v="Unique"/>
    <x v="36"/>
    <d v="2025-10-15T00:00:00"/>
    <x v="23"/>
    <n v="1"/>
  </r>
  <r>
    <s v="MEM0636"/>
    <s v="BR04"/>
    <s v="Basic"/>
    <d v="2023-09-07T00:00:00"/>
    <d v="2023-10-07T00:00:00"/>
    <n v="1000"/>
    <n v="3000"/>
    <n v="19"/>
    <x v="0"/>
    <d v="2025-06-12T00:00:00"/>
    <s v="Highly Active"/>
    <s v="Unique"/>
    <x v="25"/>
    <d v="2025-06-12T00:00:00"/>
    <x v="8"/>
    <n v="1"/>
  </r>
  <r>
    <s v="MEM0637"/>
    <s v="BR01"/>
    <s v="Basic"/>
    <d v="2025-02-23T00:00:00"/>
    <d v="2025-05-24T00:00:00"/>
    <n v="3500"/>
    <n v="7000"/>
    <n v="8"/>
    <x v="0"/>
    <d v="2025-09-22T00:00:00"/>
    <s v="Moderate"/>
    <s v="Unique"/>
    <x v="14"/>
    <d v="2025-09-22T00:00:00"/>
    <x v="12"/>
    <n v="1"/>
  </r>
  <r>
    <s v="MEM0638"/>
    <s v="BR02"/>
    <s v="Premium"/>
    <d v="2024-02-17T00:00:00"/>
    <d v="2024-05-17T00:00:00"/>
    <n v="2000"/>
    <n v="2000"/>
    <n v="5"/>
    <x v="0"/>
    <d v="2025-11-10T00:00:00"/>
    <s v="Moderate"/>
    <s v="Unique"/>
    <x v="3"/>
    <d v="2025-11-10T00:00:00"/>
    <x v="35"/>
    <n v="1"/>
  </r>
  <r>
    <s v="MEM0639"/>
    <s v="BR07"/>
    <s v="Basic"/>
    <d v="2023-12-07T00:00:00"/>
    <d v="2024-03-06T00:00:00"/>
    <n v="3500"/>
    <n v="17500"/>
    <n v="14"/>
    <x v="0"/>
    <d v="2024-11-30T00:00:00"/>
    <s v="Moderate"/>
    <s v="Unique"/>
    <x v="22"/>
    <d v="2024-11-30T00:00:00"/>
    <x v="4"/>
    <n v="1"/>
  </r>
  <r>
    <s v="MEM0640"/>
    <s v="BR04"/>
    <s v="Standard"/>
    <d v="2024-04-19T00:00:00"/>
    <d v="2024-07-18T00:00:00"/>
    <n v="1000"/>
    <n v="3000"/>
    <n v="25"/>
    <x v="0"/>
    <d v="2026-03-17T00:00:00"/>
    <s v="Highly Active"/>
    <s v="Unique"/>
    <x v="9"/>
    <d v="2026-03-17T00:00:00"/>
    <x v="29"/>
    <n v="1"/>
  </r>
  <r>
    <s v="MEM0641"/>
    <s v="BR06"/>
    <s v="Standard"/>
    <d v="2023-08-03T00:00:00"/>
    <d v="2023-09-02T00:00:00"/>
    <n v="3500"/>
    <n v="10500"/>
    <n v="1"/>
    <x v="1"/>
    <d v="2026-04-03T00:00:00"/>
    <s v="At Risk"/>
    <s v="Unique"/>
    <x v="27"/>
    <d v="2026-04-03T00:00:00"/>
    <x v="16"/>
    <n v="0"/>
  </r>
  <r>
    <s v="MEM0642"/>
    <s v="BR07"/>
    <s v="Basic"/>
    <d v="2025-08-11T00:00:00"/>
    <d v="2025-09-10T00:00:00"/>
    <n v="1000"/>
    <n v="8000"/>
    <n v="2"/>
    <x v="0"/>
    <d v="2025-08-31T00:00:00"/>
    <s v="At Risk"/>
    <s v="Unique"/>
    <x v="4"/>
    <d v="2025-08-31T00:00:00"/>
    <x v="23"/>
    <n v="1"/>
  </r>
  <r>
    <s v="MEM0643"/>
    <s v="BR02"/>
    <s v="Basic"/>
    <d v="2025-08-17T00:00:00"/>
    <d v="2026-08-17T00:00:00"/>
    <n v="1000"/>
    <n v="11000"/>
    <n v="21"/>
    <x v="0"/>
    <d v="2025-10-25T00:00:00"/>
    <s v="Highly Active"/>
    <s v="Unique"/>
    <x v="4"/>
    <d v="2025-10-25T00:00:00"/>
    <x v="3"/>
    <n v="1"/>
  </r>
  <r>
    <s v="MEM0644"/>
    <s v="BR07"/>
    <s v="Standard"/>
    <d v="2025-04-12T00:00:00"/>
    <d v="2025-07-11T00:00:00"/>
    <n v="1000"/>
    <n v="5000"/>
    <n v="17"/>
    <x v="0"/>
    <d v="2025-04-19T00:00:00"/>
    <s v="Highly Active"/>
    <s v="Unique"/>
    <x v="26"/>
    <d v="2025-04-19T00:00:00"/>
    <x v="23"/>
    <n v="1"/>
  </r>
  <r>
    <s v="MEM0645"/>
    <s v="BR07"/>
    <s v="Standard"/>
    <d v="2024-11-22T00:00:00"/>
    <d v="2025-02-20T00:00:00"/>
    <n v="2000"/>
    <n v="24000"/>
    <n v="13"/>
    <x v="0"/>
    <d v="2026-02-20T00:00:00"/>
    <s v="Moderate"/>
    <s v="Unique"/>
    <x v="23"/>
    <d v="2026-02-20T00:00:00"/>
    <x v="7"/>
    <n v="1"/>
  </r>
  <r>
    <s v="MEM0646"/>
    <s v="BR07"/>
    <s v="Basic"/>
    <d v="2023-10-20T00:00:00"/>
    <d v="2024-10-19T00:00:00"/>
    <n v="1000"/>
    <n v="1000"/>
    <n v="14"/>
    <x v="0"/>
    <d v="2026-02-17T00:00:00"/>
    <s v="Moderate"/>
    <s v="Unique"/>
    <x v="31"/>
    <d v="2026-02-17T00:00:00"/>
    <x v="20"/>
    <n v="1"/>
  </r>
  <r>
    <s v="MEM0647"/>
    <s v="BR03"/>
    <s v="Standard"/>
    <d v="2025-05-09T00:00:00"/>
    <d v="2025-06-08T00:00:00"/>
    <n v="2000"/>
    <n v="22000"/>
    <n v="25"/>
    <x v="0"/>
    <d v="2025-06-11T00:00:00"/>
    <s v="Highly Active"/>
    <s v="Unique"/>
    <x v="30"/>
    <d v="2025-06-11T00:00:00"/>
    <x v="11"/>
    <n v="1"/>
  </r>
  <r>
    <s v="MEM0648"/>
    <s v="BR04"/>
    <s v="Premium"/>
    <d v="2024-08-09T00:00:00"/>
    <d v="2024-11-07T00:00:00"/>
    <n v="1000"/>
    <n v="10000"/>
    <n v="3"/>
    <x v="0"/>
    <d v="2024-08-17T00:00:00"/>
    <s v="At Risk"/>
    <s v="Unique"/>
    <x v="12"/>
    <d v="2024-08-17T00:00:00"/>
    <x v="23"/>
    <n v="1"/>
  </r>
  <r>
    <s v="MEM0649"/>
    <s v="BR02"/>
    <s v="Basic"/>
    <d v="2025-05-16T00:00:00"/>
    <d v="2025-06-15T00:00:00"/>
    <n v="3500"/>
    <n v="14000"/>
    <n v="10"/>
    <x v="0"/>
    <d v="2026-01-29T00:00:00"/>
    <s v="Moderate"/>
    <s v="Unique"/>
    <x v="30"/>
    <d v="2026-01-29T00:00:00"/>
    <x v="14"/>
    <n v="1"/>
  </r>
  <r>
    <s v="MEM0650"/>
    <s v="BR04"/>
    <s v="Basic"/>
    <d v="2023-10-27T00:00:00"/>
    <d v="2023-11-26T00:00:00"/>
    <n v="2000"/>
    <n v="22000"/>
    <n v="13"/>
    <x v="0"/>
    <d v="2025-03-07T00:00:00"/>
    <s v="Moderate"/>
    <s v="Unique"/>
    <x v="31"/>
    <d v="2025-03-07T00:00:00"/>
    <x v="10"/>
    <n v="1"/>
  </r>
  <r>
    <s v="MEM0651"/>
    <s v="BR03"/>
    <s v="Basic"/>
    <d v="2024-09-23T00:00:00"/>
    <d v="2024-12-22T00:00:00"/>
    <n v="3500"/>
    <n v="7000"/>
    <n v="13"/>
    <x v="0"/>
    <d v="2024-09-29T00:00:00"/>
    <s v="Moderate"/>
    <s v="Unique"/>
    <x v="8"/>
    <d v="2024-09-29T00:00:00"/>
    <x v="23"/>
    <n v="1"/>
  </r>
  <r>
    <s v="MEM0652"/>
    <s v="BR01"/>
    <s v="Premium"/>
    <d v="2025-07-10T00:00:00"/>
    <d v="2026-07-10T00:00:00"/>
    <n v="1000"/>
    <n v="5000"/>
    <n v="1"/>
    <x v="0"/>
    <d v="2025-08-20T00:00:00"/>
    <s v="At Risk"/>
    <s v="Unique"/>
    <x v="17"/>
    <d v="2025-08-20T00:00:00"/>
    <x v="11"/>
    <n v="1"/>
  </r>
  <r>
    <s v="MEM0653"/>
    <s v="BR05"/>
    <s v="Standard"/>
    <d v="2025-12-08T00:00:00"/>
    <d v="2026-03-08T00:00:00"/>
    <n v="3500"/>
    <n v="3500"/>
    <n v="21"/>
    <x v="0"/>
    <d v="2026-03-02T00:00:00"/>
    <s v="Highly Active"/>
    <s v="Unique"/>
    <x v="24"/>
    <d v="2026-03-02T00:00:00"/>
    <x v="3"/>
    <n v="1"/>
  </r>
  <r>
    <s v="MEM0654"/>
    <s v="BR07"/>
    <s v="Basic"/>
    <d v="2024-06-21T00:00:00"/>
    <d v="2025-06-21T00:00:00"/>
    <n v="2000"/>
    <n v="20000"/>
    <n v="5"/>
    <x v="0"/>
    <d v="2024-09-14T00:00:00"/>
    <s v="Moderate"/>
    <s v="Unique"/>
    <x v="1"/>
    <d v="2024-09-14T00:00:00"/>
    <x v="3"/>
    <n v="1"/>
  </r>
  <r>
    <s v="MEM0655"/>
    <s v="BR01"/>
    <s v="Premium"/>
    <d v="2024-09-05T00:00:00"/>
    <d v="2024-12-04T00:00:00"/>
    <n v="2000"/>
    <n v="10000"/>
    <n v="9"/>
    <x v="0"/>
    <d v="2025-04-15T00:00:00"/>
    <s v="Moderate"/>
    <s v="Unique"/>
    <x v="8"/>
    <d v="2025-04-15T00:00:00"/>
    <x v="25"/>
    <n v="1"/>
  </r>
  <r>
    <s v="MEM0656"/>
    <s v="BR06"/>
    <s v="Standard"/>
    <d v="2025-12-30T00:00:00"/>
    <d v="2026-01-29T00:00:00"/>
    <n v="2000"/>
    <n v="18000"/>
    <n v="5"/>
    <x v="0"/>
    <d v="2026-02-20T00:00:00"/>
    <s v="Moderate"/>
    <s v="Unique"/>
    <x v="24"/>
    <d v="2026-02-20T00:00:00"/>
    <x v="11"/>
    <n v="1"/>
  </r>
  <r>
    <s v="MEM0657"/>
    <s v="BR03"/>
    <s v="Standard"/>
    <d v="2023-12-11T00:00:00"/>
    <d v="2024-12-10T00:00:00"/>
    <n v="3500"/>
    <n v="38500"/>
    <n v="5"/>
    <x v="1"/>
    <d v="2024-12-26T00:00:00"/>
    <s v="Moderate"/>
    <s v="Unique"/>
    <x v="22"/>
    <d v="2024-12-26T00:00:00"/>
    <x v="0"/>
    <n v="0"/>
  </r>
  <r>
    <s v="MEM0658"/>
    <s v="BR07"/>
    <s v="Basic"/>
    <d v="2025-08-31T00:00:00"/>
    <d v="2025-11-29T00:00:00"/>
    <n v="1000"/>
    <n v="7000"/>
    <n v="8"/>
    <x v="0"/>
    <d v="2026-03-13T00:00:00"/>
    <s v="Moderate"/>
    <s v="Unique"/>
    <x v="4"/>
    <d v="2026-03-13T00:00:00"/>
    <x v="12"/>
    <n v="1"/>
  </r>
  <r>
    <s v="MEM0659"/>
    <s v="BR07"/>
    <s v="Premium"/>
    <d v="2024-07-02T00:00:00"/>
    <d v="2025-07-02T00:00:00"/>
    <n v="3500"/>
    <n v="35000"/>
    <n v="12"/>
    <x v="0"/>
    <d v="2025-01-28T00:00:00"/>
    <s v="Moderate"/>
    <s v="Unique"/>
    <x v="13"/>
    <d v="2025-01-28T00:00:00"/>
    <x v="12"/>
    <n v="1"/>
  </r>
  <r>
    <s v="MEM0660"/>
    <s v="BR05"/>
    <s v="Premium"/>
    <d v="2025-12-09T00:00:00"/>
    <d v="2026-03-09T00:00:00"/>
    <n v="1000"/>
    <n v="2000"/>
    <n v="4"/>
    <x v="0"/>
    <d v="2026-01-31T00:00:00"/>
    <s v="At Risk"/>
    <s v="Unique"/>
    <x v="24"/>
    <d v="2026-01-31T00:00:00"/>
    <x v="11"/>
    <n v="1"/>
  </r>
  <r>
    <s v="MEM0661"/>
    <s v="BR06"/>
    <s v="Basic"/>
    <d v="2023-05-14T00:00:00"/>
    <d v="2024-05-13T00:00:00"/>
    <n v="2000"/>
    <n v="20000"/>
    <n v="0"/>
    <x v="1"/>
    <d v="2023-06-23T00:00:00"/>
    <s v="At Risk"/>
    <s v="Unique"/>
    <x v="29"/>
    <d v="2023-06-23T00:00:00"/>
    <x v="11"/>
    <n v="0"/>
  </r>
  <r>
    <s v="MEM0662"/>
    <s v="BR04"/>
    <s v="Premium"/>
    <d v="2024-07-12T00:00:00"/>
    <d v="2025-07-12T00:00:00"/>
    <n v="3500"/>
    <n v="38500"/>
    <n v="18"/>
    <x v="0"/>
    <d v="2025-04-18T00:00:00"/>
    <s v="Highly Active"/>
    <s v="Unique"/>
    <x v="13"/>
    <d v="2025-04-18T00:00:00"/>
    <x v="6"/>
    <n v="1"/>
  </r>
  <r>
    <s v="MEM0663"/>
    <s v="BR06"/>
    <s v="Premium"/>
    <d v="2025-07-08T00:00:00"/>
    <d v="2025-10-06T00:00:00"/>
    <n v="2000"/>
    <n v="2000"/>
    <n v="16"/>
    <x v="0"/>
    <d v="2025-10-22T00:00:00"/>
    <s v="Highly Active"/>
    <s v="Unique"/>
    <x v="17"/>
    <d v="2025-10-22T00:00:00"/>
    <x v="15"/>
    <n v="1"/>
  </r>
  <r>
    <s v="MEM0664"/>
    <s v="BR07"/>
    <s v="Standard"/>
    <d v="2024-02-23T00:00:00"/>
    <d v="2024-05-23T00:00:00"/>
    <n v="2000"/>
    <n v="22000"/>
    <n v="13"/>
    <x v="0"/>
    <d v="2026-03-19T00:00:00"/>
    <s v="Moderate"/>
    <s v="Unique"/>
    <x v="3"/>
    <d v="2026-03-19T00:00:00"/>
    <x v="17"/>
    <n v="1"/>
  </r>
  <r>
    <s v="MEM0665"/>
    <s v="BR04"/>
    <s v="Basic"/>
    <d v="2023-04-26T00:00:00"/>
    <d v="2023-05-26T00:00:00"/>
    <n v="2000"/>
    <n v="16000"/>
    <n v="24"/>
    <x v="0"/>
    <d v="2025-06-23T00:00:00"/>
    <s v="Highly Active"/>
    <s v="Unique"/>
    <x v="28"/>
    <d v="2025-06-23T00:00:00"/>
    <x v="31"/>
    <n v="1"/>
  </r>
  <r>
    <s v="MEM0666"/>
    <s v="BR05"/>
    <s v="Basic"/>
    <d v="2025-09-01T00:00:00"/>
    <d v="2026-09-01T00:00:00"/>
    <n v="1000"/>
    <n v="2000"/>
    <n v="13"/>
    <x v="0"/>
    <d v="2026-04-03T00:00:00"/>
    <s v="Moderate"/>
    <s v="Unique"/>
    <x v="36"/>
    <d v="2026-04-03T00:00:00"/>
    <x v="25"/>
    <n v="1"/>
  </r>
  <r>
    <s v="MEM0667"/>
    <s v="BR01"/>
    <s v="Standard"/>
    <d v="2025-11-30T00:00:00"/>
    <d v="2026-11-30T00:00:00"/>
    <n v="3500"/>
    <n v="17500"/>
    <n v="20"/>
    <x v="0"/>
    <d v="2026-03-02T00:00:00"/>
    <s v="Highly Active"/>
    <s v="Unique"/>
    <x v="7"/>
    <d v="2026-03-02T00:00:00"/>
    <x v="15"/>
    <n v="1"/>
  </r>
  <r>
    <s v="MEM0668"/>
    <s v="BR07"/>
    <s v="Standard"/>
    <d v="2023-11-01T00:00:00"/>
    <d v="2024-01-30T00:00:00"/>
    <n v="3500"/>
    <n v="7000"/>
    <n v="19"/>
    <x v="0"/>
    <d v="2025-01-06T00:00:00"/>
    <s v="Highly Active"/>
    <s v="Unique"/>
    <x v="21"/>
    <d v="2025-01-06T00:00:00"/>
    <x v="7"/>
    <n v="1"/>
  </r>
  <r>
    <s v="MEM0669"/>
    <s v="BR07"/>
    <s v="Premium"/>
    <d v="2025-02-24T00:00:00"/>
    <d v="2025-03-26T00:00:00"/>
    <n v="1000"/>
    <n v="5000"/>
    <n v="14"/>
    <x v="0"/>
    <d v="2025-03-03T00:00:00"/>
    <s v="Moderate"/>
    <s v="Unique"/>
    <x v="14"/>
    <d v="2025-03-03T00:00:00"/>
    <x v="23"/>
    <n v="1"/>
  </r>
  <r>
    <s v="MEM0670"/>
    <s v="BR07"/>
    <s v="Basic"/>
    <d v="2024-05-10T00:00:00"/>
    <d v="2025-05-10T00:00:00"/>
    <n v="2000"/>
    <n v="2000"/>
    <n v="7"/>
    <x v="0"/>
    <d v="2025-12-15T00:00:00"/>
    <s v="Moderate"/>
    <s v="Unique"/>
    <x v="15"/>
    <d v="2025-12-15T00:00:00"/>
    <x v="1"/>
    <n v="1"/>
  </r>
  <r>
    <s v="MEM0671"/>
    <s v="BR01"/>
    <s v="Basic"/>
    <d v="2023-03-11T00:00:00"/>
    <d v="2024-03-10T00:00:00"/>
    <n v="1000"/>
    <n v="9000"/>
    <n v="0"/>
    <x v="0"/>
    <d v="2024-07-06T00:00:00"/>
    <s v="At Risk"/>
    <s v="Unique"/>
    <x v="20"/>
    <d v="2024-07-06T00:00:00"/>
    <x v="24"/>
    <n v="1"/>
  </r>
  <r>
    <s v="MEM0672"/>
    <s v="BR07"/>
    <s v="Premium"/>
    <d v="2024-07-22T00:00:00"/>
    <d v="2024-10-20T00:00:00"/>
    <n v="3500"/>
    <n v="28000"/>
    <n v="9"/>
    <x v="0"/>
    <d v="2025-11-19T00:00:00"/>
    <s v="Moderate"/>
    <s v="Unique"/>
    <x v="13"/>
    <d v="2025-11-19T00:00:00"/>
    <x v="24"/>
    <n v="1"/>
  </r>
  <r>
    <s v="MEM0673"/>
    <s v="BR05"/>
    <s v="Premium"/>
    <d v="2025-03-12T00:00:00"/>
    <d v="2025-04-11T00:00:00"/>
    <n v="1000"/>
    <n v="3000"/>
    <n v="0"/>
    <x v="1"/>
    <d v="2025-09-20T00:00:00"/>
    <s v="At Risk"/>
    <s v="Unique"/>
    <x v="33"/>
    <d v="2025-09-20T00:00:00"/>
    <x v="12"/>
    <n v="0"/>
  </r>
  <r>
    <s v="MEM0674"/>
    <s v="BR04"/>
    <s v="Standard"/>
    <d v="2024-02-03T00:00:00"/>
    <d v="2024-03-04T00:00:00"/>
    <n v="2000"/>
    <n v="12000"/>
    <n v="22"/>
    <x v="0"/>
    <d v="2025-01-23T00:00:00"/>
    <s v="Highly Active"/>
    <s v="Unique"/>
    <x v="3"/>
    <d v="2025-01-23T00:00:00"/>
    <x v="4"/>
    <n v="1"/>
  </r>
  <r>
    <s v="MEM0675"/>
    <s v="BR05"/>
    <s v="Basic"/>
    <d v="2025-08-07T00:00:00"/>
    <d v="2025-09-06T00:00:00"/>
    <n v="3500"/>
    <n v="3500"/>
    <n v="9"/>
    <x v="0"/>
    <d v="2025-08-20T00:00:00"/>
    <s v="Moderate"/>
    <s v="Unique"/>
    <x v="4"/>
    <d v="2025-08-20T00:00:00"/>
    <x v="23"/>
    <n v="1"/>
  </r>
  <r>
    <s v="MEM0676"/>
    <s v="BR07"/>
    <s v="Basic"/>
    <d v="2025-12-19T00:00:00"/>
    <d v="2026-12-19T00:00:00"/>
    <n v="1000"/>
    <n v="4000"/>
    <n v="6"/>
    <x v="1"/>
    <d v="2026-03-06T00:00:00"/>
    <s v="Moderate"/>
    <s v="Unique"/>
    <x v="24"/>
    <d v="2026-03-06T00:00:00"/>
    <x v="3"/>
    <n v="0"/>
  </r>
  <r>
    <s v="MEM0677"/>
    <s v="BR07"/>
    <s v="Basic"/>
    <d v="2024-06-11T00:00:00"/>
    <d v="2024-07-11T00:00:00"/>
    <n v="1000"/>
    <n v="9000"/>
    <n v="8"/>
    <x v="0"/>
    <d v="2025-07-06T00:00:00"/>
    <s v="Moderate"/>
    <s v="Unique"/>
    <x v="1"/>
    <d v="2025-07-06T00:00:00"/>
    <x v="0"/>
    <n v="1"/>
  </r>
  <r>
    <s v="MEM0678"/>
    <s v="BR06"/>
    <s v="Basic"/>
    <d v="2025-01-29T00:00:00"/>
    <d v="2025-02-28T00:00:00"/>
    <n v="1000"/>
    <n v="8000"/>
    <n v="21"/>
    <x v="0"/>
    <d v="2025-07-19T00:00:00"/>
    <s v="Highly Active"/>
    <s v="Unique"/>
    <x v="5"/>
    <d v="2025-07-19T00:00:00"/>
    <x v="27"/>
    <n v="1"/>
  </r>
  <r>
    <s v="MEM0679"/>
    <s v="BR02"/>
    <s v="Standard"/>
    <d v="2024-02-21T00:00:00"/>
    <d v="2025-02-20T00:00:00"/>
    <n v="2000"/>
    <n v="16000"/>
    <n v="20"/>
    <x v="1"/>
    <d v="2025-03-29T00:00:00"/>
    <s v="Highly Active"/>
    <s v="Unique"/>
    <x v="3"/>
    <d v="2025-03-29T00:00:00"/>
    <x v="9"/>
    <n v="0"/>
  </r>
  <r>
    <s v="MEM0680"/>
    <s v="BR06"/>
    <s v="Basic"/>
    <d v="2024-11-22T00:00:00"/>
    <d v="2025-02-20T00:00:00"/>
    <n v="3500"/>
    <n v="3500"/>
    <n v="22"/>
    <x v="0"/>
    <d v="2026-01-16T00:00:00"/>
    <s v="Highly Active"/>
    <s v="Unique"/>
    <x v="23"/>
    <d v="2026-01-16T00:00:00"/>
    <x v="9"/>
    <n v="1"/>
  </r>
  <r>
    <s v="MEM0681"/>
    <s v="BR05"/>
    <s v="Basic"/>
    <d v="2025-10-09T00:00:00"/>
    <d v="2025-11-08T00:00:00"/>
    <n v="3500"/>
    <n v="28000"/>
    <n v="4"/>
    <x v="1"/>
    <d v="2025-10-31T00:00:00"/>
    <s v="At Risk"/>
    <s v="Unique"/>
    <x v="32"/>
    <d v="2025-10-31T00:00:00"/>
    <x v="23"/>
    <n v="0"/>
  </r>
  <r>
    <s v="MEM0682"/>
    <s v="BR05"/>
    <s v="Premium"/>
    <d v="2023-02-12T00:00:00"/>
    <d v="2023-03-14T00:00:00"/>
    <n v="3500"/>
    <n v="14000"/>
    <n v="3"/>
    <x v="0"/>
    <d v="2025-07-12T00:00:00"/>
    <s v="At Risk"/>
    <s v="Unique"/>
    <x v="16"/>
    <d v="2025-07-12T00:00:00"/>
    <x v="34"/>
    <n v="1"/>
  </r>
  <r>
    <s v="MEM0683"/>
    <s v="BR04"/>
    <s v="Basic"/>
    <d v="2024-11-23T00:00:00"/>
    <d v="2025-11-23T00:00:00"/>
    <n v="3500"/>
    <n v="31500"/>
    <n v="12"/>
    <x v="0"/>
    <d v="2026-02-09T00:00:00"/>
    <s v="Moderate"/>
    <s v="Unique"/>
    <x v="23"/>
    <d v="2026-02-09T00:00:00"/>
    <x v="7"/>
    <n v="1"/>
  </r>
  <r>
    <s v="MEM0684"/>
    <s v="BR02"/>
    <s v="Premium"/>
    <d v="2023-10-27T00:00:00"/>
    <d v="2024-01-25T00:00:00"/>
    <n v="2000"/>
    <n v="16000"/>
    <n v="16"/>
    <x v="0"/>
    <d v="2024-02-06T00:00:00"/>
    <s v="Highly Active"/>
    <s v="Unique"/>
    <x v="31"/>
    <d v="2024-02-06T00:00:00"/>
    <x v="15"/>
    <n v="1"/>
  </r>
  <r>
    <s v="MEM0685"/>
    <s v="BR01"/>
    <s v="Standard"/>
    <d v="2026-01-31T00:00:00"/>
    <d v="2026-05-01T00:00:00"/>
    <n v="2000"/>
    <n v="18000"/>
    <n v="2"/>
    <x v="1"/>
    <d v="2026-02-19T00:00:00"/>
    <s v="At Risk"/>
    <s v="Unique"/>
    <x v="35"/>
    <d v="2026-02-19T00:00:00"/>
    <x v="23"/>
    <n v="0"/>
  </r>
  <r>
    <s v="MEM0686"/>
    <s v="BR07"/>
    <s v="Premium"/>
    <d v="2026-01-29T00:00:00"/>
    <d v="2027-01-29T00:00:00"/>
    <n v="1000"/>
    <n v="3000"/>
    <n v="7"/>
    <x v="0"/>
    <d v="2026-03-21T00:00:00"/>
    <s v="Moderate"/>
    <s v="Unique"/>
    <x v="35"/>
    <d v="2026-03-21T00:00:00"/>
    <x v="11"/>
    <n v="1"/>
  </r>
  <r>
    <s v="MEM0687"/>
    <s v="BR03"/>
    <s v="Basic"/>
    <d v="2023-03-15T00:00:00"/>
    <d v="2023-06-13T00:00:00"/>
    <n v="2000"/>
    <n v="24000"/>
    <n v="4"/>
    <x v="0"/>
    <d v="2023-04-10T00:00:00"/>
    <s v="At Risk"/>
    <s v="Unique"/>
    <x v="20"/>
    <d v="2023-04-10T00:00:00"/>
    <x v="23"/>
    <n v="1"/>
  </r>
  <r>
    <s v="MEM0688"/>
    <s v="BR07"/>
    <s v="Standard"/>
    <d v="2023-02-01T00:00:00"/>
    <d v="2023-03-03T00:00:00"/>
    <n v="3500"/>
    <n v="42000"/>
    <n v="5"/>
    <x v="0"/>
    <d v="2025-09-12T00:00:00"/>
    <s v="Moderate"/>
    <s v="Unique"/>
    <x v="16"/>
    <d v="2025-09-12T00:00:00"/>
    <x v="32"/>
    <n v="1"/>
  </r>
  <r>
    <s v="MEM0689"/>
    <s v="BR03"/>
    <s v="Basic"/>
    <d v="2023-09-09T00:00:00"/>
    <d v="2023-12-08T00:00:00"/>
    <n v="2000"/>
    <n v="4000"/>
    <n v="0"/>
    <x v="0"/>
    <d v="2023-12-21T00:00:00"/>
    <s v="At Risk"/>
    <s v="Unique"/>
    <x v="25"/>
    <d v="2023-12-21T00:00:00"/>
    <x v="15"/>
    <n v="1"/>
  </r>
  <r>
    <s v="MEM0690"/>
    <s v="BR04"/>
    <s v="Basic"/>
    <d v="2026-01-13T00:00:00"/>
    <d v="2027-01-13T00:00:00"/>
    <n v="3500"/>
    <n v="38500"/>
    <n v="20"/>
    <x v="1"/>
    <d v="2026-04-04T00:00:00"/>
    <s v="Highly Active"/>
    <s v="Unique"/>
    <x v="35"/>
    <d v="2026-04-04T00:00:00"/>
    <x v="3"/>
    <n v="0"/>
  </r>
  <r>
    <s v="MEM0691"/>
    <s v="BR01"/>
    <s v="Premium"/>
    <d v="2023-01-08T00:00:00"/>
    <d v="2024-01-08T00:00:00"/>
    <n v="1000"/>
    <n v="8000"/>
    <n v="19"/>
    <x v="0"/>
    <d v="2024-11-10T00:00:00"/>
    <s v="Highly Active"/>
    <s v="Unique"/>
    <x v="2"/>
    <d v="2024-11-10T00:00:00"/>
    <x v="29"/>
    <n v="1"/>
  </r>
  <r>
    <s v="MEM0692"/>
    <s v="BR02"/>
    <s v="Standard"/>
    <d v="2025-12-03T00:00:00"/>
    <d v="2026-01-02T00:00:00"/>
    <n v="1000"/>
    <n v="8000"/>
    <n v="6"/>
    <x v="0"/>
    <d v="2026-02-10T00:00:00"/>
    <s v="Moderate"/>
    <s v="Unique"/>
    <x v="24"/>
    <d v="2026-02-10T00:00:00"/>
    <x v="3"/>
    <n v="1"/>
  </r>
  <r>
    <s v="MEM0693"/>
    <s v="BR06"/>
    <s v="Premium"/>
    <d v="2024-03-30T00:00:00"/>
    <d v="2024-04-29T00:00:00"/>
    <n v="2000"/>
    <n v="22000"/>
    <n v="0"/>
    <x v="0"/>
    <d v="2026-02-24T00:00:00"/>
    <s v="At Risk"/>
    <s v="Unique"/>
    <x v="11"/>
    <d v="2026-02-24T00:00:00"/>
    <x v="29"/>
    <n v="1"/>
  </r>
  <r>
    <s v="MEM0694"/>
    <s v="BR02"/>
    <s v="Basic"/>
    <d v="2024-02-06T00:00:00"/>
    <d v="2024-05-06T00:00:00"/>
    <n v="1000"/>
    <n v="4000"/>
    <n v="8"/>
    <x v="0"/>
    <d v="2026-01-18T00:00:00"/>
    <s v="Moderate"/>
    <s v="Unique"/>
    <x v="3"/>
    <d v="2026-01-18T00:00:00"/>
    <x v="18"/>
    <n v="1"/>
  </r>
  <r>
    <s v="MEM0695"/>
    <s v="BR01"/>
    <s v="Premium"/>
    <d v="2024-05-01T00:00:00"/>
    <d v="2025-05-01T00:00:00"/>
    <n v="3500"/>
    <n v="42000"/>
    <n v="14"/>
    <x v="0"/>
    <d v="2024-07-19T00:00:00"/>
    <s v="Moderate"/>
    <s v="Unique"/>
    <x v="15"/>
    <d v="2024-07-19T00:00:00"/>
    <x v="3"/>
    <n v="1"/>
  </r>
  <r>
    <s v="MEM0696"/>
    <s v="BR05"/>
    <s v="Basic"/>
    <d v="2024-03-04T00:00:00"/>
    <d v="2024-06-02T00:00:00"/>
    <n v="3500"/>
    <n v="31500"/>
    <n v="23"/>
    <x v="0"/>
    <d v="2024-06-02T00:00:00"/>
    <s v="Highly Active"/>
    <s v="Unique"/>
    <x v="11"/>
    <d v="2024-06-02T00:00:00"/>
    <x v="3"/>
    <n v="1"/>
  </r>
  <r>
    <s v="MEM0697"/>
    <s v="BR03"/>
    <s v="Standard"/>
    <d v="2025-12-13T00:00:00"/>
    <d v="2026-01-12T00:00:00"/>
    <n v="1000"/>
    <n v="3000"/>
    <n v="6"/>
    <x v="0"/>
    <d v="2026-03-17T00:00:00"/>
    <s v="Moderate"/>
    <s v="Unique"/>
    <x v="24"/>
    <d v="2026-03-17T00:00:00"/>
    <x v="15"/>
    <n v="1"/>
  </r>
  <r>
    <s v="MEM0698"/>
    <s v="BR05"/>
    <s v="Basic"/>
    <d v="2025-03-19T00:00:00"/>
    <d v="2026-03-19T00:00:00"/>
    <n v="3500"/>
    <n v="3500"/>
    <n v="22"/>
    <x v="0"/>
    <d v="2026-01-05T00:00:00"/>
    <s v="Highly Active"/>
    <s v="Unique"/>
    <x v="33"/>
    <d v="2026-01-05T00:00:00"/>
    <x v="6"/>
    <n v="1"/>
  </r>
  <r>
    <s v="MEM0699"/>
    <s v="BR03"/>
    <s v="Basic"/>
    <d v="2023-12-27T00:00:00"/>
    <d v="2024-12-26T00:00:00"/>
    <n v="3500"/>
    <n v="14000"/>
    <n v="3"/>
    <x v="1"/>
    <d v="2024-04-18T00:00:00"/>
    <s v="At Risk"/>
    <s v="Unique"/>
    <x v="22"/>
    <d v="2024-04-18T00:00:00"/>
    <x v="15"/>
    <n v="0"/>
  </r>
  <r>
    <s v="MEM0700"/>
    <s v="BR02"/>
    <s v="Premium"/>
    <d v="2024-10-13T00:00:00"/>
    <d v="2024-11-12T00:00:00"/>
    <n v="2000"/>
    <n v="6000"/>
    <n v="24"/>
    <x v="0"/>
    <d v="2025-06-08T00:00:00"/>
    <s v="Highly Active"/>
    <s v="Unique"/>
    <x v="19"/>
    <d v="2025-06-08T00:00:00"/>
    <x v="25"/>
    <n v="1"/>
  </r>
  <r>
    <s v="MEM0701"/>
    <s v="BR06"/>
    <s v="Premium"/>
    <d v="2025-11-13T00:00:00"/>
    <d v="2026-11-13T00:00:00"/>
    <n v="1000"/>
    <n v="9000"/>
    <n v="8"/>
    <x v="1"/>
    <d v="2026-01-06T00:00:00"/>
    <s v="Moderate"/>
    <s v="Unique"/>
    <x v="7"/>
    <d v="2026-01-06T00:00:00"/>
    <x v="11"/>
    <n v="0"/>
  </r>
  <r>
    <s v="MEM0702"/>
    <s v="BR02"/>
    <s v="Standard"/>
    <d v="2023-02-28T00:00:00"/>
    <d v="2023-05-29T00:00:00"/>
    <n v="3500"/>
    <n v="14000"/>
    <n v="19"/>
    <x v="1"/>
    <d v="2025-02-12T00:00:00"/>
    <s v="Highly Active"/>
    <s v="Unique"/>
    <x v="16"/>
    <d v="2025-02-12T00:00:00"/>
    <x v="18"/>
    <n v="0"/>
  </r>
  <r>
    <s v="MEM0703"/>
    <s v="BR04"/>
    <s v="Standard"/>
    <d v="2024-05-16T00:00:00"/>
    <d v="2025-05-16T00:00:00"/>
    <n v="3500"/>
    <n v="10500"/>
    <n v="14"/>
    <x v="0"/>
    <d v="2024-12-27T00:00:00"/>
    <s v="Moderate"/>
    <s v="Unique"/>
    <x v="15"/>
    <d v="2024-12-27T00:00:00"/>
    <x v="25"/>
    <n v="1"/>
  </r>
  <r>
    <s v="MEM0704"/>
    <s v="BR03"/>
    <s v="Basic"/>
    <d v="2025-03-12T00:00:00"/>
    <d v="2025-04-11T00:00:00"/>
    <n v="2000"/>
    <n v="22000"/>
    <n v="23"/>
    <x v="0"/>
    <d v="2025-10-24T00:00:00"/>
    <s v="Highly Active"/>
    <s v="Unique"/>
    <x v="33"/>
    <d v="2025-10-24T00:00:00"/>
    <x v="25"/>
    <n v="1"/>
  </r>
  <r>
    <s v="MEM0705"/>
    <s v="BR06"/>
    <s v="Standard"/>
    <d v="2024-07-16T00:00:00"/>
    <d v="2024-10-14T00:00:00"/>
    <n v="3500"/>
    <n v="31500"/>
    <n v="3"/>
    <x v="1"/>
    <d v="2024-08-11T00:00:00"/>
    <s v="At Risk"/>
    <s v="Unique"/>
    <x v="13"/>
    <d v="2024-08-11T00:00:00"/>
    <x v="23"/>
    <n v="0"/>
  </r>
  <r>
    <s v="MEM0706"/>
    <s v="BR07"/>
    <s v="Premium"/>
    <d v="2025-02-23T00:00:00"/>
    <d v="2025-03-25T00:00:00"/>
    <n v="3500"/>
    <n v="31500"/>
    <n v="6"/>
    <x v="1"/>
    <d v="2025-09-20T00:00:00"/>
    <s v="Moderate"/>
    <s v="Unique"/>
    <x v="14"/>
    <d v="2025-09-20T00:00:00"/>
    <x v="12"/>
    <n v="0"/>
  </r>
  <r>
    <s v="MEM0707"/>
    <s v="BR03"/>
    <s v="Basic"/>
    <d v="2025-06-13T00:00:00"/>
    <d v="2025-09-11T00:00:00"/>
    <n v="3500"/>
    <n v="3500"/>
    <n v="1"/>
    <x v="1"/>
    <d v="2026-04-07T00:00:00"/>
    <s v="At Risk"/>
    <s v="Unique"/>
    <x v="18"/>
    <d v="2026-04-07T00:00:00"/>
    <x v="6"/>
    <n v="0"/>
  </r>
  <r>
    <s v="MEM0708"/>
    <s v="BR04"/>
    <s v="Standard"/>
    <d v="2023-07-17T00:00:00"/>
    <d v="2024-07-16T00:00:00"/>
    <n v="1000"/>
    <n v="6000"/>
    <n v="12"/>
    <x v="1"/>
    <d v="2025-02-05T00:00:00"/>
    <s v="Moderate"/>
    <s v="Unique"/>
    <x v="6"/>
    <d v="2025-02-05T00:00:00"/>
    <x v="28"/>
    <n v="0"/>
  </r>
  <r>
    <s v="MEM0709"/>
    <s v="BR02"/>
    <s v="Premium"/>
    <d v="2023-02-17T00:00:00"/>
    <d v="2023-03-19T00:00:00"/>
    <n v="2000"/>
    <n v="2000"/>
    <n v="2"/>
    <x v="1"/>
    <d v="2023-03-13T00:00:00"/>
    <s v="At Risk"/>
    <s v="Unique"/>
    <x v="16"/>
    <d v="2023-03-13T00:00:00"/>
    <x v="23"/>
    <n v="0"/>
  </r>
  <r>
    <s v="MEM0710"/>
    <s v="BR06"/>
    <s v="Premium"/>
    <d v="2025-11-09T00:00:00"/>
    <d v="2025-12-09T00:00:00"/>
    <n v="3500"/>
    <n v="42000"/>
    <n v="1"/>
    <x v="1"/>
    <d v="2026-03-19T00:00:00"/>
    <s v="At Risk"/>
    <s v="Unique"/>
    <x v="7"/>
    <d v="2026-03-19T00:00:00"/>
    <x v="13"/>
    <n v="0"/>
  </r>
  <r>
    <s v="MEM0711"/>
    <s v="BR04"/>
    <s v="Standard"/>
    <d v="2024-08-11T00:00:00"/>
    <d v="2024-09-10T00:00:00"/>
    <n v="2000"/>
    <n v="14000"/>
    <n v="6"/>
    <x v="0"/>
    <d v="2025-01-27T00:00:00"/>
    <s v="Moderate"/>
    <s v="Unique"/>
    <x v="12"/>
    <d v="2025-01-27T00:00:00"/>
    <x v="27"/>
    <n v="1"/>
  </r>
  <r>
    <s v="MEM0712"/>
    <s v="BR03"/>
    <s v="Premium"/>
    <d v="2025-03-19T00:00:00"/>
    <d v="2025-04-18T00:00:00"/>
    <n v="1000"/>
    <n v="7000"/>
    <n v="7"/>
    <x v="0"/>
    <d v="2026-03-24T00:00:00"/>
    <s v="Moderate"/>
    <s v="Unique"/>
    <x v="33"/>
    <d v="2026-03-24T00:00:00"/>
    <x v="0"/>
    <n v="1"/>
  </r>
  <r>
    <s v="MEM0713"/>
    <s v="BR04"/>
    <s v="Standard"/>
    <d v="2023-06-16T00:00:00"/>
    <d v="2023-07-16T00:00:00"/>
    <n v="1000"/>
    <n v="12000"/>
    <n v="12"/>
    <x v="1"/>
    <d v="2024-10-01T00:00:00"/>
    <s v="Moderate"/>
    <s v="Unique"/>
    <x v="10"/>
    <d v="2024-10-01T00:00:00"/>
    <x v="24"/>
    <n v="0"/>
  </r>
  <r>
    <s v="MEM0714"/>
    <s v="BR04"/>
    <s v="Standard"/>
    <d v="2024-08-08T00:00:00"/>
    <d v="2024-11-06T00:00:00"/>
    <n v="3500"/>
    <n v="31500"/>
    <n v="7"/>
    <x v="0"/>
    <d v="2025-11-12T00:00:00"/>
    <s v="Moderate"/>
    <s v="Unique"/>
    <x v="12"/>
    <d v="2025-11-12T00:00:00"/>
    <x v="24"/>
    <n v="1"/>
  </r>
  <r>
    <s v="MEM0715"/>
    <s v="BR07"/>
    <s v="Basic"/>
    <d v="2024-05-14T00:00:00"/>
    <d v="2025-05-14T00:00:00"/>
    <n v="3500"/>
    <n v="35000"/>
    <n v="25"/>
    <x v="0"/>
    <d v="2025-11-19T00:00:00"/>
    <s v="Highly Active"/>
    <s v="Unique"/>
    <x v="15"/>
    <d v="2025-11-19T00:00:00"/>
    <x v="28"/>
    <n v="1"/>
  </r>
  <r>
    <s v="MEM0716"/>
    <s v="BR05"/>
    <s v="Premium"/>
    <d v="2024-05-15T00:00:00"/>
    <d v="2024-08-13T00:00:00"/>
    <n v="2000"/>
    <n v="10000"/>
    <n v="4"/>
    <x v="1"/>
    <d v="2025-08-29T00:00:00"/>
    <s v="At Risk"/>
    <s v="Unique"/>
    <x v="15"/>
    <d v="2025-08-29T00:00:00"/>
    <x v="24"/>
    <n v="0"/>
  </r>
  <r>
    <s v="MEM0717"/>
    <s v="BR02"/>
    <s v="Premium"/>
    <d v="2024-01-12T00:00:00"/>
    <d v="2024-04-11T00:00:00"/>
    <n v="2000"/>
    <n v="24000"/>
    <n v="6"/>
    <x v="0"/>
    <d v="2025-02-12T00:00:00"/>
    <s v="Moderate"/>
    <s v="Unique"/>
    <x v="34"/>
    <d v="2025-02-12T00:00:00"/>
    <x v="9"/>
    <n v="1"/>
  </r>
  <r>
    <s v="MEM0718"/>
    <s v="BR06"/>
    <s v="Standard"/>
    <d v="2024-06-13T00:00:00"/>
    <d v="2024-07-13T00:00:00"/>
    <n v="3500"/>
    <n v="24500"/>
    <n v="14"/>
    <x v="0"/>
    <d v="2025-12-06T00:00:00"/>
    <s v="Moderate"/>
    <s v="Unique"/>
    <x v="1"/>
    <d v="2025-12-06T00:00:00"/>
    <x v="5"/>
    <n v="1"/>
  </r>
  <r>
    <s v="MEM0719"/>
    <s v="BR02"/>
    <s v="Premium"/>
    <d v="2024-04-04T00:00:00"/>
    <d v="2025-04-04T00:00:00"/>
    <n v="1000"/>
    <n v="3000"/>
    <n v="5"/>
    <x v="0"/>
    <d v="2025-11-03T00:00:00"/>
    <s v="Moderate"/>
    <s v="Unique"/>
    <x v="9"/>
    <d v="2025-11-03T00:00:00"/>
    <x v="28"/>
    <n v="1"/>
  </r>
  <r>
    <s v="MEM0720"/>
    <s v="BR04"/>
    <s v="Standard"/>
    <d v="2025-09-20T00:00:00"/>
    <d v="2025-10-20T00:00:00"/>
    <n v="1000"/>
    <n v="10000"/>
    <n v="3"/>
    <x v="0"/>
    <d v="2025-12-07T00:00:00"/>
    <s v="At Risk"/>
    <s v="Unique"/>
    <x v="36"/>
    <d v="2025-12-07T00:00:00"/>
    <x v="3"/>
    <n v="1"/>
  </r>
  <r>
    <s v="MEM0721"/>
    <s v="BR02"/>
    <s v="Premium"/>
    <d v="2023-04-26T00:00:00"/>
    <d v="2023-05-26T00:00:00"/>
    <n v="1000"/>
    <n v="11000"/>
    <n v="14"/>
    <x v="0"/>
    <d v="2025-09-19T00:00:00"/>
    <s v="Moderate"/>
    <s v="Unique"/>
    <x v="28"/>
    <d v="2025-09-19T00:00:00"/>
    <x v="26"/>
    <n v="1"/>
  </r>
  <r>
    <s v="MEM0722"/>
    <s v="BR02"/>
    <s v="Premium"/>
    <d v="2024-01-19T00:00:00"/>
    <d v="2024-02-18T00:00:00"/>
    <n v="3500"/>
    <n v="35000"/>
    <n v="6"/>
    <x v="0"/>
    <d v="2024-12-06T00:00:00"/>
    <s v="Moderate"/>
    <s v="Unique"/>
    <x v="34"/>
    <d v="2024-12-06T00:00:00"/>
    <x v="2"/>
    <n v="1"/>
  </r>
  <r>
    <s v="MEM0723"/>
    <s v="BR07"/>
    <s v="Standard"/>
    <d v="2024-10-10T00:00:00"/>
    <d v="2025-01-08T00:00:00"/>
    <n v="2000"/>
    <n v="24000"/>
    <n v="6"/>
    <x v="1"/>
    <d v="2025-03-28T00:00:00"/>
    <s v="Moderate"/>
    <s v="Unique"/>
    <x v="19"/>
    <d v="2025-03-28T00:00:00"/>
    <x v="27"/>
    <n v="0"/>
  </r>
  <r>
    <s v="MEM0724"/>
    <s v="BR04"/>
    <s v="Premium"/>
    <d v="2026-01-23T00:00:00"/>
    <d v="2027-01-23T00:00:00"/>
    <n v="3500"/>
    <n v="21000"/>
    <n v="13"/>
    <x v="0"/>
    <d v="2026-03-06T00:00:00"/>
    <s v="Moderate"/>
    <s v="Unique"/>
    <x v="35"/>
    <d v="2026-03-06T00:00:00"/>
    <x v="11"/>
    <n v="1"/>
  </r>
  <r>
    <s v="MEM0725"/>
    <s v="BR02"/>
    <s v="Basic"/>
    <d v="2025-09-27T00:00:00"/>
    <d v="2025-12-26T00:00:00"/>
    <n v="1000"/>
    <n v="1000"/>
    <n v="24"/>
    <x v="0"/>
    <d v="2025-11-11T00:00:00"/>
    <s v="Highly Active"/>
    <s v="Unique"/>
    <x v="36"/>
    <d v="2025-11-11T00:00:00"/>
    <x v="11"/>
    <n v="1"/>
  </r>
  <r>
    <s v="MEM0726"/>
    <s v="BR01"/>
    <s v="Premium"/>
    <d v="2025-04-15T00:00:00"/>
    <d v="2025-05-15T00:00:00"/>
    <n v="1000"/>
    <n v="1000"/>
    <n v="17"/>
    <x v="0"/>
    <d v="2025-05-31T00:00:00"/>
    <s v="Highly Active"/>
    <s v="Unique"/>
    <x v="26"/>
    <d v="2025-05-31T00:00:00"/>
    <x v="11"/>
    <n v="1"/>
  </r>
  <r>
    <s v="MEM0727"/>
    <s v="BR06"/>
    <s v="Premium"/>
    <d v="2023-07-13T00:00:00"/>
    <d v="2023-08-12T00:00:00"/>
    <n v="2000"/>
    <n v="2000"/>
    <n v="16"/>
    <x v="0"/>
    <d v="2026-03-02T00:00:00"/>
    <s v="Highly Active"/>
    <s v="Unique"/>
    <x v="6"/>
    <d v="2026-03-02T00:00:00"/>
    <x v="32"/>
    <n v="1"/>
  </r>
  <r>
    <s v="MEM0728"/>
    <s v="BR07"/>
    <s v="Premium"/>
    <d v="2025-09-28T00:00:00"/>
    <d v="2025-12-27T00:00:00"/>
    <n v="3500"/>
    <n v="21000"/>
    <n v="7"/>
    <x v="0"/>
    <d v="2026-03-18T00:00:00"/>
    <s v="Moderate"/>
    <s v="Unique"/>
    <x v="36"/>
    <d v="2026-03-18T00:00:00"/>
    <x v="27"/>
    <n v="1"/>
  </r>
  <r>
    <s v="MEM0729"/>
    <s v="BR07"/>
    <s v="Standard"/>
    <d v="2024-05-07T00:00:00"/>
    <d v="2024-08-05T00:00:00"/>
    <n v="2000"/>
    <n v="18000"/>
    <n v="18"/>
    <x v="0"/>
    <d v="2025-04-12T00:00:00"/>
    <s v="Highly Active"/>
    <s v="Unique"/>
    <x v="15"/>
    <d v="2025-04-12T00:00:00"/>
    <x v="4"/>
    <n v="1"/>
  </r>
  <r>
    <s v="MEM0730"/>
    <s v="BR04"/>
    <s v="Premium"/>
    <d v="2025-01-23T00:00:00"/>
    <d v="2026-01-23T00:00:00"/>
    <n v="1000"/>
    <n v="12000"/>
    <n v="25"/>
    <x v="1"/>
    <d v="2025-09-26T00:00:00"/>
    <s v="Highly Active"/>
    <s v="Unique"/>
    <x v="5"/>
    <d v="2025-09-26T00:00:00"/>
    <x v="14"/>
    <n v="0"/>
  </r>
  <r>
    <s v="MEM0731"/>
    <s v="BR03"/>
    <s v="Standard"/>
    <d v="2023-12-11T00:00:00"/>
    <d v="2024-12-10T00:00:00"/>
    <n v="2000"/>
    <n v="12000"/>
    <n v="3"/>
    <x v="1"/>
    <d v="2024-02-28T00:00:00"/>
    <s v="At Risk"/>
    <s v="Unique"/>
    <x v="22"/>
    <d v="2024-02-28T00:00:00"/>
    <x v="3"/>
    <n v="0"/>
  </r>
  <r>
    <s v="MEM0732"/>
    <s v="BR01"/>
    <s v="Premium"/>
    <d v="2026-01-18T00:00:00"/>
    <d v="2026-02-17T00:00:00"/>
    <n v="3500"/>
    <n v="31500"/>
    <n v="7"/>
    <x v="0"/>
    <d v="2026-03-15T00:00:00"/>
    <s v="Moderate"/>
    <s v="Unique"/>
    <x v="35"/>
    <d v="2026-03-15T00:00:00"/>
    <x v="11"/>
    <n v="1"/>
  </r>
  <r>
    <s v="MEM0733"/>
    <s v="BR01"/>
    <s v="Premium"/>
    <d v="2025-06-11T00:00:00"/>
    <d v="2025-09-09T00:00:00"/>
    <n v="1000"/>
    <n v="10000"/>
    <n v="14"/>
    <x v="0"/>
    <d v="2025-12-15T00:00:00"/>
    <s v="Moderate"/>
    <s v="Unique"/>
    <x v="18"/>
    <d v="2025-12-15T00:00:00"/>
    <x v="12"/>
    <n v="1"/>
  </r>
  <r>
    <s v="MEM0734"/>
    <s v="BR05"/>
    <s v="Premium"/>
    <d v="2024-11-19T00:00:00"/>
    <d v="2025-02-17T00:00:00"/>
    <n v="3500"/>
    <n v="24500"/>
    <n v="17"/>
    <x v="0"/>
    <d v="2026-04-08T00:00:00"/>
    <s v="Highly Active"/>
    <s v="Unique"/>
    <x v="23"/>
    <d v="2026-04-08T00:00:00"/>
    <x v="10"/>
    <n v="1"/>
  </r>
  <r>
    <s v="MEM0735"/>
    <s v="BR06"/>
    <s v="Basic"/>
    <d v="2025-12-02T00:00:00"/>
    <d v="2026-03-02T00:00:00"/>
    <n v="1000"/>
    <n v="2000"/>
    <n v="18"/>
    <x v="0"/>
    <d v="2026-02-15T00:00:00"/>
    <s v="Highly Active"/>
    <s v="Unique"/>
    <x v="24"/>
    <d v="2026-02-15T00:00:00"/>
    <x v="3"/>
    <n v="1"/>
  </r>
  <r>
    <s v="MEM0736"/>
    <s v="BR05"/>
    <s v="Standard"/>
    <d v="2024-09-10T00:00:00"/>
    <d v="2024-12-09T00:00:00"/>
    <n v="2000"/>
    <n v="16000"/>
    <n v="6"/>
    <x v="0"/>
    <d v="2025-07-05T00:00:00"/>
    <s v="Moderate"/>
    <s v="Unique"/>
    <x v="8"/>
    <d v="2025-07-05T00:00:00"/>
    <x v="6"/>
    <n v="1"/>
  </r>
  <r>
    <s v="MEM0737"/>
    <s v="BR01"/>
    <s v="Basic"/>
    <d v="2025-11-15T00:00:00"/>
    <d v="2026-02-13T00:00:00"/>
    <n v="2000"/>
    <n v="22000"/>
    <n v="15"/>
    <x v="0"/>
    <d v="2026-03-26T00:00:00"/>
    <s v="Highly Active"/>
    <s v="Unique"/>
    <x v="7"/>
    <d v="2026-03-26T00:00:00"/>
    <x v="13"/>
    <n v="1"/>
  </r>
  <r>
    <s v="MEM0738"/>
    <s v="BR01"/>
    <s v="Premium"/>
    <d v="2025-01-13T00:00:00"/>
    <d v="2025-02-12T00:00:00"/>
    <n v="1000"/>
    <n v="9000"/>
    <n v="22"/>
    <x v="0"/>
    <d v="2025-04-25T00:00:00"/>
    <s v="Highly Active"/>
    <s v="Unique"/>
    <x v="5"/>
    <d v="2025-04-25T00:00:00"/>
    <x v="15"/>
    <n v="1"/>
  </r>
  <r>
    <s v="MEM0739"/>
    <s v="BR07"/>
    <s v="Basic"/>
    <d v="2024-09-24T00:00:00"/>
    <d v="2024-10-24T00:00:00"/>
    <n v="3500"/>
    <n v="28000"/>
    <n v="15"/>
    <x v="0"/>
    <d v="2025-09-02T00:00:00"/>
    <s v="Highly Active"/>
    <s v="Unique"/>
    <x v="8"/>
    <d v="2025-09-02T00:00:00"/>
    <x v="4"/>
    <n v="1"/>
  </r>
  <r>
    <s v="MEM0740"/>
    <s v="BR03"/>
    <s v="Basic"/>
    <d v="2023-03-27T00:00:00"/>
    <d v="2023-04-26T00:00:00"/>
    <n v="1000"/>
    <n v="6000"/>
    <n v="9"/>
    <x v="0"/>
    <d v="2023-04-03T00:00:00"/>
    <s v="Moderate"/>
    <s v="Unique"/>
    <x v="20"/>
    <d v="2023-04-03T00:00:00"/>
    <x v="23"/>
    <n v="1"/>
  </r>
  <r>
    <s v="MEM0741"/>
    <s v="BR02"/>
    <s v="Premium"/>
    <d v="2025-04-26T00:00:00"/>
    <d v="2026-04-26T00:00:00"/>
    <n v="2000"/>
    <n v="4000"/>
    <n v="22"/>
    <x v="0"/>
    <d v="2025-12-07T00:00:00"/>
    <s v="Highly Active"/>
    <s v="Unique"/>
    <x v="26"/>
    <d v="2025-12-07T00:00:00"/>
    <x v="25"/>
    <n v="1"/>
  </r>
  <r>
    <s v="MEM0742"/>
    <s v="BR02"/>
    <s v="Standard"/>
    <d v="2024-12-30T00:00:00"/>
    <d v="2025-03-30T00:00:00"/>
    <n v="3500"/>
    <n v="35000"/>
    <n v="10"/>
    <x v="0"/>
    <d v="2025-08-12T00:00:00"/>
    <s v="Moderate"/>
    <s v="Unique"/>
    <x v="0"/>
    <d v="2025-08-12T00:00:00"/>
    <x v="25"/>
    <n v="1"/>
  </r>
  <r>
    <s v="MEM0743"/>
    <s v="BR06"/>
    <s v="Standard"/>
    <d v="2023-05-19T00:00:00"/>
    <d v="2023-08-17T00:00:00"/>
    <n v="3500"/>
    <n v="28000"/>
    <n v="20"/>
    <x v="0"/>
    <d v="2024-01-21T00:00:00"/>
    <s v="Highly Active"/>
    <s v="Unique"/>
    <x v="29"/>
    <d v="2024-01-21T00:00:00"/>
    <x v="14"/>
    <n v="1"/>
  </r>
  <r>
    <s v="MEM0744"/>
    <s v="BR01"/>
    <s v="Standard"/>
    <d v="2024-03-18T00:00:00"/>
    <d v="2025-03-18T00:00:00"/>
    <n v="3500"/>
    <n v="42000"/>
    <n v="16"/>
    <x v="0"/>
    <d v="2025-10-03T00:00:00"/>
    <s v="Highly Active"/>
    <s v="Unique"/>
    <x v="11"/>
    <d v="2025-10-03T00:00:00"/>
    <x v="28"/>
    <n v="1"/>
  </r>
  <r>
    <s v="MEM0745"/>
    <s v="BR04"/>
    <s v="Premium"/>
    <d v="2024-06-09T00:00:00"/>
    <d v="2025-06-09T00:00:00"/>
    <n v="2000"/>
    <n v="12000"/>
    <n v="3"/>
    <x v="0"/>
    <d v="2024-07-03T00:00:00"/>
    <s v="At Risk"/>
    <s v="Unique"/>
    <x v="1"/>
    <d v="2024-07-03T00:00:00"/>
    <x v="23"/>
    <n v="1"/>
  </r>
  <r>
    <s v="MEM0746"/>
    <s v="BR05"/>
    <s v="Premium"/>
    <d v="2025-08-09T00:00:00"/>
    <d v="2026-08-09T00:00:00"/>
    <n v="3500"/>
    <n v="21000"/>
    <n v="16"/>
    <x v="0"/>
    <d v="2026-01-08T00:00:00"/>
    <s v="Highly Active"/>
    <s v="Unique"/>
    <x v="4"/>
    <d v="2026-01-08T00:00:00"/>
    <x v="13"/>
    <n v="1"/>
  </r>
  <r>
    <s v="MEM0747"/>
    <s v="BR01"/>
    <s v="Standard"/>
    <d v="2025-04-22T00:00:00"/>
    <d v="2025-07-21T00:00:00"/>
    <n v="1000"/>
    <n v="4000"/>
    <n v="17"/>
    <x v="0"/>
    <d v="2025-06-06T00:00:00"/>
    <s v="Highly Active"/>
    <s v="Unique"/>
    <x v="26"/>
    <d v="2025-06-06T00:00:00"/>
    <x v="11"/>
    <n v="1"/>
  </r>
  <r>
    <s v="MEM0748"/>
    <s v="BR06"/>
    <s v="Premium"/>
    <d v="2023-10-09T00:00:00"/>
    <d v="2024-10-08T00:00:00"/>
    <n v="1000"/>
    <n v="12000"/>
    <n v="20"/>
    <x v="0"/>
    <d v="2024-09-05T00:00:00"/>
    <s v="Highly Active"/>
    <s v="Unique"/>
    <x v="31"/>
    <d v="2024-09-05T00:00:00"/>
    <x v="2"/>
    <n v="1"/>
  </r>
  <r>
    <s v="MEM0749"/>
    <s v="BR07"/>
    <s v="Basic"/>
    <d v="2023-12-03T00:00:00"/>
    <d v="2024-03-02T00:00:00"/>
    <n v="1000"/>
    <n v="11000"/>
    <n v="1"/>
    <x v="1"/>
    <d v="2024-01-17T00:00:00"/>
    <s v="At Risk"/>
    <s v="Unique"/>
    <x v="22"/>
    <d v="2024-01-17T00:00:00"/>
    <x v="11"/>
    <n v="0"/>
  </r>
  <r>
    <s v="MEM0750"/>
    <s v="BR01"/>
    <s v="Basic"/>
    <d v="2023-10-15T00:00:00"/>
    <d v="2023-11-14T00:00:00"/>
    <n v="3500"/>
    <n v="7000"/>
    <n v="21"/>
    <x v="0"/>
    <d v="2025-07-17T00:00:00"/>
    <s v="Highly Active"/>
    <s v="Unique"/>
    <x v="31"/>
    <d v="2025-07-17T00:00:00"/>
    <x v="8"/>
    <n v="1"/>
  </r>
  <r>
    <s v="MEM0751"/>
    <s v="BR02"/>
    <s v="Basic"/>
    <d v="2024-10-12T00:00:00"/>
    <d v="2025-01-10T00:00:00"/>
    <n v="1000"/>
    <n v="8000"/>
    <n v="10"/>
    <x v="0"/>
    <d v="2025-03-29T00:00:00"/>
    <s v="Moderate"/>
    <s v="Unique"/>
    <x v="19"/>
    <d v="2025-03-29T00:00:00"/>
    <x v="27"/>
    <n v="1"/>
  </r>
  <r>
    <s v="MEM0752"/>
    <s v="BR07"/>
    <s v="Standard"/>
    <d v="2024-03-20T00:00:00"/>
    <d v="2024-04-19T00:00:00"/>
    <n v="1000"/>
    <n v="11000"/>
    <n v="16"/>
    <x v="0"/>
    <d v="2026-02-17T00:00:00"/>
    <s v="Highly Active"/>
    <s v="Unique"/>
    <x v="11"/>
    <d v="2026-02-17T00:00:00"/>
    <x v="29"/>
    <n v="1"/>
  </r>
  <r>
    <s v="MEM0753"/>
    <s v="BR02"/>
    <s v="Premium"/>
    <d v="2025-11-25T00:00:00"/>
    <d v="2025-12-25T00:00:00"/>
    <n v="2000"/>
    <n v="10000"/>
    <n v="24"/>
    <x v="0"/>
    <d v="2026-02-16T00:00:00"/>
    <s v="Highly Active"/>
    <s v="Unique"/>
    <x v="7"/>
    <d v="2026-02-16T00:00:00"/>
    <x v="3"/>
    <n v="1"/>
  </r>
  <r>
    <s v="MEM0754"/>
    <s v="BR04"/>
    <s v="Premium"/>
    <d v="2025-03-06T00:00:00"/>
    <d v="2025-04-05T00:00:00"/>
    <n v="1000"/>
    <n v="6000"/>
    <n v="11"/>
    <x v="0"/>
    <d v="2025-06-29T00:00:00"/>
    <s v="Moderate"/>
    <s v="Unique"/>
    <x v="33"/>
    <d v="2025-06-29T00:00:00"/>
    <x v="15"/>
    <n v="1"/>
  </r>
  <r>
    <s v="MEM0755"/>
    <s v="BR02"/>
    <s v="Standard"/>
    <d v="2024-06-23T00:00:00"/>
    <d v="2024-09-21T00:00:00"/>
    <n v="2000"/>
    <n v="2000"/>
    <n v="9"/>
    <x v="0"/>
    <d v="2025-04-21T00:00:00"/>
    <s v="Moderate"/>
    <s v="Unique"/>
    <x v="1"/>
    <d v="2025-04-21T00:00:00"/>
    <x v="6"/>
    <n v="1"/>
  </r>
  <r>
    <s v="MEM0756"/>
    <s v="BR03"/>
    <s v="Premium"/>
    <d v="2023-07-10T00:00:00"/>
    <d v="2023-10-08T00:00:00"/>
    <n v="3500"/>
    <n v="24500"/>
    <n v="24"/>
    <x v="0"/>
    <d v="2024-09-27T00:00:00"/>
    <s v="Highly Active"/>
    <s v="Unique"/>
    <x v="6"/>
    <d v="2024-09-27T00:00:00"/>
    <x v="7"/>
    <n v="1"/>
  </r>
  <r>
    <s v="MEM0757"/>
    <s v="BR07"/>
    <s v="Premium"/>
    <d v="2024-05-31T00:00:00"/>
    <d v="2025-05-31T00:00:00"/>
    <n v="3500"/>
    <n v="14000"/>
    <n v="9"/>
    <x v="0"/>
    <d v="2024-11-11T00:00:00"/>
    <s v="Moderate"/>
    <s v="Unique"/>
    <x v="15"/>
    <d v="2024-11-11T00:00:00"/>
    <x v="27"/>
    <n v="1"/>
  </r>
  <r>
    <s v="MEM0758"/>
    <s v="BR03"/>
    <s v="Basic"/>
    <d v="2023-06-14T00:00:00"/>
    <d v="2023-09-12T00:00:00"/>
    <n v="3500"/>
    <n v="10500"/>
    <n v="6"/>
    <x v="0"/>
    <d v="2026-01-20T00:00:00"/>
    <s v="Moderate"/>
    <s v="Unique"/>
    <x v="10"/>
    <d v="2026-01-20T00:00:00"/>
    <x v="32"/>
    <n v="1"/>
  </r>
  <r>
    <s v="MEM0759"/>
    <s v="BR03"/>
    <s v="Basic"/>
    <d v="2023-10-21T00:00:00"/>
    <d v="2024-10-20T00:00:00"/>
    <n v="3500"/>
    <n v="42000"/>
    <n v="11"/>
    <x v="0"/>
    <d v="2024-08-21T00:00:00"/>
    <s v="Moderate"/>
    <s v="Unique"/>
    <x v="31"/>
    <d v="2024-08-21T00:00:00"/>
    <x v="2"/>
    <n v="1"/>
  </r>
  <r>
    <s v="MEM0760"/>
    <s v="BR01"/>
    <s v="Basic"/>
    <d v="2023-11-04T00:00:00"/>
    <d v="2023-12-04T00:00:00"/>
    <n v="3500"/>
    <n v="14000"/>
    <n v="18"/>
    <x v="0"/>
    <d v="2026-01-28T00:00:00"/>
    <s v="Highly Active"/>
    <s v="Unique"/>
    <x v="21"/>
    <d v="2026-01-28T00:00:00"/>
    <x v="22"/>
    <n v="1"/>
  </r>
  <r>
    <s v="MEM0761"/>
    <s v="BR06"/>
    <s v="Premium"/>
    <d v="2024-11-08T00:00:00"/>
    <d v="2025-02-06T00:00:00"/>
    <n v="1000"/>
    <n v="9000"/>
    <n v="11"/>
    <x v="0"/>
    <d v="2026-03-29T00:00:00"/>
    <s v="Moderate"/>
    <s v="Unique"/>
    <x v="23"/>
    <d v="2026-03-29T00:00:00"/>
    <x v="10"/>
    <n v="1"/>
  </r>
  <r>
    <s v="MEM0762"/>
    <s v="BR05"/>
    <s v="Standard"/>
    <d v="2024-08-05T00:00:00"/>
    <d v="2025-08-05T00:00:00"/>
    <n v="1000"/>
    <n v="3000"/>
    <n v="3"/>
    <x v="1"/>
    <d v="2024-09-06T00:00:00"/>
    <s v="At Risk"/>
    <s v="Unique"/>
    <x v="12"/>
    <d v="2024-09-06T00:00:00"/>
    <x v="11"/>
    <n v="0"/>
  </r>
  <r>
    <s v="MEM0763"/>
    <s v="BR01"/>
    <s v="Basic"/>
    <d v="2023-01-27T00:00:00"/>
    <d v="2023-04-27T00:00:00"/>
    <n v="2000"/>
    <n v="6000"/>
    <n v="5"/>
    <x v="1"/>
    <d v="2023-04-14T00:00:00"/>
    <s v="Moderate"/>
    <s v="Unique"/>
    <x v="2"/>
    <d v="2023-04-14T00:00:00"/>
    <x v="3"/>
    <n v="0"/>
  </r>
  <r>
    <s v="MEM0764"/>
    <s v="BR01"/>
    <s v="Standard"/>
    <d v="2023-07-20T00:00:00"/>
    <d v="2023-10-18T00:00:00"/>
    <n v="2000"/>
    <n v="16000"/>
    <n v="16"/>
    <x v="0"/>
    <d v="2025-06-11T00:00:00"/>
    <s v="Highly Active"/>
    <s v="Unique"/>
    <x v="6"/>
    <d v="2025-06-11T00:00:00"/>
    <x v="29"/>
    <n v="1"/>
  </r>
  <r>
    <s v="MEM0765"/>
    <s v="BR04"/>
    <s v="Basic"/>
    <d v="2024-10-22T00:00:00"/>
    <d v="2025-10-22T00:00:00"/>
    <n v="3500"/>
    <n v="28000"/>
    <n v="13"/>
    <x v="0"/>
    <d v="2025-02-17T00:00:00"/>
    <s v="Moderate"/>
    <s v="Unique"/>
    <x v="19"/>
    <d v="2025-02-17T00:00:00"/>
    <x v="15"/>
    <n v="1"/>
  </r>
  <r>
    <s v="MEM0766"/>
    <s v="BR05"/>
    <s v="Standard"/>
    <d v="2023-09-09T00:00:00"/>
    <d v="2023-10-09T00:00:00"/>
    <n v="1000"/>
    <n v="6000"/>
    <n v="9"/>
    <x v="1"/>
    <d v="2024-02-15T00:00:00"/>
    <s v="Moderate"/>
    <s v="Unique"/>
    <x v="25"/>
    <d v="2024-02-15T00:00:00"/>
    <x v="27"/>
    <n v="0"/>
  </r>
  <r>
    <s v="MEM0767"/>
    <s v="BR02"/>
    <s v="Basic"/>
    <d v="2023-04-06T00:00:00"/>
    <d v="2024-04-05T00:00:00"/>
    <n v="3500"/>
    <n v="10500"/>
    <n v="5"/>
    <x v="0"/>
    <d v="2025-10-10T00:00:00"/>
    <s v="Moderate"/>
    <s v="Unique"/>
    <x v="28"/>
    <d v="2025-10-10T00:00:00"/>
    <x v="21"/>
    <n v="1"/>
  </r>
  <r>
    <s v="MEM0768"/>
    <s v="BR05"/>
    <s v="Premium"/>
    <d v="2023-10-12T00:00:00"/>
    <d v="2024-10-11T00:00:00"/>
    <n v="1000"/>
    <n v="4000"/>
    <n v="11"/>
    <x v="0"/>
    <d v="2025-06-23T00:00:00"/>
    <s v="Moderate"/>
    <s v="Unique"/>
    <x v="31"/>
    <d v="2025-06-23T00:00:00"/>
    <x v="35"/>
    <n v="1"/>
  </r>
  <r>
    <s v="MEM0769"/>
    <s v="BR07"/>
    <s v="Standard"/>
    <d v="2023-06-30T00:00:00"/>
    <d v="2023-07-30T00:00:00"/>
    <n v="2000"/>
    <n v="12000"/>
    <n v="21"/>
    <x v="0"/>
    <d v="2023-08-19T00:00:00"/>
    <s v="Highly Active"/>
    <s v="Unique"/>
    <x v="10"/>
    <d v="2023-08-19T00:00:00"/>
    <x v="11"/>
    <n v="1"/>
  </r>
  <r>
    <s v="MEM0770"/>
    <s v="BR07"/>
    <s v="Standard"/>
    <d v="2025-10-25T00:00:00"/>
    <d v="2025-11-24T00:00:00"/>
    <n v="3500"/>
    <n v="42000"/>
    <n v="12"/>
    <x v="0"/>
    <d v="2025-11-09T00:00:00"/>
    <s v="Moderate"/>
    <s v="Unique"/>
    <x v="32"/>
    <d v="2025-11-09T00:00:00"/>
    <x v="23"/>
    <n v="1"/>
  </r>
  <r>
    <s v="MEM0771"/>
    <s v="BR02"/>
    <s v="Standard"/>
    <d v="2025-07-13T00:00:00"/>
    <d v="2025-08-12T00:00:00"/>
    <n v="1000"/>
    <n v="1000"/>
    <n v="18"/>
    <x v="0"/>
    <d v="2025-09-18T00:00:00"/>
    <s v="Highly Active"/>
    <s v="Unique"/>
    <x v="17"/>
    <d v="2025-09-18T00:00:00"/>
    <x v="3"/>
    <n v="1"/>
  </r>
  <r>
    <s v="MEM0772"/>
    <s v="BR03"/>
    <s v="Basic"/>
    <d v="2023-08-08T00:00:00"/>
    <d v="2023-11-06T00:00:00"/>
    <n v="2000"/>
    <n v="18000"/>
    <n v="15"/>
    <x v="1"/>
    <d v="2024-08-31T00:00:00"/>
    <s v="Highly Active"/>
    <s v="Unique"/>
    <x v="27"/>
    <d v="2024-08-31T00:00:00"/>
    <x v="0"/>
    <n v="0"/>
  </r>
  <r>
    <s v="MEM0773"/>
    <s v="BR07"/>
    <s v="Basic"/>
    <d v="2026-01-31T00:00:00"/>
    <d v="2026-03-02T00:00:00"/>
    <n v="1000"/>
    <n v="3000"/>
    <n v="2"/>
    <x v="1"/>
    <d v="2026-02-28T00:00:00"/>
    <s v="At Risk"/>
    <s v="Unique"/>
    <x v="35"/>
    <d v="2026-02-28T00:00:00"/>
    <x v="23"/>
    <n v="0"/>
  </r>
  <r>
    <s v="MEM0774"/>
    <s v="BR01"/>
    <s v="Standard"/>
    <d v="2023-12-21T00:00:00"/>
    <d v="2024-01-20T00:00:00"/>
    <n v="2000"/>
    <n v="14000"/>
    <n v="21"/>
    <x v="0"/>
    <d v="2024-05-12T00:00:00"/>
    <s v="Highly Active"/>
    <s v="Unique"/>
    <x v="22"/>
    <d v="2024-05-12T00:00:00"/>
    <x v="13"/>
    <n v="1"/>
  </r>
  <r>
    <s v="MEM0775"/>
    <s v="BR07"/>
    <s v="Premium"/>
    <d v="2025-01-10T00:00:00"/>
    <d v="2025-02-09T00:00:00"/>
    <n v="3500"/>
    <n v="21000"/>
    <n v="8"/>
    <x v="0"/>
    <d v="2025-09-11T00:00:00"/>
    <s v="Moderate"/>
    <s v="Unique"/>
    <x v="5"/>
    <d v="2025-09-11T00:00:00"/>
    <x v="14"/>
    <n v="1"/>
  </r>
  <r>
    <s v="MEM0776"/>
    <s v="BR01"/>
    <s v="Standard"/>
    <d v="2023-04-26T00:00:00"/>
    <d v="2023-05-26T00:00:00"/>
    <n v="3500"/>
    <n v="14000"/>
    <n v="21"/>
    <x v="0"/>
    <d v="2023-09-25T00:00:00"/>
    <s v="Highly Active"/>
    <s v="Unique"/>
    <x v="28"/>
    <d v="2023-09-25T00:00:00"/>
    <x v="13"/>
    <n v="1"/>
  </r>
  <r>
    <s v="MEM0777"/>
    <s v="BR03"/>
    <s v="Premium"/>
    <d v="2023-01-21T00:00:00"/>
    <d v="2023-04-21T00:00:00"/>
    <n v="2000"/>
    <n v="2000"/>
    <n v="15"/>
    <x v="0"/>
    <d v="2023-11-05T00:00:00"/>
    <s v="Highly Active"/>
    <s v="Unique"/>
    <x v="2"/>
    <d v="2023-11-05T00:00:00"/>
    <x v="6"/>
    <n v="1"/>
  </r>
  <r>
    <s v="MEM0778"/>
    <s v="BR04"/>
    <s v="Basic"/>
    <d v="2023-08-28T00:00:00"/>
    <d v="2023-09-27T00:00:00"/>
    <n v="1000"/>
    <n v="2000"/>
    <n v="24"/>
    <x v="0"/>
    <d v="2026-04-06T00:00:00"/>
    <s v="Highly Active"/>
    <s v="Unique"/>
    <x v="27"/>
    <d v="2026-04-06T00:00:00"/>
    <x v="32"/>
    <n v="1"/>
  </r>
  <r>
    <s v="MEM0779"/>
    <s v="BR01"/>
    <s v="Standard"/>
    <d v="2023-11-28T00:00:00"/>
    <d v="2024-02-26T00:00:00"/>
    <n v="3500"/>
    <n v="31500"/>
    <n v="18"/>
    <x v="0"/>
    <d v="2025-08-29T00:00:00"/>
    <s v="Highly Active"/>
    <s v="Unique"/>
    <x v="21"/>
    <d v="2025-08-29T00:00:00"/>
    <x v="8"/>
    <n v="1"/>
  </r>
  <r>
    <s v="MEM0780"/>
    <s v="BR03"/>
    <s v="Basic"/>
    <d v="2023-07-10T00:00:00"/>
    <d v="2023-08-09T00:00:00"/>
    <n v="2000"/>
    <n v="8000"/>
    <n v="2"/>
    <x v="1"/>
    <d v="2024-01-18T00:00:00"/>
    <s v="At Risk"/>
    <s v="Unique"/>
    <x v="6"/>
    <d v="2024-01-18T00:00:00"/>
    <x v="12"/>
    <n v="0"/>
  </r>
  <r>
    <s v="MEM0781"/>
    <s v="BR07"/>
    <s v="Premium"/>
    <d v="2023-02-01T00:00:00"/>
    <d v="2023-03-03T00:00:00"/>
    <n v="3500"/>
    <n v="21000"/>
    <n v="7"/>
    <x v="0"/>
    <d v="2023-05-10T00:00:00"/>
    <s v="Moderate"/>
    <s v="Unique"/>
    <x v="16"/>
    <d v="2023-05-10T00:00:00"/>
    <x v="15"/>
    <n v="1"/>
  </r>
  <r>
    <s v="MEM0782"/>
    <s v="BR03"/>
    <s v="Basic"/>
    <d v="2023-08-06T00:00:00"/>
    <d v="2023-09-05T00:00:00"/>
    <n v="1000"/>
    <n v="1000"/>
    <n v="17"/>
    <x v="0"/>
    <d v="2025-02-23T00:00:00"/>
    <s v="Highly Active"/>
    <s v="Unique"/>
    <x v="27"/>
    <d v="2025-02-23T00:00:00"/>
    <x v="28"/>
    <n v="1"/>
  </r>
  <r>
    <s v="MEM0783"/>
    <s v="BR06"/>
    <s v="Basic"/>
    <d v="2025-12-06T00:00:00"/>
    <d v="2026-12-06T00:00:00"/>
    <n v="2000"/>
    <n v="6000"/>
    <n v="9"/>
    <x v="0"/>
    <d v="2025-12-25T00:00:00"/>
    <s v="Moderate"/>
    <s v="Unique"/>
    <x v="24"/>
    <d v="2025-12-25T00:00:00"/>
    <x v="23"/>
    <n v="1"/>
  </r>
  <r>
    <s v="MEM0784"/>
    <s v="BR02"/>
    <s v="Basic"/>
    <d v="2024-01-07T00:00:00"/>
    <d v="2025-01-06T00:00:00"/>
    <n v="2000"/>
    <n v="2000"/>
    <n v="4"/>
    <x v="1"/>
    <d v="2024-11-15T00:00:00"/>
    <s v="At Risk"/>
    <s v="Unique"/>
    <x v="34"/>
    <d v="2024-11-15T00:00:00"/>
    <x v="2"/>
    <n v="0"/>
  </r>
  <r>
    <s v="MEM0785"/>
    <s v="BR04"/>
    <s v="Basic"/>
    <d v="2024-09-28T00:00:00"/>
    <d v="2024-12-27T00:00:00"/>
    <n v="2000"/>
    <n v="12000"/>
    <n v="21"/>
    <x v="0"/>
    <d v="2026-03-07T00:00:00"/>
    <s v="Highly Active"/>
    <s v="Unique"/>
    <x v="8"/>
    <d v="2026-03-07T00:00:00"/>
    <x v="5"/>
    <n v="1"/>
  </r>
  <r>
    <s v="MEM0786"/>
    <s v="BR06"/>
    <s v="Standard"/>
    <d v="2026-01-21T00:00:00"/>
    <d v="2026-02-20T00:00:00"/>
    <n v="1000"/>
    <n v="10000"/>
    <n v="5"/>
    <x v="1"/>
    <d v="2026-04-04T00:00:00"/>
    <s v="Moderate"/>
    <s v="Unique"/>
    <x v="35"/>
    <d v="2026-04-04T00:00:00"/>
    <x v="3"/>
    <n v="0"/>
  </r>
  <r>
    <s v="MEM0787"/>
    <s v="BR01"/>
    <s v="Standard"/>
    <d v="2025-10-27T00:00:00"/>
    <d v="2026-10-27T00:00:00"/>
    <n v="2000"/>
    <n v="8000"/>
    <n v="5"/>
    <x v="0"/>
    <d v="2026-03-20T00:00:00"/>
    <s v="Moderate"/>
    <s v="Unique"/>
    <x v="32"/>
    <d v="2026-03-20T00:00:00"/>
    <x v="13"/>
    <n v="1"/>
  </r>
  <r>
    <s v="MEM0788"/>
    <s v="BR07"/>
    <s v="Standard"/>
    <d v="2024-11-18T00:00:00"/>
    <d v="2024-12-18T00:00:00"/>
    <n v="3500"/>
    <n v="17500"/>
    <n v="11"/>
    <x v="0"/>
    <d v="2025-03-01T00:00:00"/>
    <s v="Moderate"/>
    <s v="Unique"/>
    <x v="23"/>
    <d v="2025-03-01T00:00:00"/>
    <x v="15"/>
    <n v="1"/>
  </r>
  <r>
    <s v="MEM0789"/>
    <s v="BR01"/>
    <s v="Premium"/>
    <d v="2023-09-06T00:00:00"/>
    <d v="2023-10-06T00:00:00"/>
    <n v="2000"/>
    <n v="8000"/>
    <n v="21"/>
    <x v="0"/>
    <d v="2025-10-04T00:00:00"/>
    <s v="Highly Active"/>
    <s v="Unique"/>
    <x v="25"/>
    <d v="2025-10-04T00:00:00"/>
    <x v="17"/>
    <n v="1"/>
  </r>
  <r>
    <s v="MEM0790"/>
    <s v="BR03"/>
    <s v="Premium"/>
    <d v="2025-10-06T00:00:00"/>
    <d v="2026-10-06T00:00:00"/>
    <n v="1000"/>
    <n v="8000"/>
    <n v="1"/>
    <x v="1"/>
    <d v="2026-04-12T00:00:00"/>
    <s v="At Risk"/>
    <s v="Unique"/>
    <x v="32"/>
    <d v="2026-04-12T00:00:00"/>
    <x v="12"/>
    <n v="0"/>
  </r>
  <r>
    <s v="MEM0791"/>
    <s v="BR07"/>
    <s v="Basic"/>
    <d v="2024-03-13T00:00:00"/>
    <d v="2024-06-11T00:00:00"/>
    <n v="1000"/>
    <n v="5000"/>
    <n v="6"/>
    <x v="0"/>
    <d v="2025-03-15T00:00:00"/>
    <s v="Moderate"/>
    <s v="Unique"/>
    <x v="11"/>
    <d v="2025-03-15T00:00:00"/>
    <x v="0"/>
    <n v="1"/>
  </r>
  <r>
    <s v="MEM0792"/>
    <s v="BR05"/>
    <s v="Basic"/>
    <d v="2023-07-25T00:00:00"/>
    <d v="2023-10-23T00:00:00"/>
    <n v="3500"/>
    <n v="28000"/>
    <n v="5"/>
    <x v="1"/>
    <d v="2026-03-02T00:00:00"/>
    <s v="Moderate"/>
    <s v="Unique"/>
    <x v="6"/>
    <d v="2026-03-02T00:00:00"/>
    <x v="32"/>
    <n v="0"/>
  </r>
  <r>
    <s v="MEM0793"/>
    <s v="BR02"/>
    <s v="Premium"/>
    <d v="2023-12-25T00:00:00"/>
    <d v="2024-12-24T00:00:00"/>
    <n v="2000"/>
    <n v="4000"/>
    <n v="2"/>
    <x v="0"/>
    <d v="2024-01-25T00:00:00"/>
    <s v="At Risk"/>
    <s v="Unique"/>
    <x v="22"/>
    <d v="2024-01-25T00:00:00"/>
    <x v="11"/>
    <n v="1"/>
  </r>
  <r>
    <s v="MEM0794"/>
    <s v="BR01"/>
    <s v="Basic"/>
    <d v="2025-07-23T00:00:00"/>
    <d v="2025-10-21T00:00:00"/>
    <n v="3500"/>
    <n v="21000"/>
    <n v="9"/>
    <x v="0"/>
    <d v="2025-10-19T00:00:00"/>
    <s v="Moderate"/>
    <s v="Unique"/>
    <x v="17"/>
    <d v="2025-10-19T00:00:00"/>
    <x v="3"/>
    <n v="1"/>
  </r>
  <r>
    <s v="MEM0795"/>
    <s v="BR05"/>
    <s v="Standard"/>
    <d v="2023-09-25T00:00:00"/>
    <d v="2023-10-25T00:00:00"/>
    <n v="3500"/>
    <n v="24500"/>
    <n v="3"/>
    <x v="0"/>
    <d v="2025-02-22T00:00:00"/>
    <s v="At Risk"/>
    <s v="Unique"/>
    <x v="25"/>
    <d v="2025-02-22T00:00:00"/>
    <x v="10"/>
    <n v="1"/>
  </r>
  <r>
    <s v="MEM0796"/>
    <s v="BR02"/>
    <s v="Premium"/>
    <d v="2025-11-03T00:00:00"/>
    <d v="2026-11-03T00:00:00"/>
    <n v="2000"/>
    <n v="18000"/>
    <n v="23"/>
    <x v="0"/>
    <d v="2026-03-27T00:00:00"/>
    <s v="Highly Active"/>
    <s v="Unique"/>
    <x v="7"/>
    <d v="2026-03-27T00:00:00"/>
    <x v="13"/>
    <n v="1"/>
  </r>
  <r>
    <s v="MEM0797"/>
    <s v="BR06"/>
    <s v="Standard"/>
    <d v="2023-07-01T00:00:00"/>
    <d v="2024-06-30T00:00:00"/>
    <n v="2000"/>
    <n v="10000"/>
    <n v="16"/>
    <x v="0"/>
    <d v="2024-09-24T00:00:00"/>
    <s v="Highly Active"/>
    <s v="Unique"/>
    <x v="6"/>
    <d v="2024-09-24T00:00:00"/>
    <x v="7"/>
    <n v="1"/>
  </r>
  <r>
    <s v="MEM0798"/>
    <s v="BR07"/>
    <s v="Standard"/>
    <d v="2024-12-01T00:00:00"/>
    <d v="2024-12-31T00:00:00"/>
    <n v="2000"/>
    <n v="2000"/>
    <n v="4"/>
    <x v="0"/>
    <d v="2025-01-23T00:00:00"/>
    <s v="At Risk"/>
    <s v="Unique"/>
    <x v="0"/>
    <d v="2025-01-23T00:00:00"/>
    <x v="11"/>
    <n v="1"/>
  </r>
  <r>
    <s v="MEM0799"/>
    <s v="BR06"/>
    <s v="Standard"/>
    <d v="2023-09-23T00:00:00"/>
    <d v="2023-12-22T00:00:00"/>
    <n v="1000"/>
    <n v="2000"/>
    <n v="1"/>
    <x v="1"/>
    <d v="2025-06-18T00:00:00"/>
    <s v="At Risk"/>
    <s v="Unique"/>
    <x v="25"/>
    <d v="2025-06-18T00:00:00"/>
    <x v="35"/>
    <n v="0"/>
  </r>
  <r>
    <s v="MEM0800"/>
    <s v="BR03"/>
    <s v="Basic"/>
    <d v="2025-11-14T00:00:00"/>
    <d v="2026-02-12T00:00:00"/>
    <n v="3500"/>
    <n v="31500"/>
    <n v="4"/>
    <x v="1"/>
    <d v="2026-03-15T00:00:00"/>
    <s v="At Risk"/>
    <s v="Unique"/>
    <x v="7"/>
    <d v="2026-03-15T00:00:00"/>
    <x v="13"/>
    <n v="0"/>
  </r>
  <r>
    <s v="MEM0801"/>
    <s v="BR06"/>
    <s v="Basic"/>
    <d v="2024-12-04T00:00:00"/>
    <d v="2025-12-04T00:00:00"/>
    <n v="1000"/>
    <n v="6000"/>
    <s v=""/>
    <x v="1"/>
    <s v="46022"/>
    <s v="Highly Active"/>
    <s v="Unique"/>
    <x v="0"/>
    <s v="46022"/>
    <x v="0"/>
    <n v="0"/>
  </r>
  <r>
    <s v="MEM0802"/>
    <s v="BR01"/>
    <s v="Premium"/>
    <d v="2025-05-17T00:00:00"/>
    <d v="2025-06-16T00:00:00"/>
    <n v="3500"/>
    <n v="35000"/>
    <s v=""/>
    <x v="1"/>
    <s v="46050"/>
    <s v="Highly Active"/>
    <s v="Unique"/>
    <x v="30"/>
    <s v="46050"/>
    <x v="14"/>
    <n v="0"/>
  </r>
  <r>
    <s v="MEM0803"/>
    <s v="BR02"/>
    <s v="Premium"/>
    <d v="2025-09-19T00:00:00"/>
    <d v="2025-10-19T00:00:00"/>
    <n v="3500"/>
    <n v="10500"/>
    <s v=""/>
    <x v="1"/>
    <s v="45257"/>
    <s v="Highly Active"/>
    <s v="Unique"/>
    <x v="36"/>
    <s v="45257"/>
    <x v="23"/>
    <n v="0"/>
  </r>
  <r>
    <s v="MEM0804"/>
    <s v="BR06"/>
    <s v="Standard"/>
    <d v="2024-05-27T00:00:00"/>
    <d v="2025-05-27T00:00:00"/>
    <n v="3500"/>
    <n v="17500"/>
    <s v=""/>
    <x v="1"/>
    <s v="45937"/>
    <s v="Highly Active"/>
    <s v="Unique"/>
    <x v="15"/>
    <s v="45937"/>
    <x v="10"/>
    <n v="0"/>
  </r>
  <r>
    <s v="MEM0805"/>
    <s v="BR02"/>
    <s v="Standard"/>
    <d v="2024-12-09T00:00:00"/>
    <d v="2025-03-09T00:00:00"/>
    <n v="1000"/>
    <n v="6000"/>
    <s v=""/>
    <x v="0"/>
    <s v="45960"/>
    <s v="Highly Active"/>
    <s v="Unique"/>
    <x v="0"/>
    <s v="45960"/>
    <x v="2"/>
    <n v="1"/>
  </r>
  <r>
    <s v="MEM0806"/>
    <s v="BR01"/>
    <s v="Standard"/>
    <d v="2025-12-27T00:00:00"/>
    <d v="2026-03-27T00:00:00"/>
    <n v="3500"/>
    <n v="28000"/>
    <s v=""/>
    <x v="1"/>
    <s v="46011"/>
    <s v="Highly Active"/>
    <s v="Unique"/>
    <x v="24"/>
    <s v="46011"/>
    <x v="23"/>
    <n v="0"/>
  </r>
  <r>
    <s v="MEM0807"/>
    <s v="BR04"/>
    <s v="Standard"/>
    <d v="2024-07-01T00:00:00"/>
    <d v="2024-07-31T00:00:00"/>
    <n v="3500"/>
    <n v="28000"/>
    <s v=""/>
    <x v="0"/>
    <s v="45649"/>
    <s v="Highly Active"/>
    <s v="Unique"/>
    <x v="13"/>
    <s v="45649"/>
    <x v="27"/>
    <n v="1"/>
  </r>
  <r>
    <s v="MEM0808"/>
    <s v="BR01"/>
    <s v="Basic"/>
    <d v="2025-10-18T00:00:00"/>
    <d v="2026-10-18T00:00:00"/>
    <n v="1000"/>
    <n v="12000"/>
    <s v=""/>
    <x v="1"/>
    <s v="46071"/>
    <s v="Highly Active"/>
    <s v="Unique"/>
    <x v="32"/>
    <s v="46071"/>
    <x v="13"/>
    <n v="0"/>
  </r>
  <r>
    <s v="MEM0809"/>
    <s v="BR06"/>
    <s v="Standard"/>
    <d v="2023-06-21T00:00:00"/>
    <d v="2024-06-20T00:00:00"/>
    <n v="2000"/>
    <n v="4000"/>
    <s v=""/>
    <x v="1"/>
    <s v="45846"/>
    <s v="Highly Active"/>
    <s v="Unique"/>
    <x v="10"/>
    <s v="45846"/>
    <x v="17"/>
    <n v="0"/>
  </r>
  <r>
    <s v="MEM0810"/>
    <s v="BR02"/>
    <s v="Basic"/>
    <d v="2024-02-04T00:00:00"/>
    <d v="2024-05-04T00:00:00"/>
    <n v="3500"/>
    <n v="24500"/>
    <s v=""/>
    <x v="1"/>
    <s v="45926"/>
    <s v="Highly Active"/>
    <s v="Unique"/>
    <x v="3"/>
    <s v="45926"/>
    <x v="1"/>
    <n v="0"/>
  </r>
  <r>
    <s v="MEM0811"/>
    <s v="BR04"/>
    <s v="Premium"/>
    <d v="2023-08-17T00:00:00"/>
    <d v="2023-11-15T00:00:00"/>
    <n v="2000"/>
    <n v="2000"/>
    <s v=""/>
    <x v="1"/>
    <s v="45535"/>
    <s v="Highly Active"/>
    <s v="Unique"/>
    <x v="27"/>
    <s v="45535"/>
    <x v="0"/>
    <n v="0"/>
  </r>
  <r>
    <s v="MEM0812"/>
    <s v="BR01"/>
    <s v="Standard"/>
    <d v="2025-10-21T00:00:00"/>
    <d v="2025-11-20T00:00:00"/>
    <n v="2000"/>
    <n v="6000"/>
    <s v=""/>
    <x v="0"/>
    <s v="46031"/>
    <s v="Highly Active"/>
    <s v="Unique"/>
    <x v="32"/>
    <s v="46031"/>
    <x v="3"/>
    <n v="1"/>
  </r>
  <r>
    <s v="MEM0813"/>
    <s v="BR07"/>
    <s v="Premium"/>
    <d v="2025-04-18T00:00:00"/>
    <d v="2026-04-18T00:00:00"/>
    <n v="1000"/>
    <n v="2000"/>
    <s v=""/>
    <x v="1"/>
    <s v="45895"/>
    <s v="Highly Active"/>
    <s v="Unique"/>
    <x v="26"/>
    <s v="45895"/>
    <x v="13"/>
    <n v="0"/>
  </r>
  <r>
    <s v="MEM0814"/>
    <s v="BR05"/>
    <s v="Standard"/>
    <d v="2023-09-24T00:00:00"/>
    <d v="2024-09-23T00:00:00"/>
    <n v="1000"/>
    <n v="3000"/>
    <s v=""/>
    <x v="0"/>
    <s v="45802"/>
    <s v="Highly Active"/>
    <s v="Unique"/>
    <x v="25"/>
    <s v="45802"/>
    <x v="35"/>
    <n v="1"/>
  </r>
  <r>
    <s v="MEM0815"/>
    <s v="BR04"/>
    <s v="Basic"/>
    <d v="2024-05-15T00:00:00"/>
    <d v="2025-05-15T00:00:00"/>
    <n v="1000"/>
    <n v="2000"/>
    <s v=""/>
    <x v="1"/>
    <s v="46003"/>
    <s v="Highly Active"/>
    <s v="Unique"/>
    <x v="15"/>
    <s v="46003"/>
    <x v="28"/>
    <n v="0"/>
  </r>
  <r>
    <s v="MEM0816"/>
    <s v="BR04"/>
    <s v="Basic"/>
    <d v="2026-01-14T00:00:00"/>
    <d v="2026-02-13T00:00:00"/>
    <n v="3500"/>
    <n v="31500"/>
    <s v=""/>
    <x v="1"/>
    <s v="45758"/>
    <s v="Highly Active"/>
    <s v="Unique"/>
    <x v="35"/>
    <s v="45758"/>
    <x v="23"/>
    <n v="0"/>
  </r>
  <r>
    <s v="MEM0817"/>
    <s v="BR05"/>
    <s v="Standard"/>
    <d v="2024-12-05T00:00:00"/>
    <d v="2025-03-05T00:00:00"/>
    <n v="3500"/>
    <n v="3500"/>
    <s v=""/>
    <x v="0"/>
    <s v="45412"/>
    <s v="Highly Active"/>
    <s v="Unique"/>
    <x v="0"/>
    <s v="45412"/>
    <x v="23"/>
    <n v="1"/>
  </r>
  <r>
    <s v="MEM0818"/>
    <s v="BR02"/>
    <s v="Basic"/>
    <d v="2024-10-27T00:00:00"/>
    <d v="2025-10-27T00:00:00"/>
    <n v="3500"/>
    <n v="28000"/>
    <s v=""/>
    <x v="1"/>
    <s v="46059"/>
    <s v="Highly Active"/>
    <s v="Unique"/>
    <x v="19"/>
    <s v="46059"/>
    <x v="24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">
  <r>
    <x v="0"/>
    <x v="0"/>
    <x v="0"/>
    <d v="2024-12-04T00:00:00"/>
    <d v="2025-01-03T00:00:00"/>
    <n v="1000"/>
    <n v="11000"/>
    <n v="18"/>
    <s v="Active"/>
    <d v="2025-12-31T00:00:00"/>
    <x v="0"/>
    <s v="Unique"/>
    <x v="0"/>
    <d v="2025-12-31T00:00:00"/>
    <n v="12"/>
    <n v="106"/>
    <n v="3"/>
    <n v="4"/>
    <n v="4"/>
    <x v="0"/>
    <x v="0"/>
  </r>
  <r>
    <x v="1"/>
    <x v="1"/>
    <x v="1"/>
    <d v="2024-06-03T00:00:00"/>
    <d v="2024-09-01T00:00:00"/>
    <n v="3500"/>
    <n v="17500"/>
    <n v="0"/>
    <s v="Cancelled"/>
    <d v="2026-01-28T00:00:00"/>
    <x v="1"/>
    <s v="Unique"/>
    <x v="1"/>
    <d v="2026-01-28T00:00:00"/>
    <n v="19"/>
    <n v="78"/>
    <n v="4"/>
    <n v="1"/>
    <n v="4"/>
    <x v="1"/>
    <x v="1"/>
  </r>
  <r>
    <x v="2"/>
    <x v="2"/>
    <x v="0"/>
    <d v="2023-01-19T00:00:00"/>
    <d v="2023-04-19T00:00:00"/>
    <n v="3500"/>
    <n v="7000"/>
    <n v="1"/>
    <s v="Cancelled"/>
    <d v="2023-11-27T00:00:00"/>
    <x v="1"/>
    <s v="Unique"/>
    <x v="2"/>
    <d v="2023-11-27T00:00:00"/>
    <n v="10"/>
    <n v="871"/>
    <n v="1"/>
    <n v="1"/>
    <n v="3"/>
    <x v="2"/>
    <x v="2"/>
  </r>
  <r>
    <x v="3"/>
    <x v="2"/>
    <x v="1"/>
    <d v="2024-02-20T00:00:00"/>
    <d v="2024-05-20T00:00:00"/>
    <n v="3500"/>
    <n v="7000"/>
    <n v="13"/>
    <s v="Active"/>
    <d v="2025-10-07T00:00:00"/>
    <x v="2"/>
    <s v="Unique"/>
    <x v="3"/>
    <d v="2025-10-07T00:00:00"/>
    <n v="19"/>
    <n v="191"/>
    <n v="2"/>
    <n v="3"/>
    <n v="3"/>
    <x v="3"/>
    <x v="2"/>
  </r>
  <r>
    <x v="4"/>
    <x v="3"/>
    <x v="0"/>
    <d v="2025-08-22T00:00:00"/>
    <d v="2026-08-22T00:00:00"/>
    <n v="1000"/>
    <n v="3000"/>
    <n v="20"/>
    <s v="Active"/>
    <d v="2025-10-30T00:00:00"/>
    <x v="0"/>
    <s v="Unique"/>
    <x v="4"/>
    <d v="2025-10-30T00:00:00"/>
    <n v="2"/>
    <n v="168"/>
    <n v="3"/>
    <n v="5"/>
    <n v="2"/>
    <x v="4"/>
    <x v="1"/>
  </r>
  <r>
    <x v="5"/>
    <x v="4"/>
    <x v="0"/>
    <d v="2025-01-12T00:00:00"/>
    <d v="2026-01-12T00:00:00"/>
    <n v="3500"/>
    <n v="31500"/>
    <n v="1"/>
    <s v="Cancelled"/>
    <d v="2025-12-20T00:00:00"/>
    <x v="1"/>
    <s v="Unique"/>
    <x v="5"/>
    <d v="2025-12-20T00:00:00"/>
    <n v="11"/>
    <n v="117"/>
    <n v="3"/>
    <n v="1"/>
    <n v="5"/>
    <x v="5"/>
    <x v="1"/>
  </r>
  <r>
    <x v="6"/>
    <x v="5"/>
    <x v="0"/>
    <d v="2023-07-09T00:00:00"/>
    <d v="2023-08-08T00:00:00"/>
    <n v="3500"/>
    <n v="3500"/>
    <n v="7"/>
    <s v="Active"/>
    <d v="2024-12-23T00:00:00"/>
    <x v="2"/>
    <s v="Unique"/>
    <x v="6"/>
    <d v="2024-12-23T00:00:00"/>
    <n v="17"/>
    <n v="479"/>
    <n v="1"/>
    <n v="2"/>
    <n v="2"/>
    <x v="6"/>
    <x v="2"/>
  </r>
  <r>
    <x v="7"/>
    <x v="3"/>
    <x v="1"/>
    <d v="2025-11-25T00:00:00"/>
    <d v="2026-02-23T00:00:00"/>
    <n v="1000"/>
    <n v="2000"/>
    <n v="8"/>
    <s v="Active"/>
    <d v="2026-02-18T00:00:00"/>
    <x v="2"/>
    <s v="Unique"/>
    <x v="7"/>
    <d v="2026-02-18T00:00:00"/>
    <n v="2"/>
    <n v="57"/>
    <n v="4"/>
    <n v="2"/>
    <n v="2"/>
    <x v="7"/>
    <x v="1"/>
  </r>
  <r>
    <x v="8"/>
    <x v="4"/>
    <x v="1"/>
    <d v="2024-09-17T00:00:00"/>
    <d v="2024-10-17T00:00:00"/>
    <n v="2000"/>
    <n v="18000"/>
    <n v="14"/>
    <s v="Active"/>
    <d v="2025-07-08T00:00:00"/>
    <x v="2"/>
    <s v="Unique"/>
    <x v="8"/>
    <d v="2025-07-08T00:00:00"/>
    <n v="9"/>
    <n v="282"/>
    <n v="2"/>
    <n v="3"/>
    <n v="4"/>
    <x v="8"/>
    <x v="2"/>
  </r>
  <r>
    <x v="9"/>
    <x v="5"/>
    <x v="0"/>
    <d v="2024-04-08T00:00:00"/>
    <d v="2024-05-08T00:00:00"/>
    <n v="3500"/>
    <n v="10500"/>
    <n v="15"/>
    <s v="Active"/>
    <d v="2025-09-26T00:00:00"/>
    <x v="0"/>
    <s v="Unique"/>
    <x v="9"/>
    <d v="2025-09-26T00:00:00"/>
    <n v="17"/>
    <n v="202"/>
    <n v="2"/>
    <n v="4"/>
    <n v="4"/>
    <x v="9"/>
    <x v="2"/>
  </r>
  <r>
    <x v="10"/>
    <x v="1"/>
    <x v="1"/>
    <d v="2023-06-16T00:00:00"/>
    <d v="2024-06-15T00:00:00"/>
    <n v="2000"/>
    <n v="24000"/>
    <n v="23"/>
    <s v="Active"/>
    <d v="2024-08-31T00:00:00"/>
    <x v="0"/>
    <s v="Unique"/>
    <x v="10"/>
    <d v="2024-08-31T00:00:00"/>
    <n v="14"/>
    <n v="593"/>
    <n v="1"/>
    <n v="5"/>
    <n v="5"/>
    <x v="10"/>
    <x v="2"/>
  </r>
  <r>
    <x v="11"/>
    <x v="2"/>
    <x v="2"/>
    <d v="2024-03-12T00:00:00"/>
    <d v="2025-03-12T00:00:00"/>
    <n v="2000"/>
    <n v="16000"/>
    <n v="14"/>
    <s v="Active"/>
    <d v="2026-01-09T00:00:00"/>
    <x v="2"/>
    <s v="Unique"/>
    <x v="11"/>
    <d v="2026-01-09T00:00:00"/>
    <n v="21"/>
    <n v="97"/>
    <n v="3"/>
    <n v="3"/>
    <n v="4"/>
    <x v="11"/>
    <x v="0"/>
  </r>
  <r>
    <x v="12"/>
    <x v="0"/>
    <x v="1"/>
    <d v="2024-08-14T00:00:00"/>
    <d v="2024-09-13T00:00:00"/>
    <n v="1000"/>
    <n v="2000"/>
    <n v="15"/>
    <s v="Active"/>
    <d v="2025-08-26T00:00:00"/>
    <x v="0"/>
    <s v="Unique"/>
    <x v="12"/>
    <d v="2025-08-26T00:00:00"/>
    <n v="12"/>
    <n v="233"/>
    <n v="2"/>
    <n v="4"/>
    <n v="2"/>
    <x v="12"/>
    <x v="2"/>
  </r>
  <r>
    <x v="13"/>
    <x v="1"/>
    <x v="2"/>
    <d v="2024-04-12T00:00:00"/>
    <d v="2024-07-11T00:00:00"/>
    <n v="1000"/>
    <n v="12000"/>
    <n v="10"/>
    <s v="Active"/>
    <d v="2025-05-25T00:00:00"/>
    <x v="2"/>
    <s v="Unique"/>
    <x v="9"/>
    <d v="2025-05-25T00:00:00"/>
    <n v="13"/>
    <n v="326"/>
    <n v="2"/>
    <n v="3"/>
    <n v="4"/>
    <x v="8"/>
    <x v="2"/>
  </r>
  <r>
    <x v="14"/>
    <x v="4"/>
    <x v="0"/>
    <d v="2024-07-23T00:00:00"/>
    <d v="2025-07-23T00:00:00"/>
    <n v="1000"/>
    <n v="2000"/>
    <n v="21"/>
    <s v="Active"/>
    <d v="2025-12-12T00:00:00"/>
    <x v="0"/>
    <s v="Unique"/>
    <x v="13"/>
    <d v="2025-12-12T00:00:00"/>
    <n v="16"/>
    <n v="125"/>
    <n v="3"/>
    <n v="5"/>
    <n v="2"/>
    <x v="4"/>
    <x v="1"/>
  </r>
  <r>
    <x v="15"/>
    <x v="1"/>
    <x v="0"/>
    <d v="2025-02-01T00:00:00"/>
    <d v="2025-03-03T00:00:00"/>
    <n v="3500"/>
    <n v="3500"/>
    <n v="6"/>
    <s v="Active"/>
    <d v="2025-04-11T00:00:00"/>
    <x v="2"/>
    <s v="Unique"/>
    <x v="14"/>
    <d v="2025-04-11T00:00:00"/>
    <n v="2"/>
    <n v="370"/>
    <n v="1"/>
    <n v="2"/>
    <n v="2"/>
    <x v="6"/>
    <x v="2"/>
  </r>
  <r>
    <x v="16"/>
    <x v="2"/>
    <x v="1"/>
    <d v="2024-03-07T00:00:00"/>
    <d v="2025-03-07T00:00:00"/>
    <n v="3500"/>
    <n v="14000"/>
    <n v="16"/>
    <s v="Active"/>
    <d v="2024-04-30T00:00:00"/>
    <x v="0"/>
    <s v="Unique"/>
    <x v="11"/>
    <d v="2024-04-30T00:00:00"/>
    <n v="1"/>
    <n v="716"/>
    <n v="1"/>
    <n v="4"/>
    <n v="4"/>
    <x v="13"/>
    <x v="2"/>
  </r>
  <r>
    <x v="17"/>
    <x v="2"/>
    <x v="2"/>
    <d v="2025-08-03T00:00:00"/>
    <d v="2026-08-03T00:00:00"/>
    <n v="3500"/>
    <n v="14000"/>
    <n v="14"/>
    <s v="Cancelled"/>
    <d v="2026-02-06T00:00:00"/>
    <x v="2"/>
    <s v="Unique"/>
    <x v="4"/>
    <d v="2026-02-06T00:00:00"/>
    <n v="6"/>
    <n v="69"/>
    <n v="4"/>
    <n v="3"/>
    <n v="4"/>
    <x v="14"/>
    <x v="0"/>
  </r>
  <r>
    <x v="18"/>
    <x v="4"/>
    <x v="0"/>
    <d v="2024-05-17T00:00:00"/>
    <d v="2024-06-16T00:00:00"/>
    <n v="3500"/>
    <n v="38500"/>
    <n v="23"/>
    <s v="Active"/>
    <d v="2026-02-19T00:00:00"/>
    <x v="0"/>
    <s v="Unique"/>
    <x v="15"/>
    <d v="2026-02-19T00:00:00"/>
    <n v="21"/>
    <n v="56"/>
    <n v="4"/>
    <n v="5"/>
    <n v="5"/>
    <x v="15"/>
    <x v="3"/>
  </r>
  <r>
    <x v="19"/>
    <x v="5"/>
    <x v="2"/>
    <d v="2023-02-17T00:00:00"/>
    <d v="2023-03-19T00:00:00"/>
    <n v="2000"/>
    <n v="20000"/>
    <n v="19"/>
    <s v="Active"/>
    <d v="2023-07-16T00:00:00"/>
    <x v="0"/>
    <s v="Unique"/>
    <x v="16"/>
    <d v="2023-07-16T00:00:00"/>
    <n v="4"/>
    <n v="1005"/>
    <n v="1"/>
    <n v="4"/>
    <n v="5"/>
    <x v="16"/>
    <x v="2"/>
  </r>
  <r>
    <x v="20"/>
    <x v="2"/>
    <x v="1"/>
    <d v="2024-12-03T00:00:00"/>
    <d v="2025-01-02T00:00:00"/>
    <n v="3500"/>
    <n v="38500"/>
    <n v="17"/>
    <s v="Active"/>
    <d v="2025-10-20T00:00:00"/>
    <x v="0"/>
    <s v="Unique"/>
    <x v="0"/>
    <d v="2025-10-20T00:00:00"/>
    <n v="10"/>
    <n v="178"/>
    <n v="3"/>
    <n v="4"/>
    <n v="5"/>
    <x v="17"/>
    <x v="0"/>
  </r>
  <r>
    <x v="21"/>
    <x v="6"/>
    <x v="2"/>
    <d v="2024-02-04T00:00:00"/>
    <d v="2024-03-05T00:00:00"/>
    <n v="1000"/>
    <n v="12000"/>
    <n v="18"/>
    <s v="Active"/>
    <d v="2025-07-27T00:00:00"/>
    <x v="0"/>
    <s v="Unique"/>
    <x v="3"/>
    <d v="2025-07-27T00:00:00"/>
    <n v="17"/>
    <n v="263"/>
    <n v="2"/>
    <n v="4"/>
    <n v="4"/>
    <x v="9"/>
    <x v="2"/>
  </r>
  <r>
    <x v="22"/>
    <x v="2"/>
    <x v="1"/>
    <d v="2025-07-20T00:00:00"/>
    <d v="2026-07-20T00:00:00"/>
    <n v="1000"/>
    <n v="2000"/>
    <n v="9"/>
    <s v="Active"/>
    <d v="2026-03-21T00:00:00"/>
    <x v="2"/>
    <s v="Unique"/>
    <x v="17"/>
    <d v="2026-03-21T00:00:00"/>
    <n v="8"/>
    <n v="26"/>
    <n v="5"/>
    <n v="2"/>
    <n v="2"/>
    <x v="18"/>
    <x v="1"/>
  </r>
  <r>
    <x v="23"/>
    <x v="1"/>
    <x v="2"/>
    <d v="2025-06-06T00:00:00"/>
    <d v="2025-09-04T00:00:00"/>
    <n v="1000"/>
    <n v="2000"/>
    <n v="4"/>
    <s v="Cancelled"/>
    <d v="2025-07-17T00:00:00"/>
    <x v="1"/>
    <s v="Unique"/>
    <x v="18"/>
    <d v="2025-07-17T00:00:00"/>
    <n v="1"/>
    <n v="273"/>
    <n v="2"/>
    <n v="1"/>
    <n v="2"/>
    <x v="19"/>
    <x v="2"/>
  </r>
  <r>
    <x v="24"/>
    <x v="1"/>
    <x v="0"/>
    <d v="2025-11-02T00:00:00"/>
    <d v="2026-11-02T00:00:00"/>
    <n v="1000"/>
    <n v="6000"/>
    <n v="13"/>
    <s v="Active"/>
    <d v="2026-02-05T00:00:00"/>
    <x v="2"/>
    <s v="Unique"/>
    <x v="7"/>
    <d v="2026-02-05T00:00:00"/>
    <n v="3"/>
    <n v="70"/>
    <n v="4"/>
    <n v="3"/>
    <n v="3"/>
    <x v="20"/>
    <x v="0"/>
  </r>
  <r>
    <x v="25"/>
    <x v="4"/>
    <x v="0"/>
    <d v="2024-10-06T00:00:00"/>
    <d v="2025-01-04T00:00:00"/>
    <n v="3500"/>
    <n v="21000"/>
    <n v="12"/>
    <s v="Active"/>
    <d v="2025-01-29T00:00:00"/>
    <x v="2"/>
    <s v="Unique"/>
    <x v="19"/>
    <d v="2025-01-29T00:00:00"/>
    <n v="3"/>
    <n v="442"/>
    <n v="1"/>
    <n v="3"/>
    <n v="5"/>
    <x v="21"/>
    <x v="2"/>
  </r>
  <r>
    <x v="26"/>
    <x v="6"/>
    <x v="0"/>
    <d v="2023-02-02T00:00:00"/>
    <d v="2023-03-04T00:00:00"/>
    <n v="3500"/>
    <n v="35000"/>
    <n v="16"/>
    <s v="Active"/>
    <d v="2025-10-20T00:00:00"/>
    <x v="0"/>
    <s v="Unique"/>
    <x v="16"/>
    <d v="2025-10-20T00:00:00"/>
    <n v="32"/>
    <n v="178"/>
    <n v="3"/>
    <n v="4"/>
    <n v="5"/>
    <x v="17"/>
    <x v="0"/>
  </r>
  <r>
    <x v="27"/>
    <x v="3"/>
    <x v="0"/>
    <d v="2023-06-20T00:00:00"/>
    <d v="2024-06-19T00:00:00"/>
    <n v="1000"/>
    <n v="12000"/>
    <n v="17"/>
    <s v="Active"/>
    <d v="2024-07-26T00:00:00"/>
    <x v="0"/>
    <s v="Unique"/>
    <x v="10"/>
    <d v="2024-07-26T00:00:00"/>
    <n v="13"/>
    <n v="629"/>
    <n v="1"/>
    <n v="4"/>
    <n v="4"/>
    <x v="13"/>
    <x v="2"/>
  </r>
  <r>
    <x v="28"/>
    <x v="5"/>
    <x v="0"/>
    <d v="2025-11-10T00:00:00"/>
    <d v="2026-11-10T00:00:00"/>
    <n v="3500"/>
    <n v="7000"/>
    <n v="1"/>
    <s v="Cancelled"/>
    <d v="2026-03-29T00:00:00"/>
    <x v="1"/>
    <s v="Unique"/>
    <x v="7"/>
    <d v="2026-03-29T00:00:00"/>
    <n v="4"/>
    <n v="18"/>
    <n v="5"/>
    <n v="1"/>
    <n v="3"/>
    <x v="22"/>
    <x v="1"/>
  </r>
  <r>
    <x v="29"/>
    <x v="3"/>
    <x v="2"/>
    <d v="2023-03-03T00:00:00"/>
    <d v="2024-03-02T00:00:00"/>
    <n v="3500"/>
    <n v="31500"/>
    <n v="0"/>
    <s v="Cancelled"/>
    <d v="2023-12-04T00:00:00"/>
    <x v="1"/>
    <s v="Unique"/>
    <x v="20"/>
    <d v="2023-12-04T00:00:00"/>
    <n v="9"/>
    <n v="864"/>
    <n v="1"/>
    <n v="1"/>
    <n v="5"/>
    <x v="23"/>
    <x v="2"/>
  </r>
  <r>
    <x v="30"/>
    <x v="0"/>
    <x v="2"/>
    <d v="2024-07-20T00:00:00"/>
    <d v="2024-10-18T00:00:00"/>
    <n v="2000"/>
    <n v="8000"/>
    <n v="19"/>
    <s v="Active"/>
    <d v="2025-06-19T00:00:00"/>
    <x v="0"/>
    <s v="Unique"/>
    <x v="13"/>
    <d v="2025-06-19T00:00:00"/>
    <n v="10"/>
    <n v="301"/>
    <n v="2"/>
    <n v="4"/>
    <n v="3"/>
    <x v="24"/>
    <x v="2"/>
  </r>
  <r>
    <x v="31"/>
    <x v="6"/>
    <x v="1"/>
    <d v="2023-11-17T00:00:00"/>
    <d v="2024-02-15T00:00:00"/>
    <n v="3500"/>
    <n v="28000"/>
    <n v="11"/>
    <s v="Active"/>
    <d v="2025-11-26T00:00:00"/>
    <x v="2"/>
    <s v="Unique"/>
    <x v="21"/>
    <d v="2025-11-26T00:00:00"/>
    <n v="24"/>
    <n v="141"/>
    <n v="3"/>
    <n v="3"/>
    <n v="5"/>
    <x v="25"/>
    <x v="0"/>
  </r>
  <r>
    <x v="32"/>
    <x v="0"/>
    <x v="0"/>
    <d v="2023-12-16T00:00:00"/>
    <d v="2024-12-15T00:00:00"/>
    <n v="2000"/>
    <n v="20000"/>
    <n v="21"/>
    <s v="Active"/>
    <d v="2025-11-20T00:00:00"/>
    <x v="0"/>
    <s v="Unique"/>
    <x v="22"/>
    <d v="2025-11-20T00:00:00"/>
    <n v="23"/>
    <n v="147"/>
    <n v="3"/>
    <n v="5"/>
    <n v="5"/>
    <x v="26"/>
    <x v="0"/>
  </r>
  <r>
    <x v="33"/>
    <x v="3"/>
    <x v="0"/>
    <d v="2024-11-25T00:00:00"/>
    <d v="2025-11-25T00:00:00"/>
    <n v="2000"/>
    <n v="18000"/>
    <n v="24"/>
    <s v="Active"/>
    <d v="2025-03-02T00:00:00"/>
    <x v="0"/>
    <s v="Unique"/>
    <x v="23"/>
    <d v="2025-03-02T00:00:00"/>
    <n v="3"/>
    <n v="410"/>
    <n v="1"/>
    <n v="5"/>
    <n v="4"/>
    <x v="27"/>
    <x v="2"/>
  </r>
  <r>
    <x v="34"/>
    <x v="3"/>
    <x v="2"/>
    <d v="2024-02-18T00:00:00"/>
    <d v="2024-03-19T00:00:00"/>
    <n v="1000"/>
    <n v="5000"/>
    <n v="1"/>
    <s v="Active"/>
    <d v="2025-08-12T00:00:00"/>
    <x v="1"/>
    <s v="Unique"/>
    <x v="3"/>
    <d v="2025-08-12T00:00:00"/>
    <n v="17"/>
    <n v="247"/>
    <n v="2"/>
    <n v="1"/>
    <n v="3"/>
    <x v="28"/>
    <x v="2"/>
  </r>
  <r>
    <x v="35"/>
    <x v="3"/>
    <x v="1"/>
    <d v="2023-01-24T00:00:00"/>
    <d v="2023-04-24T00:00:00"/>
    <n v="3500"/>
    <n v="21000"/>
    <n v="9"/>
    <s v="Active"/>
    <d v="2025-10-31T00:00:00"/>
    <x v="2"/>
    <s v="Unique"/>
    <x v="2"/>
    <d v="2025-10-31T00:00:00"/>
    <n v="33"/>
    <n v="167"/>
    <n v="3"/>
    <n v="2"/>
    <n v="5"/>
    <x v="29"/>
    <x v="1"/>
  </r>
  <r>
    <x v="36"/>
    <x v="2"/>
    <x v="0"/>
    <d v="2025-07-17T00:00:00"/>
    <d v="2025-10-15T00:00:00"/>
    <n v="3500"/>
    <n v="24500"/>
    <n v="13"/>
    <s v="Active"/>
    <d v="2026-01-31T00:00:00"/>
    <x v="2"/>
    <s v="Unique"/>
    <x v="17"/>
    <d v="2026-01-31T00:00:00"/>
    <n v="6"/>
    <n v="75"/>
    <n v="4"/>
    <n v="3"/>
    <n v="5"/>
    <x v="30"/>
    <x v="0"/>
  </r>
  <r>
    <x v="37"/>
    <x v="5"/>
    <x v="2"/>
    <d v="2025-01-16T00:00:00"/>
    <d v="2025-04-16T00:00:00"/>
    <n v="3500"/>
    <n v="14000"/>
    <n v="13"/>
    <s v="Active"/>
    <d v="2025-04-12T00:00:00"/>
    <x v="2"/>
    <s v="Unique"/>
    <x v="5"/>
    <d v="2025-04-12T00:00:00"/>
    <n v="2"/>
    <n v="369"/>
    <n v="1"/>
    <n v="3"/>
    <n v="4"/>
    <x v="31"/>
    <x v="2"/>
  </r>
  <r>
    <x v="38"/>
    <x v="4"/>
    <x v="1"/>
    <d v="2025-12-27T00:00:00"/>
    <d v="2026-01-26T00:00:00"/>
    <n v="2000"/>
    <n v="18000"/>
    <n v="15"/>
    <s v="Active"/>
    <d v="2026-03-07T00:00:00"/>
    <x v="0"/>
    <s v="Unique"/>
    <x v="24"/>
    <d v="2026-03-07T00:00:00"/>
    <n v="2"/>
    <n v="40"/>
    <n v="4"/>
    <n v="4"/>
    <n v="4"/>
    <x v="32"/>
    <x v="3"/>
  </r>
  <r>
    <x v="39"/>
    <x v="6"/>
    <x v="0"/>
    <d v="2025-11-26T00:00:00"/>
    <d v="2026-11-26T00:00:00"/>
    <n v="3500"/>
    <n v="10500"/>
    <n v="15"/>
    <s v="Cancelled"/>
    <d v="2026-03-11T00:00:00"/>
    <x v="0"/>
    <s v="Unique"/>
    <x v="7"/>
    <d v="2026-03-11T00:00:00"/>
    <n v="3"/>
    <n v="36"/>
    <n v="4"/>
    <n v="4"/>
    <n v="4"/>
    <x v="32"/>
    <x v="3"/>
  </r>
  <r>
    <x v="40"/>
    <x v="4"/>
    <x v="1"/>
    <d v="2024-06-16T00:00:00"/>
    <d v="2025-06-16T00:00:00"/>
    <n v="1000"/>
    <n v="10000"/>
    <n v="17"/>
    <s v="Active"/>
    <d v="2024-10-25T00:00:00"/>
    <x v="0"/>
    <s v="Unique"/>
    <x v="1"/>
    <d v="2024-10-25T00:00:00"/>
    <n v="4"/>
    <n v="538"/>
    <n v="1"/>
    <n v="4"/>
    <n v="4"/>
    <x v="13"/>
    <x v="2"/>
  </r>
  <r>
    <x v="41"/>
    <x v="6"/>
    <x v="1"/>
    <d v="2023-09-02T00:00:00"/>
    <d v="2023-10-02T00:00:00"/>
    <n v="3500"/>
    <n v="17500"/>
    <n v="20"/>
    <s v="Cancelled"/>
    <d v="2025-12-26T00:00:00"/>
    <x v="0"/>
    <s v="Unique"/>
    <x v="25"/>
    <d v="2025-12-26T00:00:00"/>
    <n v="27"/>
    <n v="111"/>
    <n v="3"/>
    <n v="5"/>
    <n v="4"/>
    <x v="33"/>
    <x v="0"/>
  </r>
  <r>
    <x v="42"/>
    <x v="5"/>
    <x v="0"/>
    <d v="2025-04-12T00:00:00"/>
    <d v="2025-07-11T00:00:00"/>
    <n v="3500"/>
    <n v="3500"/>
    <n v="13"/>
    <s v="Active"/>
    <d v="2025-12-20T00:00:00"/>
    <x v="2"/>
    <s v="Unique"/>
    <x v="26"/>
    <d v="2025-12-20T00:00:00"/>
    <n v="8"/>
    <n v="117"/>
    <n v="3"/>
    <n v="3"/>
    <n v="2"/>
    <x v="34"/>
    <x v="1"/>
  </r>
  <r>
    <x v="43"/>
    <x v="2"/>
    <x v="1"/>
    <d v="2023-08-04T00:00:00"/>
    <d v="2023-09-03T00:00:00"/>
    <n v="2000"/>
    <n v="18000"/>
    <n v="11"/>
    <s v="Active"/>
    <d v="2024-08-20T00:00:00"/>
    <x v="2"/>
    <s v="Unique"/>
    <x v="27"/>
    <d v="2024-08-20T00:00:00"/>
    <n v="12"/>
    <n v="604"/>
    <n v="1"/>
    <n v="3"/>
    <n v="4"/>
    <x v="31"/>
    <x v="2"/>
  </r>
  <r>
    <x v="44"/>
    <x v="1"/>
    <x v="0"/>
    <d v="2025-08-25T00:00:00"/>
    <d v="2025-11-23T00:00:00"/>
    <n v="1000"/>
    <n v="5000"/>
    <n v="23"/>
    <s v="Active"/>
    <d v="2026-01-20T00:00:00"/>
    <x v="0"/>
    <s v="Unique"/>
    <x v="4"/>
    <d v="2026-01-20T00:00:00"/>
    <n v="4"/>
    <n v="86"/>
    <n v="4"/>
    <n v="5"/>
    <n v="3"/>
    <x v="35"/>
    <x v="0"/>
  </r>
  <r>
    <x v="45"/>
    <x v="3"/>
    <x v="1"/>
    <d v="2024-07-24T00:00:00"/>
    <d v="2024-08-23T00:00:00"/>
    <n v="1000"/>
    <n v="4000"/>
    <n v="24"/>
    <s v="Active"/>
    <d v="2025-10-17T00:00:00"/>
    <x v="0"/>
    <s v="Unique"/>
    <x v="13"/>
    <d v="2025-10-17T00:00:00"/>
    <n v="14"/>
    <n v="181"/>
    <n v="2"/>
    <n v="5"/>
    <n v="2"/>
    <x v="36"/>
    <x v="2"/>
  </r>
  <r>
    <x v="46"/>
    <x v="6"/>
    <x v="0"/>
    <d v="2024-09-06T00:00:00"/>
    <d v="2024-10-06T00:00:00"/>
    <n v="1000"/>
    <n v="11000"/>
    <n v="12"/>
    <s v="Active"/>
    <d v="2024-11-01T00:00:00"/>
    <x v="2"/>
    <s v="Unique"/>
    <x v="8"/>
    <d v="2024-11-01T00:00:00"/>
    <n v="1"/>
    <n v="531"/>
    <n v="1"/>
    <n v="3"/>
    <n v="4"/>
    <x v="31"/>
    <x v="2"/>
  </r>
  <r>
    <x v="47"/>
    <x v="5"/>
    <x v="2"/>
    <d v="2023-03-30T00:00:00"/>
    <d v="2024-03-29T00:00:00"/>
    <n v="1000"/>
    <n v="10000"/>
    <n v="9"/>
    <s v="Active"/>
    <d v="2025-10-06T00:00:00"/>
    <x v="2"/>
    <s v="Unique"/>
    <x v="20"/>
    <d v="2025-10-06T00:00:00"/>
    <n v="30"/>
    <n v="192"/>
    <n v="2"/>
    <n v="2"/>
    <n v="4"/>
    <x v="37"/>
    <x v="2"/>
  </r>
  <r>
    <x v="48"/>
    <x v="6"/>
    <x v="2"/>
    <d v="2025-12-12T00:00:00"/>
    <d v="2026-03-12T00:00:00"/>
    <n v="3500"/>
    <n v="7000"/>
    <n v="24"/>
    <s v="Active"/>
    <d v="2026-04-06T00:00:00"/>
    <x v="0"/>
    <s v="Unique"/>
    <x v="24"/>
    <d v="2026-04-06T00:00:00"/>
    <n v="3"/>
    <n v="10"/>
    <n v="5"/>
    <n v="5"/>
    <n v="3"/>
    <x v="38"/>
    <x v="0"/>
  </r>
  <r>
    <x v="49"/>
    <x v="2"/>
    <x v="1"/>
    <d v="2024-02-08T00:00:00"/>
    <d v="2025-02-07T00:00:00"/>
    <n v="3500"/>
    <n v="28000"/>
    <n v="22"/>
    <s v="Cancelled"/>
    <d v="2025-12-07T00:00:00"/>
    <x v="0"/>
    <s v="Unique"/>
    <x v="3"/>
    <d v="2025-12-07T00:00:00"/>
    <n v="21"/>
    <n v="130"/>
    <n v="3"/>
    <n v="5"/>
    <n v="5"/>
    <x v="26"/>
    <x v="0"/>
  </r>
  <r>
    <x v="50"/>
    <x v="4"/>
    <x v="0"/>
    <d v="2023-02-27T00:00:00"/>
    <d v="2024-02-27T00:00:00"/>
    <n v="3500"/>
    <n v="7000"/>
    <n v="0"/>
    <s v="Active"/>
    <d v="2023-03-29T00:00:00"/>
    <x v="1"/>
    <s v="Unique"/>
    <x v="16"/>
    <d v="2023-03-29T00:00:00"/>
    <n v="1"/>
    <n v="1114"/>
    <n v="1"/>
    <n v="1"/>
    <n v="3"/>
    <x v="2"/>
    <x v="2"/>
  </r>
  <r>
    <x v="51"/>
    <x v="6"/>
    <x v="0"/>
    <d v="2023-11-07T00:00:00"/>
    <d v="2024-11-06T00:00:00"/>
    <n v="2000"/>
    <n v="14000"/>
    <n v="1"/>
    <s v="Cancelled"/>
    <d v="2024-01-21T00:00:00"/>
    <x v="1"/>
    <s v="Unique"/>
    <x v="21"/>
    <d v="2024-01-21T00:00:00"/>
    <n v="2"/>
    <n v="816"/>
    <n v="1"/>
    <n v="1"/>
    <n v="4"/>
    <x v="39"/>
    <x v="2"/>
  </r>
  <r>
    <x v="52"/>
    <x v="0"/>
    <x v="1"/>
    <d v="2023-04-06T00:00:00"/>
    <d v="2024-04-05T00:00:00"/>
    <n v="2000"/>
    <n v="12000"/>
    <n v="6"/>
    <s v="Active"/>
    <d v="2025-06-21T00:00:00"/>
    <x v="2"/>
    <s v="Unique"/>
    <x v="28"/>
    <d v="2025-06-21T00:00:00"/>
    <n v="26"/>
    <n v="299"/>
    <n v="2"/>
    <n v="2"/>
    <n v="4"/>
    <x v="37"/>
    <x v="2"/>
  </r>
  <r>
    <x v="53"/>
    <x v="6"/>
    <x v="2"/>
    <d v="2024-02-19T00:00:00"/>
    <d v="2024-03-20T00:00:00"/>
    <n v="2000"/>
    <n v="20000"/>
    <n v="17"/>
    <s v="Active"/>
    <d v="2024-04-24T00:00:00"/>
    <x v="0"/>
    <s v="Unique"/>
    <x v="3"/>
    <d v="2024-04-24T00:00:00"/>
    <n v="2"/>
    <n v="722"/>
    <n v="1"/>
    <n v="4"/>
    <n v="5"/>
    <x v="16"/>
    <x v="2"/>
  </r>
  <r>
    <x v="54"/>
    <x v="5"/>
    <x v="1"/>
    <d v="2024-12-05T00:00:00"/>
    <d v="2025-03-05T00:00:00"/>
    <n v="3500"/>
    <n v="17500"/>
    <n v="15"/>
    <s v="Active"/>
    <d v="2026-04-08T00:00:00"/>
    <x v="0"/>
    <s v="Unique"/>
    <x v="0"/>
    <d v="2026-04-08T00:00:00"/>
    <n v="16"/>
    <n v="8"/>
    <n v="5"/>
    <n v="4"/>
    <n v="4"/>
    <x v="40"/>
    <x v="3"/>
  </r>
  <r>
    <x v="55"/>
    <x v="6"/>
    <x v="1"/>
    <d v="2025-02-09T00:00:00"/>
    <d v="2025-03-11T00:00:00"/>
    <n v="2000"/>
    <n v="6000"/>
    <n v="23"/>
    <s v="Active"/>
    <d v="2025-08-23T00:00:00"/>
    <x v="0"/>
    <s v="Unique"/>
    <x v="14"/>
    <d v="2025-08-23T00:00:00"/>
    <n v="6"/>
    <n v="236"/>
    <n v="2"/>
    <n v="5"/>
    <n v="3"/>
    <x v="41"/>
    <x v="2"/>
  </r>
  <r>
    <x v="56"/>
    <x v="6"/>
    <x v="0"/>
    <d v="2024-07-18T00:00:00"/>
    <d v="2024-10-16T00:00:00"/>
    <n v="3500"/>
    <n v="21000"/>
    <n v="1"/>
    <s v="Cancelled"/>
    <d v="2024-08-02T00:00:00"/>
    <x v="1"/>
    <s v="Unique"/>
    <x v="13"/>
    <d v="2024-08-02T00:00:00"/>
    <n v="0"/>
    <n v="622"/>
    <n v="1"/>
    <n v="1"/>
    <n v="5"/>
    <x v="23"/>
    <x v="2"/>
  </r>
  <r>
    <x v="57"/>
    <x v="5"/>
    <x v="1"/>
    <d v="2023-09-14T00:00:00"/>
    <d v="2023-10-14T00:00:00"/>
    <n v="1000"/>
    <n v="9000"/>
    <n v="17"/>
    <s v="Active"/>
    <d v="2025-02-24T00:00:00"/>
    <x v="0"/>
    <s v="Unique"/>
    <x v="25"/>
    <d v="2025-02-24T00:00:00"/>
    <n v="17"/>
    <n v="416"/>
    <n v="1"/>
    <n v="4"/>
    <n v="3"/>
    <x v="42"/>
    <x v="2"/>
  </r>
  <r>
    <x v="58"/>
    <x v="3"/>
    <x v="0"/>
    <d v="2023-05-21T00:00:00"/>
    <d v="2023-06-20T00:00:00"/>
    <n v="1000"/>
    <n v="3000"/>
    <n v="9"/>
    <s v="Active"/>
    <d v="2023-07-23T00:00:00"/>
    <x v="2"/>
    <s v="Unique"/>
    <x v="29"/>
    <d v="2023-07-23T00:00:00"/>
    <n v="2"/>
    <n v="998"/>
    <n v="1"/>
    <n v="2"/>
    <n v="2"/>
    <x v="6"/>
    <x v="2"/>
  </r>
  <r>
    <x v="59"/>
    <x v="5"/>
    <x v="1"/>
    <d v="2024-02-02T00:00:00"/>
    <d v="2024-05-02T00:00:00"/>
    <n v="1000"/>
    <n v="8000"/>
    <n v="13"/>
    <s v="Active"/>
    <d v="2026-02-20T00:00:00"/>
    <x v="2"/>
    <s v="Unique"/>
    <x v="3"/>
    <d v="2026-02-20T00:00:00"/>
    <n v="24"/>
    <n v="55"/>
    <n v="4"/>
    <n v="3"/>
    <n v="3"/>
    <x v="20"/>
    <x v="0"/>
  </r>
  <r>
    <x v="60"/>
    <x v="1"/>
    <x v="1"/>
    <d v="2024-04-14T00:00:00"/>
    <d v="2025-04-14T00:00:00"/>
    <n v="1000"/>
    <n v="3000"/>
    <n v="7"/>
    <s v="Active"/>
    <d v="2025-07-14T00:00:00"/>
    <x v="2"/>
    <s v="Unique"/>
    <x v="9"/>
    <d v="2025-07-14T00:00:00"/>
    <n v="15"/>
    <n v="276"/>
    <n v="2"/>
    <n v="2"/>
    <n v="2"/>
    <x v="43"/>
    <x v="2"/>
  </r>
  <r>
    <x v="61"/>
    <x v="5"/>
    <x v="0"/>
    <d v="2025-07-23T00:00:00"/>
    <d v="2026-07-23T00:00:00"/>
    <n v="1000"/>
    <n v="1000"/>
    <n v="8"/>
    <s v="Active"/>
    <d v="2025-08-06T00:00:00"/>
    <x v="2"/>
    <s v="Unique"/>
    <x v="17"/>
    <d v="2025-08-06T00:00:00"/>
    <n v="0"/>
    <n v="253"/>
    <n v="2"/>
    <n v="2"/>
    <n v="1"/>
    <x v="44"/>
    <x v="2"/>
  </r>
  <r>
    <x v="62"/>
    <x v="3"/>
    <x v="1"/>
    <d v="2023-11-21T00:00:00"/>
    <d v="2023-12-21T00:00:00"/>
    <n v="3500"/>
    <n v="21000"/>
    <n v="10"/>
    <s v="Active"/>
    <d v="2024-07-27T00:00:00"/>
    <x v="2"/>
    <s v="Unique"/>
    <x v="21"/>
    <d v="2024-07-27T00:00:00"/>
    <n v="8"/>
    <n v="628"/>
    <n v="1"/>
    <n v="3"/>
    <n v="5"/>
    <x v="21"/>
    <x v="2"/>
  </r>
  <r>
    <x v="63"/>
    <x v="0"/>
    <x v="1"/>
    <d v="2024-10-05T00:00:00"/>
    <d v="2025-01-03T00:00:00"/>
    <n v="1000"/>
    <n v="8000"/>
    <n v="14"/>
    <s v="Active"/>
    <d v="2025-04-24T00:00:00"/>
    <x v="2"/>
    <s v="Unique"/>
    <x v="19"/>
    <d v="2025-04-24T00:00:00"/>
    <n v="6"/>
    <n v="357"/>
    <n v="2"/>
    <n v="3"/>
    <n v="3"/>
    <x v="3"/>
    <x v="2"/>
  </r>
  <r>
    <x v="64"/>
    <x v="5"/>
    <x v="0"/>
    <d v="2024-10-07T00:00:00"/>
    <d v="2025-10-07T00:00:00"/>
    <n v="1000"/>
    <n v="1000"/>
    <n v="14"/>
    <s v="Active"/>
    <d v="2025-04-13T00:00:00"/>
    <x v="2"/>
    <s v="Unique"/>
    <x v="19"/>
    <d v="2025-04-13T00:00:00"/>
    <n v="6"/>
    <n v="368"/>
    <n v="1"/>
    <n v="3"/>
    <n v="1"/>
    <x v="45"/>
    <x v="2"/>
  </r>
  <r>
    <x v="65"/>
    <x v="5"/>
    <x v="0"/>
    <d v="2023-04-05T00:00:00"/>
    <d v="2023-07-04T00:00:00"/>
    <n v="2000"/>
    <n v="2000"/>
    <n v="14"/>
    <s v="Active"/>
    <d v="2025-03-28T00:00:00"/>
    <x v="2"/>
    <s v="Unique"/>
    <x v="28"/>
    <d v="2025-03-28T00:00:00"/>
    <n v="23"/>
    <n v="384"/>
    <n v="1"/>
    <n v="3"/>
    <n v="2"/>
    <x v="46"/>
    <x v="2"/>
  </r>
  <r>
    <x v="66"/>
    <x v="0"/>
    <x v="0"/>
    <d v="2023-09-29T00:00:00"/>
    <d v="2023-12-28T00:00:00"/>
    <n v="1000"/>
    <n v="11000"/>
    <n v="7"/>
    <s v="Cancelled"/>
    <d v="2024-12-10T00:00:00"/>
    <x v="2"/>
    <s v="Unique"/>
    <x v="25"/>
    <d v="2024-12-10T00:00:00"/>
    <n v="14"/>
    <n v="492"/>
    <n v="1"/>
    <n v="2"/>
    <n v="4"/>
    <x v="47"/>
    <x v="2"/>
  </r>
  <r>
    <x v="67"/>
    <x v="3"/>
    <x v="0"/>
    <d v="2023-06-12T00:00:00"/>
    <d v="2024-06-11T00:00:00"/>
    <n v="3500"/>
    <n v="35000"/>
    <n v="19"/>
    <s v="Cancelled"/>
    <d v="2025-09-14T00:00:00"/>
    <x v="0"/>
    <s v="Unique"/>
    <x v="10"/>
    <d v="2025-09-14T00:00:00"/>
    <n v="27"/>
    <n v="214"/>
    <n v="2"/>
    <n v="4"/>
    <n v="5"/>
    <x v="48"/>
    <x v="2"/>
  </r>
  <r>
    <x v="68"/>
    <x v="2"/>
    <x v="0"/>
    <d v="2025-07-04T00:00:00"/>
    <d v="2026-07-04T00:00:00"/>
    <n v="3500"/>
    <n v="3500"/>
    <n v="19"/>
    <s v="Active"/>
    <d v="2026-01-26T00:00:00"/>
    <x v="0"/>
    <s v="Unique"/>
    <x v="17"/>
    <d v="2026-01-26T00:00:00"/>
    <n v="6"/>
    <n v="80"/>
    <n v="4"/>
    <n v="4"/>
    <n v="2"/>
    <x v="49"/>
    <x v="1"/>
  </r>
  <r>
    <x v="69"/>
    <x v="1"/>
    <x v="2"/>
    <d v="2023-05-01T00:00:00"/>
    <d v="2024-04-30T00:00:00"/>
    <n v="1000"/>
    <n v="1000"/>
    <n v="17"/>
    <s v="Cancelled"/>
    <d v="2026-01-08T00:00:00"/>
    <x v="0"/>
    <s v="Unique"/>
    <x v="29"/>
    <d v="2026-01-08T00:00:00"/>
    <n v="32"/>
    <n v="98"/>
    <n v="3"/>
    <n v="4"/>
    <n v="1"/>
    <x v="50"/>
    <x v="1"/>
  </r>
  <r>
    <x v="70"/>
    <x v="1"/>
    <x v="0"/>
    <d v="2024-12-02T00:00:00"/>
    <d v="2025-01-01T00:00:00"/>
    <n v="2000"/>
    <n v="22000"/>
    <n v="17"/>
    <s v="Active"/>
    <d v="2025-01-24T00:00:00"/>
    <x v="0"/>
    <s v="Unique"/>
    <x v="0"/>
    <d v="2025-01-24T00:00:00"/>
    <n v="1"/>
    <n v="447"/>
    <n v="1"/>
    <n v="4"/>
    <n v="5"/>
    <x v="16"/>
    <x v="2"/>
  </r>
  <r>
    <x v="71"/>
    <x v="0"/>
    <x v="0"/>
    <d v="2025-07-21T00:00:00"/>
    <d v="2026-07-21T00:00:00"/>
    <n v="2000"/>
    <n v="8000"/>
    <n v="4"/>
    <s v="Active"/>
    <d v="2025-10-27T00:00:00"/>
    <x v="1"/>
    <s v="Unique"/>
    <x v="17"/>
    <d v="2025-10-27T00:00:00"/>
    <n v="3"/>
    <n v="171"/>
    <n v="3"/>
    <n v="1"/>
    <n v="3"/>
    <x v="51"/>
    <x v="1"/>
  </r>
  <r>
    <x v="72"/>
    <x v="3"/>
    <x v="1"/>
    <d v="2025-01-30T00:00:00"/>
    <d v="2025-03-01T00:00:00"/>
    <n v="3500"/>
    <n v="14000"/>
    <n v="18"/>
    <s v="Active"/>
    <d v="2025-09-12T00:00:00"/>
    <x v="0"/>
    <s v="Unique"/>
    <x v="5"/>
    <d v="2025-09-12T00:00:00"/>
    <n v="7"/>
    <n v="216"/>
    <n v="2"/>
    <n v="4"/>
    <n v="4"/>
    <x v="9"/>
    <x v="2"/>
  </r>
  <r>
    <x v="73"/>
    <x v="0"/>
    <x v="1"/>
    <d v="2023-11-13T00:00:00"/>
    <d v="2024-11-12T00:00:00"/>
    <n v="1000"/>
    <n v="6000"/>
    <n v="8"/>
    <s v="Active"/>
    <d v="2025-01-07T00:00:00"/>
    <x v="2"/>
    <s v="Unique"/>
    <x v="21"/>
    <d v="2025-01-07T00:00:00"/>
    <n v="13"/>
    <n v="464"/>
    <n v="1"/>
    <n v="2"/>
    <n v="3"/>
    <x v="52"/>
    <x v="2"/>
  </r>
  <r>
    <x v="74"/>
    <x v="5"/>
    <x v="2"/>
    <d v="2025-04-15T00:00:00"/>
    <d v="2025-05-15T00:00:00"/>
    <n v="2000"/>
    <n v="10000"/>
    <n v="8"/>
    <s v="Active"/>
    <d v="2026-02-01T00:00:00"/>
    <x v="2"/>
    <s v="Unique"/>
    <x v="26"/>
    <d v="2026-02-01T00:00:00"/>
    <n v="9"/>
    <n v="74"/>
    <n v="4"/>
    <n v="2"/>
    <n v="4"/>
    <x v="53"/>
    <x v="1"/>
  </r>
  <r>
    <x v="75"/>
    <x v="1"/>
    <x v="0"/>
    <d v="2025-05-26T00:00:00"/>
    <d v="2026-05-26T00:00:00"/>
    <n v="1000"/>
    <n v="11000"/>
    <n v="0"/>
    <s v="Cancelled"/>
    <d v="2025-12-24T00:00:00"/>
    <x v="1"/>
    <s v="Unique"/>
    <x v="30"/>
    <d v="2025-12-24T00:00:00"/>
    <n v="6"/>
    <n v="113"/>
    <n v="3"/>
    <n v="1"/>
    <n v="4"/>
    <x v="54"/>
    <x v="1"/>
  </r>
  <r>
    <x v="76"/>
    <x v="4"/>
    <x v="2"/>
    <d v="2025-11-03T00:00:00"/>
    <d v="2025-12-03T00:00:00"/>
    <n v="1000"/>
    <n v="3000"/>
    <n v="14"/>
    <s v="Active"/>
    <d v="2025-11-10T00:00:00"/>
    <x v="2"/>
    <s v="Unique"/>
    <x v="7"/>
    <d v="2025-11-10T00:00:00"/>
    <n v="0"/>
    <n v="157"/>
    <n v="3"/>
    <n v="3"/>
    <n v="2"/>
    <x v="34"/>
    <x v="1"/>
  </r>
  <r>
    <x v="77"/>
    <x v="6"/>
    <x v="0"/>
    <d v="2023-07-17T00:00:00"/>
    <d v="2024-07-16T00:00:00"/>
    <n v="3500"/>
    <n v="31500"/>
    <n v="20"/>
    <s v="Active"/>
    <d v="2023-09-02T00:00:00"/>
    <x v="0"/>
    <s v="Unique"/>
    <x v="6"/>
    <d v="2023-09-02T00:00:00"/>
    <n v="1"/>
    <n v="957"/>
    <n v="1"/>
    <n v="5"/>
    <n v="5"/>
    <x v="10"/>
    <x v="2"/>
  </r>
  <r>
    <x v="78"/>
    <x v="5"/>
    <x v="2"/>
    <d v="2025-07-30T00:00:00"/>
    <d v="2025-10-28T00:00:00"/>
    <n v="3500"/>
    <n v="3500"/>
    <n v="4"/>
    <s v="Cancelled"/>
    <d v="2025-10-19T00:00:00"/>
    <x v="1"/>
    <s v="Unique"/>
    <x v="17"/>
    <d v="2025-10-19T00:00:00"/>
    <n v="2"/>
    <n v="179"/>
    <n v="3"/>
    <n v="1"/>
    <n v="2"/>
    <x v="55"/>
    <x v="1"/>
  </r>
  <r>
    <x v="79"/>
    <x v="5"/>
    <x v="1"/>
    <d v="2023-03-15T00:00:00"/>
    <d v="2024-03-14T00:00:00"/>
    <n v="3500"/>
    <n v="17500"/>
    <n v="25"/>
    <s v="Active"/>
    <d v="2025-07-04T00:00:00"/>
    <x v="0"/>
    <s v="Unique"/>
    <x v="20"/>
    <d v="2025-07-04T00:00:00"/>
    <n v="27"/>
    <n v="286"/>
    <n v="2"/>
    <n v="5"/>
    <n v="4"/>
    <x v="56"/>
    <x v="2"/>
  </r>
  <r>
    <x v="80"/>
    <x v="6"/>
    <x v="0"/>
    <d v="2023-10-05T00:00:00"/>
    <d v="2023-11-04T00:00:00"/>
    <n v="3500"/>
    <n v="24500"/>
    <n v="23"/>
    <s v="Active"/>
    <d v="2026-02-10T00:00:00"/>
    <x v="0"/>
    <s v="Unique"/>
    <x v="31"/>
    <d v="2026-02-10T00:00:00"/>
    <n v="28"/>
    <n v="65"/>
    <n v="4"/>
    <n v="5"/>
    <n v="5"/>
    <x v="15"/>
    <x v="3"/>
  </r>
  <r>
    <x v="81"/>
    <x v="2"/>
    <x v="2"/>
    <d v="2025-01-29T00:00:00"/>
    <d v="2025-02-28T00:00:00"/>
    <n v="3500"/>
    <n v="10500"/>
    <n v="20"/>
    <s v="Active"/>
    <d v="2025-10-19T00:00:00"/>
    <x v="0"/>
    <s v="Unique"/>
    <x v="5"/>
    <d v="2025-10-19T00:00:00"/>
    <n v="8"/>
    <n v="179"/>
    <n v="3"/>
    <n v="5"/>
    <n v="4"/>
    <x v="33"/>
    <x v="0"/>
  </r>
  <r>
    <x v="82"/>
    <x v="2"/>
    <x v="2"/>
    <d v="2025-04-09T00:00:00"/>
    <d v="2026-04-09T00:00:00"/>
    <n v="1000"/>
    <n v="4000"/>
    <n v="13"/>
    <s v="Active"/>
    <d v="2026-02-02T00:00:00"/>
    <x v="2"/>
    <s v="Unique"/>
    <x v="26"/>
    <d v="2026-02-02T00:00:00"/>
    <n v="9"/>
    <n v="73"/>
    <n v="4"/>
    <n v="3"/>
    <n v="2"/>
    <x v="57"/>
    <x v="1"/>
  </r>
  <r>
    <x v="83"/>
    <x v="3"/>
    <x v="2"/>
    <d v="2025-06-24T00:00:00"/>
    <d v="2025-09-22T00:00:00"/>
    <n v="2000"/>
    <n v="18000"/>
    <n v="7"/>
    <s v="Active"/>
    <d v="2025-12-12T00:00:00"/>
    <x v="2"/>
    <s v="Unique"/>
    <x v="18"/>
    <d v="2025-12-12T00:00:00"/>
    <n v="5"/>
    <n v="125"/>
    <n v="3"/>
    <n v="2"/>
    <n v="4"/>
    <x v="58"/>
    <x v="1"/>
  </r>
  <r>
    <x v="84"/>
    <x v="4"/>
    <x v="0"/>
    <d v="2025-04-17T00:00:00"/>
    <d v="2025-07-16T00:00:00"/>
    <n v="1000"/>
    <n v="12000"/>
    <n v="20"/>
    <s v="Active"/>
    <d v="2026-01-07T00:00:00"/>
    <x v="0"/>
    <s v="Unique"/>
    <x v="26"/>
    <d v="2026-01-07T00:00:00"/>
    <n v="8"/>
    <n v="99"/>
    <n v="3"/>
    <n v="5"/>
    <n v="4"/>
    <x v="33"/>
    <x v="0"/>
  </r>
  <r>
    <x v="85"/>
    <x v="0"/>
    <x v="1"/>
    <d v="2025-10-08T00:00:00"/>
    <d v="2026-01-06T00:00:00"/>
    <n v="2000"/>
    <n v="6000"/>
    <n v="25"/>
    <s v="Active"/>
    <d v="2025-10-14T00:00:00"/>
    <x v="0"/>
    <s v="Unique"/>
    <x v="32"/>
    <d v="2025-10-14T00:00:00"/>
    <n v="0"/>
    <n v="184"/>
    <n v="2"/>
    <n v="5"/>
    <n v="3"/>
    <x v="41"/>
    <x v="2"/>
  </r>
  <r>
    <x v="86"/>
    <x v="2"/>
    <x v="1"/>
    <d v="2023-06-10T00:00:00"/>
    <d v="2023-07-10T00:00:00"/>
    <n v="1000"/>
    <n v="7000"/>
    <n v="18"/>
    <s v="Active"/>
    <d v="2024-12-29T00:00:00"/>
    <x v="0"/>
    <s v="Unique"/>
    <x v="10"/>
    <d v="2024-12-29T00:00:00"/>
    <n v="18"/>
    <n v="473"/>
    <n v="1"/>
    <n v="4"/>
    <n v="3"/>
    <x v="42"/>
    <x v="2"/>
  </r>
  <r>
    <x v="87"/>
    <x v="1"/>
    <x v="2"/>
    <d v="2024-07-27T00:00:00"/>
    <d v="2025-07-27T00:00:00"/>
    <n v="2000"/>
    <n v="20000"/>
    <n v="4"/>
    <s v="Cancelled"/>
    <d v="2024-08-07T00:00:00"/>
    <x v="1"/>
    <s v="Unique"/>
    <x v="13"/>
    <d v="2024-08-07T00:00:00"/>
    <n v="0"/>
    <n v="617"/>
    <n v="1"/>
    <n v="1"/>
    <n v="5"/>
    <x v="23"/>
    <x v="2"/>
  </r>
  <r>
    <x v="88"/>
    <x v="0"/>
    <x v="2"/>
    <d v="2025-06-26T00:00:00"/>
    <d v="2026-06-26T00:00:00"/>
    <n v="2000"/>
    <n v="2000"/>
    <n v="18"/>
    <s v="Active"/>
    <d v="2026-03-18T00:00:00"/>
    <x v="0"/>
    <s v="Unique"/>
    <x v="18"/>
    <d v="2026-03-18T00:00:00"/>
    <n v="8"/>
    <n v="29"/>
    <n v="5"/>
    <n v="4"/>
    <n v="2"/>
    <x v="59"/>
    <x v="1"/>
  </r>
  <r>
    <x v="89"/>
    <x v="6"/>
    <x v="2"/>
    <d v="2025-07-24T00:00:00"/>
    <d v="2025-10-22T00:00:00"/>
    <n v="3500"/>
    <n v="24500"/>
    <n v="9"/>
    <s v="Active"/>
    <d v="2025-12-03T00:00:00"/>
    <x v="2"/>
    <s v="Unique"/>
    <x v="17"/>
    <d v="2025-12-03T00:00:00"/>
    <n v="4"/>
    <n v="134"/>
    <n v="3"/>
    <n v="2"/>
    <n v="5"/>
    <x v="29"/>
    <x v="1"/>
  </r>
  <r>
    <x v="90"/>
    <x v="2"/>
    <x v="2"/>
    <d v="2025-07-31T00:00:00"/>
    <d v="2025-10-29T00:00:00"/>
    <n v="1000"/>
    <n v="6000"/>
    <n v="1"/>
    <s v="Cancelled"/>
    <d v="2025-08-20T00:00:00"/>
    <x v="1"/>
    <s v="Unique"/>
    <x v="17"/>
    <d v="2025-08-20T00:00:00"/>
    <n v="0"/>
    <n v="239"/>
    <n v="2"/>
    <n v="1"/>
    <n v="3"/>
    <x v="28"/>
    <x v="2"/>
  </r>
  <r>
    <x v="91"/>
    <x v="3"/>
    <x v="1"/>
    <d v="2025-08-05T00:00:00"/>
    <d v="2025-09-04T00:00:00"/>
    <n v="3500"/>
    <n v="3500"/>
    <n v="3"/>
    <s v="Cancelled"/>
    <d v="2025-09-10T00:00:00"/>
    <x v="1"/>
    <s v="Unique"/>
    <x v="4"/>
    <d v="2025-09-10T00:00:00"/>
    <n v="1"/>
    <n v="218"/>
    <n v="2"/>
    <n v="1"/>
    <n v="2"/>
    <x v="19"/>
    <x v="2"/>
  </r>
  <r>
    <x v="92"/>
    <x v="5"/>
    <x v="0"/>
    <d v="2023-12-17T00:00:00"/>
    <d v="2024-01-16T00:00:00"/>
    <n v="3500"/>
    <n v="38500"/>
    <n v="15"/>
    <s v="Active"/>
    <d v="2025-09-27T00:00:00"/>
    <x v="0"/>
    <s v="Unique"/>
    <x v="22"/>
    <d v="2025-09-27T00:00:00"/>
    <n v="21"/>
    <n v="201"/>
    <n v="2"/>
    <n v="4"/>
    <n v="5"/>
    <x v="48"/>
    <x v="2"/>
  </r>
  <r>
    <x v="93"/>
    <x v="0"/>
    <x v="1"/>
    <d v="2024-03-17T00:00:00"/>
    <d v="2024-04-16T00:00:00"/>
    <n v="2000"/>
    <n v="18000"/>
    <n v="8"/>
    <s v="Active"/>
    <d v="2025-10-05T00:00:00"/>
    <x v="2"/>
    <s v="Unique"/>
    <x v="11"/>
    <d v="2025-10-05T00:00:00"/>
    <n v="18"/>
    <n v="193"/>
    <n v="2"/>
    <n v="2"/>
    <n v="4"/>
    <x v="37"/>
    <x v="2"/>
  </r>
  <r>
    <x v="94"/>
    <x v="2"/>
    <x v="1"/>
    <d v="2024-03-15T00:00:00"/>
    <d v="2024-04-14T00:00:00"/>
    <n v="2000"/>
    <n v="18000"/>
    <n v="24"/>
    <s v="Active"/>
    <d v="2025-06-12T00:00:00"/>
    <x v="0"/>
    <s v="Unique"/>
    <x v="11"/>
    <d v="2025-06-12T00:00:00"/>
    <n v="14"/>
    <n v="308"/>
    <n v="2"/>
    <n v="5"/>
    <n v="4"/>
    <x v="56"/>
    <x v="2"/>
  </r>
  <r>
    <x v="95"/>
    <x v="0"/>
    <x v="0"/>
    <d v="2025-05-03T00:00:00"/>
    <d v="2025-06-02T00:00:00"/>
    <n v="2000"/>
    <n v="16000"/>
    <n v="5"/>
    <s v="Active"/>
    <d v="2025-09-09T00:00:00"/>
    <x v="2"/>
    <s v="Unique"/>
    <x v="30"/>
    <d v="2025-09-09T00:00:00"/>
    <n v="4"/>
    <n v="219"/>
    <n v="2"/>
    <n v="2"/>
    <n v="4"/>
    <x v="37"/>
    <x v="2"/>
  </r>
  <r>
    <x v="96"/>
    <x v="4"/>
    <x v="1"/>
    <d v="2023-09-07T00:00:00"/>
    <d v="2024-09-06T00:00:00"/>
    <n v="1000"/>
    <n v="6000"/>
    <n v="3"/>
    <s v="Cancelled"/>
    <d v="2025-01-28T00:00:00"/>
    <x v="1"/>
    <s v="Unique"/>
    <x v="25"/>
    <d v="2025-01-28T00:00:00"/>
    <n v="16"/>
    <n v="443"/>
    <n v="1"/>
    <n v="1"/>
    <n v="3"/>
    <x v="2"/>
    <x v="2"/>
  </r>
  <r>
    <x v="97"/>
    <x v="6"/>
    <x v="1"/>
    <d v="2025-03-31T00:00:00"/>
    <d v="2025-06-29T00:00:00"/>
    <n v="1000"/>
    <n v="5000"/>
    <n v="11"/>
    <s v="Active"/>
    <d v="2025-10-12T00:00:00"/>
    <x v="2"/>
    <s v="Unique"/>
    <x v="33"/>
    <d v="2025-10-12T00:00:00"/>
    <n v="6"/>
    <n v="186"/>
    <n v="2"/>
    <n v="3"/>
    <n v="3"/>
    <x v="3"/>
    <x v="2"/>
  </r>
  <r>
    <x v="98"/>
    <x v="1"/>
    <x v="2"/>
    <d v="2024-04-11T00:00:00"/>
    <d v="2025-04-11T00:00:00"/>
    <n v="3500"/>
    <n v="14000"/>
    <n v="2"/>
    <s v="Cancelled"/>
    <d v="2024-05-17T00:00:00"/>
    <x v="1"/>
    <s v="Unique"/>
    <x v="9"/>
    <d v="2024-05-17T00:00:00"/>
    <n v="1"/>
    <n v="699"/>
    <n v="1"/>
    <n v="1"/>
    <n v="4"/>
    <x v="39"/>
    <x v="2"/>
  </r>
  <r>
    <x v="99"/>
    <x v="6"/>
    <x v="2"/>
    <d v="2024-04-05T00:00:00"/>
    <d v="2024-05-05T00:00:00"/>
    <n v="1000"/>
    <n v="11000"/>
    <n v="14"/>
    <s v="Active"/>
    <d v="2024-09-01T00:00:00"/>
    <x v="2"/>
    <s v="Unique"/>
    <x v="9"/>
    <d v="2024-09-01T00:00:00"/>
    <n v="4"/>
    <n v="592"/>
    <n v="1"/>
    <n v="3"/>
    <n v="4"/>
    <x v="31"/>
    <x v="2"/>
  </r>
  <r>
    <x v="100"/>
    <x v="5"/>
    <x v="2"/>
    <d v="2023-01-12T00:00:00"/>
    <d v="2024-01-12T00:00:00"/>
    <n v="2000"/>
    <n v="10000"/>
    <n v="21"/>
    <s v="Active"/>
    <d v="2024-07-22T00:00:00"/>
    <x v="0"/>
    <s v="Unique"/>
    <x v="2"/>
    <d v="2024-07-22T00:00:00"/>
    <n v="18"/>
    <n v="633"/>
    <n v="1"/>
    <n v="5"/>
    <n v="4"/>
    <x v="27"/>
    <x v="2"/>
  </r>
  <r>
    <x v="101"/>
    <x v="4"/>
    <x v="2"/>
    <d v="2023-12-18T00:00:00"/>
    <d v="2024-01-17T00:00:00"/>
    <n v="3500"/>
    <n v="28000"/>
    <n v="12"/>
    <s v="Active"/>
    <d v="2023-12-29T00:00:00"/>
    <x v="2"/>
    <s v="Unique"/>
    <x v="22"/>
    <d v="2023-12-29T00:00:00"/>
    <n v="0"/>
    <n v="839"/>
    <n v="1"/>
    <n v="3"/>
    <n v="5"/>
    <x v="21"/>
    <x v="2"/>
  </r>
  <r>
    <x v="102"/>
    <x v="1"/>
    <x v="0"/>
    <d v="2025-05-01T00:00:00"/>
    <d v="2026-05-01T00:00:00"/>
    <n v="1000"/>
    <n v="10000"/>
    <n v="25"/>
    <s v="Active"/>
    <d v="2025-10-28T00:00:00"/>
    <x v="0"/>
    <s v="Unique"/>
    <x v="30"/>
    <d v="2025-10-28T00:00:00"/>
    <n v="5"/>
    <n v="170"/>
    <n v="3"/>
    <n v="5"/>
    <n v="4"/>
    <x v="33"/>
    <x v="0"/>
  </r>
  <r>
    <x v="103"/>
    <x v="1"/>
    <x v="0"/>
    <d v="2024-06-16T00:00:00"/>
    <d v="2025-06-16T00:00:00"/>
    <n v="3500"/>
    <n v="24500"/>
    <n v="13"/>
    <s v="Active"/>
    <d v="2025-07-11T00:00:00"/>
    <x v="2"/>
    <s v="Unique"/>
    <x v="1"/>
    <d v="2025-07-11T00:00:00"/>
    <n v="12"/>
    <n v="279"/>
    <n v="2"/>
    <n v="3"/>
    <n v="5"/>
    <x v="60"/>
    <x v="2"/>
  </r>
  <r>
    <x v="104"/>
    <x v="1"/>
    <x v="0"/>
    <d v="2023-02-27T00:00:00"/>
    <d v="2023-03-29T00:00:00"/>
    <n v="2000"/>
    <n v="14000"/>
    <n v="22"/>
    <s v="Active"/>
    <d v="2024-12-27T00:00:00"/>
    <x v="0"/>
    <s v="Unique"/>
    <x v="16"/>
    <d v="2024-12-27T00:00:00"/>
    <n v="22"/>
    <n v="475"/>
    <n v="1"/>
    <n v="5"/>
    <n v="4"/>
    <x v="27"/>
    <x v="2"/>
  </r>
  <r>
    <x v="105"/>
    <x v="1"/>
    <x v="0"/>
    <d v="2024-03-18T00:00:00"/>
    <d v="2025-03-18T00:00:00"/>
    <n v="1000"/>
    <n v="8000"/>
    <n v="8"/>
    <s v="Active"/>
    <d v="2024-06-04T00:00:00"/>
    <x v="2"/>
    <s v="Unique"/>
    <x v="11"/>
    <d v="2024-06-04T00:00:00"/>
    <n v="2"/>
    <n v="681"/>
    <n v="1"/>
    <n v="2"/>
    <n v="3"/>
    <x v="52"/>
    <x v="2"/>
  </r>
  <r>
    <x v="106"/>
    <x v="6"/>
    <x v="2"/>
    <d v="2024-06-10T00:00:00"/>
    <d v="2025-06-10T00:00:00"/>
    <n v="2000"/>
    <n v="24000"/>
    <n v="1"/>
    <s v="Active"/>
    <d v="2024-06-23T00:00:00"/>
    <x v="1"/>
    <s v="Unique"/>
    <x v="1"/>
    <d v="2024-06-23T00:00:00"/>
    <n v="0"/>
    <n v="662"/>
    <n v="1"/>
    <n v="1"/>
    <n v="5"/>
    <x v="23"/>
    <x v="2"/>
  </r>
  <r>
    <x v="107"/>
    <x v="5"/>
    <x v="2"/>
    <d v="2024-12-30T00:00:00"/>
    <d v="2025-12-30T00:00:00"/>
    <n v="1000"/>
    <n v="7000"/>
    <n v="14"/>
    <s v="Cancelled"/>
    <d v="2025-05-20T00:00:00"/>
    <x v="2"/>
    <s v="Unique"/>
    <x v="0"/>
    <d v="2025-05-20T00:00:00"/>
    <n v="4"/>
    <n v="331"/>
    <n v="2"/>
    <n v="3"/>
    <n v="3"/>
    <x v="3"/>
    <x v="2"/>
  </r>
  <r>
    <x v="108"/>
    <x v="3"/>
    <x v="0"/>
    <d v="2024-04-26T00:00:00"/>
    <d v="2024-05-26T00:00:00"/>
    <n v="3500"/>
    <n v="10500"/>
    <n v="4"/>
    <s v="Cancelled"/>
    <d v="2024-05-20T00:00:00"/>
    <x v="1"/>
    <s v="Unique"/>
    <x v="9"/>
    <d v="2024-05-20T00:00:00"/>
    <n v="0"/>
    <n v="696"/>
    <n v="1"/>
    <n v="1"/>
    <n v="4"/>
    <x v="39"/>
    <x v="2"/>
  </r>
  <r>
    <x v="109"/>
    <x v="3"/>
    <x v="0"/>
    <d v="2024-07-30T00:00:00"/>
    <d v="2025-07-30T00:00:00"/>
    <n v="3500"/>
    <n v="42000"/>
    <n v="13"/>
    <s v="Cancelled"/>
    <d v="2025-07-23T00:00:00"/>
    <x v="2"/>
    <s v="Unique"/>
    <x v="13"/>
    <d v="2025-07-23T00:00:00"/>
    <n v="11"/>
    <n v="267"/>
    <n v="2"/>
    <n v="3"/>
    <n v="5"/>
    <x v="60"/>
    <x v="2"/>
  </r>
  <r>
    <x v="110"/>
    <x v="2"/>
    <x v="2"/>
    <d v="2023-07-23T00:00:00"/>
    <d v="2023-08-22T00:00:00"/>
    <n v="1000"/>
    <n v="7000"/>
    <n v="10"/>
    <s v="Active"/>
    <d v="2023-09-19T00:00:00"/>
    <x v="2"/>
    <s v="Unique"/>
    <x v="6"/>
    <d v="2023-09-19T00:00:00"/>
    <n v="1"/>
    <n v="940"/>
    <n v="1"/>
    <n v="3"/>
    <n v="3"/>
    <x v="61"/>
    <x v="2"/>
  </r>
  <r>
    <x v="111"/>
    <x v="3"/>
    <x v="0"/>
    <d v="2024-05-06T00:00:00"/>
    <d v="2024-06-05T00:00:00"/>
    <n v="2000"/>
    <n v="24000"/>
    <n v="19"/>
    <s v="Active"/>
    <d v="2025-08-01T00:00:00"/>
    <x v="0"/>
    <s v="Unique"/>
    <x v="15"/>
    <d v="2025-08-01T00:00:00"/>
    <n v="14"/>
    <n v="258"/>
    <n v="2"/>
    <n v="4"/>
    <n v="5"/>
    <x v="48"/>
    <x v="2"/>
  </r>
  <r>
    <x v="112"/>
    <x v="2"/>
    <x v="2"/>
    <d v="2025-03-04T00:00:00"/>
    <d v="2025-06-02T00:00:00"/>
    <n v="1000"/>
    <n v="3000"/>
    <n v="10"/>
    <s v="Active"/>
    <d v="2025-06-09T00:00:00"/>
    <x v="2"/>
    <s v="Unique"/>
    <x v="33"/>
    <d v="2025-06-09T00:00:00"/>
    <n v="3"/>
    <n v="311"/>
    <n v="2"/>
    <n v="3"/>
    <n v="2"/>
    <x v="62"/>
    <x v="2"/>
  </r>
  <r>
    <x v="113"/>
    <x v="1"/>
    <x v="0"/>
    <d v="2024-01-21T00:00:00"/>
    <d v="2024-04-20T00:00:00"/>
    <n v="1000"/>
    <n v="4000"/>
    <n v="13"/>
    <s v="Active"/>
    <d v="2024-06-08T00:00:00"/>
    <x v="2"/>
    <s v="Unique"/>
    <x v="34"/>
    <d v="2024-06-08T00:00:00"/>
    <n v="4"/>
    <n v="677"/>
    <n v="1"/>
    <n v="3"/>
    <n v="2"/>
    <x v="46"/>
    <x v="2"/>
  </r>
  <r>
    <x v="114"/>
    <x v="5"/>
    <x v="2"/>
    <d v="2024-11-26T00:00:00"/>
    <d v="2024-12-26T00:00:00"/>
    <n v="3500"/>
    <n v="7000"/>
    <n v="19"/>
    <s v="Active"/>
    <d v="2024-12-06T00:00:00"/>
    <x v="0"/>
    <s v="Unique"/>
    <x v="23"/>
    <d v="2024-12-06T00:00:00"/>
    <n v="0"/>
    <n v="496"/>
    <n v="1"/>
    <n v="4"/>
    <n v="3"/>
    <x v="42"/>
    <x v="2"/>
  </r>
  <r>
    <x v="115"/>
    <x v="1"/>
    <x v="2"/>
    <d v="2024-07-03T00:00:00"/>
    <d v="2025-07-03T00:00:00"/>
    <n v="3500"/>
    <n v="7000"/>
    <n v="0"/>
    <s v="Active"/>
    <d v="2024-09-07T00:00:00"/>
    <x v="1"/>
    <s v="Unique"/>
    <x v="13"/>
    <d v="2024-09-07T00:00:00"/>
    <n v="2"/>
    <n v="586"/>
    <n v="1"/>
    <n v="1"/>
    <n v="3"/>
    <x v="2"/>
    <x v="2"/>
  </r>
  <r>
    <x v="116"/>
    <x v="2"/>
    <x v="1"/>
    <d v="2025-06-22T00:00:00"/>
    <d v="2025-09-20T00:00:00"/>
    <n v="3500"/>
    <n v="14000"/>
    <n v="24"/>
    <s v="Active"/>
    <d v="2025-08-01T00:00:00"/>
    <x v="0"/>
    <s v="Unique"/>
    <x v="18"/>
    <d v="2025-08-01T00:00:00"/>
    <n v="1"/>
    <n v="258"/>
    <n v="2"/>
    <n v="5"/>
    <n v="4"/>
    <x v="56"/>
    <x v="2"/>
  </r>
  <r>
    <x v="117"/>
    <x v="0"/>
    <x v="1"/>
    <d v="2023-11-15T00:00:00"/>
    <d v="2024-02-13T00:00:00"/>
    <n v="2000"/>
    <n v="24000"/>
    <n v="19"/>
    <s v="Active"/>
    <d v="2023-12-03T00:00:00"/>
    <x v="0"/>
    <s v="Unique"/>
    <x v="21"/>
    <d v="2023-12-03T00:00:00"/>
    <n v="0"/>
    <n v="865"/>
    <n v="1"/>
    <n v="4"/>
    <n v="5"/>
    <x v="16"/>
    <x v="2"/>
  </r>
  <r>
    <x v="118"/>
    <x v="4"/>
    <x v="1"/>
    <d v="2025-12-30T00:00:00"/>
    <d v="2026-03-30T00:00:00"/>
    <n v="3500"/>
    <n v="28000"/>
    <n v="12"/>
    <s v="Active"/>
    <d v="2026-03-15T00:00:00"/>
    <x v="2"/>
    <s v="Unique"/>
    <x v="24"/>
    <d v="2026-03-15T00:00:00"/>
    <n v="2"/>
    <n v="32"/>
    <n v="4"/>
    <n v="3"/>
    <n v="5"/>
    <x v="30"/>
    <x v="0"/>
  </r>
  <r>
    <x v="119"/>
    <x v="6"/>
    <x v="2"/>
    <d v="2025-01-24T00:00:00"/>
    <d v="2025-04-24T00:00:00"/>
    <n v="2000"/>
    <n v="24000"/>
    <n v="16"/>
    <s v="Active"/>
    <d v="2026-03-04T00:00:00"/>
    <x v="0"/>
    <s v="Unique"/>
    <x v="5"/>
    <d v="2026-03-04T00:00:00"/>
    <n v="13"/>
    <n v="43"/>
    <n v="4"/>
    <n v="4"/>
    <n v="5"/>
    <x v="63"/>
    <x v="3"/>
  </r>
  <r>
    <x v="120"/>
    <x v="3"/>
    <x v="2"/>
    <d v="2023-02-14T00:00:00"/>
    <d v="2023-05-15T00:00:00"/>
    <n v="2000"/>
    <n v="4000"/>
    <n v="22"/>
    <s v="Active"/>
    <d v="2025-08-14T00:00:00"/>
    <x v="0"/>
    <s v="Unique"/>
    <x v="16"/>
    <d v="2025-08-14T00:00:00"/>
    <n v="30"/>
    <n v="245"/>
    <n v="2"/>
    <n v="5"/>
    <n v="2"/>
    <x v="36"/>
    <x v="2"/>
  </r>
  <r>
    <x v="121"/>
    <x v="3"/>
    <x v="1"/>
    <d v="2025-05-14T00:00:00"/>
    <d v="2025-08-12T00:00:00"/>
    <n v="1000"/>
    <n v="10000"/>
    <n v="11"/>
    <s v="Active"/>
    <d v="2025-10-05T00:00:00"/>
    <x v="2"/>
    <s v="Unique"/>
    <x v="30"/>
    <d v="2025-10-05T00:00:00"/>
    <n v="4"/>
    <n v="193"/>
    <n v="2"/>
    <n v="3"/>
    <n v="4"/>
    <x v="8"/>
    <x v="2"/>
  </r>
  <r>
    <x v="122"/>
    <x v="3"/>
    <x v="0"/>
    <d v="2025-03-08T00:00:00"/>
    <d v="2026-03-08T00:00:00"/>
    <n v="3500"/>
    <n v="31500"/>
    <n v="21"/>
    <s v="Active"/>
    <d v="2026-01-24T00:00:00"/>
    <x v="0"/>
    <s v="Unique"/>
    <x v="33"/>
    <d v="2026-01-24T00:00:00"/>
    <n v="10"/>
    <n v="82"/>
    <n v="4"/>
    <n v="5"/>
    <n v="5"/>
    <x v="15"/>
    <x v="3"/>
  </r>
  <r>
    <x v="123"/>
    <x v="6"/>
    <x v="2"/>
    <d v="2025-06-07T00:00:00"/>
    <d v="2025-07-07T00:00:00"/>
    <n v="1000"/>
    <n v="2000"/>
    <n v="11"/>
    <s v="Active"/>
    <d v="2025-11-02T00:00:00"/>
    <x v="2"/>
    <s v="Unique"/>
    <x v="18"/>
    <d v="2025-11-02T00:00:00"/>
    <n v="4"/>
    <n v="165"/>
    <n v="3"/>
    <n v="3"/>
    <n v="2"/>
    <x v="34"/>
    <x v="1"/>
  </r>
  <r>
    <x v="124"/>
    <x v="2"/>
    <x v="0"/>
    <d v="2025-08-26T00:00:00"/>
    <d v="2025-09-25T00:00:00"/>
    <n v="2000"/>
    <n v="6000"/>
    <n v="16"/>
    <s v="Cancelled"/>
    <d v="2025-12-03T00:00:00"/>
    <x v="0"/>
    <s v="Unique"/>
    <x v="4"/>
    <d v="2025-12-03T00:00:00"/>
    <n v="3"/>
    <n v="134"/>
    <n v="3"/>
    <n v="4"/>
    <n v="3"/>
    <x v="64"/>
    <x v="0"/>
  </r>
  <r>
    <x v="125"/>
    <x v="2"/>
    <x v="0"/>
    <d v="2023-09-22T00:00:00"/>
    <d v="2023-12-21T00:00:00"/>
    <n v="1000"/>
    <n v="8000"/>
    <n v="15"/>
    <s v="Active"/>
    <d v="2024-10-26T00:00:00"/>
    <x v="0"/>
    <s v="Unique"/>
    <x v="25"/>
    <d v="2024-10-26T00:00:00"/>
    <n v="13"/>
    <n v="537"/>
    <n v="1"/>
    <n v="4"/>
    <n v="3"/>
    <x v="42"/>
    <x v="2"/>
  </r>
  <r>
    <x v="126"/>
    <x v="6"/>
    <x v="1"/>
    <d v="2024-07-27T00:00:00"/>
    <d v="2024-08-26T00:00:00"/>
    <n v="3500"/>
    <n v="17500"/>
    <n v="6"/>
    <s v="Active"/>
    <d v="2025-12-28T00:00:00"/>
    <x v="2"/>
    <s v="Unique"/>
    <x v="13"/>
    <d v="2025-12-28T00:00:00"/>
    <n v="17"/>
    <n v="109"/>
    <n v="3"/>
    <n v="2"/>
    <n v="4"/>
    <x v="58"/>
    <x v="1"/>
  </r>
  <r>
    <x v="127"/>
    <x v="6"/>
    <x v="1"/>
    <d v="2023-03-13T00:00:00"/>
    <d v="2023-06-11T00:00:00"/>
    <n v="2000"/>
    <n v="12000"/>
    <n v="11"/>
    <s v="Active"/>
    <d v="2024-03-26T00:00:00"/>
    <x v="2"/>
    <s v="Unique"/>
    <x v="20"/>
    <d v="2024-03-26T00:00:00"/>
    <n v="12"/>
    <n v="751"/>
    <n v="1"/>
    <n v="3"/>
    <n v="4"/>
    <x v="31"/>
    <x v="2"/>
  </r>
  <r>
    <x v="128"/>
    <x v="5"/>
    <x v="1"/>
    <d v="2024-09-21T00:00:00"/>
    <d v="2025-09-21T00:00:00"/>
    <n v="2000"/>
    <n v="4000"/>
    <n v="18"/>
    <s v="Active"/>
    <d v="2026-04-02T00:00:00"/>
    <x v="0"/>
    <s v="Unique"/>
    <x v="8"/>
    <d v="2026-04-02T00:00:00"/>
    <n v="18"/>
    <n v="14"/>
    <n v="5"/>
    <n v="4"/>
    <n v="2"/>
    <x v="59"/>
    <x v="1"/>
  </r>
  <r>
    <x v="129"/>
    <x v="1"/>
    <x v="1"/>
    <d v="2024-11-29T00:00:00"/>
    <d v="2025-11-29T00:00:00"/>
    <n v="1000"/>
    <n v="6000"/>
    <n v="5"/>
    <s v="Cancelled"/>
    <d v="2024-12-11T00:00:00"/>
    <x v="2"/>
    <s v="Unique"/>
    <x v="23"/>
    <d v="2024-12-11T00:00:00"/>
    <n v="0"/>
    <n v="491"/>
    <n v="1"/>
    <n v="2"/>
    <n v="3"/>
    <x v="52"/>
    <x v="2"/>
  </r>
  <r>
    <x v="130"/>
    <x v="4"/>
    <x v="1"/>
    <d v="2023-05-11T00:00:00"/>
    <d v="2023-06-10T00:00:00"/>
    <n v="1000"/>
    <n v="4000"/>
    <n v="19"/>
    <s v="Active"/>
    <d v="2026-02-09T00:00:00"/>
    <x v="0"/>
    <s v="Unique"/>
    <x v="29"/>
    <d v="2026-02-09T00:00:00"/>
    <n v="32"/>
    <n v="66"/>
    <n v="4"/>
    <n v="4"/>
    <n v="2"/>
    <x v="49"/>
    <x v="1"/>
  </r>
  <r>
    <x v="131"/>
    <x v="3"/>
    <x v="2"/>
    <d v="2025-02-20T00:00:00"/>
    <d v="2026-02-20T00:00:00"/>
    <n v="3500"/>
    <n v="38500"/>
    <n v="18"/>
    <s v="Active"/>
    <d v="2025-07-04T00:00:00"/>
    <x v="0"/>
    <s v="Unique"/>
    <x v="14"/>
    <d v="2025-07-04T00:00:00"/>
    <n v="4"/>
    <n v="286"/>
    <n v="2"/>
    <n v="4"/>
    <n v="5"/>
    <x v="48"/>
    <x v="2"/>
  </r>
  <r>
    <x v="132"/>
    <x v="5"/>
    <x v="1"/>
    <d v="2025-12-27T00:00:00"/>
    <d v="2026-12-27T00:00:00"/>
    <n v="3500"/>
    <n v="21000"/>
    <n v="15"/>
    <s v="Active"/>
    <d v="2026-03-18T00:00:00"/>
    <x v="0"/>
    <s v="Unique"/>
    <x v="24"/>
    <d v="2026-03-18T00:00:00"/>
    <n v="2"/>
    <n v="29"/>
    <n v="5"/>
    <n v="4"/>
    <n v="5"/>
    <x v="65"/>
    <x v="3"/>
  </r>
  <r>
    <x v="133"/>
    <x v="1"/>
    <x v="0"/>
    <d v="2023-03-02T00:00:00"/>
    <d v="2023-04-01T00:00:00"/>
    <n v="2000"/>
    <n v="2000"/>
    <n v="20"/>
    <s v="Active"/>
    <d v="2024-09-30T00:00:00"/>
    <x v="0"/>
    <s v="Unique"/>
    <x v="20"/>
    <d v="2024-09-30T00:00:00"/>
    <n v="18"/>
    <n v="563"/>
    <n v="1"/>
    <n v="5"/>
    <n v="2"/>
    <x v="66"/>
    <x v="2"/>
  </r>
  <r>
    <x v="134"/>
    <x v="5"/>
    <x v="0"/>
    <d v="2024-05-22T00:00:00"/>
    <d v="2024-08-20T00:00:00"/>
    <n v="2000"/>
    <n v="20000"/>
    <n v="4"/>
    <s v="Cancelled"/>
    <d v="2024-11-11T00:00:00"/>
    <x v="1"/>
    <s v="Unique"/>
    <x v="15"/>
    <d v="2024-11-11T00:00:00"/>
    <n v="5"/>
    <n v="521"/>
    <n v="1"/>
    <n v="1"/>
    <n v="5"/>
    <x v="23"/>
    <x v="2"/>
  </r>
  <r>
    <x v="135"/>
    <x v="6"/>
    <x v="2"/>
    <d v="2024-03-05T00:00:00"/>
    <d v="2024-06-03T00:00:00"/>
    <n v="3500"/>
    <n v="7000"/>
    <n v="8"/>
    <s v="Active"/>
    <d v="2024-03-18T00:00:00"/>
    <x v="2"/>
    <s v="Unique"/>
    <x v="11"/>
    <d v="2024-03-18T00:00:00"/>
    <n v="0"/>
    <n v="759"/>
    <n v="1"/>
    <n v="2"/>
    <n v="3"/>
    <x v="52"/>
    <x v="2"/>
  </r>
  <r>
    <x v="136"/>
    <x v="4"/>
    <x v="2"/>
    <d v="2024-05-25T00:00:00"/>
    <d v="2024-06-24T00:00:00"/>
    <n v="3500"/>
    <n v="31500"/>
    <n v="4"/>
    <s v="Active"/>
    <d v="2025-07-15T00:00:00"/>
    <x v="1"/>
    <s v="Unique"/>
    <x v="15"/>
    <d v="2025-07-15T00:00:00"/>
    <n v="13"/>
    <n v="275"/>
    <n v="2"/>
    <n v="1"/>
    <n v="5"/>
    <x v="67"/>
    <x v="2"/>
  </r>
  <r>
    <x v="137"/>
    <x v="6"/>
    <x v="2"/>
    <d v="2023-03-07T00:00:00"/>
    <d v="2023-06-05T00:00:00"/>
    <n v="2000"/>
    <n v="2000"/>
    <n v="21"/>
    <s v="Active"/>
    <d v="2025-07-03T00:00:00"/>
    <x v="0"/>
    <s v="Unique"/>
    <x v="20"/>
    <d v="2025-07-03T00:00:00"/>
    <n v="27"/>
    <n v="287"/>
    <n v="2"/>
    <n v="5"/>
    <n v="2"/>
    <x v="36"/>
    <x v="2"/>
  </r>
  <r>
    <x v="138"/>
    <x v="6"/>
    <x v="2"/>
    <d v="2023-09-11T00:00:00"/>
    <d v="2023-10-11T00:00:00"/>
    <n v="3500"/>
    <n v="42000"/>
    <n v="10"/>
    <s v="Active"/>
    <d v="2026-03-26T00:00:00"/>
    <x v="2"/>
    <s v="Unique"/>
    <x v="25"/>
    <d v="2026-03-26T00:00:00"/>
    <n v="30"/>
    <n v="21"/>
    <n v="5"/>
    <n v="3"/>
    <n v="5"/>
    <x v="68"/>
    <x v="0"/>
  </r>
  <r>
    <x v="139"/>
    <x v="2"/>
    <x v="1"/>
    <d v="2023-03-08T00:00:00"/>
    <d v="2023-06-06T00:00:00"/>
    <n v="1000"/>
    <n v="8000"/>
    <n v="4"/>
    <s v="Cancelled"/>
    <d v="2026-04-03T00:00:00"/>
    <x v="1"/>
    <s v="Unique"/>
    <x v="20"/>
    <d v="2026-04-03T00:00:00"/>
    <n v="36"/>
    <n v="13"/>
    <n v="5"/>
    <n v="1"/>
    <n v="3"/>
    <x v="22"/>
    <x v="1"/>
  </r>
  <r>
    <x v="140"/>
    <x v="5"/>
    <x v="1"/>
    <d v="2023-09-24T00:00:00"/>
    <d v="2023-12-23T00:00:00"/>
    <n v="3500"/>
    <n v="7000"/>
    <n v="1"/>
    <s v="Cancelled"/>
    <d v="2023-11-22T00:00:00"/>
    <x v="1"/>
    <s v="Unique"/>
    <x v="25"/>
    <d v="2023-11-22T00:00:00"/>
    <n v="1"/>
    <n v="876"/>
    <n v="1"/>
    <n v="1"/>
    <n v="3"/>
    <x v="2"/>
    <x v="2"/>
  </r>
  <r>
    <x v="141"/>
    <x v="2"/>
    <x v="0"/>
    <d v="2024-04-14T00:00:00"/>
    <d v="2024-05-14T00:00:00"/>
    <n v="3500"/>
    <n v="28000"/>
    <n v="9"/>
    <s v="Active"/>
    <d v="2025-02-28T00:00:00"/>
    <x v="2"/>
    <s v="Unique"/>
    <x v="9"/>
    <d v="2025-02-28T00:00:00"/>
    <n v="10"/>
    <n v="412"/>
    <n v="1"/>
    <n v="2"/>
    <n v="5"/>
    <x v="69"/>
    <x v="2"/>
  </r>
  <r>
    <x v="142"/>
    <x v="1"/>
    <x v="1"/>
    <d v="2025-11-16T00:00:00"/>
    <d v="2025-12-16T00:00:00"/>
    <n v="3500"/>
    <n v="35000"/>
    <n v="21"/>
    <s v="Active"/>
    <d v="2026-02-18T00:00:00"/>
    <x v="0"/>
    <s v="Unique"/>
    <x v="7"/>
    <d v="2026-02-18T00:00:00"/>
    <n v="3"/>
    <n v="57"/>
    <n v="4"/>
    <n v="5"/>
    <n v="5"/>
    <x v="15"/>
    <x v="3"/>
  </r>
  <r>
    <x v="143"/>
    <x v="1"/>
    <x v="0"/>
    <d v="2025-03-06T00:00:00"/>
    <d v="2025-06-04T00:00:00"/>
    <n v="2000"/>
    <n v="8000"/>
    <n v="15"/>
    <s v="Active"/>
    <d v="2025-10-24T00:00:00"/>
    <x v="0"/>
    <s v="Unique"/>
    <x v="33"/>
    <d v="2025-10-24T00:00:00"/>
    <n v="7"/>
    <n v="174"/>
    <n v="3"/>
    <n v="4"/>
    <n v="3"/>
    <x v="64"/>
    <x v="0"/>
  </r>
  <r>
    <x v="144"/>
    <x v="1"/>
    <x v="0"/>
    <d v="2023-12-25T00:00:00"/>
    <d v="2024-12-24T00:00:00"/>
    <n v="2000"/>
    <n v="8000"/>
    <n v="16"/>
    <s v="Active"/>
    <d v="2025-03-12T00:00:00"/>
    <x v="0"/>
    <s v="Unique"/>
    <x v="22"/>
    <d v="2025-03-12T00:00:00"/>
    <n v="14"/>
    <n v="400"/>
    <n v="1"/>
    <n v="4"/>
    <n v="3"/>
    <x v="42"/>
    <x v="2"/>
  </r>
  <r>
    <x v="145"/>
    <x v="0"/>
    <x v="2"/>
    <d v="2024-09-08T00:00:00"/>
    <d v="2024-12-07T00:00:00"/>
    <n v="1000"/>
    <n v="9000"/>
    <n v="25"/>
    <s v="Active"/>
    <d v="2026-02-21T00:00:00"/>
    <x v="0"/>
    <s v="Unique"/>
    <x v="8"/>
    <d v="2026-02-21T00:00:00"/>
    <n v="17"/>
    <n v="54"/>
    <n v="4"/>
    <n v="5"/>
    <n v="3"/>
    <x v="35"/>
    <x v="0"/>
  </r>
  <r>
    <x v="146"/>
    <x v="3"/>
    <x v="0"/>
    <d v="2025-11-25T00:00:00"/>
    <d v="2025-12-25T00:00:00"/>
    <n v="2000"/>
    <n v="20000"/>
    <n v="10"/>
    <s v="Cancelled"/>
    <d v="2025-12-09T00:00:00"/>
    <x v="2"/>
    <s v="Unique"/>
    <x v="7"/>
    <d v="2025-12-09T00:00:00"/>
    <n v="0"/>
    <n v="128"/>
    <n v="3"/>
    <n v="3"/>
    <n v="5"/>
    <x v="25"/>
    <x v="0"/>
  </r>
  <r>
    <x v="147"/>
    <x v="2"/>
    <x v="1"/>
    <d v="2024-07-10T00:00:00"/>
    <d v="2024-10-08T00:00:00"/>
    <n v="3500"/>
    <n v="21000"/>
    <n v="19"/>
    <s v="Active"/>
    <d v="2025-06-30T00:00:00"/>
    <x v="0"/>
    <s v="Unique"/>
    <x v="13"/>
    <d v="2025-06-30T00:00:00"/>
    <n v="11"/>
    <n v="290"/>
    <n v="2"/>
    <n v="4"/>
    <n v="5"/>
    <x v="48"/>
    <x v="2"/>
  </r>
  <r>
    <x v="148"/>
    <x v="3"/>
    <x v="1"/>
    <d v="2024-02-15T00:00:00"/>
    <d v="2024-05-15T00:00:00"/>
    <n v="3500"/>
    <n v="31500"/>
    <n v="17"/>
    <s v="Active"/>
    <d v="2024-10-21T00:00:00"/>
    <x v="0"/>
    <s v="Unique"/>
    <x v="3"/>
    <d v="2024-10-21T00:00:00"/>
    <n v="8"/>
    <n v="542"/>
    <n v="1"/>
    <n v="4"/>
    <n v="5"/>
    <x v="16"/>
    <x v="2"/>
  </r>
  <r>
    <x v="149"/>
    <x v="3"/>
    <x v="0"/>
    <d v="2024-03-03T00:00:00"/>
    <d v="2024-04-02T00:00:00"/>
    <n v="3500"/>
    <n v="21000"/>
    <n v="11"/>
    <s v="Active"/>
    <d v="2024-03-27T00:00:00"/>
    <x v="2"/>
    <s v="Unique"/>
    <x v="11"/>
    <d v="2024-03-27T00:00:00"/>
    <n v="0"/>
    <n v="750"/>
    <n v="1"/>
    <n v="3"/>
    <n v="5"/>
    <x v="21"/>
    <x v="2"/>
  </r>
  <r>
    <x v="150"/>
    <x v="1"/>
    <x v="0"/>
    <d v="2025-04-16T00:00:00"/>
    <d v="2026-04-16T00:00:00"/>
    <n v="3500"/>
    <n v="17500"/>
    <n v="3"/>
    <s v="Cancelled"/>
    <d v="2025-05-02T00:00:00"/>
    <x v="1"/>
    <s v="Unique"/>
    <x v="26"/>
    <d v="2025-05-02T00:00:00"/>
    <n v="0"/>
    <n v="349"/>
    <n v="2"/>
    <n v="1"/>
    <n v="4"/>
    <x v="70"/>
    <x v="2"/>
  </r>
  <r>
    <x v="151"/>
    <x v="2"/>
    <x v="1"/>
    <d v="2025-04-21T00:00:00"/>
    <d v="2025-05-21T00:00:00"/>
    <n v="1000"/>
    <n v="12000"/>
    <n v="16"/>
    <s v="Active"/>
    <d v="2026-03-04T00:00:00"/>
    <x v="0"/>
    <s v="Unique"/>
    <x v="26"/>
    <d v="2026-03-04T00:00:00"/>
    <n v="10"/>
    <n v="43"/>
    <n v="4"/>
    <n v="4"/>
    <n v="4"/>
    <x v="32"/>
    <x v="3"/>
  </r>
  <r>
    <x v="152"/>
    <x v="1"/>
    <x v="0"/>
    <d v="2026-01-22T00:00:00"/>
    <d v="2026-04-22T00:00:00"/>
    <n v="1000"/>
    <n v="6000"/>
    <n v="21"/>
    <s v="Active"/>
    <d v="2026-02-23T00:00:00"/>
    <x v="0"/>
    <s v="Unique"/>
    <x v="35"/>
    <d v="2026-02-23T00:00:00"/>
    <n v="1"/>
    <n v="52"/>
    <n v="4"/>
    <n v="5"/>
    <n v="3"/>
    <x v="35"/>
    <x v="0"/>
  </r>
  <r>
    <x v="153"/>
    <x v="6"/>
    <x v="2"/>
    <d v="2024-03-24T00:00:00"/>
    <d v="2025-03-24T00:00:00"/>
    <n v="2000"/>
    <n v="20000"/>
    <n v="9"/>
    <s v="Active"/>
    <d v="2025-10-26T00:00:00"/>
    <x v="2"/>
    <s v="Unique"/>
    <x v="11"/>
    <d v="2025-10-26T00:00:00"/>
    <n v="19"/>
    <n v="172"/>
    <n v="3"/>
    <n v="2"/>
    <n v="5"/>
    <x v="29"/>
    <x v="1"/>
  </r>
  <r>
    <x v="154"/>
    <x v="6"/>
    <x v="1"/>
    <d v="2025-04-04T00:00:00"/>
    <d v="2025-07-03T00:00:00"/>
    <n v="3500"/>
    <n v="42000"/>
    <n v="21"/>
    <s v="Cancelled"/>
    <d v="2026-03-01T00:00:00"/>
    <x v="0"/>
    <s v="Unique"/>
    <x v="26"/>
    <d v="2026-03-01T00:00:00"/>
    <n v="10"/>
    <n v="46"/>
    <n v="4"/>
    <n v="5"/>
    <n v="5"/>
    <x v="15"/>
    <x v="3"/>
  </r>
  <r>
    <x v="155"/>
    <x v="2"/>
    <x v="1"/>
    <d v="2025-01-07T00:00:00"/>
    <d v="2026-01-07T00:00:00"/>
    <n v="1000"/>
    <n v="1000"/>
    <n v="6"/>
    <s v="Active"/>
    <d v="2025-10-02T00:00:00"/>
    <x v="2"/>
    <s v="Unique"/>
    <x v="5"/>
    <d v="2025-10-02T00:00:00"/>
    <n v="8"/>
    <n v="196"/>
    <n v="2"/>
    <n v="2"/>
    <n v="1"/>
    <x v="44"/>
    <x v="2"/>
  </r>
  <r>
    <x v="156"/>
    <x v="2"/>
    <x v="1"/>
    <d v="2024-03-29T00:00:00"/>
    <d v="2024-04-28T00:00:00"/>
    <n v="2000"/>
    <n v="6000"/>
    <n v="24"/>
    <s v="Active"/>
    <d v="2025-10-02T00:00:00"/>
    <x v="0"/>
    <s v="Unique"/>
    <x v="11"/>
    <d v="2025-10-02T00:00:00"/>
    <n v="18"/>
    <n v="196"/>
    <n v="2"/>
    <n v="5"/>
    <n v="3"/>
    <x v="41"/>
    <x v="2"/>
  </r>
  <r>
    <x v="157"/>
    <x v="6"/>
    <x v="1"/>
    <d v="2025-11-07T00:00:00"/>
    <d v="2026-11-07T00:00:00"/>
    <n v="3500"/>
    <n v="3500"/>
    <n v="12"/>
    <s v="Active"/>
    <d v="2025-12-08T00:00:00"/>
    <x v="2"/>
    <s v="Unique"/>
    <x v="7"/>
    <d v="2025-12-08T00:00:00"/>
    <n v="1"/>
    <n v="129"/>
    <n v="3"/>
    <n v="3"/>
    <n v="2"/>
    <x v="34"/>
    <x v="1"/>
  </r>
  <r>
    <x v="158"/>
    <x v="2"/>
    <x v="2"/>
    <d v="2025-07-03T00:00:00"/>
    <d v="2026-07-03T00:00:00"/>
    <n v="1000"/>
    <n v="1000"/>
    <n v="20"/>
    <s v="Active"/>
    <d v="2025-07-13T00:00:00"/>
    <x v="0"/>
    <s v="Unique"/>
    <x v="17"/>
    <d v="2025-07-13T00:00:00"/>
    <n v="0"/>
    <n v="277"/>
    <n v="2"/>
    <n v="5"/>
    <n v="1"/>
    <x v="71"/>
    <x v="2"/>
  </r>
  <r>
    <x v="159"/>
    <x v="2"/>
    <x v="1"/>
    <d v="2025-08-17T00:00:00"/>
    <d v="2025-11-15T00:00:00"/>
    <n v="1000"/>
    <n v="12000"/>
    <n v="17"/>
    <s v="Active"/>
    <d v="2025-12-05T00:00:00"/>
    <x v="0"/>
    <s v="Unique"/>
    <x v="4"/>
    <d v="2025-12-05T00:00:00"/>
    <n v="3"/>
    <n v="132"/>
    <n v="3"/>
    <n v="4"/>
    <n v="4"/>
    <x v="0"/>
    <x v="0"/>
  </r>
  <r>
    <x v="160"/>
    <x v="6"/>
    <x v="0"/>
    <d v="2024-03-26T00:00:00"/>
    <d v="2024-06-24T00:00:00"/>
    <n v="3500"/>
    <n v="35000"/>
    <n v="3"/>
    <s v="Active"/>
    <d v="2024-04-26T00:00:00"/>
    <x v="1"/>
    <s v="Unique"/>
    <x v="11"/>
    <d v="2024-04-26T00:00:00"/>
    <n v="1"/>
    <n v="720"/>
    <n v="1"/>
    <n v="1"/>
    <n v="5"/>
    <x v="23"/>
    <x v="2"/>
  </r>
  <r>
    <x v="161"/>
    <x v="2"/>
    <x v="2"/>
    <d v="2024-02-20T00:00:00"/>
    <d v="2025-02-19T00:00:00"/>
    <n v="1000"/>
    <n v="11000"/>
    <n v="7"/>
    <s v="Active"/>
    <d v="2024-08-28T00:00:00"/>
    <x v="2"/>
    <s v="Unique"/>
    <x v="3"/>
    <d v="2024-08-28T00:00:00"/>
    <n v="6"/>
    <n v="596"/>
    <n v="1"/>
    <n v="2"/>
    <n v="4"/>
    <x v="47"/>
    <x v="2"/>
  </r>
  <r>
    <x v="162"/>
    <x v="3"/>
    <x v="1"/>
    <d v="2024-04-09T00:00:00"/>
    <d v="2025-04-09T00:00:00"/>
    <n v="2000"/>
    <n v="12000"/>
    <n v="23"/>
    <s v="Active"/>
    <d v="2025-03-30T00:00:00"/>
    <x v="0"/>
    <s v="Unique"/>
    <x v="9"/>
    <d v="2025-03-30T00:00:00"/>
    <n v="11"/>
    <n v="382"/>
    <n v="1"/>
    <n v="5"/>
    <n v="4"/>
    <x v="27"/>
    <x v="2"/>
  </r>
  <r>
    <x v="163"/>
    <x v="0"/>
    <x v="1"/>
    <d v="2025-09-23T00:00:00"/>
    <d v="2025-12-22T00:00:00"/>
    <n v="1000"/>
    <n v="10000"/>
    <n v="14"/>
    <s v="Cancelled"/>
    <d v="2025-12-10T00:00:00"/>
    <x v="2"/>
    <s v="Unique"/>
    <x v="36"/>
    <d v="2025-12-10T00:00:00"/>
    <n v="2"/>
    <n v="127"/>
    <n v="3"/>
    <n v="3"/>
    <n v="4"/>
    <x v="11"/>
    <x v="0"/>
  </r>
  <r>
    <x v="164"/>
    <x v="2"/>
    <x v="2"/>
    <d v="2024-03-31T00:00:00"/>
    <d v="2024-06-29T00:00:00"/>
    <n v="3500"/>
    <n v="17500"/>
    <n v="23"/>
    <s v="Cancelled"/>
    <d v="2026-01-09T00:00:00"/>
    <x v="0"/>
    <s v="Unique"/>
    <x v="11"/>
    <d v="2026-01-09T00:00:00"/>
    <n v="21"/>
    <n v="97"/>
    <n v="3"/>
    <n v="5"/>
    <n v="4"/>
    <x v="33"/>
    <x v="0"/>
  </r>
  <r>
    <x v="165"/>
    <x v="6"/>
    <x v="0"/>
    <d v="2025-01-29T00:00:00"/>
    <d v="2025-04-29T00:00:00"/>
    <n v="2000"/>
    <n v="22000"/>
    <n v="3"/>
    <s v="Cancelled"/>
    <d v="2025-02-12T00:00:00"/>
    <x v="1"/>
    <s v="Unique"/>
    <x v="5"/>
    <d v="2025-02-12T00:00:00"/>
    <n v="0"/>
    <n v="428"/>
    <n v="1"/>
    <n v="1"/>
    <n v="5"/>
    <x v="23"/>
    <x v="2"/>
  </r>
  <r>
    <x v="166"/>
    <x v="0"/>
    <x v="0"/>
    <d v="2025-05-29T00:00:00"/>
    <d v="2025-06-28T00:00:00"/>
    <n v="1000"/>
    <n v="5000"/>
    <n v="20"/>
    <s v="Cancelled"/>
    <d v="2025-06-12T00:00:00"/>
    <x v="0"/>
    <s v="Unique"/>
    <x v="30"/>
    <d v="2025-06-12T00:00:00"/>
    <n v="0"/>
    <n v="308"/>
    <n v="2"/>
    <n v="5"/>
    <n v="3"/>
    <x v="41"/>
    <x v="2"/>
  </r>
  <r>
    <x v="167"/>
    <x v="0"/>
    <x v="2"/>
    <d v="2025-10-10T00:00:00"/>
    <d v="2025-11-09T00:00:00"/>
    <n v="1000"/>
    <n v="7000"/>
    <n v="22"/>
    <s v="Active"/>
    <d v="2025-10-20T00:00:00"/>
    <x v="0"/>
    <s v="Unique"/>
    <x v="32"/>
    <d v="2025-10-20T00:00:00"/>
    <n v="0"/>
    <n v="178"/>
    <n v="3"/>
    <n v="5"/>
    <n v="3"/>
    <x v="72"/>
    <x v="0"/>
  </r>
  <r>
    <x v="168"/>
    <x v="6"/>
    <x v="1"/>
    <d v="2023-05-15T00:00:00"/>
    <d v="2023-06-14T00:00:00"/>
    <n v="1000"/>
    <n v="7000"/>
    <n v="4"/>
    <s v="Active"/>
    <d v="2023-09-22T00:00:00"/>
    <x v="1"/>
    <s v="Unique"/>
    <x v="29"/>
    <d v="2023-09-22T00:00:00"/>
    <n v="4"/>
    <n v="937"/>
    <n v="1"/>
    <n v="1"/>
    <n v="3"/>
    <x v="2"/>
    <x v="2"/>
  </r>
  <r>
    <x v="169"/>
    <x v="6"/>
    <x v="2"/>
    <d v="2024-03-18T00:00:00"/>
    <d v="2025-03-18T00:00:00"/>
    <n v="2000"/>
    <n v="4000"/>
    <n v="14"/>
    <s v="Active"/>
    <d v="2024-09-04T00:00:00"/>
    <x v="2"/>
    <s v="Unique"/>
    <x v="11"/>
    <d v="2024-09-04T00:00:00"/>
    <n v="5"/>
    <n v="589"/>
    <n v="1"/>
    <n v="3"/>
    <n v="2"/>
    <x v="46"/>
    <x v="2"/>
  </r>
  <r>
    <x v="170"/>
    <x v="6"/>
    <x v="2"/>
    <d v="2023-09-20T00:00:00"/>
    <d v="2023-12-19T00:00:00"/>
    <n v="1000"/>
    <n v="6000"/>
    <n v="15"/>
    <s v="Active"/>
    <d v="2025-03-16T00:00:00"/>
    <x v="0"/>
    <s v="Unique"/>
    <x v="25"/>
    <d v="2025-03-16T00:00:00"/>
    <n v="17"/>
    <n v="396"/>
    <n v="1"/>
    <n v="4"/>
    <n v="3"/>
    <x v="42"/>
    <x v="2"/>
  </r>
  <r>
    <x v="171"/>
    <x v="6"/>
    <x v="1"/>
    <d v="2025-11-07T00:00:00"/>
    <d v="2025-12-07T00:00:00"/>
    <n v="1000"/>
    <n v="9000"/>
    <n v="4"/>
    <s v="Cancelled"/>
    <d v="2025-12-04T00:00:00"/>
    <x v="1"/>
    <s v="Unique"/>
    <x v="7"/>
    <d v="2025-12-04T00:00:00"/>
    <n v="0"/>
    <n v="133"/>
    <n v="3"/>
    <n v="1"/>
    <n v="3"/>
    <x v="51"/>
    <x v="1"/>
  </r>
  <r>
    <x v="172"/>
    <x v="6"/>
    <x v="0"/>
    <d v="2023-08-20T00:00:00"/>
    <d v="2023-11-18T00:00:00"/>
    <n v="1000"/>
    <n v="5000"/>
    <n v="19"/>
    <s v="Active"/>
    <d v="2023-10-31T00:00:00"/>
    <x v="0"/>
    <s v="Unique"/>
    <x v="27"/>
    <d v="2023-10-31T00:00:00"/>
    <n v="2"/>
    <n v="898"/>
    <n v="1"/>
    <n v="4"/>
    <n v="3"/>
    <x v="42"/>
    <x v="2"/>
  </r>
  <r>
    <x v="173"/>
    <x v="4"/>
    <x v="1"/>
    <d v="2024-04-16T00:00:00"/>
    <d v="2025-04-16T00:00:00"/>
    <n v="2000"/>
    <n v="4000"/>
    <n v="23"/>
    <s v="Active"/>
    <d v="2025-12-03T00:00:00"/>
    <x v="0"/>
    <s v="Unique"/>
    <x v="9"/>
    <d v="2025-12-03T00:00:00"/>
    <n v="19"/>
    <n v="134"/>
    <n v="3"/>
    <n v="5"/>
    <n v="2"/>
    <x v="4"/>
    <x v="1"/>
  </r>
  <r>
    <x v="174"/>
    <x v="5"/>
    <x v="0"/>
    <d v="2024-06-27T00:00:00"/>
    <d v="2024-09-25T00:00:00"/>
    <n v="1000"/>
    <n v="5000"/>
    <n v="16"/>
    <s v="Active"/>
    <d v="2026-01-12T00:00:00"/>
    <x v="0"/>
    <s v="Unique"/>
    <x v="1"/>
    <d v="2026-01-12T00:00:00"/>
    <n v="18"/>
    <n v="94"/>
    <n v="3"/>
    <n v="4"/>
    <n v="3"/>
    <x v="64"/>
    <x v="0"/>
  </r>
  <r>
    <x v="175"/>
    <x v="4"/>
    <x v="0"/>
    <d v="2024-08-03T00:00:00"/>
    <d v="2025-08-03T00:00:00"/>
    <n v="1000"/>
    <n v="7000"/>
    <n v="21"/>
    <s v="Active"/>
    <d v="2024-09-02T00:00:00"/>
    <x v="0"/>
    <s v="Unique"/>
    <x v="12"/>
    <d v="2024-09-02T00:00:00"/>
    <n v="0"/>
    <n v="591"/>
    <n v="1"/>
    <n v="5"/>
    <n v="3"/>
    <x v="73"/>
    <x v="2"/>
  </r>
  <r>
    <x v="176"/>
    <x v="1"/>
    <x v="1"/>
    <d v="2023-12-14T00:00:00"/>
    <d v="2024-12-13T00:00:00"/>
    <n v="1000"/>
    <n v="12000"/>
    <n v="8"/>
    <s v="Active"/>
    <d v="2025-07-30T00:00:00"/>
    <x v="2"/>
    <s v="Unique"/>
    <x v="22"/>
    <d v="2025-07-30T00:00:00"/>
    <n v="19"/>
    <n v="260"/>
    <n v="2"/>
    <n v="2"/>
    <n v="4"/>
    <x v="37"/>
    <x v="2"/>
  </r>
  <r>
    <x v="177"/>
    <x v="4"/>
    <x v="2"/>
    <d v="2024-09-10T00:00:00"/>
    <d v="2024-10-10T00:00:00"/>
    <n v="1000"/>
    <n v="12000"/>
    <n v="12"/>
    <s v="Active"/>
    <d v="2025-04-23T00:00:00"/>
    <x v="2"/>
    <s v="Unique"/>
    <x v="8"/>
    <d v="2025-04-23T00:00:00"/>
    <n v="7"/>
    <n v="358"/>
    <n v="2"/>
    <n v="3"/>
    <n v="4"/>
    <x v="8"/>
    <x v="2"/>
  </r>
  <r>
    <x v="178"/>
    <x v="3"/>
    <x v="0"/>
    <d v="2023-03-31T00:00:00"/>
    <d v="2023-04-30T00:00:00"/>
    <n v="2000"/>
    <n v="18000"/>
    <n v="17"/>
    <s v="Active"/>
    <d v="2024-10-06T00:00:00"/>
    <x v="0"/>
    <s v="Unique"/>
    <x v="20"/>
    <d v="2024-10-06T00:00:00"/>
    <n v="18"/>
    <n v="557"/>
    <n v="1"/>
    <n v="4"/>
    <n v="4"/>
    <x v="13"/>
    <x v="2"/>
  </r>
  <r>
    <x v="179"/>
    <x v="0"/>
    <x v="2"/>
    <d v="2025-01-09T00:00:00"/>
    <d v="2025-02-08T00:00:00"/>
    <n v="1000"/>
    <n v="11000"/>
    <n v="1"/>
    <s v="Active"/>
    <d v="2025-01-31T00:00:00"/>
    <x v="1"/>
    <s v="Unique"/>
    <x v="5"/>
    <d v="2025-01-31T00:00:00"/>
    <n v="0"/>
    <n v="440"/>
    <n v="1"/>
    <n v="1"/>
    <n v="4"/>
    <x v="39"/>
    <x v="2"/>
  </r>
  <r>
    <x v="180"/>
    <x v="6"/>
    <x v="0"/>
    <d v="2025-10-28T00:00:00"/>
    <d v="2025-11-27T00:00:00"/>
    <n v="3500"/>
    <n v="42000"/>
    <n v="4"/>
    <s v="Cancelled"/>
    <d v="2026-07-08T00:00:00"/>
    <x v="1"/>
    <s v="Unique"/>
    <x v="32"/>
    <d v="2026-07-08T00:00:00"/>
    <n v="8"/>
    <n v="-83"/>
    <n v="5"/>
    <n v="1"/>
    <n v="5"/>
    <x v="74"/>
    <x v="1"/>
  </r>
  <r>
    <x v="181"/>
    <x v="6"/>
    <x v="0"/>
    <d v="2023-07-01T00:00:00"/>
    <d v="2023-07-31T00:00:00"/>
    <n v="1000"/>
    <n v="6000"/>
    <n v="3"/>
    <s v="Cancelled"/>
    <d v="2023-07-22T00:00:00"/>
    <x v="1"/>
    <s v="Unique"/>
    <x v="6"/>
    <d v="2023-07-22T00:00:00"/>
    <n v="0"/>
    <n v="999"/>
    <n v="1"/>
    <n v="1"/>
    <n v="3"/>
    <x v="2"/>
    <x v="2"/>
  </r>
  <r>
    <x v="182"/>
    <x v="0"/>
    <x v="1"/>
    <d v="2024-08-25T00:00:00"/>
    <d v="2025-08-25T00:00:00"/>
    <n v="3500"/>
    <n v="10500"/>
    <n v="15"/>
    <s v="Active"/>
    <d v="2025-09-07T00:00:00"/>
    <x v="0"/>
    <s v="Unique"/>
    <x v="12"/>
    <d v="2025-09-07T00:00:00"/>
    <n v="12"/>
    <n v="221"/>
    <n v="2"/>
    <n v="4"/>
    <n v="4"/>
    <x v="9"/>
    <x v="2"/>
  </r>
  <r>
    <x v="183"/>
    <x v="5"/>
    <x v="2"/>
    <d v="2026-01-13T00:00:00"/>
    <d v="2026-02-12T00:00:00"/>
    <n v="2000"/>
    <n v="10000"/>
    <n v="2"/>
    <s v="Active"/>
    <d v="2026-02-02T00:00:00"/>
    <x v="1"/>
    <s v="Unique"/>
    <x v="35"/>
    <d v="2026-02-02T00:00:00"/>
    <n v="0"/>
    <n v="73"/>
    <n v="4"/>
    <n v="1"/>
    <n v="4"/>
    <x v="1"/>
    <x v="1"/>
  </r>
  <r>
    <x v="184"/>
    <x v="6"/>
    <x v="2"/>
    <d v="2025-09-11T00:00:00"/>
    <d v="2025-10-11T00:00:00"/>
    <n v="3500"/>
    <n v="10500"/>
    <n v="8"/>
    <s v="Cancelled"/>
    <d v="2026-04-03T00:00:00"/>
    <x v="2"/>
    <s v="Unique"/>
    <x v="36"/>
    <d v="2026-04-03T00:00:00"/>
    <n v="6"/>
    <n v="13"/>
    <n v="5"/>
    <n v="2"/>
    <n v="4"/>
    <x v="75"/>
    <x v="1"/>
  </r>
  <r>
    <x v="185"/>
    <x v="6"/>
    <x v="1"/>
    <d v="2024-03-16T00:00:00"/>
    <d v="2025-03-16T00:00:00"/>
    <n v="1000"/>
    <n v="11000"/>
    <n v="10"/>
    <s v="Cancelled"/>
    <d v="2026-03-11T00:00:00"/>
    <x v="2"/>
    <s v="Unique"/>
    <x v="11"/>
    <d v="2026-03-11T00:00:00"/>
    <n v="23"/>
    <n v="36"/>
    <n v="4"/>
    <n v="3"/>
    <n v="4"/>
    <x v="14"/>
    <x v="0"/>
  </r>
  <r>
    <x v="186"/>
    <x v="6"/>
    <x v="1"/>
    <d v="2023-01-01T00:00:00"/>
    <d v="2023-01-31T00:00:00"/>
    <n v="2000"/>
    <n v="6000"/>
    <n v="6"/>
    <s v="Active"/>
    <d v="2023-09-23T00:00:00"/>
    <x v="2"/>
    <s v="Unique"/>
    <x v="2"/>
    <d v="2023-09-23T00:00:00"/>
    <n v="8"/>
    <n v="936"/>
    <n v="1"/>
    <n v="2"/>
    <n v="3"/>
    <x v="52"/>
    <x v="2"/>
  </r>
  <r>
    <x v="187"/>
    <x v="4"/>
    <x v="0"/>
    <d v="2025-12-12T00:00:00"/>
    <d v="2026-12-12T00:00:00"/>
    <n v="1000"/>
    <n v="9000"/>
    <n v="17"/>
    <s v="Active"/>
    <d v="2026-03-30T00:00:00"/>
    <x v="0"/>
    <s v="Unique"/>
    <x v="24"/>
    <d v="2026-03-30T00:00:00"/>
    <n v="3"/>
    <n v="17"/>
    <n v="5"/>
    <n v="4"/>
    <n v="3"/>
    <x v="76"/>
    <x v="0"/>
  </r>
  <r>
    <x v="188"/>
    <x v="2"/>
    <x v="1"/>
    <d v="2024-08-15T00:00:00"/>
    <d v="2024-09-14T00:00:00"/>
    <n v="3500"/>
    <n v="31500"/>
    <n v="4"/>
    <s v="Cancelled"/>
    <d v="2024-08-27T00:00:00"/>
    <x v="1"/>
    <s v="Unique"/>
    <x v="12"/>
    <d v="2024-08-27T00:00:00"/>
    <n v="0"/>
    <n v="597"/>
    <n v="1"/>
    <n v="1"/>
    <n v="5"/>
    <x v="23"/>
    <x v="2"/>
  </r>
  <r>
    <x v="189"/>
    <x v="2"/>
    <x v="1"/>
    <d v="2024-03-20T00:00:00"/>
    <d v="2024-04-19T00:00:00"/>
    <n v="2000"/>
    <n v="22000"/>
    <n v="12"/>
    <s v="Active"/>
    <d v="2025-07-27T00:00:00"/>
    <x v="2"/>
    <s v="Unique"/>
    <x v="11"/>
    <d v="2025-07-27T00:00:00"/>
    <n v="16"/>
    <n v="263"/>
    <n v="2"/>
    <n v="3"/>
    <n v="5"/>
    <x v="60"/>
    <x v="2"/>
  </r>
  <r>
    <x v="190"/>
    <x v="2"/>
    <x v="1"/>
    <d v="2024-10-19T00:00:00"/>
    <d v="2025-10-19T00:00:00"/>
    <n v="1000"/>
    <n v="12000"/>
    <n v="23"/>
    <s v="Cancelled"/>
    <d v="2025-01-21T00:00:00"/>
    <x v="0"/>
    <s v="Unique"/>
    <x v="19"/>
    <d v="2025-01-21T00:00:00"/>
    <n v="3"/>
    <n v="450"/>
    <n v="1"/>
    <n v="5"/>
    <n v="4"/>
    <x v="27"/>
    <x v="2"/>
  </r>
  <r>
    <x v="191"/>
    <x v="4"/>
    <x v="0"/>
    <d v="2023-10-13T00:00:00"/>
    <d v="2024-10-12T00:00:00"/>
    <n v="1000"/>
    <n v="2000"/>
    <n v="12"/>
    <s v="Active"/>
    <d v="2026-01-22T00:00:00"/>
    <x v="2"/>
    <s v="Unique"/>
    <x v="31"/>
    <d v="2026-01-22T00:00:00"/>
    <n v="27"/>
    <n v="84"/>
    <n v="4"/>
    <n v="3"/>
    <n v="2"/>
    <x v="57"/>
    <x v="1"/>
  </r>
  <r>
    <x v="192"/>
    <x v="6"/>
    <x v="2"/>
    <d v="2023-08-24T00:00:00"/>
    <d v="2023-11-22T00:00:00"/>
    <n v="3500"/>
    <n v="14000"/>
    <n v="16"/>
    <s v="Active"/>
    <d v="2024-03-21T00:00:00"/>
    <x v="0"/>
    <s v="Unique"/>
    <x v="27"/>
    <d v="2024-03-21T00:00:00"/>
    <n v="6"/>
    <n v="756"/>
    <n v="1"/>
    <n v="4"/>
    <n v="4"/>
    <x v="13"/>
    <x v="2"/>
  </r>
  <r>
    <x v="193"/>
    <x v="6"/>
    <x v="0"/>
    <d v="2024-08-17T00:00:00"/>
    <d v="2025-08-17T00:00:00"/>
    <n v="1000"/>
    <n v="10000"/>
    <n v="22"/>
    <s v="Active"/>
    <d v="2025-06-06T00:00:00"/>
    <x v="0"/>
    <s v="Unique"/>
    <x v="12"/>
    <d v="2025-06-06T00:00:00"/>
    <n v="9"/>
    <n v="314"/>
    <n v="2"/>
    <n v="5"/>
    <n v="4"/>
    <x v="56"/>
    <x v="2"/>
  </r>
  <r>
    <x v="194"/>
    <x v="2"/>
    <x v="2"/>
    <d v="2023-09-18T00:00:00"/>
    <d v="2024-09-17T00:00:00"/>
    <n v="1000"/>
    <n v="12000"/>
    <n v="0"/>
    <s v="Cancelled"/>
    <d v="2023-10-04T00:00:00"/>
    <x v="1"/>
    <s v="Unique"/>
    <x v="25"/>
    <d v="2023-10-04T00:00:00"/>
    <n v="0"/>
    <n v="925"/>
    <n v="1"/>
    <n v="1"/>
    <n v="4"/>
    <x v="39"/>
    <x v="2"/>
  </r>
  <r>
    <x v="195"/>
    <x v="4"/>
    <x v="2"/>
    <d v="2023-01-14T00:00:00"/>
    <d v="2023-04-14T00:00:00"/>
    <n v="2000"/>
    <n v="24000"/>
    <n v="11"/>
    <s v="Active"/>
    <d v="2025-08-10T00:00:00"/>
    <x v="2"/>
    <s v="Unique"/>
    <x v="2"/>
    <d v="2025-08-10T00:00:00"/>
    <n v="30"/>
    <n v="249"/>
    <n v="2"/>
    <n v="3"/>
    <n v="5"/>
    <x v="60"/>
    <x v="2"/>
  </r>
  <r>
    <x v="196"/>
    <x v="6"/>
    <x v="1"/>
    <d v="2025-04-17T00:00:00"/>
    <d v="2025-05-17T00:00:00"/>
    <n v="1000"/>
    <n v="5000"/>
    <n v="16"/>
    <s v="Active"/>
    <d v="2025-11-28T00:00:00"/>
    <x v="0"/>
    <s v="Unique"/>
    <x v="26"/>
    <d v="2025-11-28T00:00:00"/>
    <n v="7"/>
    <n v="139"/>
    <n v="3"/>
    <n v="4"/>
    <n v="3"/>
    <x v="64"/>
    <x v="0"/>
  </r>
  <r>
    <x v="197"/>
    <x v="0"/>
    <x v="2"/>
    <d v="2024-10-09T00:00:00"/>
    <d v="2025-10-09T00:00:00"/>
    <n v="3500"/>
    <n v="24500"/>
    <n v="19"/>
    <s v="Active"/>
    <d v="2025-12-20T00:00:00"/>
    <x v="0"/>
    <s v="Unique"/>
    <x v="19"/>
    <d v="2025-12-20T00:00:00"/>
    <n v="14"/>
    <n v="117"/>
    <n v="3"/>
    <n v="4"/>
    <n v="5"/>
    <x v="17"/>
    <x v="0"/>
  </r>
  <r>
    <x v="198"/>
    <x v="6"/>
    <x v="1"/>
    <d v="2024-04-21T00:00:00"/>
    <d v="2024-05-21T00:00:00"/>
    <n v="1000"/>
    <n v="3000"/>
    <n v="23"/>
    <s v="Active"/>
    <d v="2024-06-26T00:00:00"/>
    <x v="0"/>
    <s v="Unique"/>
    <x v="9"/>
    <d v="2024-06-26T00:00:00"/>
    <n v="2"/>
    <n v="659"/>
    <n v="1"/>
    <n v="5"/>
    <n v="2"/>
    <x v="66"/>
    <x v="2"/>
  </r>
  <r>
    <x v="199"/>
    <x v="6"/>
    <x v="2"/>
    <d v="2023-08-19T00:00:00"/>
    <d v="2023-09-18T00:00:00"/>
    <n v="2000"/>
    <n v="16000"/>
    <n v="12"/>
    <s v="Active"/>
    <d v="2024-11-12T00:00:00"/>
    <x v="2"/>
    <s v="Unique"/>
    <x v="27"/>
    <d v="2024-11-12T00:00:00"/>
    <n v="14"/>
    <n v="520"/>
    <n v="1"/>
    <n v="3"/>
    <n v="4"/>
    <x v="31"/>
    <x v="2"/>
  </r>
  <r>
    <x v="200"/>
    <x v="2"/>
    <x v="2"/>
    <d v="2024-01-25T00:00:00"/>
    <d v="2024-02-24T00:00:00"/>
    <n v="1000"/>
    <n v="6000"/>
    <n v="3"/>
    <s v="Cancelled"/>
    <d v="2024-10-09T00:00:00"/>
    <x v="1"/>
    <s v="Unique"/>
    <x v="34"/>
    <d v="2024-10-09T00:00:00"/>
    <n v="8"/>
    <n v="554"/>
    <n v="1"/>
    <n v="1"/>
    <n v="3"/>
    <x v="2"/>
    <x v="2"/>
  </r>
  <r>
    <x v="201"/>
    <x v="0"/>
    <x v="2"/>
    <d v="2023-02-07T00:00:00"/>
    <d v="2024-02-07T00:00:00"/>
    <n v="1000"/>
    <n v="12000"/>
    <n v="21"/>
    <s v="Active"/>
    <d v="2025-03-20T00:00:00"/>
    <x v="0"/>
    <s v="Unique"/>
    <x v="16"/>
    <d v="2025-03-20T00:00:00"/>
    <n v="25"/>
    <n v="392"/>
    <n v="1"/>
    <n v="5"/>
    <n v="4"/>
    <x v="27"/>
    <x v="2"/>
  </r>
  <r>
    <x v="202"/>
    <x v="2"/>
    <x v="0"/>
    <d v="2025-10-11T00:00:00"/>
    <d v="2026-01-09T00:00:00"/>
    <n v="3500"/>
    <n v="10500"/>
    <n v="19"/>
    <s v="Active"/>
    <d v="2025-10-23T00:00:00"/>
    <x v="0"/>
    <s v="Unique"/>
    <x v="32"/>
    <d v="2025-10-23T00:00:00"/>
    <n v="0"/>
    <n v="175"/>
    <n v="3"/>
    <n v="4"/>
    <n v="4"/>
    <x v="0"/>
    <x v="0"/>
  </r>
  <r>
    <x v="203"/>
    <x v="6"/>
    <x v="2"/>
    <d v="2025-04-29T00:00:00"/>
    <d v="2025-05-29T00:00:00"/>
    <n v="2000"/>
    <n v="2000"/>
    <n v="11"/>
    <s v="Active"/>
    <d v="2025-12-29T00:00:00"/>
    <x v="2"/>
    <s v="Unique"/>
    <x v="26"/>
    <d v="2025-12-29T00:00:00"/>
    <n v="8"/>
    <n v="108"/>
    <n v="3"/>
    <n v="3"/>
    <n v="2"/>
    <x v="34"/>
    <x v="1"/>
  </r>
  <r>
    <x v="204"/>
    <x v="5"/>
    <x v="1"/>
    <d v="2025-02-15T00:00:00"/>
    <d v="2025-05-16T00:00:00"/>
    <n v="1000"/>
    <n v="12000"/>
    <n v="20"/>
    <s v="Cancelled"/>
    <d v="2026-03-29T00:00:00"/>
    <x v="0"/>
    <s v="Unique"/>
    <x v="14"/>
    <d v="2026-03-29T00:00:00"/>
    <n v="13"/>
    <n v="18"/>
    <n v="5"/>
    <n v="5"/>
    <n v="4"/>
    <x v="77"/>
    <x v="3"/>
  </r>
  <r>
    <x v="205"/>
    <x v="2"/>
    <x v="2"/>
    <d v="2023-10-30T00:00:00"/>
    <d v="2024-01-28T00:00:00"/>
    <n v="1000"/>
    <n v="5000"/>
    <n v="13"/>
    <s v="Active"/>
    <d v="2025-08-28T00:00:00"/>
    <x v="2"/>
    <s v="Unique"/>
    <x v="31"/>
    <d v="2025-08-28T00:00:00"/>
    <n v="21"/>
    <n v="231"/>
    <n v="2"/>
    <n v="3"/>
    <n v="3"/>
    <x v="3"/>
    <x v="2"/>
  </r>
  <r>
    <x v="206"/>
    <x v="3"/>
    <x v="0"/>
    <d v="2024-09-17T00:00:00"/>
    <d v="2024-10-17T00:00:00"/>
    <n v="1000"/>
    <n v="5000"/>
    <n v="5"/>
    <s v="Active"/>
    <d v="2025-02-12T00:00:00"/>
    <x v="2"/>
    <s v="Unique"/>
    <x v="8"/>
    <d v="2025-02-12T00:00:00"/>
    <n v="4"/>
    <n v="428"/>
    <n v="1"/>
    <n v="2"/>
    <n v="3"/>
    <x v="52"/>
    <x v="2"/>
  </r>
  <r>
    <x v="207"/>
    <x v="1"/>
    <x v="0"/>
    <d v="2024-10-01T00:00:00"/>
    <d v="2024-12-30T00:00:00"/>
    <n v="3500"/>
    <n v="7000"/>
    <n v="4"/>
    <s v="Cancelled"/>
    <d v="2024-10-15T00:00:00"/>
    <x v="1"/>
    <s v="Unique"/>
    <x v="19"/>
    <d v="2024-10-15T00:00:00"/>
    <n v="0"/>
    <n v="548"/>
    <n v="1"/>
    <n v="1"/>
    <n v="3"/>
    <x v="2"/>
    <x v="2"/>
  </r>
  <r>
    <x v="208"/>
    <x v="4"/>
    <x v="1"/>
    <d v="2024-01-31T00:00:00"/>
    <d v="2024-03-01T00:00:00"/>
    <n v="3500"/>
    <n v="35000"/>
    <n v="19"/>
    <s v="Active"/>
    <d v="2024-08-01T00:00:00"/>
    <x v="0"/>
    <s v="Unique"/>
    <x v="34"/>
    <d v="2024-08-01T00:00:00"/>
    <n v="6"/>
    <n v="623"/>
    <n v="1"/>
    <n v="4"/>
    <n v="5"/>
    <x v="16"/>
    <x v="2"/>
  </r>
  <r>
    <x v="209"/>
    <x v="4"/>
    <x v="1"/>
    <d v="2024-02-13T00:00:00"/>
    <d v="2025-02-12T00:00:00"/>
    <n v="3500"/>
    <n v="24500"/>
    <n v="21"/>
    <s v="Active"/>
    <d v="2026-01-20T00:00:00"/>
    <x v="0"/>
    <s v="Unique"/>
    <x v="3"/>
    <d v="2026-01-20T00:00:00"/>
    <n v="23"/>
    <n v="86"/>
    <n v="4"/>
    <n v="5"/>
    <n v="5"/>
    <x v="15"/>
    <x v="3"/>
  </r>
  <r>
    <x v="210"/>
    <x v="1"/>
    <x v="0"/>
    <d v="2025-11-23T00:00:00"/>
    <d v="2025-12-23T00:00:00"/>
    <n v="3500"/>
    <n v="10500"/>
    <n v="5"/>
    <s v="Active"/>
    <d v="2026-02-02T00:00:00"/>
    <x v="2"/>
    <s v="Unique"/>
    <x v="7"/>
    <d v="2026-02-02T00:00:00"/>
    <n v="2"/>
    <n v="73"/>
    <n v="4"/>
    <n v="2"/>
    <n v="4"/>
    <x v="53"/>
    <x v="1"/>
  </r>
  <r>
    <x v="211"/>
    <x v="4"/>
    <x v="2"/>
    <d v="2024-05-27T00:00:00"/>
    <d v="2024-06-26T00:00:00"/>
    <n v="1000"/>
    <n v="4000"/>
    <n v="15"/>
    <s v="Active"/>
    <d v="2025-02-14T00:00:00"/>
    <x v="0"/>
    <s v="Unique"/>
    <x v="15"/>
    <d v="2025-02-14T00:00:00"/>
    <n v="8"/>
    <n v="426"/>
    <n v="1"/>
    <n v="4"/>
    <n v="2"/>
    <x v="78"/>
    <x v="2"/>
  </r>
  <r>
    <x v="212"/>
    <x v="1"/>
    <x v="2"/>
    <d v="2025-02-02T00:00:00"/>
    <d v="2026-02-02T00:00:00"/>
    <n v="3500"/>
    <n v="42000"/>
    <n v="13"/>
    <s v="Active"/>
    <d v="2025-04-17T00:00:00"/>
    <x v="2"/>
    <s v="Unique"/>
    <x v="14"/>
    <d v="2025-04-17T00:00:00"/>
    <n v="2"/>
    <n v="364"/>
    <n v="2"/>
    <n v="3"/>
    <n v="5"/>
    <x v="60"/>
    <x v="2"/>
  </r>
  <r>
    <x v="213"/>
    <x v="0"/>
    <x v="0"/>
    <d v="2025-11-25T00:00:00"/>
    <d v="2026-02-23T00:00:00"/>
    <n v="3500"/>
    <n v="14000"/>
    <n v="13"/>
    <s v="Active"/>
    <d v="2026-03-08T00:00:00"/>
    <x v="2"/>
    <s v="Unique"/>
    <x v="7"/>
    <d v="2026-03-08T00:00:00"/>
    <n v="3"/>
    <n v="39"/>
    <n v="4"/>
    <n v="3"/>
    <n v="4"/>
    <x v="14"/>
    <x v="0"/>
  </r>
  <r>
    <x v="214"/>
    <x v="1"/>
    <x v="0"/>
    <d v="2023-03-28T00:00:00"/>
    <d v="2023-04-27T00:00:00"/>
    <n v="3500"/>
    <n v="38500"/>
    <n v="1"/>
    <s v="Cancelled"/>
    <d v="2025-11-19T00:00:00"/>
    <x v="1"/>
    <s v="Unique"/>
    <x v="20"/>
    <d v="2025-11-19T00:00:00"/>
    <n v="31"/>
    <n v="148"/>
    <n v="3"/>
    <n v="1"/>
    <n v="5"/>
    <x v="5"/>
    <x v="1"/>
  </r>
  <r>
    <x v="215"/>
    <x v="4"/>
    <x v="1"/>
    <d v="2023-06-30T00:00:00"/>
    <d v="2024-06-29T00:00:00"/>
    <n v="1000"/>
    <n v="12000"/>
    <n v="21"/>
    <s v="Cancelled"/>
    <d v="2025-11-29T00:00:00"/>
    <x v="0"/>
    <s v="Unique"/>
    <x v="10"/>
    <d v="2025-11-29T00:00:00"/>
    <n v="28"/>
    <n v="138"/>
    <n v="3"/>
    <n v="5"/>
    <n v="4"/>
    <x v="33"/>
    <x v="0"/>
  </r>
  <r>
    <x v="216"/>
    <x v="5"/>
    <x v="1"/>
    <d v="2024-09-12T00:00:00"/>
    <d v="2024-12-11T00:00:00"/>
    <n v="3500"/>
    <n v="28000"/>
    <n v="13"/>
    <s v="Active"/>
    <d v="2026-03-24T00:00:00"/>
    <x v="2"/>
    <s v="Unique"/>
    <x v="8"/>
    <d v="2026-03-24T00:00:00"/>
    <n v="18"/>
    <n v="23"/>
    <n v="5"/>
    <n v="3"/>
    <n v="5"/>
    <x v="68"/>
    <x v="0"/>
  </r>
  <r>
    <x v="217"/>
    <x v="0"/>
    <x v="1"/>
    <d v="2024-04-05T00:00:00"/>
    <d v="2024-05-05T00:00:00"/>
    <n v="3500"/>
    <n v="21000"/>
    <n v="5"/>
    <s v="Active"/>
    <d v="2024-06-12T00:00:00"/>
    <x v="2"/>
    <s v="Unique"/>
    <x v="9"/>
    <d v="2024-06-12T00:00:00"/>
    <n v="2"/>
    <n v="673"/>
    <n v="1"/>
    <n v="2"/>
    <n v="5"/>
    <x v="69"/>
    <x v="2"/>
  </r>
  <r>
    <x v="218"/>
    <x v="6"/>
    <x v="1"/>
    <d v="2025-11-26T00:00:00"/>
    <d v="2026-11-26T00:00:00"/>
    <n v="2000"/>
    <n v="6000"/>
    <n v="25"/>
    <s v="Active"/>
    <d v="2026-01-03T00:00:00"/>
    <x v="0"/>
    <s v="Unique"/>
    <x v="7"/>
    <d v="2026-01-03T00:00:00"/>
    <n v="1"/>
    <n v="103"/>
    <n v="3"/>
    <n v="5"/>
    <n v="3"/>
    <x v="72"/>
    <x v="0"/>
  </r>
  <r>
    <x v="219"/>
    <x v="3"/>
    <x v="0"/>
    <d v="2024-08-23T00:00:00"/>
    <d v="2024-09-22T00:00:00"/>
    <n v="2000"/>
    <n v="16000"/>
    <n v="11"/>
    <s v="Active"/>
    <d v="2025-11-26T00:00:00"/>
    <x v="2"/>
    <s v="Unique"/>
    <x v="12"/>
    <d v="2025-11-26T00:00:00"/>
    <n v="15"/>
    <n v="141"/>
    <n v="3"/>
    <n v="3"/>
    <n v="4"/>
    <x v="11"/>
    <x v="0"/>
  </r>
  <r>
    <x v="220"/>
    <x v="4"/>
    <x v="1"/>
    <d v="2024-11-27T00:00:00"/>
    <d v="2025-11-27T00:00:00"/>
    <n v="3500"/>
    <n v="38500"/>
    <n v="11"/>
    <s v="Active"/>
    <d v="2024-12-30T00:00:00"/>
    <x v="2"/>
    <s v="Unique"/>
    <x v="23"/>
    <d v="2024-12-30T00:00:00"/>
    <n v="1"/>
    <n v="472"/>
    <n v="1"/>
    <n v="3"/>
    <n v="5"/>
    <x v="21"/>
    <x v="2"/>
  </r>
  <r>
    <x v="221"/>
    <x v="2"/>
    <x v="2"/>
    <d v="2024-03-09T00:00:00"/>
    <d v="2024-04-08T00:00:00"/>
    <n v="1000"/>
    <n v="8000"/>
    <n v="12"/>
    <s v="Active"/>
    <d v="2024-06-29T00:00:00"/>
    <x v="2"/>
    <s v="Unique"/>
    <x v="11"/>
    <d v="2024-06-29T00:00:00"/>
    <n v="3"/>
    <n v="656"/>
    <n v="1"/>
    <n v="3"/>
    <n v="3"/>
    <x v="61"/>
    <x v="2"/>
  </r>
  <r>
    <x v="222"/>
    <x v="3"/>
    <x v="0"/>
    <d v="2024-02-19T00:00:00"/>
    <d v="2025-02-18T00:00:00"/>
    <n v="1000"/>
    <n v="2000"/>
    <n v="21"/>
    <s v="Active"/>
    <d v="2024-11-11T00:00:00"/>
    <x v="0"/>
    <s v="Unique"/>
    <x v="3"/>
    <d v="2024-11-11T00:00:00"/>
    <n v="8"/>
    <n v="521"/>
    <n v="1"/>
    <n v="5"/>
    <n v="2"/>
    <x v="66"/>
    <x v="2"/>
  </r>
  <r>
    <x v="223"/>
    <x v="2"/>
    <x v="1"/>
    <d v="2024-09-03T00:00:00"/>
    <d v="2024-10-03T00:00:00"/>
    <n v="3500"/>
    <n v="7000"/>
    <n v="3"/>
    <s v="Active"/>
    <d v="2024-09-24T00:00:00"/>
    <x v="1"/>
    <s v="Unique"/>
    <x v="8"/>
    <d v="2024-09-24T00:00:00"/>
    <n v="0"/>
    <n v="569"/>
    <n v="1"/>
    <n v="1"/>
    <n v="3"/>
    <x v="2"/>
    <x v="2"/>
  </r>
  <r>
    <x v="224"/>
    <x v="5"/>
    <x v="2"/>
    <d v="2023-05-28T00:00:00"/>
    <d v="2023-06-27T00:00:00"/>
    <n v="3500"/>
    <n v="38500"/>
    <n v="24"/>
    <s v="Active"/>
    <d v="2025-03-08T00:00:00"/>
    <x v="0"/>
    <s v="Unique"/>
    <x v="29"/>
    <d v="2025-03-08T00:00:00"/>
    <n v="21"/>
    <n v="404"/>
    <n v="1"/>
    <n v="5"/>
    <n v="5"/>
    <x v="10"/>
    <x v="2"/>
  </r>
  <r>
    <x v="225"/>
    <x v="6"/>
    <x v="0"/>
    <d v="2025-07-12T00:00:00"/>
    <d v="2025-08-11T00:00:00"/>
    <n v="3500"/>
    <n v="38500"/>
    <n v="22"/>
    <s v="Active"/>
    <d v="2026-03-09T00:00:00"/>
    <x v="0"/>
    <s v="Unique"/>
    <x v="17"/>
    <d v="2026-03-09T00:00:00"/>
    <n v="7"/>
    <n v="38"/>
    <n v="4"/>
    <n v="5"/>
    <n v="5"/>
    <x v="15"/>
    <x v="3"/>
  </r>
  <r>
    <x v="226"/>
    <x v="4"/>
    <x v="2"/>
    <d v="2023-05-01T00:00:00"/>
    <d v="2023-07-30T00:00:00"/>
    <n v="1000"/>
    <n v="6000"/>
    <n v="7"/>
    <s v="Active"/>
    <d v="2023-05-21T00:00:00"/>
    <x v="2"/>
    <s v="Unique"/>
    <x v="29"/>
    <d v="2023-05-21T00:00:00"/>
    <n v="0"/>
    <n v="1061"/>
    <n v="1"/>
    <n v="2"/>
    <n v="3"/>
    <x v="52"/>
    <x v="2"/>
  </r>
  <r>
    <x v="227"/>
    <x v="5"/>
    <x v="0"/>
    <d v="2026-01-19T00:00:00"/>
    <d v="2027-01-19T00:00:00"/>
    <n v="1000"/>
    <n v="4000"/>
    <n v="10"/>
    <s v="Active"/>
    <d v="2026-03-11T00:00:00"/>
    <x v="2"/>
    <s v="Unique"/>
    <x v="35"/>
    <d v="2026-03-11T00:00:00"/>
    <n v="1"/>
    <n v="36"/>
    <n v="4"/>
    <n v="3"/>
    <n v="2"/>
    <x v="57"/>
    <x v="1"/>
  </r>
  <r>
    <x v="228"/>
    <x v="5"/>
    <x v="0"/>
    <d v="2023-04-16T00:00:00"/>
    <d v="2023-07-15T00:00:00"/>
    <n v="3500"/>
    <n v="28000"/>
    <n v="11"/>
    <s v="Active"/>
    <d v="2024-03-31T00:00:00"/>
    <x v="2"/>
    <s v="Unique"/>
    <x v="28"/>
    <d v="2024-03-31T00:00:00"/>
    <n v="11"/>
    <n v="746"/>
    <n v="1"/>
    <n v="3"/>
    <n v="5"/>
    <x v="21"/>
    <x v="2"/>
  </r>
  <r>
    <x v="229"/>
    <x v="3"/>
    <x v="1"/>
    <d v="2023-05-04T00:00:00"/>
    <d v="2023-06-03T00:00:00"/>
    <n v="2000"/>
    <n v="16000"/>
    <n v="23"/>
    <s v="Cancelled"/>
    <d v="2024-12-20T00:00:00"/>
    <x v="0"/>
    <s v="Unique"/>
    <x v="29"/>
    <d v="2024-12-20T00:00:00"/>
    <n v="19"/>
    <n v="482"/>
    <n v="1"/>
    <n v="5"/>
    <n v="4"/>
    <x v="27"/>
    <x v="2"/>
  </r>
  <r>
    <x v="230"/>
    <x v="1"/>
    <x v="1"/>
    <d v="2025-03-16T00:00:00"/>
    <d v="2025-04-15T00:00:00"/>
    <n v="1000"/>
    <n v="1000"/>
    <n v="22"/>
    <s v="Active"/>
    <d v="2025-08-22T00:00:00"/>
    <x v="0"/>
    <s v="Unique"/>
    <x v="33"/>
    <d v="2025-08-22T00:00:00"/>
    <n v="5"/>
    <n v="237"/>
    <n v="2"/>
    <n v="5"/>
    <n v="1"/>
    <x v="71"/>
    <x v="2"/>
  </r>
  <r>
    <x v="231"/>
    <x v="4"/>
    <x v="0"/>
    <d v="2024-02-15T00:00:00"/>
    <d v="2024-03-16T00:00:00"/>
    <n v="1000"/>
    <n v="8000"/>
    <n v="17"/>
    <s v="Active"/>
    <d v="2024-10-05T00:00:00"/>
    <x v="0"/>
    <s v="Unique"/>
    <x v="3"/>
    <d v="2024-10-05T00:00:00"/>
    <n v="7"/>
    <n v="558"/>
    <n v="1"/>
    <n v="4"/>
    <n v="3"/>
    <x v="42"/>
    <x v="2"/>
  </r>
  <r>
    <x v="232"/>
    <x v="6"/>
    <x v="2"/>
    <d v="2025-10-22T00:00:00"/>
    <d v="2025-11-21T00:00:00"/>
    <n v="2000"/>
    <n v="18000"/>
    <n v="19"/>
    <s v="Active"/>
    <d v="2025-12-06T00:00:00"/>
    <x v="0"/>
    <s v="Unique"/>
    <x v="32"/>
    <d v="2025-12-06T00:00:00"/>
    <n v="1"/>
    <n v="131"/>
    <n v="3"/>
    <n v="4"/>
    <n v="4"/>
    <x v="0"/>
    <x v="0"/>
  </r>
  <r>
    <x v="233"/>
    <x v="2"/>
    <x v="0"/>
    <d v="2023-08-14T00:00:00"/>
    <d v="2023-11-12T00:00:00"/>
    <n v="3500"/>
    <n v="38500"/>
    <n v="23"/>
    <s v="Active"/>
    <d v="2024-07-14T00:00:00"/>
    <x v="0"/>
    <s v="Unique"/>
    <x v="27"/>
    <d v="2024-07-14T00:00:00"/>
    <n v="11"/>
    <n v="641"/>
    <n v="1"/>
    <n v="5"/>
    <n v="5"/>
    <x v="10"/>
    <x v="2"/>
  </r>
  <r>
    <x v="234"/>
    <x v="2"/>
    <x v="2"/>
    <d v="2023-02-12T00:00:00"/>
    <d v="2023-03-14T00:00:00"/>
    <n v="1000"/>
    <n v="11000"/>
    <n v="9"/>
    <s v="Active"/>
    <d v="2026-04-02T00:00:00"/>
    <x v="2"/>
    <s v="Unique"/>
    <x v="16"/>
    <d v="2026-04-02T00:00:00"/>
    <n v="37"/>
    <n v="14"/>
    <n v="5"/>
    <n v="2"/>
    <n v="4"/>
    <x v="75"/>
    <x v="1"/>
  </r>
  <r>
    <x v="235"/>
    <x v="1"/>
    <x v="1"/>
    <d v="2024-08-03T00:00:00"/>
    <d v="2025-08-03T00:00:00"/>
    <n v="3500"/>
    <n v="31500"/>
    <n v="17"/>
    <s v="Active"/>
    <d v="2025-06-03T00:00:00"/>
    <x v="0"/>
    <s v="Unique"/>
    <x v="12"/>
    <d v="2025-06-03T00:00:00"/>
    <n v="10"/>
    <n v="317"/>
    <n v="2"/>
    <n v="4"/>
    <n v="5"/>
    <x v="48"/>
    <x v="2"/>
  </r>
  <r>
    <x v="236"/>
    <x v="5"/>
    <x v="0"/>
    <d v="2023-12-18T00:00:00"/>
    <d v="2024-12-17T00:00:00"/>
    <n v="2000"/>
    <n v="16000"/>
    <n v="4"/>
    <s v="Cancelled"/>
    <d v="2026-02-17T00:00:00"/>
    <x v="1"/>
    <s v="Unique"/>
    <x v="22"/>
    <d v="2026-02-17T00:00:00"/>
    <n v="25"/>
    <n v="58"/>
    <n v="4"/>
    <n v="1"/>
    <n v="4"/>
    <x v="1"/>
    <x v="1"/>
  </r>
  <r>
    <x v="237"/>
    <x v="1"/>
    <x v="2"/>
    <d v="2024-08-17T00:00:00"/>
    <d v="2025-08-17T00:00:00"/>
    <n v="2000"/>
    <n v="8000"/>
    <n v="18"/>
    <s v="Active"/>
    <d v="2026-03-26T00:00:00"/>
    <x v="0"/>
    <s v="Unique"/>
    <x v="12"/>
    <d v="2026-03-26T00:00:00"/>
    <n v="19"/>
    <n v="21"/>
    <n v="5"/>
    <n v="4"/>
    <n v="3"/>
    <x v="76"/>
    <x v="0"/>
  </r>
  <r>
    <x v="238"/>
    <x v="0"/>
    <x v="1"/>
    <d v="2024-06-22T00:00:00"/>
    <d v="2024-09-20T00:00:00"/>
    <n v="2000"/>
    <n v="4000"/>
    <n v="0"/>
    <s v="Active"/>
    <d v="2024-07-28T00:00:00"/>
    <x v="1"/>
    <s v="Unique"/>
    <x v="1"/>
    <d v="2024-07-28T00:00:00"/>
    <n v="1"/>
    <n v="627"/>
    <n v="1"/>
    <n v="1"/>
    <n v="2"/>
    <x v="79"/>
    <x v="2"/>
  </r>
  <r>
    <x v="239"/>
    <x v="5"/>
    <x v="2"/>
    <d v="2023-10-18T00:00:00"/>
    <d v="2023-11-17T00:00:00"/>
    <n v="2000"/>
    <n v="24000"/>
    <n v="13"/>
    <s v="Active"/>
    <d v="2025-07-21T00:00:00"/>
    <x v="2"/>
    <s v="Unique"/>
    <x v="31"/>
    <d v="2025-07-21T00:00:00"/>
    <n v="21"/>
    <n v="269"/>
    <n v="2"/>
    <n v="3"/>
    <n v="5"/>
    <x v="60"/>
    <x v="2"/>
  </r>
  <r>
    <x v="240"/>
    <x v="4"/>
    <x v="2"/>
    <d v="2024-07-13T00:00:00"/>
    <d v="2024-08-12T00:00:00"/>
    <n v="2000"/>
    <n v="10000"/>
    <n v="17"/>
    <s v="Active"/>
    <d v="2025-09-12T00:00:00"/>
    <x v="0"/>
    <s v="Unique"/>
    <x v="13"/>
    <d v="2025-09-12T00:00:00"/>
    <n v="13"/>
    <n v="216"/>
    <n v="2"/>
    <n v="4"/>
    <n v="4"/>
    <x v="9"/>
    <x v="2"/>
  </r>
  <r>
    <x v="241"/>
    <x v="6"/>
    <x v="1"/>
    <d v="2025-08-13T00:00:00"/>
    <d v="2025-11-11T00:00:00"/>
    <n v="2000"/>
    <n v="24000"/>
    <n v="3"/>
    <s v="Cancelled"/>
    <d v="2026-01-25T00:00:00"/>
    <x v="1"/>
    <s v="Unique"/>
    <x v="4"/>
    <d v="2026-01-25T00:00:00"/>
    <n v="5"/>
    <n v="81"/>
    <n v="4"/>
    <n v="1"/>
    <n v="5"/>
    <x v="80"/>
    <x v="1"/>
  </r>
  <r>
    <x v="242"/>
    <x v="1"/>
    <x v="0"/>
    <d v="2024-11-25T00:00:00"/>
    <d v="2025-02-23T00:00:00"/>
    <n v="2000"/>
    <n v="6000"/>
    <n v="8"/>
    <s v="Active"/>
    <d v="2025-07-30T00:00:00"/>
    <x v="2"/>
    <s v="Unique"/>
    <x v="23"/>
    <d v="2025-07-30T00:00:00"/>
    <n v="8"/>
    <n v="260"/>
    <n v="2"/>
    <n v="2"/>
    <n v="3"/>
    <x v="81"/>
    <x v="2"/>
  </r>
  <r>
    <x v="243"/>
    <x v="1"/>
    <x v="0"/>
    <d v="2025-05-31T00:00:00"/>
    <d v="2026-05-31T00:00:00"/>
    <n v="3500"/>
    <n v="7000"/>
    <n v="22"/>
    <s v="Active"/>
    <d v="2026-04-11T00:00:00"/>
    <x v="0"/>
    <s v="Unique"/>
    <x v="30"/>
    <d v="2026-04-11T00:00:00"/>
    <n v="10"/>
    <n v="5"/>
    <n v="5"/>
    <n v="5"/>
    <n v="3"/>
    <x v="38"/>
    <x v="0"/>
  </r>
  <r>
    <x v="244"/>
    <x v="2"/>
    <x v="1"/>
    <d v="2025-11-05T00:00:00"/>
    <d v="2025-12-05T00:00:00"/>
    <n v="1000"/>
    <n v="5000"/>
    <n v="12"/>
    <s v="Active"/>
    <d v="2026-02-08T00:00:00"/>
    <x v="2"/>
    <s v="Unique"/>
    <x v="7"/>
    <d v="2026-02-08T00:00:00"/>
    <n v="3"/>
    <n v="67"/>
    <n v="4"/>
    <n v="3"/>
    <n v="3"/>
    <x v="20"/>
    <x v="0"/>
  </r>
  <r>
    <x v="245"/>
    <x v="4"/>
    <x v="2"/>
    <d v="2024-11-11T00:00:00"/>
    <d v="2025-02-09T00:00:00"/>
    <n v="3500"/>
    <n v="17500"/>
    <n v="17"/>
    <s v="Active"/>
    <d v="2025-07-15T00:00:00"/>
    <x v="0"/>
    <s v="Unique"/>
    <x v="23"/>
    <d v="2025-07-15T00:00:00"/>
    <n v="8"/>
    <n v="275"/>
    <n v="2"/>
    <n v="4"/>
    <n v="4"/>
    <x v="9"/>
    <x v="2"/>
  </r>
  <r>
    <x v="246"/>
    <x v="4"/>
    <x v="0"/>
    <d v="2025-02-04T00:00:00"/>
    <d v="2025-03-06T00:00:00"/>
    <n v="2000"/>
    <n v="12000"/>
    <n v="20"/>
    <s v="Active"/>
    <d v="2025-08-17T00:00:00"/>
    <x v="0"/>
    <s v="Unique"/>
    <x v="14"/>
    <d v="2025-08-17T00:00:00"/>
    <n v="6"/>
    <n v="242"/>
    <n v="2"/>
    <n v="5"/>
    <n v="4"/>
    <x v="56"/>
    <x v="2"/>
  </r>
  <r>
    <x v="247"/>
    <x v="0"/>
    <x v="1"/>
    <d v="2024-01-14T00:00:00"/>
    <d v="2024-04-13T00:00:00"/>
    <n v="3500"/>
    <n v="28000"/>
    <n v="6"/>
    <s v="Active"/>
    <d v="2025-01-17T00:00:00"/>
    <x v="2"/>
    <s v="Unique"/>
    <x v="34"/>
    <d v="2025-01-17T00:00:00"/>
    <n v="12"/>
    <n v="454"/>
    <n v="1"/>
    <n v="2"/>
    <n v="5"/>
    <x v="69"/>
    <x v="2"/>
  </r>
  <r>
    <x v="248"/>
    <x v="1"/>
    <x v="0"/>
    <d v="2023-09-07T00:00:00"/>
    <d v="2023-10-07T00:00:00"/>
    <n v="3500"/>
    <n v="24500"/>
    <n v="21"/>
    <s v="Active"/>
    <d v="2026-03-01T00:00:00"/>
    <x v="0"/>
    <s v="Unique"/>
    <x v="25"/>
    <d v="2026-03-01T00:00:00"/>
    <n v="29"/>
    <n v="46"/>
    <n v="4"/>
    <n v="5"/>
    <n v="5"/>
    <x v="15"/>
    <x v="3"/>
  </r>
  <r>
    <x v="249"/>
    <x v="2"/>
    <x v="0"/>
    <d v="2025-11-11T00:00:00"/>
    <d v="2026-11-11T00:00:00"/>
    <n v="2000"/>
    <n v="18000"/>
    <n v="5"/>
    <s v="Active"/>
    <d v="2026-01-03T00:00:00"/>
    <x v="2"/>
    <s v="Unique"/>
    <x v="7"/>
    <d v="2026-01-03T00:00:00"/>
    <n v="1"/>
    <n v="103"/>
    <n v="3"/>
    <n v="2"/>
    <n v="4"/>
    <x v="58"/>
    <x v="1"/>
  </r>
  <r>
    <x v="250"/>
    <x v="5"/>
    <x v="1"/>
    <d v="2025-12-02T00:00:00"/>
    <d v="2026-12-02T00:00:00"/>
    <n v="1000"/>
    <n v="3000"/>
    <n v="14"/>
    <s v="Active"/>
    <d v="2026-01-20T00:00:00"/>
    <x v="2"/>
    <s v="Unique"/>
    <x v="24"/>
    <d v="2026-01-20T00:00:00"/>
    <n v="1"/>
    <n v="86"/>
    <n v="4"/>
    <n v="3"/>
    <n v="2"/>
    <x v="57"/>
    <x v="1"/>
  </r>
  <r>
    <x v="251"/>
    <x v="4"/>
    <x v="2"/>
    <d v="2024-08-31T00:00:00"/>
    <d v="2024-09-30T00:00:00"/>
    <n v="2000"/>
    <n v="20000"/>
    <n v="8"/>
    <s v="Active"/>
    <d v="2026-02-20T00:00:00"/>
    <x v="2"/>
    <s v="Unique"/>
    <x v="12"/>
    <d v="2026-02-20T00:00:00"/>
    <n v="17"/>
    <n v="55"/>
    <n v="4"/>
    <n v="2"/>
    <n v="5"/>
    <x v="82"/>
    <x v="1"/>
  </r>
  <r>
    <x v="252"/>
    <x v="4"/>
    <x v="0"/>
    <d v="2024-01-21T00:00:00"/>
    <d v="2024-04-20T00:00:00"/>
    <n v="2000"/>
    <n v="22000"/>
    <n v="0"/>
    <s v="Cancelled"/>
    <d v="2025-11-18T00:00:00"/>
    <x v="1"/>
    <s v="Unique"/>
    <x v="34"/>
    <d v="2025-11-18T00:00:00"/>
    <n v="21"/>
    <n v="149"/>
    <n v="3"/>
    <n v="1"/>
    <n v="5"/>
    <x v="5"/>
    <x v="1"/>
  </r>
  <r>
    <x v="253"/>
    <x v="2"/>
    <x v="0"/>
    <d v="2025-06-22T00:00:00"/>
    <d v="2025-09-20T00:00:00"/>
    <n v="2000"/>
    <n v="10000"/>
    <n v="3"/>
    <s v="Active"/>
    <d v="2025-08-01T00:00:00"/>
    <x v="1"/>
    <s v="Unique"/>
    <x v="18"/>
    <d v="2025-08-01T00:00:00"/>
    <n v="1"/>
    <n v="258"/>
    <n v="2"/>
    <n v="1"/>
    <n v="4"/>
    <x v="70"/>
    <x v="2"/>
  </r>
  <r>
    <x v="254"/>
    <x v="3"/>
    <x v="2"/>
    <d v="2024-02-15T00:00:00"/>
    <d v="2024-03-16T00:00:00"/>
    <n v="3500"/>
    <n v="10500"/>
    <n v="18"/>
    <s v="Active"/>
    <d v="2026-01-01T00:00:00"/>
    <x v="0"/>
    <s v="Unique"/>
    <x v="3"/>
    <d v="2026-01-01T00:00:00"/>
    <n v="22"/>
    <n v="105"/>
    <n v="3"/>
    <n v="4"/>
    <n v="4"/>
    <x v="0"/>
    <x v="0"/>
  </r>
  <r>
    <x v="255"/>
    <x v="6"/>
    <x v="2"/>
    <d v="2024-07-04T00:00:00"/>
    <d v="2024-10-02T00:00:00"/>
    <n v="3500"/>
    <n v="28000"/>
    <n v="24"/>
    <s v="Active"/>
    <d v="2025-07-23T00:00:00"/>
    <x v="0"/>
    <s v="Unique"/>
    <x v="13"/>
    <d v="2025-07-23T00:00:00"/>
    <n v="12"/>
    <n v="267"/>
    <n v="2"/>
    <n v="5"/>
    <n v="5"/>
    <x v="83"/>
    <x v="2"/>
  </r>
  <r>
    <x v="256"/>
    <x v="2"/>
    <x v="1"/>
    <d v="2025-03-08T00:00:00"/>
    <d v="2025-04-07T00:00:00"/>
    <n v="2000"/>
    <n v="4000"/>
    <n v="8"/>
    <s v="Active"/>
    <d v="2025-10-01T00:00:00"/>
    <x v="2"/>
    <s v="Unique"/>
    <x v="33"/>
    <d v="2025-10-01T00:00:00"/>
    <n v="6"/>
    <n v="197"/>
    <n v="2"/>
    <n v="2"/>
    <n v="2"/>
    <x v="43"/>
    <x v="2"/>
  </r>
  <r>
    <x v="257"/>
    <x v="4"/>
    <x v="2"/>
    <d v="2024-08-03T00:00:00"/>
    <d v="2024-09-02T00:00:00"/>
    <n v="1000"/>
    <n v="8000"/>
    <n v="4"/>
    <s v="Cancelled"/>
    <d v="2024-08-18T00:00:00"/>
    <x v="1"/>
    <s v="Unique"/>
    <x v="12"/>
    <d v="2024-08-18T00:00:00"/>
    <n v="0"/>
    <n v="606"/>
    <n v="1"/>
    <n v="1"/>
    <n v="3"/>
    <x v="2"/>
    <x v="2"/>
  </r>
  <r>
    <x v="258"/>
    <x v="4"/>
    <x v="0"/>
    <d v="2025-05-23T00:00:00"/>
    <d v="2026-05-23T00:00:00"/>
    <n v="3500"/>
    <n v="7000"/>
    <n v="25"/>
    <s v="Active"/>
    <d v="2025-12-15T00:00:00"/>
    <x v="0"/>
    <s v="Unique"/>
    <x v="30"/>
    <d v="2025-12-15T00:00:00"/>
    <n v="6"/>
    <n v="122"/>
    <n v="3"/>
    <n v="5"/>
    <n v="3"/>
    <x v="72"/>
    <x v="0"/>
  </r>
  <r>
    <x v="259"/>
    <x v="2"/>
    <x v="2"/>
    <d v="2023-03-25T00:00:00"/>
    <d v="2024-03-24T00:00:00"/>
    <n v="3500"/>
    <n v="7000"/>
    <n v="11"/>
    <s v="Active"/>
    <d v="2023-11-05T00:00:00"/>
    <x v="2"/>
    <s v="Unique"/>
    <x v="20"/>
    <d v="2023-11-05T00:00:00"/>
    <n v="7"/>
    <n v="893"/>
    <n v="1"/>
    <n v="3"/>
    <n v="3"/>
    <x v="61"/>
    <x v="2"/>
  </r>
  <r>
    <x v="260"/>
    <x v="3"/>
    <x v="2"/>
    <d v="2024-02-28T00:00:00"/>
    <d v="2024-05-28T00:00:00"/>
    <n v="2000"/>
    <n v="4000"/>
    <n v="2"/>
    <s v="Active"/>
    <d v="2024-09-24T00:00:00"/>
    <x v="1"/>
    <s v="Unique"/>
    <x v="3"/>
    <d v="2024-09-24T00:00:00"/>
    <n v="6"/>
    <n v="569"/>
    <n v="1"/>
    <n v="1"/>
    <n v="2"/>
    <x v="79"/>
    <x v="2"/>
  </r>
  <r>
    <x v="261"/>
    <x v="6"/>
    <x v="0"/>
    <d v="2024-05-21T00:00:00"/>
    <d v="2024-08-19T00:00:00"/>
    <n v="2000"/>
    <n v="20000"/>
    <n v="3"/>
    <s v="Cancelled"/>
    <d v="2024-06-12T00:00:00"/>
    <x v="1"/>
    <s v="Unique"/>
    <x v="15"/>
    <d v="2024-06-12T00:00:00"/>
    <n v="0"/>
    <n v="673"/>
    <n v="1"/>
    <n v="1"/>
    <n v="5"/>
    <x v="23"/>
    <x v="2"/>
  </r>
  <r>
    <x v="262"/>
    <x v="4"/>
    <x v="2"/>
    <d v="2023-03-31T00:00:00"/>
    <d v="2023-06-29T00:00:00"/>
    <n v="2000"/>
    <n v="14000"/>
    <n v="18"/>
    <s v="Active"/>
    <d v="2024-10-27T00:00:00"/>
    <x v="0"/>
    <s v="Unique"/>
    <x v="20"/>
    <d v="2024-10-27T00:00:00"/>
    <n v="18"/>
    <n v="536"/>
    <n v="1"/>
    <n v="4"/>
    <n v="4"/>
    <x v="13"/>
    <x v="2"/>
  </r>
  <r>
    <x v="263"/>
    <x v="3"/>
    <x v="2"/>
    <d v="2025-08-17T00:00:00"/>
    <d v="2026-08-17T00:00:00"/>
    <n v="1000"/>
    <n v="3000"/>
    <n v="1"/>
    <s v="Cancelled"/>
    <d v="2025-12-06T00:00:00"/>
    <x v="1"/>
    <s v="Unique"/>
    <x v="4"/>
    <d v="2025-12-06T00:00:00"/>
    <n v="3"/>
    <n v="131"/>
    <n v="3"/>
    <n v="1"/>
    <n v="2"/>
    <x v="55"/>
    <x v="1"/>
  </r>
  <r>
    <x v="264"/>
    <x v="1"/>
    <x v="1"/>
    <d v="2023-01-01T00:00:00"/>
    <d v="2023-04-01T00:00:00"/>
    <n v="1000"/>
    <n v="1000"/>
    <n v="4"/>
    <s v="Active"/>
    <d v="2023-10-19T00:00:00"/>
    <x v="1"/>
    <s v="Unique"/>
    <x v="2"/>
    <d v="2023-10-19T00:00:00"/>
    <n v="9"/>
    <n v="910"/>
    <n v="1"/>
    <n v="1"/>
    <n v="1"/>
    <x v="84"/>
    <x v="2"/>
  </r>
  <r>
    <x v="265"/>
    <x v="2"/>
    <x v="1"/>
    <d v="2024-12-07T00:00:00"/>
    <d v="2025-12-07T00:00:00"/>
    <n v="3500"/>
    <n v="31500"/>
    <n v="5"/>
    <s v="Active"/>
    <d v="2025-04-17T00:00:00"/>
    <x v="2"/>
    <s v="Unique"/>
    <x v="0"/>
    <d v="2025-04-17T00:00:00"/>
    <n v="4"/>
    <n v="364"/>
    <n v="2"/>
    <n v="2"/>
    <n v="5"/>
    <x v="85"/>
    <x v="2"/>
  </r>
  <r>
    <x v="266"/>
    <x v="6"/>
    <x v="0"/>
    <d v="2024-04-27T00:00:00"/>
    <d v="2024-05-27T00:00:00"/>
    <n v="3500"/>
    <n v="31500"/>
    <n v="25"/>
    <s v="Active"/>
    <d v="2026-01-27T00:00:00"/>
    <x v="0"/>
    <s v="Unique"/>
    <x v="9"/>
    <d v="2026-01-27T00:00:00"/>
    <n v="21"/>
    <n v="79"/>
    <n v="4"/>
    <n v="5"/>
    <n v="5"/>
    <x v="15"/>
    <x v="3"/>
  </r>
  <r>
    <x v="267"/>
    <x v="4"/>
    <x v="2"/>
    <d v="2024-02-20T00:00:00"/>
    <d v="2025-02-19T00:00:00"/>
    <n v="3500"/>
    <n v="38500"/>
    <n v="17"/>
    <s v="Active"/>
    <d v="2025-12-21T00:00:00"/>
    <x v="0"/>
    <s v="Unique"/>
    <x v="3"/>
    <d v="2025-12-21T00:00:00"/>
    <n v="22"/>
    <n v="116"/>
    <n v="3"/>
    <n v="4"/>
    <n v="5"/>
    <x v="17"/>
    <x v="0"/>
  </r>
  <r>
    <x v="268"/>
    <x v="6"/>
    <x v="1"/>
    <d v="2023-04-22T00:00:00"/>
    <d v="2023-07-21T00:00:00"/>
    <n v="1000"/>
    <n v="4000"/>
    <n v="6"/>
    <s v="Active"/>
    <d v="2026-02-21T00:00:00"/>
    <x v="2"/>
    <s v="Unique"/>
    <x v="28"/>
    <d v="2026-02-21T00:00:00"/>
    <n v="33"/>
    <n v="54"/>
    <n v="4"/>
    <n v="2"/>
    <n v="2"/>
    <x v="7"/>
    <x v="1"/>
  </r>
  <r>
    <x v="269"/>
    <x v="0"/>
    <x v="0"/>
    <d v="2024-06-04T00:00:00"/>
    <d v="2024-07-04T00:00:00"/>
    <n v="2000"/>
    <n v="22000"/>
    <n v="15"/>
    <s v="Active"/>
    <d v="2025-11-21T00:00:00"/>
    <x v="0"/>
    <s v="Unique"/>
    <x v="1"/>
    <d v="2025-11-21T00:00:00"/>
    <n v="17"/>
    <n v="146"/>
    <n v="3"/>
    <n v="4"/>
    <n v="5"/>
    <x v="17"/>
    <x v="0"/>
  </r>
  <r>
    <x v="270"/>
    <x v="4"/>
    <x v="0"/>
    <d v="2024-06-14T00:00:00"/>
    <d v="2024-09-12T00:00:00"/>
    <n v="2000"/>
    <n v="6000"/>
    <n v="17"/>
    <s v="Active"/>
    <d v="2025-08-14T00:00:00"/>
    <x v="0"/>
    <s v="Unique"/>
    <x v="1"/>
    <d v="2025-08-14T00:00:00"/>
    <n v="14"/>
    <n v="245"/>
    <n v="2"/>
    <n v="4"/>
    <n v="3"/>
    <x v="24"/>
    <x v="2"/>
  </r>
  <r>
    <x v="271"/>
    <x v="6"/>
    <x v="0"/>
    <d v="2023-10-21T00:00:00"/>
    <d v="2024-01-19T00:00:00"/>
    <n v="1000"/>
    <n v="10000"/>
    <n v="8"/>
    <s v="Active"/>
    <d v="2025-01-01T00:00:00"/>
    <x v="2"/>
    <s v="Unique"/>
    <x v="31"/>
    <d v="2025-01-01T00:00:00"/>
    <n v="14"/>
    <n v="470"/>
    <n v="1"/>
    <n v="2"/>
    <n v="4"/>
    <x v="47"/>
    <x v="2"/>
  </r>
  <r>
    <x v="272"/>
    <x v="4"/>
    <x v="0"/>
    <d v="2025-12-25T00:00:00"/>
    <d v="2026-12-25T00:00:00"/>
    <n v="2000"/>
    <n v="14000"/>
    <n v="4"/>
    <s v="Cancelled"/>
    <d v="2026-02-04T00:00:00"/>
    <x v="1"/>
    <s v="Unique"/>
    <x v="24"/>
    <d v="2026-02-04T00:00:00"/>
    <n v="1"/>
    <n v="71"/>
    <n v="4"/>
    <n v="1"/>
    <n v="4"/>
    <x v="1"/>
    <x v="1"/>
  </r>
  <r>
    <x v="273"/>
    <x v="5"/>
    <x v="2"/>
    <d v="2023-06-08T00:00:00"/>
    <d v="2023-09-06T00:00:00"/>
    <n v="1000"/>
    <n v="7000"/>
    <n v="4"/>
    <s v="Active"/>
    <d v="2025-03-09T00:00:00"/>
    <x v="1"/>
    <s v="Unique"/>
    <x v="10"/>
    <d v="2025-03-09T00:00:00"/>
    <n v="21"/>
    <n v="403"/>
    <n v="1"/>
    <n v="1"/>
    <n v="3"/>
    <x v="2"/>
    <x v="2"/>
  </r>
  <r>
    <x v="274"/>
    <x v="0"/>
    <x v="2"/>
    <d v="2023-07-26T00:00:00"/>
    <d v="2024-07-25T00:00:00"/>
    <n v="1000"/>
    <n v="7000"/>
    <n v="8"/>
    <s v="Active"/>
    <d v="2023-10-14T00:00:00"/>
    <x v="2"/>
    <s v="Unique"/>
    <x v="6"/>
    <d v="2023-10-14T00:00:00"/>
    <n v="2"/>
    <n v="915"/>
    <n v="1"/>
    <n v="2"/>
    <n v="3"/>
    <x v="52"/>
    <x v="2"/>
  </r>
  <r>
    <x v="275"/>
    <x v="2"/>
    <x v="2"/>
    <d v="2024-02-28T00:00:00"/>
    <d v="2024-05-28T00:00:00"/>
    <n v="3500"/>
    <n v="3500"/>
    <n v="25"/>
    <s v="Active"/>
    <d v="2025-02-23T00:00:00"/>
    <x v="0"/>
    <s v="Unique"/>
    <x v="3"/>
    <d v="2025-02-23T00:00:00"/>
    <n v="11"/>
    <n v="417"/>
    <n v="1"/>
    <n v="5"/>
    <n v="2"/>
    <x v="66"/>
    <x v="2"/>
  </r>
  <r>
    <x v="276"/>
    <x v="1"/>
    <x v="1"/>
    <d v="2023-06-19T00:00:00"/>
    <d v="2023-07-19T00:00:00"/>
    <n v="1000"/>
    <n v="12000"/>
    <n v="21"/>
    <s v="Active"/>
    <d v="2023-07-30T00:00:00"/>
    <x v="0"/>
    <s v="Unique"/>
    <x v="10"/>
    <d v="2023-07-30T00:00:00"/>
    <n v="1"/>
    <n v="991"/>
    <n v="1"/>
    <n v="5"/>
    <n v="4"/>
    <x v="27"/>
    <x v="2"/>
  </r>
  <r>
    <x v="277"/>
    <x v="6"/>
    <x v="2"/>
    <d v="2025-09-17T00:00:00"/>
    <d v="2025-12-16T00:00:00"/>
    <n v="3500"/>
    <n v="7000"/>
    <n v="2"/>
    <s v="Cancelled"/>
    <d v="2025-10-10T00:00:00"/>
    <x v="1"/>
    <s v="Unique"/>
    <x v="36"/>
    <d v="2025-10-10T00:00:00"/>
    <n v="0"/>
    <n v="188"/>
    <n v="2"/>
    <n v="1"/>
    <n v="3"/>
    <x v="28"/>
    <x v="2"/>
  </r>
  <r>
    <x v="278"/>
    <x v="5"/>
    <x v="2"/>
    <d v="2025-05-20T00:00:00"/>
    <d v="2026-05-20T00:00:00"/>
    <n v="3500"/>
    <n v="3500"/>
    <n v="23"/>
    <s v="Active"/>
    <d v="2025-06-11T00:00:00"/>
    <x v="0"/>
    <s v="Unique"/>
    <x v="30"/>
    <d v="2025-06-11T00:00:00"/>
    <n v="0"/>
    <n v="309"/>
    <n v="2"/>
    <n v="5"/>
    <n v="2"/>
    <x v="36"/>
    <x v="2"/>
  </r>
  <r>
    <x v="279"/>
    <x v="0"/>
    <x v="1"/>
    <d v="2024-10-08T00:00:00"/>
    <d v="2025-01-06T00:00:00"/>
    <n v="2000"/>
    <n v="4000"/>
    <n v="15"/>
    <s v="Active"/>
    <d v="2026-04-09T00:00:00"/>
    <x v="0"/>
    <s v="Unique"/>
    <x v="19"/>
    <d v="2026-04-09T00:00:00"/>
    <n v="18"/>
    <n v="7"/>
    <n v="5"/>
    <n v="4"/>
    <n v="2"/>
    <x v="59"/>
    <x v="1"/>
  </r>
  <r>
    <x v="280"/>
    <x v="5"/>
    <x v="0"/>
    <d v="2023-04-07T00:00:00"/>
    <d v="2023-05-07T00:00:00"/>
    <n v="2000"/>
    <n v="8000"/>
    <n v="2"/>
    <s v="Cancelled"/>
    <d v="2023-05-18T00:00:00"/>
    <x v="1"/>
    <s v="Unique"/>
    <x v="28"/>
    <d v="2023-05-18T00:00:00"/>
    <n v="1"/>
    <n v="1064"/>
    <n v="1"/>
    <n v="1"/>
    <n v="3"/>
    <x v="2"/>
    <x v="2"/>
  </r>
  <r>
    <x v="281"/>
    <x v="5"/>
    <x v="1"/>
    <d v="2023-08-09T00:00:00"/>
    <d v="2024-08-08T00:00:00"/>
    <n v="1000"/>
    <n v="8000"/>
    <n v="8"/>
    <s v="Cancelled"/>
    <d v="2024-02-08T00:00:00"/>
    <x v="2"/>
    <s v="Unique"/>
    <x v="27"/>
    <d v="2024-02-08T00:00:00"/>
    <n v="5"/>
    <n v="798"/>
    <n v="1"/>
    <n v="2"/>
    <n v="3"/>
    <x v="52"/>
    <x v="2"/>
  </r>
  <r>
    <x v="282"/>
    <x v="0"/>
    <x v="2"/>
    <d v="2024-08-31T00:00:00"/>
    <d v="2024-09-30T00:00:00"/>
    <n v="1000"/>
    <n v="4000"/>
    <n v="21"/>
    <s v="Active"/>
    <d v="2025-09-03T00:00:00"/>
    <x v="0"/>
    <s v="Unique"/>
    <x v="12"/>
    <d v="2025-09-03T00:00:00"/>
    <n v="12"/>
    <n v="225"/>
    <n v="2"/>
    <n v="5"/>
    <n v="2"/>
    <x v="36"/>
    <x v="2"/>
  </r>
  <r>
    <x v="283"/>
    <x v="5"/>
    <x v="1"/>
    <d v="2025-06-04T00:00:00"/>
    <d v="2025-07-04T00:00:00"/>
    <n v="3500"/>
    <n v="17500"/>
    <n v="16"/>
    <s v="Active"/>
    <d v="2025-08-02T00:00:00"/>
    <x v="0"/>
    <s v="Unique"/>
    <x v="18"/>
    <d v="2025-08-02T00:00:00"/>
    <n v="1"/>
    <n v="257"/>
    <n v="2"/>
    <n v="4"/>
    <n v="4"/>
    <x v="9"/>
    <x v="2"/>
  </r>
  <r>
    <x v="284"/>
    <x v="6"/>
    <x v="0"/>
    <d v="2023-02-03T00:00:00"/>
    <d v="2024-02-03T00:00:00"/>
    <n v="1000"/>
    <n v="12000"/>
    <n v="24"/>
    <s v="Cancelled"/>
    <d v="2023-08-08T00:00:00"/>
    <x v="0"/>
    <s v="Unique"/>
    <x v="16"/>
    <d v="2023-08-08T00:00:00"/>
    <n v="6"/>
    <n v="982"/>
    <n v="1"/>
    <n v="5"/>
    <n v="4"/>
    <x v="27"/>
    <x v="2"/>
  </r>
  <r>
    <x v="285"/>
    <x v="5"/>
    <x v="2"/>
    <d v="2024-09-16T00:00:00"/>
    <d v="2025-09-16T00:00:00"/>
    <n v="2000"/>
    <n v="2000"/>
    <n v="5"/>
    <s v="Active"/>
    <d v="2024-12-27T00:00:00"/>
    <x v="2"/>
    <s v="Unique"/>
    <x v="8"/>
    <d v="2024-12-27T00:00:00"/>
    <n v="3"/>
    <n v="475"/>
    <n v="1"/>
    <n v="2"/>
    <n v="2"/>
    <x v="6"/>
    <x v="2"/>
  </r>
  <r>
    <x v="286"/>
    <x v="5"/>
    <x v="1"/>
    <d v="2023-09-20T00:00:00"/>
    <d v="2023-10-20T00:00:00"/>
    <n v="2000"/>
    <n v="22000"/>
    <n v="7"/>
    <s v="Active"/>
    <d v="2025-10-20T00:00:00"/>
    <x v="2"/>
    <s v="Unique"/>
    <x v="25"/>
    <d v="2025-10-20T00:00:00"/>
    <n v="25"/>
    <n v="178"/>
    <n v="3"/>
    <n v="2"/>
    <n v="5"/>
    <x v="29"/>
    <x v="1"/>
  </r>
  <r>
    <x v="287"/>
    <x v="6"/>
    <x v="2"/>
    <d v="2023-01-23T00:00:00"/>
    <d v="2024-01-23T00:00:00"/>
    <n v="2000"/>
    <n v="2000"/>
    <n v="5"/>
    <s v="Active"/>
    <d v="2023-04-09T00:00:00"/>
    <x v="2"/>
    <s v="Unique"/>
    <x v="2"/>
    <d v="2023-04-09T00:00:00"/>
    <n v="2"/>
    <n v="1103"/>
    <n v="1"/>
    <n v="2"/>
    <n v="2"/>
    <x v="6"/>
    <x v="2"/>
  </r>
  <r>
    <x v="288"/>
    <x v="2"/>
    <x v="2"/>
    <d v="2025-11-13T00:00:00"/>
    <d v="2025-12-13T00:00:00"/>
    <n v="3500"/>
    <n v="31500"/>
    <n v="10"/>
    <s v="Active"/>
    <d v="2026-03-25T00:00:00"/>
    <x v="2"/>
    <s v="Unique"/>
    <x v="7"/>
    <d v="2026-03-25T00:00:00"/>
    <n v="4"/>
    <n v="22"/>
    <n v="5"/>
    <n v="3"/>
    <n v="5"/>
    <x v="68"/>
    <x v="0"/>
  </r>
  <r>
    <x v="289"/>
    <x v="4"/>
    <x v="2"/>
    <d v="2025-06-14T00:00:00"/>
    <d v="2025-09-12T00:00:00"/>
    <n v="3500"/>
    <n v="38500"/>
    <n v="8"/>
    <s v="Active"/>
    <d v="2025-07-16T00:00:00"/>
    <x v="2"/>
    <s v="Unique"/>
    <x v="18"/>
    <d v="2025-07-16T00:00:00"/>
    <n v="1"/>
    <n v="274"/>
    <n v="2"/>
    <n v="2"/>
    <n v="5"/>
    <x v="85"/>
    <x v="2"/>
  </r>
  <r>
    <x v="290"/>
    <x v="3"/>
    <x v="0"/>
    <d v="2025-01-18T00:00:00"/>
    <d v="2025-04-18T00:00:00"/>
    <n v="3500"/>
    <n v="31500"/>
    <n v="21"/>
    <s v="Active"/>
    <d v="2025-04-29T00:00:00"/>
    <x v="0"/>
    <s v="Unique"/>
    <x v="5"/>
    <d v="2025-04-29T00:00:00"/>
    <n v="3"/>
    <n v="352"/>
    <n v="2"/>
    <n v="5"/>
    <n v="5"/>
    <x v="83"/>
    <x v="2"/>
  </r>
  <r>
    <x v="291"/>
    <x v="6"/>
    <x v="2"/>
    <d v="2025-10-04T00:00:00"/>
    <d v="2025-11-03T00:00:00"/>
    <n v="2000"/>
    <n v="24000"/>
    <n v="19"/>
    <s v="Cancelled"/>
    <d v="2026-04-05T00:00:00"/>
    <x v="0"/>
    <s v="Unique"/>
    <x v="32"/>
    <d v="2026-04-05T00:00:00"/>
    <n v="6"/>
    <n v="11"/>
    <n v="5"/>
    <n v="4"/>
    <n v="5"/>
    <x v="65"/>
    <x v="3"/>
  </r>
  <r>
    <x v="292"/>
    <x v="5"/>
    <x v="2"/>
    <d v="2023-03-12T00:00:00"/>
    <d v="2024-03-11T00:00:00"/>
    <n v="3500"/>
    <n v="24500"/>
    <n v="4"/>
    <s v="Active"/>
    <d v="2025-10-31T00:00:00"/>
    <x v="1"/>
    <s v="Unique"/>
    <x v="20"/>
    <d v="2025-10-31T00:00:00"/>
    <n v="31"/>
    <n v="167"/>
    <n v="3"/>
    <n v="1"/>
    <n v="5"/>
    <x v="5"/>
    <x v="1"/>
  </r>
  <r>
    <x v="293"/>
    <x v="4"/>
    <x v="0"/>
    <d v="2025-04-21T00:00:00"/>
    <d v="2025-05-21T00:00:00"/>
    <n v="1000"/>
    <n v="10000"/>
    <n v="23"/>
    <s v="Cancelled"/>
    <d v="2025-06-05T00:00:00"/>
    <x v="0"/>
    <s v="Unique"/>
    <x v="26"/>
    <d v="2025-06-05T00:00:00"/>
    <n v="1"/>
    <n v="315"/>
    <n v="2"/>
    <n v="5"/>
    <n v="4"/>
    <x v="56"/>
    <x v="2"/>
  </r>
  <r>
    <x v="294"/>
    <x v="2"/>
    <x v="1"/>
    <d v="2025-07-24T00:00:00"/>
    <d v="2025-08-23T00:00:00"/>
    <n v="2000"/>
    <n v="4000"/>
    <n v="15"/>
    <s v="Cancelled"/>
    <d v="2025-10-20T00:00:00"/>
    <x v="0"/>
    <s v="Unique"/>
    <x v="17"/>
    <d v="2025-10-20T00:00:00"/>
    <n v="2"/>
    <n v="178"/>
    <n v="3"/>
    <n v="4"/>
    <n v="2"/>
    <x v="86"/>
    <x v="1"/>
  </r>
  <r>
    <x v="295"/>
    <x v="4"/>
    <x v="1"/>
    <d v="2024-01-03T00:00:00"/>
    <d v="2024-02-02T00:00:00"/>
    <n v="1000"/>
    <n v="5000"/>
    <n v="16"/>
    <s v="Active"/>
    <d v="2024-10-08T00:00:00"/>
    <x v="0"/>
    <s v="Unique"/>
    <x v="34"/>
    <d v="2024-10-08T00:00:00"/>
    <n v="9"/>
    <n v="555"/>
    <n v="1"/>
    <n v="4"/>
    <n v="3"/>
    <x v="42"/>
    <x v="2"/>
  </r>
  <r>
    <x v="296"/>
    <x v="5"/>
    <x v="1"/>
    <d v="2023-07-30T00:00:00"/>
    <d v="2023-10-28T00:00:00"/>
    <n v="2000"/>
    <n v="16000"/>
    <n v="25"/>
    <s v="Active"/>
    <d v="2023-12-17T00:00:00"/>
    <x v="0"/>
    <s v="Unique"/>
    <x v="6"/>
    <d v="2023-12-17T00:00:00"/>
    <n v="4"/>
    <n v="851"/>
    <n v="1"/>
    <n v="5"/>
    <n v="4"/>
    <x v="27"/>
    <x v="2"/>
  </r>
  <r>
    <x v="297"/>
    <x v="3"/>
    <x v="0"/>
    <d v="2025-08-13T00:00:00"/>
    <d v="2025-09-12T00:00:00"/>
    <n v="1000"/>
    <n v="8000"/>
    <n v="17"/>
    <s v="Cancelled"/>
    <d v="2026-04-07T00:00:00"/>
    <x v="0"/>
    <s v="Unique"/>
    <x v="4"/>
    <d v="2026-04-07T00:00:00"/>
    <n v="7"/>
    <n v="9"/>
    <n v="5"/>
    <n v="4"/>
    <n v="3"/>
    <x v="76"/>
    <x v="0"/>
  </r>
  <r>
    <x v="298"/>
    <x v="6"/>
    <x v="1"/>
    <d v="2025-12-25T00:00:00"/>
    <d v="2026-12-25T00:00:00"/>
    <n v="1000"/>
    <n v="5000"/>
    <n v="1"/>
    <s v="Active"/>
    <d v="2026-04-12T00:00:00"/>
    <x v="1"/>
    <s v="Unique"/>
    <x v="24"/>
    <d v="2026-04-12T00:00:00"/>
    <n v="3"/>
    <n v="4"/>
    <n v="5"/>
    <n v="1"/>
    <n v="3"/>
    <x v="22"/>
    <x v="1"/>
  </r>
  <r>
    <x v="299"/>
    <x v="2"/>
    <x v="1"/>
    <d v="2026-01-30T00:00:00"/>
    <d v="2026-04-30T00:00:00"/>
    <n v="3500"/>
    <n v="21000"/>
    <n v="2"/>
    <s v="Cancelled"/>
    <d v="2026-03-01T00:00:00"/>
    <x v="1"/>
    <s v="Unique"/>
    <x v="35"/>
    <d v="2026-03-01T00:00:00"/>
    <n v="1"/>
    <n v="46"/>
    <n v="4"/>
    <n v="1"/>
    <n v="5"/>
    <x v="80"/>
    <x v="1"/>
  </r>
  <r>
    <x v="300"/>
    <x v="5"/>
    <x v="1"/>
    <d v="2024-11-18T00:00:00"/>
    <d v="2024-12-18T00:00:00"/>
    <n v="3500"/>
    <n v="3500"/>
    <n v="1"/>
    <s v="Active"/>
    <d v="2025-05-23T00:00:00"/>
    <x v="1"/>
    <s v="Unique"/>
    <x v="23"/>
    <d v="2025-05-23T00:00:00"/>
    <n v="6"/>
    <n v="328"/>
    <n v="2"/>
    <n v="1"/>
    <n v="2"/>
    <x v="19"/>
    <x v="2"/>
  </r>
  <r>
    <x v="301"/>
    <x v="2"/>
    <x v="1"/>
    <d v="2023-11-16T00:00:00"/>
    <d v="2023-12-16T00:00:00"/>
    <n v="1000"/>
    <n v="7000"/>
    <n v="12"/>
    <s v="Active"/>
    <d v="2025-09-26T00:00:00"/>
    <x v="2"/>
    <s v="Unique"/>
    <x v="21"/>
    <d v="2025-09-26T00:00:00"/>
    <n v="22"/>
    <n v="202"/>
    <n v="2"/>
    <n v="3"/>
    <n v="3"/>
    <x v="3"/>
    <x v="2"/>
  </r>
  <r>
    <x v="302"/>
    <x v="2"/>
    <x v="1"/>
    <d v="2024-12-21T00:00:00"/>
    <d v="2025-01-20T00:00:00"/>
    <n v="2000"/>
    <n v="18000"/>
    <n v="1"/>
    <s v="Cancelled"/>
    <d v="2025-06-03T00:00:00"/>
    <x v="1"/>
    <s v="Unique"/>
    <x v="0"/>
    <d v="2025-06-03T00:00:00"/>
    <n v="5"/>
    <n v="317"/>
    <n v="2"/>
    <n v="1"/>
    <n v="4"/>
    <x v="70"/>
    <x v="2"/>
  </r>
  <r>
    <x v="303"/>
    <x v="5"/>
    <x v="2"/>
    <d v="2025-05-12T00:00:00"/>
    <d v="2026-05-12T00:00:00"/>
    <n v="2000"/>
    <n v="24000"/>
    <n v="17"/>
    <s v="Active"/>
    <d v="2025-05-23T00:00:00"/>
    <x v="0"/>
    <s v="Unique"/>
    <x v="30"/>
    <d v="2025-05-23T00:00:00"/>
    <n v="0"/>
    <n v="328"/>
    <n v="2"/>
    <n v="4"/>
    <n v="5"/>
    <x v="48"/>
    <x v="2"/>
  </r>
  <r>
    <x v="304"/>
    <x v="4"/>
    <x v="1"/>
    <d v="2025-04-27T00:00:00"/>
    <d v="2026-04-27T00:00:00"/>
    <n v="1000"/>
    <n v="6000"/>
    <n v="13"/>
    <s v="Active"/>
    <d v="2025-05-09T00:00:00"/>
    <x v="2"/>
    <s v="Unique"/>
    <x v="26"/>
    <d v="2025-05-09T00:00:00"/>
    <n v="0"/>
    <n v="342"/>
    <n v="2"/>
    <n v="3"/>
    <n v="3"/>
    <x v="3"/>
    <x v="2"/>
  </r>
  <r>
    <x v="305"/>
    <x v="3"/>
    <x v="1"/>
    <d v="2025-08-15T00:00:00"/>
    <d v="2026-08-15T00:00:00"/>
    <n v="3500"/>
    <n v="14000"/>
    <n v="17"/>
    <s v="Active"/>
    <d v="2025-12-05T00:00:00"/>
    <x v="0"/>
    <s v="Unique"/>
    <x v="4"/>
    <d v="2025-12-05T00:00:00"/>
    <n v="3"/>
    <n v="132"/>
    <n v="3"/>
    <n v="4"/>
    <n v="4"/>
    <x v="0"/>
    <x v="0"/>
  </r>
  <r>
    <x v="306"/>
    <x v="4"/>
    <x v="1"/>
    <d v="2025-09-02T00:00:00"/>
    <d v="2025-12-01T00:00:00"/>
    <n v="1000"/>
    <n v="3000"/>
    <n v="2"/>
    <s v="Cancelled"/>
    <d v="2026-03-21T00:00:00"/>
    <x v="1"/>
    <s v="Unique"/>
    <x v="36"/>
    <d v="2026-03-21T00:00:00"/>
    <n v="6"/>
    <n v="26"/>
    <n v="5"/>
    <n v="1"/>
    <n v="2"/>
    <x v="87"/>
    <x v="1"/>
  </r>
  <r>
    <x v="307"/>
    <x v="4"/>
    <x v="1"/>
    <d v="2024-03-07T00:00:00"/>
    <d v="2025-03-07T00:00:00"/>
    <n v="3500"/>
    <n v="21000"/>
    <n v="22"/>
    <s v="Cancelled"/>
    <d v="2024-07-06T00:00:00"/>
    <x v="0"/>
    <s v="Unique"/>
    <x v="11"/>
    <d v="2024-07-06T00:00:00"/>
    <n v="3"/>
    <n v="649"/>
    <n v="1"/>
    <n v="5"/>
    <n v="5"/>
    <x v="10"/>
    <x v="2"/>
  </r>
  <r>
    <x v="308"/>
    <x v="6"/>
    <x v="1"/>
    <d v="2025-09-15T00:00:00"/>
    <d v="2025-10-15T00:00:00"/>
    <n v="1000"/>
    <n v="4000"/>
    <n v="6"/>
    <s v="Active"/>
    <d v="2025-11-12T00:00:00"/>
    <x v="2"/>
    <s v="Unique"/>
    <x v="36"/>
    <d v="2025-11-12T00:00:00"/>
    <n v="1"/>
    <n v="155"/>
    <n v="3"/>
    <n v="2"/>
    <n v="2"/>
    <x v="88"/>
    <x v="1"/>
  </r>
  <r>
    <x v="309"/>
    <x v="6"/>
    <x v="2"/>
    <d v="2025-06-29T00:00:00"/>
    <d v="2026-06-29T00:00:00"/>
    <n v="3500"/>
    <n v="3500"/>
    <n v="9"/>
    <s v="Cancelled"/>
    <d v="2025-11-11T00:00:00"/>
    <x v="2"/>
    <s v="Unique"/>
    <x v="18"/>
    <d v="2025-11-11T00:00:00"/>
    <n v="4"/>
    <n v="156"/>
    <n v="3"/>
    <n v="2"/>
    <n v="2"/>
    <x v="88"/>
    <x v="1"/>
  </r>
  <r>
    <x v="310"/>
    <x v="2"/>
    <x v="0"/>
    <d v="2023-10-09T00:00:00"/>
    <d v="2024-10-08T00:00:00"/>
    <n v="3500"/>
    <n v="35000"/>
    <n v="2"/>
    <s v="Active"/>
    <d v="2024-07-22T00:00:00"/>
    <x v="1"/>
    <s v="Unique"/>
    <x v="31"/>
    <d v="2024-07-22T00:00:00"/>
    <n v="9"/>
    <n v="633"/>
    <n v="1"/>
    <n v="1"/>
    <n v="5"/>
    <x v="23"/>
    <x v="2"/>
  </r>
  <r>
    <x v="311"/>
    <x v="0"/>
    <x v="0"/>
    <d v="2024-05-27T00:00:00"/>
    <d v="2025-05-27T00:00:00"/>
    <n v="1000"/>
    <n v="6000"/>
    <n v="13"/>
    <s v="Active"/>
    <d v="2025-10-05T00:00:00"/>
    <x v="2"/>
    <s v="Unique"/>
    <x v="15"/>
    <d v="2025-10-05T00:00:00"/>
    <n v="16"/>
    <n v="193"/>
    <n v="2"/>
    <n v="3"/>
    <n v="3"/>
    <x v="3"/>
    <x v="2"/>
  </r>
  <r>
    <x v="312"/>
    <x v="0"/>
    <x v="1"/>
    <d v="2025-04-13T00:00:00"/>
    <d v="2025-05-13T00:00:00"/>
    <n v="1000"/>
    <n v="2000"/>
    <n v="15"/>
    <s v="Active"/>
    <d v="2026-02-12T00:00:00"/>
    <x v="0"/>
    <s v="Unique"/>
    <x v="26"/>
    <d v="2026-02-12T00:00:00"/>
    <n v="9"/>
    <n v="63"/>
    <n v="4"/>
    <n v="4"/>
    <n v="2"/>
    <x v="49"/>
    <x v="1"/>
  </r>
  <r>
    <x v="313"/>
    <x v="5"/>
    <x v="1"/>
    <d v="2025-05-18T00:00:00"/>
    <d v="2025-08-16T00:00:00"/>
    <n v="1000"/>
    <n v="10000"/>
    <n v="0"/>
    <s v="Active"/>
    <d v="2026-04-12T00:00:00"/>
    <x v="1"/>
    <s v="Unique"/>
    <x v="30"/>
    <d v="2026-04-12T00:00:00"/>
    <n v="10"/>
    <n v="4"/>
    <n v="5"/>
    <n v="1"/>
    <n v="4"/>
    <x v="89"/>
    <x v="1"/>
  </r>
  <r>
    <x v="314"/>
    <x v="2"/>
    <x v="0"/>
    <d v="2023-02-02T00:00:00"/>
    <d v="2023-03-04T00:00:00"/>
    <n v="3500"/>
    <n v="10500"/>
    <n v="13"/>
    <s v="Active"/>
    <d v="2024-12-05T00:00:00"/>
    <x v="2"/>
    <s v="Unique"/>
    <x v="16"/>
    <d v="2024-12-05T00:00:00"/>
    <n v="22"/>
    <n v="497"/>
    <n v="1"/>
    <n v="3"/>
    <n v="4"/>
    <x v="31"/>
    <x v="2"/>
  </r>
  <r>
    <x v="315"/>
    <x v="5"/>
    <x v="0"/>
    <d v="2024-03-04T00:00:00"/>
    <d v="2025-03-04T00:00:00"/>
    <n v="3500"/>
    <n v="28000"/>
    <n v="5"/>
    <s v="Cancelled"/>
    <d v="2025-03-06T00:00:00"/>
    <x v="2"/>
    <s v="Unique"/>
    <x v="11"/>
    <d v="2025-03-06T00:00:00"/>
    <n v="12"/>
    <n v="406"/>
    <n v="1"/>
    <n v="2"/>
    <n v="5"/>
    <x v="69"/>
    <x v="2"/>
  </r>
  <r>
    <x v="316"/>
    <x v="2"/>
    <x v="0"/>
    <d v="2024-04-10T00:00:00"/>
    <d v="2025-04-10T00:00:00"/>
    <n v="1000"/>
    <n v="1000"/>
    <n v="16"/>
    <s v="Cancelled"/>
    <d v="2024-04-26T00:00:00"/>
    <x v="0"/>
    <s v="Unique"/>
    <x v="9"/>
    <d v="2024-04-26T00:00:00"/>
    <n v="0"/>
    <n v="720"/>
    <n v="1"/>
    <n v="4"/>
    <n v="1"/>
    <x v="90"/>
    <x v="2"/>
  </r>
  <r>
    <x v="317"/>
    <x v="3"/>
    <x v="0"/>
    <d v="2023-11-20T00:00:00"/>
    <d v="2024-02-18T00:00:00"/>
    <n v="3500"/>
    <n v="24500"/>
    <n v="16"/>
    <s v="Active"/>
    <d v="2024-06-03T00:00:00"/>
    <x v="0"/>
    <s v="Unique"/>
    <x v="21"/>
    <d v="2024-06-03T00:00:00"/>
    <n v="6"/>
    <n v="682"/>
    <n v="1"/>
    <n v="4"/>
    <n v="5"/>
    <x v="16"/>
    <x v="2"/>
  </r>
  <r>
    <x v="318"/>
    <x v="4"/>
    <x v="0"/>
    <d v="2023-05-28T00:00:00"/>
    <d v="2023-08-26T00:00:00"/>
    <n v="2000"/>
    <n v="6000"/>
    <n v="22"/>
    <s v="Active"/>
    <d v="2025-06-06T00:00:00"/>
    <x v="0"/>
    <s v="Unique"/>
    <x v="29"/>
    <d v="2025-06-06T00:00:00"/>
    <n v="24"/>
    <n v="314"/>
    <n v="2"/>
    <n v="5"/>
    <n v="3"/>
    <x v="41"/>
    <x v="2"/>
  </r>
  <r>
    <x v="319"/>
    <x v="6"/>
    <x v="0"/>
    <d v="2026-01-17T00:00:00"/>
    <d v="2027-01-17T00:00:00"/>
    <n v="2000"/>
    <n v="8000"/>
    <n v="14"/>
    <s v="Active"/>
    <d v="2026-02-04T00:00:00"/>
    <x v="2"/>
    <s v="Unique"/>
    <x v="35"/>
    <d v="2026-02-04T00:00:00"/>
    <n v="0"/>
    <n v="71"/>
    <n v="4"/>
    <n v="3"/>
    <n v="3"/>
    <x v="20"/>
    <x v="0"/>
  </r>
  <r>
    <x v="320"/>
    <x v="0"/>
    <x v="1"/>
    <d v="2023-04-27T00:00:00"/>
    <d v="2024-04-26T00:00:00"/>
    <n v="1000"/>
    <n v="5000"/>
    <n v="23"/>
    <s v="Active"/>
    <d v="2024-07-24T00:00:00"/>
    <x v="0"/>
    <s v="Unique"/>
    <x v="28"/>
    <d v="2024-07-24T00:00:00"/>
    <n v="14"/>
    <n v="631"/>
    <n v="1"/>
    <n v="5"/>
    <n v="3"/>
    <x v="73"/>
    <x v="2"/>
  </r>
  <r>
    <x v="321"/>
    <x v="2"/>
    <x v="0"/>
    <d v="2024-03-03T00:00:00"/>
    <d v="2024-04-02T00:00:00"/>
    <n v="1000"/>
    <n v="5000"/>
    <n v="11"/>
    <s v="Active"/>
    <d v="2025-11-11T00:00:00"/>
    <x v="2"/>
    <s v="Unique"/>
    <x v="11"/>
    <d v="2025-11-11T00:00:00"/>
    <n v="20"/>
    <n v="156"/>
    <n v="3"/>
    <n v="3"/>
    <n v="3"/>
    <x v="91"/>
    <x v="0"/>
  </r>
  <r>
    <x v="322"/>
    <x v="0"/>
    <x v="2"/>
    <d v="2023-02-11T00:00:00"/>
    <d v="2023-03-13T00:00:00"/>
    <n v="2000"/>
    <n v="24000"/>
    <n v="3"/>
    <s v="Active"/>
    <d v="2023-03-04T00:00:00"/>
    <x v="1"/>
    <s v="Unique"/>
    <x v="16"/>
    <d v="2023-03-04T00:00:00"/>
    <n v="0"/>
    <n v="1139"/>
    <n v="1"/>
    <n v="1"/>
    <n v="5"/>
    <x v="23"/>
    <x v="2"/>
  </r>
  <r>
    <x v="323"/>
    <x v="6"/>
    <x v="2"/>
    <d v="2025-06-19T00:00:00"/>
    <d v="2025-07-19T00:00:00"/>
    <n v="1000"/>
    <n v="6000"/>
    <n v="13"/>
    <s v="Active"/>
    <d v="2025-11-28T00:00:00"/>
    <x v="2"/>
    <s v="Unique"/>
    <x v="18"/>
    <d v="2025-11-28T00:00:00"/>
    <n v="5"/>
    <n v="139"/>
    <n v="3"/>
    <n v="3"/>
    <n v="3"/>
    <x v="91"/>
    <x v="0"/>
  </r>
  <r>
    <x v="324"/>
    <x v="3"/>
    <x v="0"/>
    <d v="2023-12-02T00:00:00"/>
    <d v="2024-12-01T00:00:00"/>
    <n v="1000"/>
    <n v="3000"/>
    <n v="20"/>
    <s v="Active"/>
    <d v="2025-12-17T00:00:00"/>
    <x v="0"/>
    <s v="Unique"/>
    <x v="22"/>
    <d v="2025-12-17T00:00:00"/>
    <n v="24"/>
    <n v="120"/>
    <n v="3"/>
    <n v="5"/>
    <n v="2"/>
    <x v="4"/>
    <x v="1"/>
  </r>
  <r>
    <x v="325"/>
    <x v="5"/>
    <x v="0"/>
    <d v="2025-09-26T00:00:00"/>
    <d v="2025-10-26T00:00:00"/>
    <n v="2000"/>
    <n v="6000"/>
    <n v="4"/>
    <s v="Cancelled"/>
    <d v="2025-11-04T00:00:00"/>
    <x v="1"/>
    <s v="Unique"/>
    <x v="36"/>
    <d v="2025-11-04T00:00:00"/>
    <n v="1"/>
    <n v="163"/>
    <n v="3"/>
    <n v="1"/>
    <n v="3"/>
    <x v="51"/>
    <x v="1"/>
  </r>
  <r>
    <x v="326"/>
    <x v="4"/>
    <x v="1"/>
    <d v="2024-10-04T00:00:00"/>
    <d v="2025-01-02T00:00:00"/>
    <n v="3500"/>
    <n v="17500"/>
    <n v="21"/>
    <s v="Active"/>
    <d v="2025-03-10T00:00:00"/>
    <x v="0"/>
    <s v="Unique"/>
    <x v="19"/>
    <d v="2025-03-10T00:00:00"/>
    <n v="5"/>
    <n v="402"/>
    <n v="1"/>
    <n v="5"/>
    <n v="4"/>
    <x v="27"/>
    <x v="2"/>
  </r>
  <r>
    <x v="327"/>
    <x v="3"/>
    <x v="0"/>
    <d v="2023-12-31T00:00:00"/>
    <d v="2024-03-30T00:00:00"/>
    <n v="3500"/>
    <n v="17500"/>
    <n v="14"/>
    <s v="Active"/>
    <d v="2026-02-01T00:00:00"/>
    <x v="2"/>
    <s v="Unique"/>
    <x v="22"/>
    <d v="2026-02-01T00:00:00"/>
    <n v="25"/>
    <n v="74"/>
    <n v="4"/>
    <n v="3"/>
    <n v="4"/>
    <x v="14"/>
    <x v="0"/>
  </r>
  <r>
    <x v="328"/>
    <x v="4"/>
    <x v="0"/>
    <d v="2023-06-23T00:00:00"/>
    <d v="2024-06-22T00:00:00"/>
    <n v="1000"/>
    <n v="1000"/>
    <n v="1"/>
    <s v="Active"/>
    <d v="2026-03-18T00:00:00"/>
    <x v="1"/>
    <s v="Unique"/>
    <x v="10"/>
    <d v="2026-03-18T00:00:00"/>
    <n v="32"/>
    <n v="29"/>
    <n v="5"/>
    <n v="1"/>
    <n v="1"/>
    <x v="92"/>
    <x v="1"/>
  </r>
  <r>
    <x v="329"/>
    <x v="5"/>
    <x v="0"/>
    <d v="2025-10-09T00:00:00"/>
    <d v="2025-11-08T00:00:00"/>
    <n v="2000"/>
    <n v="8000"/>
    <n v="10"/>
    <s v="Active"/>
    <d v="2026-02-08T00:00:00"/>
    <x v="2"/>
    <s v="Unique"/>
    <x v="32"/>
    <d v="2026-02-08T00:00:00"/>
    <n v="3"/>
    <n v="67"/>
    <n v="4"/>
    <n v="3"/>
    <n v="3"/>
    <x v="20"/>
    <x v="0"/>
  </r>
  <r>
    <x v="330"/>
    <x v="2"/>
    <x v="2"/>
    <d v="2023-11-27T00:00:00"/>
    <d v="2024-02-25T00:00:00"/>
    <n v="1000"/>
    <n v="7000"/>
    <n v="14"/>
    <s v="Active"/>
    <d v="2026-01-14T00:00:00"/>
    <x v="2"/>
    <s v="Unique"/>
    <x v="21"/>
    <d v="2026-01-14T00:00:00"/>
    <n v="25"/>
    <n v="92"/>
    <n v="3"/>
    <n v="3"/>
    <n v="3"/>
    <x v="91"/>
    <x v="0"/>
  </r>
  <r>
    <x v="331"/>
    <x v="2"/>
    <x v="2"/>
    <d v="2023-10-19T00:00:00"/>
    <d v="2024-10-18T00:00:00"/>
    <n v="1000"/>
    <n v="6000"/>
    <n v="21"/>
    <s v="Cancelled"/>
    <d v="2025-12-30T00:00:00"/>
    <x v="0"/>
    <s v="Unique"/>
    <x v="31"/>
    <d v="2025-12-30T00:00:00"/>
    <n v="26"/>
    <n v="107"/>
    <n v="3"/>
    <n v="5"/>
    <n v="3"/>
    <x v="72"/>
    <x v="0"/>
  </r>
  <r>
    <x v="332"/>
    <x v="0"/>
    <x v="2"/>
    <d v="2024-07-24T00:00:00"/>
    <d v="2025-07-24T00:00:00"/>
    <n v="1000"/>
    <n v="9000"/>
    <n v="11"/>
    <s v="Active"/>
    <d v="2026-02-11T00:00:00"/>
    <x v="2"/>
    <s v="Unique"/>
    <x v="13"/>
    <d v="2026-02-11T00:00:00"/>
    <n v="18"/>
    <n v="64"/>
    <n v="4"/>
    <n v="3"/>
    <n v="3"/>
    <x v="20"/>
    <x v="0"/>
  </r>
  <r>
    <x v="333"/>
    <x v="2"/>
    <x v="2"/>
    <d v="2023-05-10T00:00:00"/>
    <d v="2023-08-08T00:00:00"/>
    <n v="2000"/>
    <n v="14000"/>
    <n v="21"/>
    <s v="Active"/>
    <d v="2025-01-21T00:00:00"/>
    <x v="0"/>
    <s v="Unique"/>
    <x v="29"/>
    <d v="2025-01-21T00:00:00"/>
    <n v="20"/>
    <n v="450"/>
    <n v="1"/>
    <n v="5"/>
    <n v="4"/>
    <x v="27"/>
    <x v="2"/>
  </r>
  <r>
    <x v="334"/>
    <x v="6"/>
    <x v="2"/>
    <d v="2023-10-02T00:00:00"/>
    <d v="2023-12-31T00:00:00"/>
    <n v="3500"/>
    <n v="31500"/>
    <n v="15"/>
    <s v="Active"/>
    <d v="2026-01-12T00:00:00"/>
    <x v="0"/>
    <s v="Unique"/>
    <x v="31"/>
    <d v="2026-01-12T00:00:00"/>
    <n v="27"/>
    <n v="94"/>
    <n v="3"/>
    <n v="4"/>
    <n v="5"/>
    <x v="17"/>
    <x v="0"/>
  </r>
  <r>
    <x v="335"/>
    <x v="4"/>
    <x v="1"/>
    <d v="2025-01-24T00:00:00"/>
    <d v="2026-01-24T00:00:00"/>
    <n v="3500"/>
    <n v="14000"/>
    <n v="22"/>
    <s v="Active"/>
    <d v="2025-01-31T00:00:00"/>
    <x v="0"/>
    <s v="Unique"/>
    <x v="5"/>
    <d v="2025-01-31T00:00:00"/>
    <n v="0"/>
    <n v="440"/>
    <n v="1"/>
    <n v="5"/>
    <n v="4"/>
    <x v="27"/>
    <x v="2"/>
  </r>
  <r>
    <x v="336"/>
    <x v="4"/>
    <x v="1"/>
    <d v="2025-12-04T00:00:00"/>
    <d v="2026-12-04T00:00:00"/>
    <n v="1000"/>
    <n v="11000"/>
    <n v="18"/>
    <s v="Active"/>
    <d v="2026-03-28T00:00:00"/>
    <x v="0"/>
    <s v="Unique"/>
    <x v="24"/>
    <d v="2026-03-28T00:00:00"/>
    <n v="3"/>
    <n v="19"/>
    <n v="5"/>
    <n v="4"/>
    <n v="4"/>
    <x v="40"/>
    <x v="3"/>
  </r>
  <r>
    <x v="337"/>
    <x v="2"/>
    <x v="2"/>
    <d v="2025-06-13T00:00:00"/>
    <d v="2026-06-13T00:00:00"/>
    <n v="2000"/>
    <n v="14000"/>
    <n v="8"/>
    <s v="Active"/>
    <d v="2026-02-06T00:00:00"/>
    <x v="2"/>
    <s v="Unique"/>
    <x v="18"/>
    <d v="2026-02-06T00:00:00"/>
    <n v="7"/>
    <n v="69"/>
    <n v="4"/>
    <n v="2"/>
    <n v="4"/>
    <x v="53"/>
    <x v="1"/>
  </r>
  <r>
    <x v="338"/>
    <x v="2"/>
    <x v="2"/>
    <d v="2024-12-30T00:00:00"/>
    <d v="2025-01-29T00:00:00"/>
    <n v="3500"/>
    <n v="31500"/>
    <n v="18"/>
    <s v="Active"/>
    <d v="2025-06-02T00:00:00"/>
    <x v="0"/>
    <s v="Unique"/>
    <x v="0"/>
    <d v="2025-06-02T00:00:00"/>
    <n v="5"/>
    <n v="318"/>
    <n v="2"/>
    <n v="4"/>
    <n v="5"/>
    <x v="48"/>
    <x v="2"/>
  </r>
  <r>
    <x v="339"/>
    <x v="2"/>
    <x v="0"/>
    <d v="2024-03-13T00:00:00"/>
    <d v="2024-04-12T00:00:00"/>
    <n v="3500"/>
    <n v="31500"/>
    <n v="1"/>
    <s v="Cancelled"/>
    <d v="2025-07-16T00:00:00"/>
    <x v="1"/>
    <s v="Unique"/>
    <x v="11"/>
    <d v="2025-07-16T00:00:00"/>
    <n v="16"/>
    <n v="274"/>
    <n v="2"/>
    <n v="1"/>
    <n v="5"/>
    <x v="67"/>
    <x v="2"/>
  </r>
  <r>
    <x v="340"/>
    <x v="0"/>
    <x v="0"/>
    <d v="2025-12-22T00:00:00"/>
    <d v="2026-01-21T00:00:00"/>
    <n v="2000"/>
    <n v="22000"/>
    <n v="21"/>
    <s v="Active"/>
    <d v="2026-02-19T00:00:00"/>
    <x v="0"/>
    <s v="Unique"/>
    <x v="24"/>
    <d v="2026-02-19T00:00:00"/>
    <n v="1"/>
    <n v="56"/>
    <n v="4"/>
    <n v="5"/>
    <n v="5"/>
    <x v="15"/>
    <x v="3"/>
  </r>
  <r>
    <x v="341"/>
    <x v="1"/>
    <x v="2"/>
    <d v="2023-08-18T00:00:00"/>
    <d v="2023-09-17T00:00:00"/>
    <n v="2000"/>
    <n v="6000"/>
    <n v="22"/>
    <s v="Active"/>
    <d v="2023-11-09T00:00:00"/>
    <x v="0"/>
    <s v="Unique"/>
    <x v="27"/>
    <d v="2023-11-09T00:00:00"/>
    <n v="2"/>
    <n v="889"/>
    <n v="1"/>
    <n v="5"/>
    <n v="3"/>
    <x v="73"/>
    <x v="2"/>
  </r>
  <r>
    <x v="342"/>
    <x v="0"/>
    <x v="2"/>
    <d v="2025-05-10T00:00:00"/>
    <d v="2026-05-10T00:00:00"/>
    <n v="3500"/>
    <n v="35000"/>
    <n v="18"/>
    <s v="Active"/>
    <d v="2026-03-16T00:00:00"/>
    <x v="0"/>
    <s v="Unique"/>
    <x v="30"/>
    <d v="2026-03-16T00:00:00"/>
    <n v="10"/>
    <n v="31"/>
    <n v="4"/>
    <n v="4"/>
    <n v="5"/>
    <x v="63"/>
    <x v="3"/>
  </r>
  <r>
    <x v="343"/>
    <x v="3"/>
    <x v="2"/>
    <d v="2025-04-29T00:00:00"/>
    <d v="2025-05-29T00:00:00"/>
    <n v="2000"/>
    <n v="16000"/>
    <n v="4"/>
    <s v="Active"/>
    <d v="2025-06-30T00:00:00"/>
    <x v="1"/>
    <s v="Unique"/>
    <x v="26"/>
    <d v="2025-06-30T00:00:00"/>
    <n v="2"/>
    <n v="290"/>
    <n v="2"/>
    <n v="1"/>
    <n v="4"/>
    <x v="70"/>
    <x v="2"/>
  </r>
  <r>
    <x v="344"/>
    <x v="4"/>
    <x v="0"/>
    <d v="2024-03-24T00:00:00"/>
    <d v="2024-04-23T00:00:00"/>
    <n v="2000"/>
    <n v="8000"/>
    <n v="17"/>
    <s v="Active"/>
    <d v="2024-04-27T00:00:00"/>
    <x v="0"/>
    <s v="Unique"/>
    <x v="11"/>
    <d v="2024-04-27T00:00:00"/>
    <n v="1"/>
    <n v="719"/>
    <n v="1"/>
    <n v="4"/>
    <n v="3"/>
    <x v="42"/>
    <x v="2"/>
  </r>
  <r>
    <x v="345"/>
    <x v="6"/>
    <x v="0"/>
    <d v="2025-09-01T00:00:00"/>
    <d v="2025-11-30T00:00:00"/>
    <n v="1000"/>
    <n v="5000"/>
    <n v="25"/>
    <s v="Active"/>
    <d v="2026-04-07T00:00:00"/>
    <x v="0"/>
    <s v="Unique"/>
    <x v="36"/>
    <d v="2026-04-07T00:00:00"/>
    <n v="7"/>
    <n v="9"/>
    <n v="5"/>
    <n v="5"/>
    <n v="3"/>
    <x v="38"/>
    <x v="0"/>
  </r>
  <r>
    <x v="346"/>
    <x v="4"/>
    <x v="1"/>
    <d v="2023-01-05T00:00:00"/>
    <d v="2023-02-04T00:00:00"/>
    <n v="1000"/>
    <n v="1000"/>
    <n v="3"/>
    <s v="Cancelled"/>
    <d v="2026-04-10T00:00:00"/>
    <x v="1"/>
    <s v="Unique"/>
    <x v="2"/>
    <d v="2026-04-10T00:00:00"/>
    <n v="39"/>
    <n v="6"/>
    <n v="5"/>
    <n v="1"/>
    <n v="1"/>
    <x v="92"/>
    <x v="1"/>
  </r>
  <r>
    <x v="347"/>
    <x v="4"/>
    <x v="1"/>
    <d v="2023-05-25T00:00:00"/>
    <d v="2023-08-23T00:00:00"/>
    <n v="3500"/>
    <n v="38500"/>
    <n v="3"/>
    <s v="Cancelled"/>
    <d v="2025-08-21T00:00:00"/>
    <x v="1"/>
    <s v="Unique"/>
    <x v="29"/>
    <d v="2025-08-21T00:00:00"/>
    <n v="26"/>
    <n v="238"/>
    <n v="2"/>
    <n v="1"/>
    <n v="5"/>
    <x v="67"/>
    <x v="2"/>
  </r>
  <r>
    <x v="348"/>
    <x v="3"/>
    <x v="0"/>
    <d v="2023-11-08T00:00:00"/>
    <d v="2023-12-08T00:00:00"/>
    <n v="3500"/>
    <n v="3500"/>
    <n v="18"/>
    <s v="Cancelled"/>
    <d v="2026-02-10T00:00:00"/>
    <x v="0"/>
    <s v="Unique"/>
    <x v="21"/>
    <d v="2026-02-10T00:00:00"/>
    <n v="27"/>
    <n v="65"/>
    <n v="4"/>
    <n v="4"/>
    <n v="2"/>
    <x v="49"/>
    <x v="1"/>
  </r>
  <r>
    <x v="349"/>
    <x v="3"/>
    <x v="2"/>
    <d v="2024-02-03T00:00:00"/>
    <d v="2024-05-03T00:00:00"/>
    <n v="2000"/>
    <n v="18000"/>
    <n v="11"/>
    <s v="Active"/>
    <d v="2024-06-30T00:00:00"/>
    <x v="2"/>
    <s v="Unique"/>
    <x v="3"/>
    <d v="2024-06-30T00:00:00"/>
    <n v="4"/>
    <n v="655"/>
    <n v="1"/>
    <n v="3"/>
    <n v="4"/>
    <x v="31"/>
    <x v="2"/>
  </r>
  <r>
    <x v="350"/>
    <x v="2"/>
    <x v="0"/>
    <d v="2023-03-16T00:00:00"/>
    <d v="2023-04-15T00:00:00"/>
    <n v="3500"/>
    <n v="42000"/>
    <n v="11"/>
    <s v="Active"/>
    <d v="2023-05-06T00:00:00"/>
    <x v="2"/>
    <s v="Unique"/>
    <x v="20"/>
    <d v="2023-05-06T00:00:00"/>
    <n v="1"/>
    <n v="1076"/>
    <n v="1"/>
    <n v="3"/>
    <n v="5"/>
    <x v="21"/>
    <x v="2"/>
  </r>
  <r>
    <x v="351"/>
    <x v="5"/>
    <x v="0"/>
    <d v="2025-01-13T00:00:00"/>
    <d v="2025-04-13T00:00:00"/>
    <n v="1000"/>
    <n v="7000"/>
    <n v="6"/>
    <s v="Active"/>
    <d v="2025-09-04T00:00:00"/>
    <x v="2"/>
    <s v="Unique"/>
    <x v="5"/>
    <d v="2025-09-04T00:00:00"/>
    <n v="7"/>
    <n v="224"/>
    <n v="2"/>
    <n v="2"/>
    <n v="3"/>
    <x v="81"/>
    <x v="2"/>
  </r>
  <r>
    <x v="352"/>
    <x v="4"/>
    <x v="0"/>
    <d v="2023-11-22T00:00:00"/>
    <d v="2024-11-21T00:00:00"/>
    <n v="1000"/>
    <n v="10000"/>
    <n v="7"/>
    <s v="Active"/>
    <d v="2025-02-09T00:00:00"/>
    <x v="2"/>
    <s v="Unique"/>
    <x v="21"/>
    <d v="2025-02-09T00:00:00"/>
    <n v="14"/>
    <n v="431"/>
    <n v="1"/>
    <n v="2"/>
    <n v="4"/>
    <x v="47"/>
    <x v="2"/>
  </r>
  <r>
    <x v="353"/>
    <x v="2"/>
    <x v="2"/>
    <d v="2024-07-22T00:00:00"/>
    <d v="2025-07-22T00:00:00"/>
    <n v="3500"/>
    <n v="42000"/>
    <n v="2"/>
    <s v="Cancelled"/>
    <d v="2026-01-27T00:00:00"/>
    <x v="1"/>
    <s v="Unique"/>
    <x v="13"/>
    <d v="2026-01-27T00:00:00"/>
    <n v="18"/>
    <n v="79"/>
    <n v="4"/>
    <n v="1"/>
    <n v="5"/>
    <x v="80"/>
    <x v="1"/>
  </r>
  <r>
    <x v="354"/>
    <x v="1"/>
    <x v="0"/>
    <d v="2023-11-21T00:00:00"/>
    <d v="2023-12-21T00:00:00"/>
    <n v="3500"/>
    <n v="42000"/>
    <n v="19"/>
    <s v="Active"/>
    <d v="2024-07-08T00:00:00"/>
    <x v="0"/>
    <s v="Unique"/>
    <x v="21"/>
    <d v="2024-07-08T00:00:00"/>
    <n v="7"/>
    <n v="647"/>
    <n v="1"/>
    <n v="4"/>
    <n v="5"/>
    <x v="16"/>
    <x v="2"/>
  </r>
  <r>
    <x v="355"/>
    <x v="6"/>
    <x v="0"/>
    <d v="2024-10-10T00:00:00"/>
    <d v="2024-11-09T00:00:00"/>
    <n v="3500"/>
    <n v="21000"/>
    <n v="17"/>
    <s v="Active"/>
    <d v="2025-08-20T00:00:00"/>
    <x v="0"/>
    <s v="Unique"/>
    <x v="19"/>
    <d v="2025-08-20T00:00:00"/>
    <n v="10"/>
    <n v="239"/>
    <n v="2"/>
    <n v="4"/>
    <n v="5"/>
    <x v="48"/>
    <x v="2"/>
  </r>
  <r>
    <x v="356"/>
    <x v="2"/>
    <x v="1"/>
    <d v="2025-11-28T00:00:00"/>
    <d v="2026-11-28T00:00:00"/>
    <n v="3500"/>
    <n v="3500"/>
    <n v="4"/>
    <s v="Cancelled"/>
    <d v="2025-12-23T00:00:00"/>
    <x v="1"/>
    <s v="Unique"/>
    <x v="7"/>
    <d v="2025-12-23T00:00:00"/>
    <n v="0"/>
    <n v="114"/>
    <n v="3"/>
    <n v="1"/>
    <n v="2"/>
    <x v="55"/>
    <x v="1"/>
  </r>
  <r>
    <x v="357"/>
    <x v="4"/>
    <x v="1"/>
    <d v="2024-10-15T00:00:00"/>
    <d v="2025-01-13T00:00:00"/>
    <n v="1000"/>
    <n v="3000"/>
    <n v="4"/>
    <s v="Cancelled"/>
    <d v="2024-11-29T00:00:00"/>
    <x v="1"/>
    <s v="Unique"/>
    <x v="19"/>
    <d v="2024-11-29T00:00:00"/>
    <n v="1"/>
    <n v="503"/>
    <n v="1"/>
    <n v="1"/>
    <n v="2"/>
    <x v="79"/>
    <x v="2"/>
  </r>
  <r>
    <x v="358"/>
    <x v="6"/>
    <x v="2"/>
    <d v="2024-12-19T00:00:00"/>
    <d v="2025-12-19T00:00:00"/>
    <n v="2000"/>
    <n v="10000"/>
    <n v="13"/>
    <s v="Active"/>
    <d v="2025-06-20T00:00:00"/>
    <x v="2"/>
    <s v="Unique"/>
    <x v="0"/>
    <d v="2025-06-20T00:00:00"/>
    <n v="6"/>
    <n v="300"/>
    <n v="2"/>
    <n v="3"/>
    <n v="4"/>
    <x v="8"/>
    <x v="2"/>
  </r>
  <r>
    <x v="359"/>
    <x v="2"/>
    <x v="0"/>
    <d v="2023-03-27T00:00:00"/>
    <d v="2023-06-25T00:00:00"/>
    <n v="1000"/>
    <n v="4000"/>
    <n v="23"/>
    <s v="Active"/>
    <d v="2023-06-13T00:00:00"/>
    <x v="0"/>
    <s v="Unique"/>
    <x v="20"/>
    <d v="2023-06-13T00:00:00"/>
    <n v="2"/>
    <n v="1038"/>
    <n v="1"/>
    <n v="5"/>
    <n v="2"/>
    <x v="66"/>
    <x v="2"/>
  </r>
  <r>
    <x v="360"/>
    <x v="6"/>
    <x v="1"/>
    <d v="2023-06-30T00:00:00"/>
    <d v="2023-07-30T00:00:00"/>
    <n v="1000"/>
    <n v="3000"/>
    <n v="1"/>
    <s v="Cancelled"/>
    <d v="2025-01-06T00:00:00"/>
    <x v="1"/>
    <s v="Unique"/>
    <x v="10"/>
    <d v="2025-01-06T00:00:00"/>
    <n v="18"/>
    <n v="465"/>
    <n v="1"/>
    <n v="1"/>
    <n v="2"/>
    <x v="79"/>
    <x v="2"/>
  </r>
  <r>
    <x v="361"/>
    <x v="5"/>
    <x v="1"/>
    <d v="2024-09-28T00:00:00"/>
    <d v="2025-09-28T00:00:00"/>
    <n v="3500"/>
    <n v="35000"/>
    <n v="23"/>
    <s v="Active"/>
    <d v="2025-12-18T00:00:00"/>
    <x v="0"/>
    <s v="Unique"/>
    <x v="8"/>
    <d v="2025-12-18T00:00:00"/>
    <n v="14"/>
    <n v="119"/>
    <n v="3"/>
    <n v="5"/>
    <n v="5"/>
    <x v="26"/>
    <x v="0"/>
  </r>
  <r>
    <x v="362"/>
    <x v="2"/>
    <x v="0"/>
    <d v="2025-11-10T00:00:00"/>
    <d v="2026-11-10T00:00:00"/>
    <n v="3500"/>
    <n v="38500"/>
    <n v="8"/>
    <s v="Active"/>
    <d v="2025-12-19T00:00:00"/>
    <x v="2"/>
    <s v="Unique"/>
    <x v="7"/>
    <d v="2025-12-19T00:00:00"/>
    <n v="1"/>
    <n v="118"/>
    <n v="3"/>
    <n v="2"/>
    <n v="5"/>
    <x v="29"/>
    <x v="1"/>
  </r>
  <r>
    <x v="363"/>
    <x v="0"/>
    <x v="1"/>
    <d v="2025-06-27T00:00:00"/>
    <d v="2026-06-27T00:00:00"/>
    <n v="2000"/>
    <n v="24000"/>
    <n v="24"/>
    <s v="Active"/>
    <d v="2025-10-02T00:00:00"/>
    <x v="0"/>
    <s v="Unique"/>
    <x v="18"/>
    <d v="2025-10-02T00:00:00"/>
    <n v="3"/>
    <n v="196"/>
    <n v="2"/>
    <n v="5"/>
    <n v="5"/>
    <x v="83"/>
    <x v="2"/>
  </r>
  <r>
    <x v="364"/>
    <x v="3"/>
    <x v="1"/>
    <d v="2025-12-28T00:00:00"/>
    <d v="2026-01-27T00:00:00"/>
    <n v="2000"/>
    <n v="22000"/>
    <n v="24"/>
    <s v="Active"/>
    <d v="2026-01-04T00:00:00"/>
    <x v="0"/>
    <s v="Unique"/>
    <x v="24"/>
    <d v="2026-01-04T00:00:00"/>
    <n v="0"/>
    <n v="102"/>
    <n v="3"/>
    <n v="5"/>
    <n v="5"/>
    <x v="26"/>
    <x v="0"/>
  </r>
  <r>
    <x v="365"/>
    <x v="3"/>
    <x v="0"/>
    <d v="2023-07-14T00:00:00"/>
    <d v="2023-08-13T00:00:00"/>
    <n v="1000"/>
    <n v="11000"/>
    <n v="18"/>
    <s v="Active"/>
    <d v="2026-01-05T00:00:00"/>
    <x v="0"/>
    <s v="Unique"/>
    <x v="6"/>
    <d v="2026-01-05T00:00:00"/>
    <n v="29"/>
    <n v="101"/>
    <n v="3"/>
    <n v="4"/>
    <n v="4"/>
    <x v="0"/>
    <x v="0"/>
  </r>
  <r>
    <x v="366"/>
    <x v="0"/>
    <x v="1"/>
    <d v="2024-10-09T00:00:00"/>
    <d v="2025-10-09T00:00:00"/>
    <n v="1000"/>
    <n v="1000"/>
    <n v="8"/>
    <s v="Active"/>
    <d v="2025-05-04T00:00:00"/>
    <x v="2"/>
    <s v="Unique"/>
    <x v="19"/>
    <d v="2025-05-04T00:00:00"/>
    <n v="6"/>
    <n v="347"/>
    <n v="2"/>
    <n v="2"/>
    <n v="1"/>
    <x v="44"/>
    <x v="2"/>
  </r>
  <r>
    <x v="367"/>
    <x v="1"/>
    <x v="0"/>
    <d v="2025-08-04T00:00:00"/>
    <d v="2025-09-03T00:00:00"/>
    <n v="3500"/>
    <n v="7000"/>
    <n v="14"/>
    <s v="Active"/>
    <d v="2026-02-02T00:00:00"/>
    <x v="2"/>
    <s v="Unique"/>
    <x v="4"/>
    <d v="2026-02-02T00:00:00"/>
    <n v="5"/>
    <n v="73"/>
    <n v="4"/>
    <n v="3"/>
    <n v="3"/>
    <x v="20"/>
    <x v="0"/>
  </r>
  <r>
    <x v="368"/>
    <x v="6"/>
    <x v="1"/>
    <d v="2023-04-04T00:00:00"/>
    <d v="2023-05-04T00:00:00"/>
    <n v="2000"/>
    <n v="16000"/>
    <n v="24"/>
    <s v="Active"/>
    <d v="2025-07-17T00:00:00"/>
    <x v="0"/>
    <s v="Unique"/>
    <x v="28"/>
    <d v="2025-07-17T00:00:00"/>
    <n v="27"/>
    <n v="273"/>
    <n v="2"/>
    <n v="5"/>
    <n v="4"/>
    <x v="56"/>
    <x v="2"/>
  </r>
  <r>
    <x v="369"/>
    <x v="5"/>
    <x v="2"/>
    <d v="2024-07-20T00:00:00"/>
    <d v="2024-10-18T00:00:00"/>
    <n v="2000"/>
    <n v="14000"/>
    <n v="16"/>
    <s v="Active"/>
    <d v="2025-06-28T00:00:00"/>
    <x v="0"/>
    <s v="Unique"/>
    <x v="13"/>
    <d v="2025-06-28T00:00:00"/>
    <n v="11"/>
    <n v="292"/>
    <n v="2"/>
    <n v="4"/>
    <n v="4"/>
    <x v="9"/>
    <x v="2"/>
  </r>
  <r>
    <x v="370"/>
    <x v="4"/>
    <x v="0"/>
    <d v="2025-02-05T00:00:00"/>
    <d v="2025-03-07T00:00:00"/>
    <n v="3500"/>
    <n v="17500"/>
    <n v="16"/>
    <s v="Active"/>
    <d v="2026-01-23T00:00:00"/>
    <x v="0"/>
    <s v="Unique"/>
    <x v="14"/>
    <d v="2026-01-23T00:00:00"/>
    <n v="11"/>
    <n v="83"/>
    <n v="4"/>
    <n v="4"/>
    <n v="4"/>
    <x v="32"/>
    <x v="3"/>
  </r>
  <r>
    <x v="371"/>
    <x v="6"/>
    <x v="0"/>
    <d v="2024-09-03T00:00:00"/>
    <d v="2024-12-02T00:00:00"/>
    <n v="3500"/>
    <n v="21000"/>
    <n v="22"/>
    <s v="Active"/>
    <d v="2024-10-12T00:00:00"/>
    <x v="0"/>
    <s v="Unique"/>
    <x v="8"/>
    <d v="2024-10-12T00:00:00"/>
    <n v="1"/>
    <n v="551"/>
    <n v="1"/>
    <n v="5"/>
    <n v="5"/>
    <x v="10"/>
    <x v="2"/>
  </r>
  <r>
    <x v="372"/>
    <x v="2"/>
    <x v="1"/>
    <d v="2023-10-24T00:00:00"/>
    <d v="2023-11-23T00:00:00"/>
    <n v="1000"/>
    <n v="8000"/>
    <n v="24"/>
    <s v="Active"/>
    <d v="2026-04-02T00:00:00"/>
    <x v="0"/>
    <s v="Unique"/>
    <x v="31"/>
    <d v="2026-04-02T00:00:00"/>
    <n v="29"/>
    <n v="14"/>
    <n v="5"/>
    <n v="5"/>
    <n v="3"/>
    <x v="38"/>
    <x v="0"/>
  </r>
  <r>
    <x v="373"/>
    <x v="2"/>
    <x v="1"/>
    <d v="2023-07-09T00:00:00"/>
    <d v="2023-10-07T00:00:00"/>
    <n v="1000"/>
    <n v="2000"/>
    <n v="2"/>
    <s v="Cancelled"/>
    <d v="2025-07-09T00:00:00"/>
    <x v="1"/>
    <s v="Unique"/>
    <x v="6"/>
    <d v="2025-07-09T00:00:00"/>
    <n v="24"/>
    <n v="281"/>
    <n v="2"/>
    <n v="1"/>
    <n v="2"/>
    <x v="19"/>
    <x v="2"/>
  </r>
  <r>
    <x v="374"/>
    <x v="1"/>
    <x v="0"/>
    <d v="2023-02-04T00:00:00"/>
    <d v="2023-03-06T00:00:00"/>
    <n v="1000"/>
    <n v="3000"/>
    <n v="1"/>
    <s v="Active"/>
    <d v="2025-06-17T00:00:00"/>
    <x v="1"/>
    <s v="Unique"/>
    <x v="16"/>
    <d v="2025-06-17T00:00:00"/>
    <n v="28"/>
    <n v="303"/>
    <n v="2"/>
    <n v="1"/>
    <n v="2"/>
    <x v="19"/>
    <x v="2"/>
  </r>
  <r>
    <x v="375"/>
    <x v="6"/>
    <x v="0"/>
    <d v="2025-07-22T00:00:00"/>
    <d v="2025-10-20T00:00:00"/>
    <n v="3500"/>
    <n v="38500"/>
    <n v="19"/>
    <s v="Active"/>
    <d v="2026-04-11T00:00:00"/>
    <x v="0"/>
    <s v="Unique"/>
    <x v="17"/>
    <d v="2026-04-11T00:00:00"/>
    <n v="8"/>
    <n v="5"/>
    <n v="5"/>
    <n v="4"/>
    <n v="5"/>
    <x v="65"/>
    <x v="3"/>
  </r>
  <r>
    <x v="376"/>
    <x v="3"/>
    <x v="2"/>
    <d v="2024-03-28T00:00:00"/>
    <d v="2024-04-27T00:00:00"/>
    <n v="2000"/>
    <n v="24000"/>
    <n v="1"/>
    <s v="Active"/>
    <d v="2025-06-07T00:00:00"/>
    <x v="1"/>
    <s v="Unique"/>
    <x v="11"/>
    <d v="2025-06-07T00:00:00"/>
    <n v="14"/>
    <n v="313"/>
    <n v="2"/>
    <n v="1"/>
    <n v="5"/>
    <x v="67"/>
    <x v="2"/>
  </r>
  <r>
    <x v="377"/>
    <x v="3"/>
    <x v="1"/>
    <d v="2025-04-03T00:00:00"/>
    <d v="2026-04-03T00:00:00"/>
    <n v="3500"/>
    <n v="24500"/>
    <n v="6"/>
    <s v="Active"/>
    <d v="2025-09-17T00:00:00"/>
    <x v="2"/>
    <s v="Unique"/>
    <x v="26"/>
    <d v="2025-09-17T00:00:00"/>
    <n v="5"/>
    <n v="211"/>
    <n v="2"/>
    <n v="2"/>
    <n v="5"/>
    <x v="85"/>
    <x v="2"/>
  </r>
  <r>
    <x v="378"/>
    <x v="2"/>
    <x v="0"/>
    <d v="2025-07-04T00:00:00"/>
    <d v="2026-07-04T00:00:00"/>
    <n v="2000"/>
    <n v="4000"/>
    <n v="3"/>
    <s v="Active"/>
    <d v="2025-07-13T00:00:00"/>
    <x v="1"/>
    <s v="Unique"/>
    <x v="17"/>
    <d v="2025-07-13T00:00:00"/>
    <n v="0"/>
    <n v="277"/>
    <n v="2"/>
    <n v="1"/>
    <n v="2"/>
    <x v="19"/>
    <x v="2"/>
  </r>
  <r>
    <x v="379"/>
    <x v="3"/>
    <x v="1"/>
    <d v="2023-08-05T00:00:00"/>
    <d v="2023-11-03T00:00:00"/>
    <n v="1000"/>
    <n v="6000"/>
    <n v="11"/>
    <s v="Active"/>
    <d v="2024-03-09T00:00:00"/>
    <x v="2"/>
    <s v="Unique"/>
    <x v="27"/>
    <d v="2024-03-09T00:00:00"/>
    <n v="7"/>
    <n v="768"/>
    <n v="1"/>
    <n v="3"/>
    <n v="3"/>
    <x v="61"/>
    <x v="2"/>
  </r>
  <r>
    <x v="380"/>
    <x v="5"/>
    <x v="1"/>
    <d v="2024-11-11T00:00:00"/>
    <d v="2025-02-09T00:00:00"/>
    <n v="3500"/>
    <n v="3500"/>
    <n v="12"/>
    <s v="Active"/>
    <d v="2025-06-20T00:00:00"/>
    <x v="2"/>
    <s v="Unique"/>
    <x v="23"/>
    <d v="2025-06-20T00:00:00"/>
    <n v="7"/>
    <n v="300"/>
    <n v="2"/>
    <n v="3"/>
    <n v="2"/>
    <x v="62"/>
    <x v="2"/>
  </r>
  <r>
    <x v="381"/>
    <x v="6"/>
    <x v="1"/>
    <d v="2025-02-17T00:00:00"/>
    <d v="2026-02-17T00:00:00"/>
    <n v="1000"/>
    <n v="10000"/>
    <n v="22"/>
    <s v="Active"/>
    <d v="2025-12-18T00:00:00"/>
    <x v="0"/>
    <s v="Unique"/>
    <x v="14"/>
    <d v="2025-12-18T00:00:00"/>
    <n v="10"/>
    <n v="119"/>
    <n v="3"/>
    <n v="5"/>
    <n v="4"/>
    <x v="33"/>
    <x v="0"/>
  </r>
  <r>
    <x v="382"/>
    <x v="3"/>
    <x v="0"/>
    <d v="2024-06-13T00:00:00"/>
    <d v="2024-07-13T00:00:00"/>
    <n v="1000"/>
    <n v="11000"/>
    <n v="4"/>
    <s v="Active"/>
    <d v="2024-06-25T00:00:00"/>
    <x v="1"/>
    <s v="Unique"/>
    <x v="1"/>
    <d v="2024-06-25T00:00:00"/>
    <n v="0"/>
    <n v="660"/>
    <n v="1"/>
    <n v="1"/>
    <n v="4"/>
    <x v="39"/>
    <x v="2"/>
  </r>
  <r>
    <x v="383"/>
    <x v="6"/>
    <x v="1"/>
    <d v="2025-01-19T00:00:00"/>
    <d v="2026-01-19T00:00:00"/>
    <n v="1000"/>
    <n v="4000"/>
    <n v="12"/>
    <s v="Active"/>
    <d v="2026-02-26T00:00:00"/>
    <x v="2"/>
    <s v="Unique"/>
    <x v="5"/>
    <d v="2026-02-26T00:00:00"/>
    <n v="13"/>
    <n v="49"/>
    <n v="4"/>
    <n v="3"/>
    <n v="2"/>
    <x v="57"/>
    <x v="1"/>
  </r>
  <r>
    <x v="384"/>
    <x v="1"/>
    <x v="0"/>
    <d v="2025-04-24T00:00:00"/>
    <d v="2025-05-24T00:00:00"/>
    <n v="1000"/>
    <n v="5000"/>
    <n v="25"/>
    <s v="Active"/>
    <d v="2025-10-03T00:00:00"/>
    <x v="0"/>
    <s v="Unique"/>
    <x v="26"/>
    <d v="2025-10-03T00:00:00"/>
    <n v="5"/>
    <n v="195"/>
    <n v="2"/>
    <n v="5"/>
    <n v="3"/>
    <x v="41"/>
    <x v="2"/>
  </r>
  <r>
    <x v="385"/>
    <x v="3"/>
    <x v="1"/>
    <d v="2025-10-11T00:00:00"/>
    <d v="2026-01-09T00:00:00"/>
    <n v="2000"/>
    <n v="8000"/>
    <n v="5"/>
    <s v="Active"/>
    <d v="2026-02-10T00:00:00"/>
    <x v="2"/>
    <s v="Unique"/>
    <x v="32"/>
    <d v="2026-02-10T00:00:00"/>
    <n v="3"/>
    <n v="65"/>
    <n v="4"/>
    <n v="2"/>
    <n v="3"/>
    <x v="93"/>
    <x v="1"/>
  </r>
  <r>
    <x v="386"/>
    <x v="0"/>
    <x v="1"/>
    <d v="2023-06-13T00:00:00"/>
    <d v="2023-09-11T00:00:00"/>
    <n v="1000"/>
    <n v="9000"/>
    <n v="22"/>
    <s v="Active"/>
    <d v="2023-08-29T00:00:00"/>
    <x v="0"/>
    <s v="Unique"/>
    <x v="10"/>
    <d v="2023-08-29T00:00:00"/>
    <n v="2"/>
    <n v="961"/>
    <n v="1"/>
    <n v="5"/>
    <n v="3"/>
    <x v="73"/>
    <x v="2"/>
  </r>
  <r>
    <x v="387"/>
    <x v="3"/>
    <x v="2"/>
    <d v="2025-07-09T00:00:00"/>
    <d v="2025-10-07T00:00:00"/>
    <n v="2000"/>
    <n v="8000"/>
    <n v="6"/>
    <s v="Active"/>
    <d v="2025-08-28T00:00:00"/>
    <x v="2"/>
    <s v="Unique"/>
    <x v="17"/>
    <d v="2025-08-28T00:00:00"/>
    <n v="1"/>
    <n v="231"/>
    <n v="2"/>
    <n v="2"/>
    <n v="3"/>
    <x v="81"/>
    <x v="2"/>
  </r>
  <r>
    <x v="388"/>
    <x v="0"/>
    <x v="0"/>
    <d v="2024-04-02T00:00:00"/>
    <d v="2024-07-01T00:00:00"/>
    <n v="1000"/>
    <n v="8000"/>
    <n v="13"/>
    <s v="Active"/>
    <d v="2025-09-18T00:00:00"/>
    <x v="2"/>
    <s v="Unique"/>
    <x v="9"/>
    <d v="2025-09-18T00:00:00"/>
    <n v="17"/>
    <n v="210"/>
    <n v="2"/>
    <n v="3"/>
    <n v="3"/>
    <x v="3"/>
    <x v="2"/>
  </r>
  <r>
    <x v="389"/>
    <x v="3"/>
    <x v="2"/>
    <d v="2025-04-15T00:00:00"/>
    <d v="2025-05-15T00:00:00"/>
    <n v="3500"/>
    <n v="28000"/>
    <n v="24"/>
    <s v="Active"/>
    <d v="2025-10-14T00:00:00"/>
    <x v="0"/>
    <s v="Unique"/>
    <x v="26"/>
    <d v="2025-10-14T00:00:00"/>
    <n v="5"/>
    <n v="184"/>
    <n v="2"/>
    <n v="5"/>
    <n v="5"/>
    <x v="83"/>
    <x v="2"/>
  </r>
  <r>
    <x v="390"/>
    <x v="6"/>
    <x v="1"/>
    <d v="2023-11-10T00:00:00"/>
    <d v="2024-11-09T00:00:00"/>
    <n v="1000"/>
    <n v="10000"/>
    <n v="21"/>
    <s v="Active"/>
    <d v="2024-09-19T00:00:00"/>
    <x v="0"/>
    <s v="Unique"/>
    <x v="21"/>
    <d v="2024-09-19T00:00:00"/>
    <n v="10"/>
    <n v="574"/>
    <n v="1"/>
    <n v="5"/>
    <n v="4"/>
    <x v="27"/>
    <x v="2"/>
  </r>
  <r>
    <x v="391"/>
    <x v="2"/>
    <x v="0"/>
    <d v="2023-01-20T00:00:00"/>
    <d v="2023-02-19T00:00:00"/>
    <n v="1000"/>
    <n v="8000"/>
    <n v="25"/>
    <s v="Active"/>
    <d v="2024-04-13T00:00:00"/>
    <x v="0"/>
    <s v="Unique"/>
    <x v="2"/>
    <d v="2024-04-13T00:00:00"/>
    <n v="14"/>
    <n v="733"/>
    <n v="1"/>
    <n v="5"/>
    <n v="3"/>
    <x v="73"/>
    <x v="2"/>
  </r>
  <r>
    <x v="392"/>
    <x v="4"/>
    <x v="2"/>
    <d v="2025-05-27T00:00:00"/>
    <d v="2026-05-27T00:00:00"/>
    <n v="2000"/>
    <n v="10000"/>
    <n v="12"/>
    <s v="Active"/>
    <d v="2025-06-27T00:00:00"/>
    <x v="2"/>
    <s v="Unique"/>
    <x v="30"/>
    <d v="2025-06-27T00:00:00"/>
    <n v="1"/>
    <n v="293"/>
    <n v="2"/>
    <n v="3"/>
    <n v="4"/>
    <x v="8"/>
    <x v="2"/>
  </r>
  <r>
    <x v="393"/>
    <x v="5"/>
    <x v="1"/>
    <d v="2023-07-13T00:00:00"/>
    <d v="2024-07-12T00:00:00"/>
    <n v="2000"/>
    <n v="24000"/>
    <n v="3"/>
    <s v="Cancelled"/>
    <d v="2023-08-02T00:00:00"/>
    <x v="1"/>
    <s v="Unique"/>
    <x v="6"/>
    <d v="2023-08-02T00:00:00"/>
    <n v="0"/>
    <n v="988"/>
    <n v="1"/>
    <n v="1"/>
    <n v="5"/>
    <x v="23"/>
    <x v="2"/>
  </r>
  <r>
    <x v="394"/>
    <x v="6"/>
    <x v="1"/>
    <d v="2024-12-04T00:00:00"/>
    <d v="2025-12-04T00:00:00"/>
    <n v="3500"/>
    <n v="10500"/>
    <n v="3"/>
    <s v="Active"/>
    <d v="2025-02-09T00:00:00"/>
    <x v="1"/>
    <s v="Unique"/>
    <x v="0"/>
    <d v="2025-02-09T00:00:00"/>
    <n v="2"/>
    <n v="431"/>
    <n v="1"/>
    <n v="1"/>
    <n v="4"/>
    <x v="39"/>
    <x v="2"/>
  </r>
  <r>
    <x v="395"/>
    <x v="1"/>
    <x v="1"/>
    <d v="2024-07-10T00:00:00"/>
    <d v="2024-08-09T00:00:00"/>
    <n v="2000"/>
    <n v="4000"/>
    <n v="22"/>
    <s v="Active"/>
    <d v="2025-02-15T00:00:00"/>
    <x v="0"/>
    <s v="Unique"/>
    <x v="13"/>
    <d v="2025-02-15T00:00:00"/>
    <n v="7"/>
    <n v="425"/>
    <n v="1"/>
    <n v="5"/>
    <n v="2"/>
    <x v="66"/>
    <x v="2"/>
  </r>
  <r>
    <x v="396"/>
    <x v="3"/>
    <x v="1"/>
    <d v="2026-01-17T00:00:00"/>
    <d v="2026-02-16T00:00:00"/>
    <n v="2000"/>
    <n v="16000"/>
    <n v="8"/>
    <s v="Active"/>
    <d v="2026-02-08T00:00:00"/>
    <x v="2"/>
    <s v="Unique"/>
    <x v="35"/>
    <d v="2026-02-08T00:00:00"/>
    <n v="0"/>
    <n v="67"/>
    <n v="4"/>
    <n v="2"/>
    <n v="4"/>
    <x v="53"/>
    <x v="1"/>
  </r>
  <r>
    <x v="397"/>
    <x v="0"/>
    <x v="0"/>
    <d v="2024-07-28T00:00:00"/>
    <d v="2024-10-26T00:00:00"/>
    <n v="2000"/>
    <n v="18000"/>
    <n v="7"/>
    <s v="Active"/>
    <d v="2025-09-04T00:00:00"/>
    <x v="2"/>
    <s v="Unique"/>
    <x v="13"/>
    <d v="2025-09-04T00:00:00"/>
    <n v="13"/>
    <n v="224"/>
    <n v="2"/>
    <n v="2"/>
    <n v="4"/>
    <x v="37"/>
    <x v="2"/>
  </r>
  <r>
    <x v="398"/>
    <x v="5"/>
    <x v="1"/>
    <d v="2024-07-27T00:00:00"/>
    <d v="2024-08-26T00:00:00"/>
    <n v="2000"/>
    <n v="8000"/>
    <n v="20"/>
    <s v="Active"/>
    <d v="2024-12-17T00:00:00"/>
    <x v="0"/>
    <s v="Unique"/>
    <x v="13"/>
    <d v="2024-12-17T00:00:00"/>
    <n v="4"/>
    <n v="485"/>
    <n v="1"/>
    <n v="5"/>
    <n v="3"/>
    <x v="73"/>
    <x v="2"/>
  </r>
  <r>
    <x v="399"/>
    <x v="3"/>
    <x v="1"/>
    <d v="2025-03-12T00:00:00"/>
    <d v="2025-04-11T00:00:00"/>
    <n v="2000"/>
    <n v="22000"/>
    <n v="7"/>
    <s v="Active"/>
    <d v="2025-08-04T00:00:00"/>
    <x v="2"/>
    <s v="Unique"/>
    <x v="33"/>
    <d v="2025-08-04T00:00:00"/>
    <n v="4"/>
    <n v="255"/>
    <n v="2"/>
    <n v="2"/>
    <n v="5"/>
    <x v="85"/>
    <x v="2"/>
  </r>
  <r>
    <x v="400"/>
    <x v="5"/>
    <x v="0"/>
    <d v="2023-08-24T00:00:00"/>
    <d v="2023-09-23T00:00:00"/>
    <n v="3500"/>
    <n v="38500"/>
    <n v="0"/>
    <s v="Active"/>
    <d v="2024-04-11T00:00:00"/>
    <x v="1"/>
    <s v="Unique"/>
    <x v="27"/>
    <d v="2024-04-11T00:00:00"/>
    <n v="7"/>
    <n v="735"/>
    <n v="1"/>
    <n v="1"/>
    <n v="5"/>
    <x v="23"/>
    <x v="2"/>
  </r>
  <r>
    <x v="401"/>
    <x v="1"/>
    <x v="1"/>
    <d v="2025-07-27T00:00:00"/>
    <d v="2026-07-27T00:00:00"/>
    <n v="3500"/>
    <n v="10500"/>
    <n v="21"/>
    <s v="Active"/>
    <d v="2026-03-01T00:00:00"/>
    <x v="0"/>
    <s v="Unique"/>
    <x v="17"/>
    <d v="2026-03-01T00:00:00"/>
    <n v="7"/>
    <n v="46"/>
    <n v="4"/>
    <n v="5"/>
    <n v="4"/>
    <x v="94"/>
    <x v="3"/>
  </r>
  <r>
    <x v="402"/>
    <x v="5"/>
    <x v="1"/>
    <d v="2025-11-10T00:00:00"/>
    <d v="2026-11-10T00:00:00"/>
    <n v="1000"/>
    <n v="10000"/>
    <n v="9"/>
    <s v="Active"/>
    <d v="2026-01-08T00:00:00"/>
    <x v="2"/>
    <s v="Unique"/>
    <x v="7"/>
    <d v="2026-01-08T00:00:00"/>
    <n v="1"/>
    <n v="98"/>
    <n v="3"/>
    <n v="2"/>
    <n v="4"/>
    <x v="58"/>
    <x v="1"/>
  </r>
  <r>
    <x v="403"/>
    <x v="0"/>
    <x v="2"/>
    <d v="2024-07-21T00:00:00"/>
    <d v="2024-08-20T00:00:00"/>
    <n v="3500"/>
    <n v="21000"/>
    <n v="17"/>
    <s v="Active"/>
    <d v="2025-06-24T00:00:00"/>
    <x v="0"/>
    <s v="Unique"/>
    <x v="13"/>
    <d v="2025-06-24T00:00:00"/>
    <n v="11"/>
    <n v="296"/>
    <n v="2"/>
    <n v="4"/>
    <n v="5"/>
    <x v="48"/>
    <x v="2"/>
  </r>
  <r>
    <x v="404"/>
    <x v="3"/>
    <x v="2"/>
    <d v="2024-06-14T00:00:00"/>
    <d v="2024-07-14T00:00:00"/>
    <n v="3500"/>
    <n v="38500"/>
    <n v="7"/>
    <s v="Active"/>
    <d v="2025-03-09T00:00:00"/>
    <x v="2"/>
    <s v="Unique"/>
    <x v="1"/>
    <d v="2025-03-09T00:00:00"/>
    <n v="8"/>
    <n v="403"/>
    <n v="1"/>
    <n v="2"/>
    <n v="5"/>
    <x v="69"/>
    <x v="2"/>
  </r>
  <r>
    <x v="405"/>
    <x v="6"/>
    <x v="2"/>
    <d v="2025-04-11T00:00:00"/>
    <d v="2025-05-11T00:00:00"/>
    <n v="3500"/>
    <n v="21000"/>
    <n v="25"/>
    <s v="Active"/>
    <d v="2025-09-30T00:00:00"/>
    <x v="0"/>
    <s v="Unique"/>
    <x v="26"/>
    <d v="2025-09-30T00:00:00"/>
    <n v="5"/>
    <n v="198"/>
    <n v="2"/>
    <n v="5"/>
    <n v="5"/>
    <x v="83"/>
    <x v="2"/>
  </r>
  <r>
    <x v="406"/>
    <x v="5"/>
    <x v="1"/>
    <d v="2025-04-27T00:00:00"/>
    <d v="2025-05-27T00:00:00"/>
    <n v="2000"/>
    <n v="8000"/>
    <n v="3"/>
    <s v="Active"/>
    <d v="2025-05-16T00:00:00"/>
    <x v="1"/>
    <s v="Unique"/>
    <x v="26"/>
    <d v="2025-05-16T00:00:00"/>
    <n v="0"/>
    <n v="335"/>
    <n v="2"/>
    <n v="1"/>
    <n v="3"/>
    <x v="28"/>
    <x v="2"/>
  </r>
  <r>
    <x v="407"/>
    <x v="6"/>
    <x v="0"/>
    <d v="2025-01-12T00:00:00"/>
    <d v="2026-01-12T00:00:00"/>
    <n v="2000"/>
    <n v="14000"/>
    <n v="16"/>
    <s v="Cancelled"/>
    <d v="2025-05-14T00:00:00"/>
    <x v="0"/>
    <s v="Unique"/>
    <x v="5"/>
    <d v="2025-05-14T00:00:00"/>
    <n v="4"/>
    <n v="337"/>
    <n v="2"/>
    <n v="4"/>
    <n v="4"/>
    <x v="9"/>
    <x v="2"/>
  </r>
  <r>
    <x v="408"/>
    <x v="6"/>
    <x v="0"/>
    <d v="2023-09-25T00:00:00"/>
    <d v="2024-09-24T00:00:00"/>
    <n v="2000"/>
    <n v="4000"/>
    <n v="9"/>
    <s v="Active"/>
    <d v="2024-01-25T00:00:00"/>
    <x v="2"/>
    <s v="Unique"/>
    <x v="25"/>
    <d v="2024-01-25T00:00:00"/>
    <n v="4"/>
    <n v="812"/>
    <n v="1"/>
    <n v="2"/>
    <n v="2"/>
    <x v="6"/>
    <x v="2"/>
  </r>
  <r>
    <x v="409"/>
    <x v="3"/>
    <x v="2"/>
    <d v="2023-07-20T00:00:00"/>
    <d v="2024-07-19T00:00:00"/>
    <n v="2000"/>
    <n v="2000"/>
    <n v="12"/>
    <s v="Active"/>
    <d v="2025-03-30T00:00:00"/>
    <x v="2"/>
    <s v="Unique"/>
    <x v="6"/>
    <d v="2025-03-30T00:00:00"/>
    <n v="20"/>
    <n v="382"/>
    <n v="1"/>
    <n v="3"/>
    <n v="2"/>
    <x v="46"/>
    <x v="2"/>
  </r>
  <r>
    <x v="410"/>
    <x v="4"/>
    <x v="0"/>
    <d v="2024-05-04T00:00:00"/>
    <d v="2024-06-03T00:00:00"/>
    <n v="2000"/>
    <n v="18000"/>
    <n v="21"/>
    <s v="Active"/>
    <d v="2025-11-07T00:00:00"/>
    <x v="0"/>
    <s v="Unique"/>
    <x v="15"/>
    <d v="2025-11-07T00:00:00"/>
    <n v="18"/>
    <n v="160"/>
    <n v="3"/>
    <n v="5"/>
    <n v="4"/>
    <x v="33"/>
    <x v="0"/>
  </r>
  <r>
    <x v="411"/>
    <x v="4"/>
    <x v="1"/>
    <d v="2024-04-21T00:00:00"/>
    <d v="2024-05-21T00:00:00"/>
    <n v="3500"/>
    <n v="17500"/>
    <n v="0"/>
    <s v="Active"/>
    <d v="2024-08-15T00:00:00"/>
    <x v="1"/>
    <s v="Unique"/>
    <x v="9"/>
    <d v="2024-08-15T00:00:00"/>
    <n v="3"/>
    <n v="609"/>
    <n v="1"/>
    <n v="1"/>
    <n v="4"/>
    <x v="39"/>
    <x v="2"/>
  </r>
  <r>
    <x v="412"/>
    <x v="1"/>
    <x v="2"/>
    <d v="2025-02-16T00:00:00"/>
    <d v="2026-02-16T00:00:00"/>
    <n v="1000"/>
    <n v="1000"/>
    <n v="10"/>
    <s v="Active"/>
    <d v="2025-09-09T00:00:00"/>
    <x v="2"/>
    <s v="Unique"/>
    <x v="14"/>
    <d v="2025-09-09T00:00:00"/>
    <n v="6"/>
    <n v="219"/>
    <n v="2"/>
    <n v="3"/>
    <n v="1"/>
    <x v="95"/>
    <x v="2"/>
  </r>
  <r>
    <x v="413"/>
    <x v="4"/>
    <x v="2"/>
    <d v="2025-07-29T00:00:00"/>
    <d v="2025-08-28T00:00:00"/>
    <n v="2000"/>
    <n v="8000"/>
    <n v="11"/>
    <s v="Active"/>
    <d v="2025-08-18T00:00:00"/>
    <x v="2"/>
    <s v="Unique"/>
    <x v="17"/>
    <d v="2025-08-18T00:00:00"/>
    <n v="0"/>
    <n v="241"/>
    <n v="2"/>
    <n v="3"/>
    <n v="3"/>
    <x v="3"/>
    <x v="2"/>
  </r>
  <r>
    <x v="414"/>
    <x v="5"/>
    <x v="0"/>
    <d v="2024-11-30T00:00:00"/>
    <d v="2025-02-28T00:00:00"/>
    <n v="2000"/>
    <n v="22000"/>
    <n v="20"/>
    <s v="Active"/>
    <d v="2025-11-14T00:00:00"/>
    <x v="0"/>
    <s v="Unique"/>
    <x v="23"/>
    <d v="2025-11-14T00:00:00"/>
    <n v="11"/>
    <n v="153"/>
    <n v="3"/>
    <n v="5"/>
    <n v="5"/>
    <x v="26"/>
    <x v="0"/>
  </r>
  <r>
    <x v="415"/>
    <x v="1"/>
    <x v="0"/>
    <d v="2026-01-30T00:00:00"/>
    <d v="2026-03-01T00:00:00"/>
    <n v="3500"/>
    <n v="10500"/>
    <n v="12"/>
    <s v="Active"/>
    <d v="2026-02-20T00:00:00"/>
    <x v="2"/>
    <s v="Unique"/>
    <x v="35"/>
    <d v="2026-02-20T00:00:00"/>
    <n v="0"/>
    <n v="55"/>
    <n v="4"/>
    <n v="3"/>
    <n v="4"/>
    <x v="14"/>
    <x v="0"/>
  </r>
  <r>
    <x v="416"/>
    <x v="0"/>
    <x v="1"/>
    <d v="2025-12-30T00:00:00"/>
    <d v="2026-03-30T00:00:00"/>
    <n v="3500"/>
    <n v="38500"/>
    <n v="16"/>
    <s v="Cancelled"/>
    <d v="2026-01-14T00:00:00"/>
    <x v="0"/>
    <s v="Unique"/>
    <x v="24"/>
    <d v="2026-01-14T00:00:00"/>
    <n v="0"/>
    <n v="92"/>
    <n v="3"/>
    <n v="4"/>
    <n v="5"/>
    <x v="17"/>
    <x v="0"/>
  </r>
  <r>
    <x v="417"/>
    <x v="4"/>
    <x v="2"/>
    <d v="2024-07-22T00:00:00"/>
    <d v="2024-10-20T00:00:00"/>
    <n v="2000"/>
    <n v="10000"/>
    <n v="18"/>
    <s v="Active"/>
    <d v="2024-10-01T00:00:00"/>
    <x v="0"/>
    <s v="Unique"/>
    <x v="13"/>
    <d v="2024-10-01T00:00:00"/>
    <n v="2"/>
    <n v="562"/>
    <n v="1"/>
    <n v="4"/>
    <n v="4"/>
    <x v="13"/>
    <x v="2"/>
  </r>
  <r>
    <x v="418"/>
    <x v="3"/>
    <x v="1"/>
    <d v="2024-07-30T00:00:00"/>
    <d v="2025-07-30T00:00:00"/>
    <n v="2000"/>
    <n v="20000"/>
    <n v="17"/>
    <s v="Active"/>
    <d v="2025-08-01T00:00:00"/>
    <x v="0"/>
    <s v="Unique"/>
    <x v="13"/>
    <d v="2025-08-01T00:00:00"/>
    <n v="12"/>
    <n v="258"/>
    <n v="2"/>
    <n v="4"/>
    <n v="5"/>
    <x v="48"/>
    <x v="2"/>
  </r>
  <r>
    <x v="419"/>
    <x v="3"/>
    <x v="0"/>
    <d v="2024-11-26T00:00:00"/>
    <d v="2024-12-26T00:00:00"/>
    <n v="3500"/>
    <n v="28000"/>
    <n v="25"/>
    <s v="Cancelled"/>
    <d v="2026-03-30T00:00:00"/>
    <x v="0"/>
    <s v="Unique"/>
    <x v="23"/>
    <d v="2026-03-30T00:00:00"/>
    <n v="16"/>
    <n v="17"/>
    <n v="5"/>
    <n v="5"/>
    <n v="5"/>
    <x v="96"/>
    <x v="3"/>
  </r>
  <r>
    <x v="420"/>
    <x v="6"/>
    <x v="0"/>
    <d v="2024-05-27T00:00:00"/>
    <d v="2025-05-27T00:00:00"/>
    <n v="1000"/>
    <n v="3000"/>
    <n v="10"/>
    <s v="Active"/>
    <d v="2026-01-10T00:00:00"/>
    <x v="2"/>
    <s v="Unique"/>
    <x v="15"/>
    <d v="2026-01-10T00:00:00"/>
    <n v="19"/>
    <n v="96"/>
    <n v="3"/>
    <n v="3"/>
    <n v="2"/>
    <x v="34"/>
    <x v="1"/>
  </r>
  <r>
    <x v="421"/>
    <x v="0"/>
    <x v="0"/>
    <d v="2024-07-05T00:00:00"/>
    <d v="2024-10-03T00:00:00"/>
    <n v="2000"/>
    <n v="14000"/>
    <n v="12"/>
    <s v="Active"/>
    <d v="2025-09-09T00:00:00"/>
    <x v="2"/>
    <s v="Unique"/>
    <x v="13"/>
    <d v="2025-09-09T00:00:00"/>
    <n v="14"/>
    <n v="219"/>
    <n v="2"/>
    <n v="3"/>
    <n v="4"/>
    <x v="8"/>
    <x v="2"/>
  </r>
  <r>
    <x v="422"/>
    <x v="3"/>
    <x v="1"/>
    <d v="2023-09-07T00:00:00"/>
    <d v="2024-09-06T00:00:00"/>
    <n v="2000"/>
    <n v="16000"/>
    <n v="23"/>
    <s v="Active"/>
    <d v="2024-06-30T00:00:00"/>
    <x v="0"/>
    <s v="Unique"/>
    <x v="25"/>
    <d v="2024-06-30T00:00:00"/>
    <n v="9"/>
    <n v="655"/>
    <n v="1"/>
    <n v="5"/>
    <n v="4"/>
    <x v="27"/>
    <x v="2"/>
  </r>
  <r>
    <x v="423"/>
    <x v="1"/>
    <x v="2"/>
    <d v="2023-09-14T00:00:00"/>
    <d v="2023-10-14T00:00:00"/>
    <n v="1000"/>
    <n v="7000"/>
    <n v="1"/>
    <s v="Cancelled"/>
    <d v="2023-10-17T00:00:00"/>
    <x v="1"/>
    <s v="Unique"/>
    <x v="25"/>
    <d v="2023-10-17T00:00:00"/>
    <n v="1"/>
    <n v="912"/>
    <n v="1"/>
    <n v="1"/>
    <n v="3"/>
    <x v="2"/>
    <x v="2"/>
  </r>
  <r>
    <x v="424"/>
    <x v="4"/>
    <x v="1"/>
    <d v="2024-07-27T00:00:00"/>
    <d v="2024-08-26T00:00:00"/>
    <n v="3500"/>
    <n v="7000"/>
    <n v="5"/>
    <s v="Active"/>
    <d v="2025-04-03T00:00:00"/>
    <x v="2"/>
    <s v="Unique"/>
    <x v="13"/>
    <d v="2025-04-03T00:00:00"/>
    <n v="8"/>
    <n v="378"/>
    <n v="1"/>
    <n v="2"/>
    <n v="3"/>
    <x v="52"/>
    <x v="2"/>
  </r>
  <r>
    <x v="425"/>
    <x v="4"/>
    <x v="2"/>
    <d v="2025-04-11T00:00:00"/>
    <d v="2026-04-11T00:00:00"/>
    <n v="3500"/>
    <n v="10500"/>
    <n v="13"/>
    <s v="Active"/>
    <d v="2026-01-20T00:00:00"/>
    <x v="2"/>
    <s v="Unique"/>
    <x v="26"/>
    <d v="2026-01-20T00:00:00"/>
    <n v="9"/>
    <n v="86"/>
    <n v="4"/>
    <n v="3"/>
    <n v="4"/>
    <x v="14"/>
    <x v="0"/>
  </r>
  <r>
    <x v="426"/>
    <x v="6"/>
    <x v="2"/>
    <d v="2023-01-22T00:00:00"/>
    <d v="2023-02-21T00:00:00"/>
    <n v="2000"/>
    <n v="2000"/>
    <n v="17"/>
    <s v="Active"/>
    <d v="2025-06-02T00:00:00"/>
    <x v="0"/>
    <s v="Unique"/>
    <x v="2"/>
    <d v="2025-06-02T00:00:00"/>
    <n v="28"/>
    <n v="318"/>
    <n v="2"/>
    <n v="4"/>
    <n v="2"/>
    <x v="12"/>
    <x v="2"/>
  </r>
  <r>
    <x v="427"/>
    <x v="5"/>
    <x v="0"/>
    <d v="2025-09-23T00:00:00"/>
    <d v="2025-10-23T00:00:00"/>
    <n v="2000"/>
    <n v="6000"/>
    <n v="9"/>
    <s v="Active"/>
    <d v="2025-10-31T00:00:00"/>
    <x v="2"/>
    <s v="Unique"/>
    <x v="36"/>
    <d v="2025-10-31T00:00:00"/>
    <n v="1"/>
    <n v="167"/>
    <n v="3"/>
    <n v="2"/>
    <n v="3"/>
    <x v="97"/>
    <x v="1"/>
  </r>
  <r>
    <x v="428"/>
    <x v="1"/>
    <x v="0"/>
    <d v="2024-05-26T00:00:00"/>
    <d v="2024-06-25T00:00:00"/>
    <n v="2000"/>
    <n v="18000"/>
    <n v="12"/>
    <s v="Active"/>
    <d v="2025-07-27T00:00:00"/>
    <x v="2"/>
    <s v="Unique"/>
    <x v="15"/>
    <d v="2025-07-27T00:00:00"/>
    <n v="14"/>
    <n v="263"/>
    <n v="2"/>
    <n v="3"/>
    <n v="4"/>
    <x v="8"/>
    <x v="2"/>
  </r>
  <r>
    <x v="429"/>
    <x v="5"/>
    <x v="0"/>
    <d v="2023-11-01T00:00:00"/>
    <d v="2023-12-01T00:00:00"/>
    <n v="2000"/>
    <n v="2000"/>
    <n v="16"/>
    <s v="Active"/>
    <d v="2026-04-03T00:00:00"/>
    <x v="0"/>
    <s v="Unique"/>
    <x v="21"/>
    <d v="2026-04-03T00:00:00"/>
    <n v="29"/>
    <n v="13"/>
    <n v="5"/>
    <n v="4"/>
    <n v="2"/>
    <x v="59"/>
    <x v="1"/>
  </r>
  <r>
    <x v="430"/>
    <x v="2"/>
    <x v="0"/>
    <d v="2024-08-02T00:00:00"/>
    <d v="2025-08-02T00:00:00"/>
    <n v="3500"/>
    <n v="21000"/>
    <n v="24"/>
    <s v="Active"/>
    <d v="2024-08-26T00:00:00"/>
    <x v="0"/>
    <s v="Unique"/>
    <x v="12"/>
    <d v="2024-08-26T00:00:00"/>
    <n v="0"/>
    <n v="598"/>
    <n v="1"/>
    <n v="5"/>
    <n v="5"/>
    <x v="10"/>
    <x v="2"/>
  </r>
  <r>
    <x v="431"/>
    <x v="4"/>
    <x v="2"/>
    <d v="2024-02-24T00:00:00"/>
    <d v="2024-03-25T00:00:00"/>
    <n v="3500"/>
    <n v="42000"/>
    <n v="13"/>
    <s v="Active"/>
    <d v="2024-08-16T00:00:00"/>
    <x v="2"/>
    <s v="Unique"/>
    <x v="3"/>
    <d v="2024-08-16T00:00:00"/>
    <n v="5"/>
    <n v="608"/>
    <n v="1"/>
    <n v="3"/>
    <n v="5"/>
    <x v="21"/>
    <x v="2"/>
  </r>
  <r>
    <x v="432"/>
    <x v="0"/>
    <x v="2"/>
    <d v="2025-08-04T00:00:00"/>
    <d v="2025-11-02T00:00:00"/>
    <n v="2000"/>
    <n v="4000"/>
    <n v="17"/>
    <s v="Cancelled"/>
    <d v="2025-10-19T00:00:00"/>
    <x v="0"/>
    <s v="Unique"/>
    <x v="4"/>
    <d v="2025-10-19T00:00:00"/>
    <n v="2"/>
    <n v="179"/>
    <n v="3"/>
    <n v="4"/>
    <n v="2"/>
    <x v="86"/>
    <x v="1"/>
  </r>
  <r>
    <x v="433"/>
    <x v="1"/>
    <x v="1"/>
    <d v="2023-04-27T00:00:00"/>
    <d v="2023-05-27T00:00:00"/>
    <n v="1000"/>
    <n v="5000"/>
    <n v="15"/>
    <s v="Active"/>
    <d v="2024-11-22T00:00:00"/>
    <x v="0"/>
    <s v="Unique"/>
    <x v="28"/>
    <d v="2024-11-22T00:00:00"/>
    <n v="18"/>
    <n v="510"/>
    <n v="1"/>
    <n v="4"/>
    <n v="3"/>
    <x v="42"/>
    <x v="2"/>
  </r>
  <r>
    <x v="434"/>
    <x v="0"/>
    <x v="2"/>
    <d v="2025-11-20T00:00:00"/>
    <d v="2025-12-20T00:00:00"/>
    <n v="3500"/>
    <n v="7000"/>
    <n v="17"/>
    <s v="Cancelled"/>
    <d v="2026-04-05T00:00:00"/>
    <x v="0"/>
    <s v="Unique"/>
    <x v="7"/>
    <d v="2026-04-05T00:00:00"/>
    <n v="4"/>
    <n v="11"/>
    <n v="5"/>
    <n v="4"/>
    <n v="3"/>
    <x v="76"/>
    <x v="0"/>
  </r>
  <r>
    <x v="435"/>
    <x v="5"/>
    <x v="1"/>
    <d v="2023-12-22T00:00:00"/>
    <d v="2024-01-21T00:00:00"/>
    <n v="2000"/>
    <n v="20000"/>
    <n v="15"/>
    <s v="Active"/>
    <d v="2024-05-30T00:00:00"/>
    <x v="0"/>
    <s v="Unique"/>
    <x v="22"/>
    <d v="2024-05-30T00:00:00"/>
    <n v="5"/>
    <n v="686"/>
    <n v="1"/>
    <n v="4"/>
    <n v="5"/>
    <x v="16"/>
    <x v="2"/>
  </r>
  <r>
    <x v="436"/>
    <x v="3"/>
    <x v="1"/>
    <d v="2024-02-25T00:00:00"/>
    <d v="2024-05-25T00:00:00"/>
    <n v="1000"/>
    <n v="4000"/>
    <n v="24"/>
    <s v="Active"/>
    <d v="2025-10-26T00:00:00"/>
    <x v="0"/>
    <s v="Unique"/>
    <x v="3"/>
    <d v="2025-10-26T00:00:00"/>
    <n v="20"/>
    <n v="172"/>
    <n v="3"/>
    <n v="5"/>
    <n v="2"/>
    <x v="4"/>
    <x v="1"/>
  </r>
  <r>
    <x v="437"/>
    <x v="1"/>
    <x v="0"/>
    <d v="2024-06-14T00:00:00"/>
    <d v="2025-06-14T00:00:00"/>
    <n v="2000"/>
    <n v="18000"/>
    <n v="23"/>
    <s v="Active"/>
    <d v="2025-07-12T00:00:00"/>
    <x v="0"/>
    <s v="Unique"/>
    <x v="1"/>
    <d v="2025-07-12T00:00:00"/>
    <n v="12"/>
    <n v="278"/>
    <n v="2"/>
    <n v="5"/>
    <n v="4"/>
    <x v="56"/>
    <x v="2"/>
  </r>
  <r>
    <x v="438"/>
    <x v="3"/>
    <x v="0"/>
    <d v="2024-05-31T00:00:00"/>
    <d v="2024-08-29T00:00:00"/>
    <n v="3500"/>
    <n v="17500"/>
    <n v="5"/>
    <s v="Active"/>
    <d v="2025-10-08T00:00:00"/>
    <x v="2"/>
    <s v="Unique"/>
    <x v="15"/>
    <d v="2025-10-08T00:00:00"/>
    <n v="16"/>
    <n v="190"/>
    <n v="2"/>
    <n v="2"/>
    <n v="4"/>
    <x v="37"/>
    <x v="2"/>
  </r>
  <r>
    <x v="439"/>
    <x v="6"/>
    <x v="0"/>
    <d v="2024-11-05T00:00:00"/>
    <d v="2025-02-03T00:00:00"/>
    <n v="2000"/>
    <n v="6000"/>
    <n v="18"/>
    <s v="Active"/>
    <d v="2026-03-05T00:00:00"/>
    <x v="0"/>
    <s v="Unique"/>
    <x v="23"/>
    <d v="2026-03-05T00:00:00"/>
    <n v="16"/>
    <n v="42"/>
    <n v="4"/>
    <n v="4"/>
    <n v="3"/>
    <x v="98"/>
    <x v="0"/>
  </r>
  <r>
    <x v="440"/>
    <x v="5"/>
    <x v="0"/>
    <d v="2025-05-21T00:00:00"/>
    <d v="2025-06-20T00:00:00"/>
    <n v="1000"/>
    <n v="9000"/>
    <n v="11"/>
    <s v="Active"/>
    <d v="2025-12-02T00:00:00"/>
    <x v="2"/>
    <s v="Unique"/>
    <x v="30"/>
    <d v="2025-12-02T00:00:00"/>
    <n v="6"/>
    <n v="135"/>
    <n v="3"/>
    <n v="3"/>
    <n v="3"/>
    <x v="91"/>
    <x v="0"/>
  </r>
  <r>
    <x v="441"/>
    <x v="1"/>
    <x v="1"/>
    <d v="2024-11-27T00:00:00"/>
    <d v="2024-12-27T00:00:00"/>
    <n v="3500"/>
    <n v="21000"/>
    <n v="11"/>
    <s v="Active"/>
    <d v="2025-08-28T00:00:00"/>
    <x v="2"/>
    <s v="Unique"/>
    <x v="23"/>
    <d v="2025-08-28T00:00:00"/>
    <n v="9"/>
    <n v="231"/>
    <n v="2"/>
    <n v="3"/>
    <n v="5"/>
    <x v="60"/>
    <x v="2"/>
  </r>
  <r>
    <x v="442"/>
    <x v="3"/>
    <x v="1"/>
    <d v="2024-06-13T00:00:00"/>
    <d v="2024-07-13T00:00:00"/>
    <n v="1000"/>
    <n v="5000"/>
    <n v="16"/>
    <s v="Active"/>
    <d v="2025-10-07T00:00:00"/>
    <x v="0"/>
    <s v="Unique"/>
    <x v="1"/>
    <d v="2025-10-07T00:00:00"/>
    <n v="15"/>
    <n v="191"/>
    <n v="2"/>
    <n v="4"/>
    <n v="3"/>
    <x v="24"/>
    <x v="2"/>
  </r>
  <r>
    <x v="443"/>
    <x v="4"/>
    <x v="2"/>
    <d v="2023-02-15T00:00:00"/>
    <d v="2024-02-15T00:00:00"/>
    <n v="3500"/>
    <n v="24500"/>
    <n v="19"/>
    <s v="Active"/>
    <d v="2023-04-10T00:00:00"/>
    <x v="0"/>
    <s v="Unique"/>
    <x v="16"/>
    <d v="2023-04-10T00:00:00"/>
    <n v="1"/>
    <n v="1102"/>
    <n v="1"/>
    <n v="4"/>
    <n v="5"/>
    <x v="16"/>
    <x v="2"/>
  </r>
  <r>
    <x v="444"/>
    <x v="2"/>
    <x v="1"/>
    <d v="2023-09-02T00:00:00"/>
    <d v="2024-09-01T00:00:00"/>
    <n v="2000"/>
    <n v="8000"/>
    <n v="1"/>
    <s v="Active"/>
    <d v="2025-03-13T00:00:00"/>
    <x v="1"/>
    <s v="Unique"/>
    <x v="25"/>
    <d v="2025-03-13T00:00:00"/>
    <n v="18"/>
    <n v="399"/>
    <n v="1"/>
    <n v="1"/>
    <n v="3"/>
    <x v="2"/>
    <x v="2"/>
  </r>
  <r>
    <x v="445"/>
    <x v="2"/>
    <x v="2"/>
    <d v="2024-03-30T00:00:00"/>
    <d v="2024-06-28T00:00:00"/>
    <n v="2000"/>
    <n v="6000"/>
    <n v="6"/>
    <s v="Active"/>
    <d v="2024-05-18T00:00:00"/>
    <x v="2"/>
    <s v="Unique"/>
    <x v="11"/>
    <d v="2024-05-18T00:00:00"/>
    <n v="1"/>
    <n v="698"/>
    <n v="1"/>
    <n v="2"/>
    <n v="3"/>
    <x v="52"/>
    <x v="2"/>
  </r>
  <r>
    <x v="446"/>
    <x v="4"/>
    <x v="1"/>
    <d v="2023-05-16T00:00:00"/>
    <d v="2023-06-15T00:00:00"/>
    <n v="2000"/>
    <n v="8000"/>
    <n v="14"/>
    <s v="Active"/>
    <d v="2023-08-13T00:00:00"/>
    <x v="2"/>
    <s v="Unique"/>
    <x v="29"/>
    <d v="2023-08-13T00:00:00"/>
    <n v="2"/>
    <n v="977"/>
    <n v="1"/>
    <n v="3"/>
    <n v="3"/>
    <x v="61"/>
    <x v="2"/>
  </r>
  <r>
    <x v="447"/>
    <x v="0"/>
    <x v="0"/>
    <d v="2026-01-07T00:00:00"/>
    <d v="2026-04-07T00:00:00"/>
    <n v="1000"/>
    <n v="11000"/>
    <n v="15"/>
    <s v="Active"/>
    <d v="2026-01-30T00:00:00"/>
    <x v="0"/>
    <s v="Unique"/>
    <x v="35"/>
    <d v="2026-01-30T00:00:00"/>
    <n v="0"/>
    <n v="76"/>
    <n v="4"/>
    <n v="4"/>
    <n v="4"/>
    <x v="32"/>
    <x v="3"/>
  </r>
  <r>
    <x v="448"/>
    <x v="0"/>
    <x v="0"/>
    <d v="2024-11-12T00:00:00"/>
    <d v="2024-12-12T00:00:00"/>
    <n v="3500"/>
    <n v="38500"/>
    <n v="4"/>
    <s v="Cancelled"/>
    <d v="2025-05-27T00:00:00"/>
    <x v="1"/>
    <s v="Unique"/>
    <x v="23"/>
    <d v="2025-05-27T00:00:00"/>
    <n v="6"/>
    <n v="324"/>
    <n v="2"/>
    <n v="1"/>
    <n v="5"/>
    <x v="67"/>
    <x v="2"/>
  </r>
  <r>
    <x v="449"/>
    <x v="5"/>
    <x v="1"/>
    <d v="2024-12-09T00:00:00"/>
    <d v="2025-03-09T00:00:00"/>
    <n v="3500"/>
    <n v="35000"/>
    <n v="7"/>
    <s v="Active"/>
    <d v="2025-11-03T00:00:00"/>
    <x v="2"/>
    <s v="Unique"/>
    <x v="0"/>
    <d v="2025-11-03T00:00:00"/>
    <n v="10"/>
    <n v="164"/>
    <n v="3"/>
    <n v="2"/>
    <n v="5"/>
    <x v="29"/>
    <x v="1"/>
  </r>
  <r>
    <x v="450"/>
    <x v="4"/>
    <x v="0"/>
    <d v="2023-02-28T00:00:00"/>
    <d v="2023-05-29T00:00:00"/>
    <n v="2000"/>
    <n v="6000"/>
    <n v="16"/>
    <s v="Active"/>
    <d v="2024-12-21T00:00:00"/>
    <x v="0"/>
    <s v="Unique"/>
    <x v="16"/>
    <d v="2024-12-21T00:00:00"/>
    <n v="21"/>
    <n v="481"/>
    <n v="1"/>
    <n v="4"/>
    <n v="3"/>
    <x v="42"/>
    <x v="2"/>
  </r>
  <r>
    <x v="451"/>
    <x v="4"/>
    <x v="2"/>
    <d v="2023-12-18T00:00:00"/>
    <d v="2024-01-17T00:00:00"/>
    <n v="1000"/>
    <n v="6000"/>
    <n v="12"/>
    <s v="Active"/>
    <d v="2024-05-18T00:00:00"/>
    <x v="2"/>
    <s v="Unique"/>
    <x v="22"/>
    <d v="2024-05-18T00:00:00"/>
    <n v="5"/>
    <n v="698"/>
    <n v="1"/>
    <n v="3"/>
    <n v="3"/>
    <x v="61"/>
    <x v="2"/>
  </r>
  <r>
    <x v="452"/>
    <x v="4"/>
    <x v="2"/>
    <d v="2025-02-14T00:00:00"/>
    <d v="2025-03-16T00:00:00"/>
    <n v="3500"/>
    <n v="42000"/>
    <n v="21"/>
    <s v="Active"/>
    <d v="2025-06-17T00:00:00"/>
    <x v="0"/>
    <s v="Unique"/>
    <x v="14"/>
    <d v="2025-06-17T00:00:00"/>
    <n v="4"/>
    <n v="303"/>
    <n v="2"/>
    <n v="5"/>
    <n v="5"/>
    <x v="83"/>
    <x v="2"/>
  </r>
  <r>
    <x v="453"/>
    <x v="1"/>
    <x v="1"/>
    <d v="2024-10-10T00:00:00"/>
    <d v="2024-11-09T00:00:00"/>
    <n v="1000"/>
    <n v="3000"/>
    <n v="18"/>
    <s v="Cancelled"/>
    <d v="2025-03-05T00:00:00"/>
    <x v="0"/>
    <s v="Unique"/>
    <x v="19"/>
    <d v="2025-03-05T00:00:00"/>
    <n v="4"/>
    <n v="407"/>
    <n v="1"/>
    <n v="4"/>
    <n v="2"/>
    <x v="78"/>
    <x v="2"/>
  </r>
  <r>
    <x v="454"/>
    <x v="5"/>
    <x v="2"/>
    <d v="2023-11-03T00:00:00"/>
    <d v="2023-12-03T00:00:00"/>
    <n v="2000"/>
    <n v="8000"/>
    <n v="3"/>
    <s v="Active"/>
    <d v="2023-12-10T00:00:00"/>
    <x v="1"/>
    <s v="Unique"/>
    <x v="21"/>
    <d v="2023-12-10T00:00:00"/>
    <n v="1"/>
    <n v="858"/>
    <n v="1"/>
    <n v="1"/>
    <n v="3"/>
    <x v="2"/>
    <x v="2"/>
  </r>
  <r>
    <x v="455"/>
    <x v="2"/>
    <x v="2"/>
    <d v="2023-04-29T00:00:00"/>
    <d v="2023-07-28T00:00:00"/>
    <n v="1000"/>
    <n v="5000"/>
    <n v="19"/>
    <s v="Active"/>
    <d v="2024-09-14T00:00:00"/>
    <x v="0"/>
    <s v="Unique"/>
    <x v="28"/>
    <d v="2024-09-14T00:00:00"/>
    <n v="16"/>
    <n v="579"/>
    <n v="1"/>
    <n v="4"/>
    <n v="3"/>
    <x v="42"/>
    <x v="2"/>
  </r>
  <r>
    <x v="456"/>
    <x v="1"/>
    <x v="2"/>
    <d v="2025-03-24T00:00:00"/>
    <d v="2025-06-22T00:00:00"/>
    <n v="2000"/>
    <n v="12000"/>
    <n v="16"/>
    <s v="Cancelled"/>
    <d v="2025-04-27T00:00:00"/>
    <x v="0"/>
    <s v="Unique"/>
    <x v="33"/>
    <d v="2025-04-27T00:00:00"/>
    <n v="1"/>
    <n v="354"/>
    <n v="2"/>
    <n v="4"/>
    <n v="4"/>
    <x v="9"/>
    <x v="2"/>
  </r>
  <r>
    <x v="457"/>
    <x v="0"/>
    <x v="1"/>
    <d v="2024-09-25T00:00:00"/>
    <d v="2024-12-24T00:00:00"/>
    <n v="3500"/>
    <n v="28000"/>
    <n v="18"/>
    <s v="Active"/>
    <d v="2025-01-20T00:00:00"/>
    <x v="0"/>
    <s v="Unique"/>
    <x v="8"/>
    <d v="2025-01-20T00:00:00"/>
    <n v="3"/>
    <n v="451"/>
    <n v="1"/>
    <n v="4"/>
    <n v="5"/>
    <x v="16"/>
    <x v="2"/>
  </r>
  <r>
    <x v="458"/>
    <x v="1"/>
    <x v="0"/>
    <d v="2025-07-16T00:00:00"/>
    <d v="2025-10-14T00:00:00"/>
    <n v="3500"/>
    <n v="3500"/>
    <n v="8"/>
    <s v="Active"/>
    <d v="2026-02-22T00:00:00"/>
    <x v="2"/>
    <s v="Unique"/>
    <x v="17"/>
    <d v="2026-02-22T00:00:00"/>
    <n v="7"/>
    <n v="53"/>
    <n v="4"/>
    <n v="2"/>
    <n v="2"/>
    <x v="7"/>
    <x v="1"/>
  </r>
  <r>
    <x v="459"/>
    <x v="1"/>
    <x v="1"/>
    <d v="2025-06-26T00:00:00"/>
    <d v="2026-06-26T00:00:00"/>
    <n v="2000"/>
    <n v="6000"/>
    <n v="23"/>
    <s v="Active"/>
    <d v="2025-12-03T00:00:00"/>
    <x v="0"/>
    <s v="Unique"/>
    <x v="18"/>
    <d v="2025-12-03T00:00:00"/>
    <n v="5"/>
    <n v="134"/>
    <n v="3"/>
    <n v="5"/>
    <n v="3"/>
    <x v="72"/>
    <x v="0"/>
  </r>
  <r>
    <x v="460"/>
    <x v="0"/>
    <x v="0"/>
    <d v="2025-11-24T00:00:00"/>
    <d v="2026-02-22T00:00:00"/>
    <n v="1000"/>
    <n v="5000"/>
    <n v="3"/>
    <s v="Active"/>
    <d v="2026-03-07T00:00:00"/>
    <x v="1"/>
    <s v="Unique"/>
    <x v="7"/>
    <d v="2026-03-07T00:00:00"/>
    <n v="3"/>
    <n v="40"/>
    <n v="4"/>
    <n v="1"/>
    <n v="3"/>
    <x v="99"/>
    <x v="1"/>
  </r>
  <r>
    <x v="461"/>
    <x v="4"/>
    <x v="0"/>
    <d v="2026-01-07T00:00:00"/>
    <d v="2027-01-07T00:00:00"/>
    <n v="2000"/>
    <n v="14000"/>
    <n v="11"/>
    <s v="Active"/>
    <d v="2026-01-20T00:00:00"/>
    <x v="2"/>
    <s v="Unique"/>
    <x v="35"/>
    <d v="2026-01-20T00:00:00"/>
    <n v="0"/>
    <n v="86"/>
    <n v="4"/>
    <n v="3"/>
    <n v="4"/>
    <x v="14"/>
    <x v="0"/>
  </r>
  <r>
    <x v="462"/>
    <x v="5"/>
    <x v="2"/>
    <d v="2023-06-02T00:00:00"/>
    <d v="2024-06-01T00:00:00"/>
    <n v="2000"/>
    <n v="14000"/>
    <n v="20"/>
    <s v="Active"/>
    <d v="2023-12-08T00:00:00"/>
    <x v="0"/>
    <s v="Unique"/>
    <x v="10"/>
    <d v="2023-12-08T00:00:00"/>
    <n v="6"/>
    <n v="860"/>
    <n v="1"/>
    <n v="5"/>
    <n v="4"/>
    <x v="27"/>
    <x v="2"/>
  </r>
  <r>
    <x v="463"/>
    <x v="0"/>
    <x v="2"/>
    <d v="2025-10-03T00:00:00"/>
    <d v="2025-11-02T00:00:00"/>
    <n v="1000"/>
    <n v="9000"/>
    <n v="16"/>
    <s v="Active"/>
    <d v="2026-01-22T00:00:00"/>
    <x v="0"/>
    <s v="Unique"/>
    <x v="32"/>
    <d v="2026-01-22T00:00:00"/>
    <n v="3"/>
    <n v="84"/>
    <n v="4"/>
    <n v="4"/>
    <n v="3"/>
    <x v="98"/>
    <x v="0"/>
  </r>
  <r>
    <x v="464"/>
    <x v="1"/>
    <x v="0"/>
    <d v="2025-11-12T00:00:00"/>
    <d v="2026-02-10T00:00:00"/>
    <n v="2000"/>
    <n v="22000"/>
    <n v="14"/>
    <s v="Active"/>
    <d v="2025-12-03T00:00:00"/>
    <x v="2"/>
    <s v="Unique"/>
    <x v="7"/>
    <d v="2025-12-03T00:00:00"/>
    <n v="0"/>
    <n v="134"/>
    <n v="3"/>
    <n v="3"/>
    <n v="5"/>
    <x v="25"/>
    <x v="0"/>
  </r>
  <r>
    <x v="465"/>
    <x v="3"/>
    <x v="2"/>
    <d v="2024-08-26T00:00:00"/>
    <d v="2024-11-24T00:00:00"/>
    <n v="1000"/>
    <n v="5000"/>
    <n v="0"/>
    <s v="Cancelled"/>
    <d v="2025-08-06T00:00:00"/>
    <x v="1"/>
    <s v="Unique"/>
    <x v="12"/>
    <d v="2025-08-06T00:00:00"/>
    <n v="11"/>
    <n v="253"/>
    <n v="2"/>
    <n v="1"/>
    <n v="3"/>
    <x v="28"/>
    <x v="2"/>
  </r>
  <r>
    <x v="466"/>
    <x v="2"/>
    <x v="0"/>
    <d v="2023-11-06T00:00:00"/>
    <d v="2023-12-06T00:00:00"/>
    <n v="2000"/>
    <n v="6000"/>
    <n v="4"/>
    <s v="Cancelled"/>
    <d v="2024-09-11T00:00:00"/>
    <x v="1"/>
    <s v="Unique"/>
    <x v="21"/>
    <d v="2024-09-11T00:00:00"/>
    <n v="10"/>
    <n v="582"/>
    <n v="1"/>
    <n v="1"/>
    <n v="3"/>
    <x v="2"/>
    <x v="2"/>
  </r>
  <r>
    <x v="467"/>
    <x v="5"/>
    <x v="0"/>
    <d v="2026-01-12T00:00:00"/>
    <d v="2026-04-12T00:00:00"/>
    <n v="3500"/>
    <n v="42000"/>
    <n v="20"/>
    <s v="Active"/>
    <d v="2026-03-04T00:00:00"/>
    <x v="0"/>
    <s v="Unique"/>
    <x v="35"/>
    <d v="2026-03-04T00:00:00"/>
    <n v="1"/>
    <n v="43"/>
    <n v="4"/>
    <n v="5"/>
    <n v="5"/>
    <x v="15"/>
    <x v="3"/>
  </r>
  <r>
    <x v="468"/>
    <x v="6"/>
    <x v="0"/>
    <d v="2025-03-26T00:00:00"/>
    <d v="2026-03-26T00:00:00"/>
    <n v="1000"/>
    <n v="4000"/>
    <n v="10"/>
    <s v="Active"/>
    <d v="2025-04-13T00:00:00"/>
    <x v="2"/>
    <s v="Unique"/>
    <x v="33"/>
    <d v="2025-04-13T00:00:00"/>
    <n v="0"/>
    <n v="368"/>
    <n v="1"/>
    <n v="3"/>
    <n v="2"/>
    <x v="46"/>
    <x v="2"/>
  </r>
  <r>
    <x v="469"/>
    <x v="3"/>
    <x v="1"/>
    <d v="2024-12-21T00:00:00"/>
    <d v="2025-12-21T00:00:00"/>
    <n v="1000"/>
    <n v="12000"/>
    <n v="0"/>
    <s v="Active"/>
    <d v="2025-01-09T00:00:00"/>
    <x v="1"/>
    <s v="Unique"/>
    <x v="0"/>
    <d v="2025-01-09T00:00:00"/>
    <n v="0"/>
    <n v="462"/>
    <n v="1"/>
    <n v="1"/>
    <n v="4"/>
    <x v="39"/>
    <x v="2"/>
  </r>
  <r>
    <x v="470"/>
    <x v="0"/>
    <x v="0"/>
    <d v="2024-05-23T00:00:00"/>
    <d v="2024-08-21T00:00:00"/>
    <n v="2000"/>
    <n v="12000"/>
    <n v="24"/>
    <s v="Active"/>
    <d v="2026-01-22T00:00:00"/>
    <x v="0"/>
    <s v="Unique"/>
    <x v="15"/>
    <d v="2026-01-22T00:00:00"/>
    <n v="19"/>
    <n v="84"/>
    <n v="4"/>
    <n v="5"/>
    <n v="4"/>
    <x v="94"/>
    <x v="3"/>
  </r>
  <r>
    <x v="471"/>
    <x v="3"/>
    <x v="2"/>
    <d v="2023-12-31T00:00:00"/>
    <d v="2024-01-30T00:00:00"/>
    <n v="1000"/>
    <n v="4000"/>
    <n v="14"/>
    <s v="Active"/>
    <d v="2025-02-27T00:00:00"/>
    <x v="2"/>
    <s v="Unique"/>
    <x v="22"/>
    <d v="2025-02-27T00:00:00"/>
    <n v="13"/>
    <n v="413"/>
    <n v="1"/>
    <n v="3"/>
    <n v="2"/>
    <x v="46"/>
    <x v="2"/>
  </r>
  <r>
    <x v="472"/>
    <x v="5"/>
    <x v="0"/>
    <d v="2025-07-25T00:00:00"/>
    <d v="2026-07-25T00:00:00"/>
    <n v="3500"/>
    <n v="21000"/>
    <n v="20"/>
    <s v="Active"/>
    <d v="2026-01-29T00:00:00"/>
    <x v="0"/>
    <s v="Unique"/>
    <x v="17"/>
    <d v="2026-01-29T00:00:00"/>
    <n v="6"/>
    <n v="77"/>
    <n v="4"/>
    <n v="5"/>
    <n v="5"/>
    <x v="15"/>
    <x v="3"/>
  </r>
  <r>
    <x v="473"/>
    <x v="2"/>
    <x v="0"/>
    <d v="2023-10-18T00:00:00"/>
    <d v="2024-10-17T00:00:00"/>
    <n v="1000"/>
    <n v="7000"/>
    <n v="4"/>
    <s v="Active"/>
    <d v="2024-12-17T00:00:00"/>
    <x v="1"/>
    <s v="Unique"/>
    <x v="31"/>
    <d v="2024-12-17T00:00:00"/>
    <n v="13"/>
    <n v="485"/>
    <n v="1"/>
    <n v="1"/>
    <n v="3"/>
    <x v="2"/>
    <x v="2"/>
  </r>
  <r>
    <x v="474"/>
    <x v="4"/>
    <x v="0"/>
    <d v="2024-11-04T00:00:00"/>
    <d v="2025-02-02T00:00:00"/>
    <n v="3500"/>
    <n v="14000"/>
    <n v="25"/>
    <s v="Active"/>
    <d v="2025-09-19T00:00:00"/>
    <x v="0"/>
    <s v="Unique"/>
    <x v="23"/>
    <d v="2025-09-19T00:00:00"/>
    <n v="10"/>
    <n v="209"/>
    <n v="2"/>
    <n v="5"/>
    <n v="4"/>
    <x v="56"/>
    <x v="2"/>
  </r>
  <r>
    <x v="475"/>
    <x v="1"/>
    <x v="1"/>
    <d v="2023-03-06T00:00:00"/>
    <d v="2023-06-04T00:00:00"/>
    <n v="1000"/>
    <n v="2000"/>
    <n v="6"/>
    <s v="Active"/>
    <d v="2026-04-09T00:00:00"/>
    <x v="2"/>
    <s v="Unique"/>
    <x v="20"/>
    <d v="2026-04-09T00:00:00"/>
    <n v="37"/>
    <n v="7"/>
    <n v="5"/>
    <n v="2"/>
    <n v="2"/>
    <x v="18"/>
    <x v="1"/>
  </r>
  <r>
    <x v="476"/>
    <x v="0"/>
    <x v="1"/>
    <d v="2024-03-28T00:00:00"/>
    <d v="2025-03-28T00:00:00"/>
    <n v="1000"/>
    <n v="9000"/>
    <n v="24"/>
    <s v="Active"/>
    <d v="2025-05-06T00:00:00"/>
    <x v="0"/>
    <s v="Unique"/>
    <x v="11"/>
    <d v="2025-05-06T00:00:00"/>
    <n v="13"/>
    <n v="345"/>
    <n v="2"/>
    <n v="5"/>
    <n v="3"/>
    <x v="41"/>
    <x v="2"/>
  </r>
  <r>
    <x v="477"/>
    <x v="5"/>
    <x v="1"/>
    <d v="2024-08-20T00:00:00"/>
    <d v="2024-11-18T00:00:00"/>
    <n v="1000"/>
    <n v="6000"/>
    <n v="25"/>
    <s v="Active"/>
    <d v="2025-10-29T00:00:00"/>
    <x v="0"/>
    <s v="Unique"/>
    <x v="12"/>
    <d v="2025-10-29T00:00:00"/>
    <n v="14"/>
    <n v="169"/>
    <n v="3"/>
    <n v="5"/>
    <n v="3"/>
    <x v="72"/>
    <x v="0"/>
  </r>
  <r>
    <x v="478"/>
    <x v="6"/>
    <x v="1"/>
    <d v="2023-08-05T00:00:00"/>
    <d v="2023-09-04T00:00:00"/>
    <n v="2000"/>
    <n v="24000"/>
    <n v="21"/>
    <s v="Active"/>
    <d v="2026-03-04T00:00:00"/>
    <x v="0"/>
    <s v="Unique"/>
    <x v="27"/>
    <d v="2026-03-04T00:00:00"/>
    <n v="30"/>
    <n v="43"/>
    <n v="4"/>
    <n v="5"/>
    <n v="5"/>
    <x v="15"/>
    <x v="3"/>
  </r>
  <r>
    <x v="479"/>
    <x v="4"/>
    <x v="2"/>
    <d v="2024-05-12T00:00:00"/>
    <d v="2025-05-12T00:00:00"/>
    <n v="3500"/>
    <n v="10500"/>
    <n v="8"/>
    <s v="Active"/>
    <d v="2026-02-17T00:00:00"/>
    <x v="2"/>
    <s v="Unique"/>
    <x v="15"/>
    <d v="2026-02-17T00:00:00"/>
    <n v="21"/>
    <n v="58"/>
    <n v="4"/>
    <n v="2"/>
    <n v="4"/>
    <x v="53"/>
    <x v="1"/>
  </r>
  <r>
    <x v="480"/>
    <x v="2"/>
    <x v="2"/>
    <d v="2025-05-04T00:00:00"/>
    <d v="2026-05-04T00:00:00"/>
    <n v="3500"/>
    <n v="42000"/>
    <n v="17"/>
    <s v="Active"/>
    <d v="2026-02-20T00:00:00"/>
    <x v="0"/>
    <s v="Unique"/>
    <x v="30"/>
    <d v="2026-02-20T00:00:00"/>
    <n v="9"/>
    <n v="55"/>
    <n v="4"/>
    <n v="4"/>
    <n v="5"/>
    <x v="63"/>
    <x v="3"/>
  </r>
  <r>
    <x v="481"/>
    <x v="0"/>
    <x v="2"/>
    <d v="2023-03-09T00:00:00"/>
    <d v="2023-04-08T00:00:00"/>
    <n v="3500"/>
    <n v="28000"/>
    <n v="6"/>
    <s v="Active"/>
    <d v="2023-06-26T00:00:00"/>
    <x v="2"/>
    <s v="Unique"/>
    <x v="20"/>
    <d v="2023-06-26T00:00:00"/>
    <n v="3"/>
    <n v="1025"/>
    <n v="1"/>
    <n v="2"/>
    <n v="5"/>
    <x v="69"/>
    <x v="2"/>
  </r>
  <r>
    <x v="482"/>
    <x v="1"/>
    <x v="1"/>
    <d v="2025-04-07T00:00:00"/>
    <d v="2025-05-07T00:00:00"/>
    <n v="2000"/>
    <n v="22000"/>
    <n v="15"/>
    <s v="Active"/>
    <d v="2025-05-25T00:00:00"/>
    <x v="0"/>
    <s v="Unique"/>
    <x v="26"/>
    <d v="2025-05-25T00:00:00"/>
    <n v="1"/>
    <n v="326"/>
    <n v="2"/>
    <n v="4"/>
    <n v="5"/>
    <x v="48"/>
    <x v="2"/>
  </r>
  <r>
    <x v="483"/>
    <x v="3"/>
    <x v="1"/>
    <d v="2023-11-25T00:00:00"/>
    <d v="2023-12-25T00:00:00"/>
    <n v="2000"/>
    <n v="22000"/>
    <n v="8"/>
    <s v="Active"/>
    <d v="2026-02-02T00:00:00"/>
    <x v="2"/>
    <s v="Unique"/>
    <x v="21"/>
    <d v="2026-02-02T00:00:00"/>
    <n v="26"/>
    <n v="73"/>
    <n v="4"/>
    <n v="2"/>
    <n v="5"/>
    <x v="82"/>
    <x v="1"/>
  </r>
  <r>
    <x v="484"/>
    <x v="6"/>
    <x v="0"/>
    <d v="2023-10-24T00:00:00"/>
    <d v="2024-10-23T00:00:00"/>
    <n v="2000"/>
    <n v="22000"/>
    <n v="5"/>
    <s v="Active"/>
    <d v="2024-06-15T00:00:00"/>
    <x v="2"/>
    <s v="Unique"/>
    <x v="31"/>
    <d v="2024-06-15T00:00:00"/>
    <n v="7"/>
    <n v="670"/>
    <n v="1"/>
    <n v="2"/>
    <n v="5"/>
    <x v="69"/>
    <x v="2"/>
  </r>
  <r>
    <x v="485"/>
    <x v="0"/>
    <x v="0"/>
    <d v="2025-09-11T00:00:00"/>
    <d v="2025-12-10T00:00:00"/>
    <n v="3500"/>
    <n v="3500"/>
    <n v="10"/>
    <s v="Active"/>
    <d v="2025-09-30T00:00:00"/>
    <x v="2"/>
    <s v="Unique"/>
    <x v="36"/>
    <d v="2025-09-30T00:00:00"/>
    <n v="0"/>
    <n v="198"/>
    <n v="2"/>
    <n v="3"/>
    <n v="2"/>
    <x v="62"/>
    <x v="2"/>
  </r>
  <r>
    <x v="486"/>
    <x v="2"/>
    <x v="2"/>
    <d v="2023-07-21T00:00:00"/>
    <d v="2024-07-20T00:00:00"/>
    <n v="1000"/>
    <n v="11000"/>
    <n v="13"/>
    <s v="Cancelled"/>
    <d v="2024-01-07T00:00:00"/>
    <x v="2"/>
    <s v="Unique"/>
    <x v="6"/>
    <d v="2024-01-07T00:00:00"/>
    <n v="5"/>
    <n v="830"/>
    <n v="1"/>
    <n v="3"/>
    <n v="4"/>
    <x v="31"/>
    <x v="2"/>
  </r>
  <r>
    <x v="487"/>
    <x v="1"/>
    <x v="0"/>
    <d v="2024-10-25T00:00:00"/>
    <d v="2024-11-24T00:00:00"/>
    <n v="1000"/>
    <n v="5000"/>
    <n v="7"/>
    <s v="Active"/>
    <d v="2025-10-05T00:00:00"/>
    <x v="2"/>
    <s v="Unique"/>
    <x v="19"/>
    <d v="2025-10-05T00:00:00"/>
    <n v="11"/>
    <n v="193"/>
    <n v="2"/>
    <n v="2"/>
    <n v="3"/>
    <x v="81"/>
    <x v="2"/>
  </r>
  <r>
    <x v="488"/>
    <x v="5"/>
    <x v="1"/>
    <d v="2024-05-10T00:00:00"/>
    <d v="2024-08-08T00:00:00"/>
    <n v="2000"/>
    <n v="6000"/>
    <n v="18"/>
    <s v="Active"/>
    <d v="2024-06-01T00:00:00"/>
    <x v="0"/>
    <s v="Unique"/>
    <x v="15"/>
    <d v="2024-06-01T00:00:00"/>
    <n v="0"/>
    <n v="684"/>
    <n v="1"/>
    <n v="4"/>
    <n v="3"/>
    <x v="42"/>
    <x v="2"/>
  </r>
  <r>
    <x v="489"/>
    <x v="5"/>
    <x v="1"/>
    <d v="2025-04-20T00:00:00"/>
    <d v="2025-07-19T00:00:00"/>
    <n v="2000"/>
    <n v="16000"/>
    <n v="24"/>
    <s v="Active"/>
    <d v="2025-09-23T00:00:00"/>
    <x v="0"/>
    <s v="Unique"/>
    <x v="26"/>
    <d v="2025-09-23T00:00:00"/>
    <n v="5"/>
    <n v="205"/>
    <n v="2"/>
    <n v="5"/>
    <n v="4"/>
    <x v="56"/>
    <x v="2"/>
  </r>
  <r>
    <x v="490"/>
    <x v="2"/>
    <x v="2"/>
    <d v="2026-01-09T00:00:00"/>
    <d v="2026-02-08T00:00:00"/>
    <n v="2000"/>
    <n v="6000"/>
    <n v="8"/>
    <s v="Active"/>
    <d v="2026-03-19T00:00:00"/>
    <x v="2"/>
    <s v="Unique"/>
    <x v="35"/>
    <d v="2026-03-19T00:00:00"/>
    <n v="2"/>
    <n v="28"/>
    <n v="5"/>
    <n v="2"/>
    <n v="3"/>
    <x v="100"/>
    <x v="1"/>
  </r>
  <r>
    <x v="491"/>
    <x v="3"/>
    <x v="2"/>
    <d v="2024-06-03T00:00:00"/>
    <d v="2024-09-01T00:00:00"/>
    <n v="1000"/>
    <n v="4000"/>
    <n v="13"/>
    <s v="Active"/>
    <d v="2025-03-19T00:00:00"/>
    <x v="2"/>
    <s v="Unique"/>
    <x v="1"/>
    <d v="2025-03-19T00:00:00"/>
    <n v="9"/>
    <n v="393"/>
    <n v="1"/>
    <n v="3"/>
    <n v="2"/>
    <x v="46"/>
    <x v="2"/>
  </r>
  <r>
    <x v="492"/>
    <x v="2"/>
    <x v="2"/>
    <d v="2026-01-09T00:00:00"/>
    <d v="2027-01-09T00:00:00"/>
    <n v="3500"/>
    <n v="38500"/>
    <n v="7"/>
    <s v="Active"/>
    <d v="2026-01-14T00:00:00"/>
    <x v="2"/>
    <s v="Unique"/>
    <x v="35"/>
    <d v="2026-01-14T00:00:00"/>
    <n v="0"/>
    <n v="92"/>
    <n v="3"/>
    <n v="2"/>
    <n v="5"/>
    <x v="29"/>
    <x v="1"/>
  </r>
  <r>
    <x v="493"/>
    <x v="3"/>
    <x v="1"/>
    <d v="2024-07-01T00:00:00"/>
    <d v="2024-07-31T00:00:00"/>
    <n v="2000"/>
    <n v="4000"/>
    <n v="16"/>
    <s v="Active"/>
    <d v="2025-12-30T00:00:00"/>
    <x v="0"/>
    <s v="Unique"/>
    <x v="13"/>
    <d v="2025-12-30T00:00:00"/>
    <n v="17"/>
    <n v="107"/>
    <n v="3"/>
    <n v="4"/>
    <n v="2"/>
    <x v="86"/>
    <x v="1"/>
  </r>
  <r>
    <x v="494"/>
    <x v="5"/>
    <x v="2"/>
    <d v="2024-12-06T00:00:00"/>
    <d v="2025-12-06T00:00:00"/>
    <n v="1000"/>
    <n v="8000"/>
    <n v="17"/>
    <s v="Active"/>
    <d v="2025-06-26T00:00:00"/>
    <x v="0"/>
    <s v="Unique"/>
    <x v="0"/>
    <d v="2025-06-26T00:00:00"/>
    <n v="6"/>
    <n v="294"/>
    <n v="2"/>
    <n v="4"/>
    <n v="3"/>
    <x v="24"/>
    <x v="2"/>
  </r>
  <r>
    <x v="495"/>
    <x v="4"/>
    <x v="1"/>
    <d v="2023-03-10T00:00:00"/>
    <d v="2023-06-08T00:00:00"/>
    <n v="1000"/>
    <n v="6000"/>
    <n v="18"/>
    <s v="Active"/>
    <d v="2025-09-29T00:00:00"/>
    <x v="0"/>
    <s v="Unique"/>
    <x v="20"/>
    <d v="2025-09-29T00:00:00"/>
    <n v="30"/>
    <n v="199"/>
    <n v="2"/>
    <n v="4"/>
    <n v="3"/>
    <x v="24"/>
    <x v="2"/>
  </r>
  <r>
    <x v="496"/>
    <x v="6"/>
    <x v="2"/>
    <d v="2024-06-18T00:00:00"/>
    <d v="2025-06-18T00:00:00"/>
    <n v="2000"/>
    <n v="24000"/>
    <n v="5"/>
    <s v="Active"/>
    <d v="2025-04-29T00:00:00"/>
    <x v="2"/>
    <s v="Unique"/>
    <x v="1"/>
    <d v="2025-04-29T00:00:00"/>
    <n v="10"/>
    <n v="352"/>
    <n v="2"/>
    <n v="2"/>
    <n v="5"/>
    <x v="85"/>
    <x v="2"/>
  </r>
  <r>
    <x v="497"/>
    <x v="6"/>
    <x v="2"/>
    <d v="2023-08-02T00:00:00"/>
    <d v="2024-08-01T00:00:00"/>
    <n v="3500"/>
    <n v="24500"/>
    <n v="14"/>
    <s v="Active"/>
    <d v="2025-03-29T00:00:00"/>
    <x v="2"/>
    <s v="Unique"/>
    <x v="27"/>
    <d v="2025-03-29T00:00:00"/>
    <n v="19"/>
    <n v="383"/>
    <n v="1"/>
    <n v="3"/>
    <n v="5"/>
    <x v="21"/>
    <x v="2"/>
  </r>
  <r>
    <x v="498"/>
    <x v="2"/>
    <x v="2"/>
    <d v="2023-08-21T00:00:00"/>
    <d v="2024-08-20T00:00:00"/>
    <n v="1000"/>
    <n v="11000"/>
    <n v="6"/>
    <s v="Active"/>
    <d v="2024-07-12T00:00:00"/>
    <x v="2"/>
    <s v="Unique"/>
    <x v="27"/>
    <d v="2024-07-12T00:00:00"/>
    <n v="10"/>
    <n v="643"/>
    <n v="1"/>
    <n v="2"/>
    <n v="4"/>
    <x v="47"/>
    <x v="2"/>
  </r>
  <r>
    <x v="499"/>
    <x v="2"/>
    <x v="1"/>
    <d v="2024-05-05T00:00:00"/>
    <d v="2024-06-04T00:00:00"/>
    <n v="3500"/>
    <n v="42000"/>
    <n v="4"/>
    <s v="Active"/>
    <d v="2024-05-22T00:00:00"/>
    <x v="1"/>
    <s v="Unique"/>
    <x v="15"/>
    <d v="2024-05-22T00:00:00"/>
    <n v="0"/>
    <n v="694"/>
    <n v="1"/>
    <n v="1"/>
    <n v="5"/>
    <x v="23"/>
    <x v="2"/>
  </r>
  <r>
    <x v="500"/>
    <x v="1"/>
    <x v="1"/>
    <d v="2024-01-06T00:00:00"/>
    <d v="2024-02-05T00:00:00"/>
    <n v="1000"/>
    <n v="7000"/>
    <n v="6"/>
    <s v="Active"/>
    <d v="2025-07-19T00:00:00"/>
    <x v="2"/>
    <s v="Unique"/>
    <x v="34"/>
    <d v="2025-07-19T00:00:00"/>
    <n v="18"/>
    <n v="271"/>
    <n v="2"/>
    <n v="2"/>
    <n v="3"/>
    <x v="81"/>
    <x v="2"/>
  </r>
  <r>
    <x v="501"/>
    <x v="6"/>
    <x v="0"/>
    <d v="2024-09-13T00:00:00"/>
    <d v="2025-09-13T00:00:00"/>
    <n v="1000"/>
    <n v="5000"/>
    <n v="10"/>
    <s v="Active"/>
    <d v="2025-03-30T00:00:00"/>
    <x v="2"/>
    <s v="Unique"/>
    <x v="8"/>
    <d v="2025-03-30T00:00:00"/>
    <n v="6"/>
    <n v="382"/>
    <n v="1"/>
    <n v="3"/>
    <n v="3"/>
    <x v="61"/>
    <x v="2"/>
  </r>
  <r>
    <x v="502"/>
    <x v="0"/>
    <x v="2"/>
    <d v="2025-02-08T00:00:00"/>
    <d v="2025-03-10T00:00:00"/>
    <n v="1000"/>
    <n v="9000"/>
    <n v="0"/>
    <s v="Cancelled"/>
    <d v="2025-03-28T00:00:00"/>
    <x v="1"/>
    <s v="Unique"/>
    <x v="14"/>
    <d v="2025-03-28T00:00:00"/>
    <n v="1"/>
    <n v="384"/>
    <n v="1"/>
    <n v="1"/>
    <n v="3"/>
    <x v="2"/>
    <x v="2"/>
  </r>
  <r>
    <x v="503"/>
    <x v="4"/>
    <x v="1"/>
    <d v="2023-12-24T00:00:00"/>
    <d v="2024-12-23T00:00:00"/>
    <n v="2000"/>
    <n v="2000"/>
    <n v="14"/>
    <s v="Active"/>
    <d v="2024-04-04T00:00:00"/>
    <x v="2"/>
    <s v="Unique"/>
    <x v="22"/>
    <d v="2024-04-04T00:00:00"/>
    <n v="3"/>
    <n v="742"/>
    <n v="1"/>
    <n v="3"/>
    <n v="2"/>
    <x v="46"/>
    <x v="2"/>
  </r>
  <r>
    <x v="504"/>
    <x v="2"/>
    <x v="1"/>
    <d v="2024-06-14T00:00:00"/>
    <d v="2024-09-12T00:00:00"/>
    <n v="1000"/>
    <n v="8000"/>
    <n v="3"/>
    <s v="Cancelled"/>
    <d v="2025-02-17T00:00:00"/>
    <x v="1"/>
    <s v="Unique"/>
    <x v="1"/>
    <d v="2025-02-17T00:00:00"/>
    <n v="8"/>
    <n v="423"/>
    <n v="1"/>
    <n v="1"/>
    <n v="3"/>
    <x v="2"/>
    <x v="2"/>
  </r>
  <r>
    <x v="505"/>
    <x v="2"/>
    <x v="0"/>
    <d v="2023-06-24T00:00:00"/>
    <d v="2023-07-24T00:00:00"/>
    <n v="3500"/>
    <n v="38500"/>
    <n v="14"/>
    <s v="Active"/>
    <d v="2025-05-27T00:00:00"/>
    <x v="2"/>
    <s v="Unique"/>
    <x v="10"/>
    <d v="2025-05-27T00:00:00"/>
    <n v="23"/>
    <n v="324"/>
    <n v="2"/>
    <n v="3"/>
    <n v="5"/>
    <x v="60"/>
    <x v="2"/>
  </r>
  <r>
    <x v="506"/>
    <x v="6"/>
    <x v="1"/>
    <d v="2023-08-18T00:00:00"/>
    <d v="2023-11-16T00:00:00"/>
    <n v="3500"/>
    <n v="38500"/>
    <n v="12"/>
    <s v="Active"/>
    <d v="2025-09-25T00:00:00"/>
    <x v="2"/>
    <s v="Unique"/>
    <x v="27"/>
    <d v="2025-09-25T00:00:00"/>
    <n v="25"/>
    <n v="203"/>
    <n v="2"/>
    <n v="3"/>
    <n v="5"/>
    <x v="60"/>
    <x v="2"/>
  </r>
  <r>
    <x v="507"/>
    <x v="2"/>
    <x v="0"/>
    <d v="2024-12-25T00:00:00"/>
    <d v="2025-12-25T00:00:00"/>
    <n v="1000"/>
    <n v="6000"/>
    <n v="12"/>
    <s v="Active"/>
    <d v="2025-11-23T00:00:00"/>
    <x v="2"/>
    <s v="Unique"/>
    <x v="0"/>
    <d v="2025-11-23T00:00:00"/>
    <n v="10"/>
    <n v="144"/>
    <n v="3"/>
    <n v="3"/>
    <n v="3"/>
    <x v="91"/>
    <x v="0"/>
  </r>
  <r>
    <x v="508"/>
    <x v="0"/>
    <x v="0"/>
    <d v="2023-04-04T00:00:00"/>
    <d v="2024-04-03T00:00:00"/>
    <n v="1000"/>
    <n v="12000"/>
    <n v="13"/>
    <s v="Active"/>
    <d v="2024-01-22T00:00:00"/>
    <x v="2"/>
    <s v="Unique"/>
    <x v="28"/>
    <d v="2024-01-22T00:00:00"/>
    <n v="9"/>
    <n v="815"/>
    <n v="1"/>
    <n v="3"/>
    <n v="4"/>
    <x v="31"/>
    <x v="2"/>
  </r>
  <r>
    <x v="509"/>
    <x v="4"/>
    <x v="1"/>
    <d v="2023-08-19T00:00:00"/>
    <d v="2023-11-17T00:00:00"/>
    <n v="3500"/>
    <n v="21000"/>
    <n v="24"/>
    <s v="Cancelled"/>
    <d v="2026-04-08T00:00:00"/>
    <x v="0"/>
    <s v="Unique"/>
    <x v="27"/>
    <d v="2026-04-08T00:00:00"/>
    <n v="31"/>
    <n v="8"/>
    <n v="5"/>
    <n v="5"/>
    <n v="5"/>
    <x v="96"/>
    <x v="3"/>
  </r>
  <r>
    <x v="510"/>
    <x v="1"/>
    <x v="0"/>
    <d v="2024-11-18T00:00:00"/>
    <d v="2025-11-18T00:00:00"/>
    <n v="3500"/>
    <n v="31500"/>
    <n v="23"/>
    <s v="Active"/>
    <d v="2025-10-09T00:00:00"/>
    <x v="0"/>
    <s v="Unique"/>
    <x v="23"/>
    <d v="2025-10-09T00:00:00"/>
    <n v="10"/>
    <n v="189"/>
    <n v="2"/>
    <n v="5"/>
    <n v="5"/>
    <x v="83"/>
    <x v="2"/>
  </r>
  <r>
    <x v="511"/>
    <x v="4"/>
    <x v="2"/>
    <d v="2024-08-22T00:00:00"/>
    <d v="2025-08-22T00:00:00"/>
    <n v="3500"/>
    <n v="21000"/>
    <n v="4"/>
    <s v="Active"/>
    <d v="2024-09-11T00:00:00"/>
    <x v="1"/>
    <s v="Unique"/>
    <x v="12"/>
    <d v="2024-09-11T00:00:00"/>
    <n v="0"/>
    <n v="582"/>
    <n v="1"/>
    <n v="1"/>
    <n v="5"/>
    <x v="23"/>
    <x v="2"/>
  </r>
  <r>
    <x v="512"/>
    <x v="6"/>
    <x v="2"/>
    <d v="2025-07-27T00:00:00"/>
    <d v="2026-07-27T00:00:00"/>
    <n v="2000"/>
    <n v="8000"/>
    <n v="9"/>
    <s v="Cancelled"/>
    <d v="2025-09-29T00:00:00"/>
    <x v="2"/>
    <s v="Unique"/>
    <x v="17"/>
    <d v="2025-09-29T00:00:00"/>
    <n v="2"/>
    <n v="199"/>
    <n v="2"/>
    <n v="2"/>
    <n v="3"/>
    <x v="81"/>
    <x v="2"/>
  </r>
  <r>
    <x v="513"/>
    <x v="2"/>
    <x v="1"/>
    <d v="2025-02-06T00:00:00"/>
    <d v="2026-02-06T00:00:00"/>
    <n v="1000"/>
    <n v="12000"/>
    <n v="0"/>
    <s v="Active"/>
    <d v="2025-03-24T00:00:00"/>
    <x v="1"/>
    <s v="Unique"/>
    <x v="14"/>
    <d v="2025-03-24T00:00:00"/>
    <n v="1"/>
    <n v="388"/>
    <n v="1"/>
    <n v="1"/>
    <n v="4"/>
    <x v="39"/>
    <x v="2"/>
  </r>
  <r>
    <x v="514"/>
    <x v="6"/>
    <x v="1"/>
    <d v="2024-01-25T00:00:00"/>
    <d v="2024-02-24T00:00:00"/>
    <n v="2000"/>
    <n v="4000"/>
    <n v="24"/>
    <s v="Active"/>
    <d v="2025-08-01T00:00:00"/>
    <x v="0"/>
    <s v="Unique"/>
    <x v="34"/>
    <d v="2025-08-01T00:00:00"/>
    <n v="18"/>
    <n v="258"/>
    <n v="2"/>
    <n v="5"/>
    <n v="2"/>
    <x v="36"/>
    <x v="2"/>
  </r>
  <r>
    <x v="515"/>
    <x v="1"/>
    <x v="2"/>
    <d v="2024-11-27T00:00:00"/>
    <d v="2025-02-25T00:00:00"/>
    <n v="1000"/>
    <n v="2000"/>
    <n v="13"/>
    <s v="Active"/>
    <d v="2025-03-02T00:00:00"/>
    <x v="2"/>
    <s v="Unique"/>
    <x v="23"/>
    <d v="2025-03-02T00:00:00"/>
    <n v="3"/>
    <n v="410"/>
    <n v="1"/>
    <n v="3"/>
    <n v="2"/>
    <x v="46"/>
    <x v="2"/>
  </r>
  <r>
    <x v="516"/>
    <x v="0"/>
    <x v="1"/>
    <d v="2025-04-29T00:00:00"/>
    <d v="2025-05-29T00:00:00"/>
    <n v="1000"/>
    <n v="3000"/>
    <n v="4"/>
    <s v="Active"/>
    <d v="2025-08-26T00:00:00"/>
    <x v="1"/>
    <s v="Unique"/>
    <x v="26"/>
    <d v="2025-08-26T00:00:00"/>
    <n v="3"/>
    <n v="233"/>
    <n v="2"/>
    <n v="1"/>
    <n v="2"/>
    <x v="19"/>
    <x v="2"/>
  </r>
  <r>
    <x v="517"/>
    <x v="4"/>
    <x v="0"/>
    <d v="2025-01-04T00:00:00"/>
    <d v="2026-01-04T00:00:00"/>
    <n v="3500"/>
    <n v="7000"/>
    <n v="19"/>
    <s v="Active"/>
    <d v="2025-09-17T00:00:00"/>
    <x v="0"/>
    <s v="Unique"/>
    <x v="5"/>
    <d v="2025-09-17T00:00:00"/>
    <n v="8"/>
    <n v="211"/>
    <n v="2"/>
    <n v="4"/>
    <n v="3"/>
    <x v="24"/>
    <x v="2"/>
  </r>
  <r>
    <x v="518"/>
    <x v="4"/>
    <x v="1"/>
    <d v="2025-12-15T00:00:00"/>
    <d v="2026-01-14T00:00:00"/>
    <n v="2000"/>
    <n v="24000"/>
    <n v="8"/>
    <s v="Cancelled"/>
    <d v="2026-01-23T00:00:00"/>
    <x v="2"/>
    <s v="Unique"/>
    <x v="24"/>
    <d v="2026-01-23T00:00:00"/>
    <n v="1"/>
    <n v="83"/>
    <n v="4"/>
    <n v="2"/>
    <n v="5"/>
    <x v="82"/>
    <x v="1"/>
  </r>
  <r>
    <x v="519"/>
    <x v="2"/>
    <x v="2"/>
    <d v="2024-05-07T00:00:00"/>
    <d v="2024-06-06T00:00:00"/>
    <n v="3500"/>
    <n v="42000"/>
    <n v="24"/>
    <s v="Active"/>
    <d v="2025-01-04T00:00:00"/>
    <x v="0"/>
    <s v="Unique"/>
    <x v="15"/>
    <d v="2025-01-04T00:00:00"/>
    <n v="7"/>
    <n v="467"/>
    <n v="1"/>
    <n v="5"/>
    <n v="5"/>
    <x v="10"/>
    <x v="2"/>
  </r>
  <r>
    <x v="520"/>
    <x v="3"/>
    <x v="1"/>
    <d v="2023-04-07T00:00:00"/>
    <d v="2023-05-07T00:00:00"/>
    <n v="1000"/>
    <n v="2000"/>
    <n v="12"/>
    <s v="Active"/>
    <d v="2024-01-20T00:00:00"/>
    <x v="2"/>
    <s v="Unique"/>
    <x v="28"/>
    <d v="2024-01-20T00:00:00"/>
    <n v="9"/>
    <n v="817"/>
    <n v="1"/>
    <n v="3"/>
    <n v="2"/>
    <x v="46"/>
    <x v="2"/>
  </r>
  <r>
    <x v="521"/>
    <x v="6"/>
    <x v="0"/>
    <d v="2023-11-09T00:00:00"/>
    <d v="2024-11-08T00:00:00"/>
    <n v="2000"/>
    <n v="16000"/>
    <n v="19"/>
    <s v="Active"/>
    <d v="2025-01-05T00:00:00"/>
    <x v="0"/>
    <s v="Unique"/>
    <x v="21"/>
    <d v="2025-01-05T00:00:00"/>
    <n v="13"/>
    <n v="466"/>
    <n v="1"/>
    <n v="4"/>
    <n v="4"/>
    <x v="13"/>
    <x v="2"/>
  </r>
  <r>
    <x v="522"/>
    <x v="1"/>
    <x v="2"/>
    <d v="2024-10-13T00:00:00"/>
    <d v="2025-10-13T00:00:00"/>
    <n v="2000"/>
    <n v="18000"/>
    <n v="22"/>
    <s v="Active"/>
    <d v="2025-06-04T00:00:00"/>
    <x v="0"/>
    <s v="Unique"/>
    <x v="19"/>
    <d v="2025-06-04T00:00:00"/>
    <n v="7"/>
    <n v="316"/>
    <n v="2"/>
    <n v="5"/>
    <n v="4"/>
    <x v="56"/>
    <x v="2"/>
  </r>
  <r>
    <x v="523"/>
    <x v="3"/>
    <x v="1"/>
    <d v="2024-10-12T00:00:00"/>
    <d v="2024-11-11T00:00:00"/>
    <n v="1000"/>
    <n v="2000"/>
    <n v="22"/>
    <s v="Active"/>
    <d v="2025-09-07T00:00:00"/>
    <x v="0"/>
    <s v="Unique"/>
    <x v="19"/>
    <d v="2025-09-07T00:00:00"/>
    <n v="10"/>
    <n v="221"/>
    <n v="2"/>
    <n v="5"/>
    <n v="2"/>
    <x v="36"/>
    <x v="2"/>
  </r>
  <r>
    <x v="524"/>
    <x v="1"/>
    <x v="2"/>
    <d v="2023-09-27T00:00:00"/>
    <d v="2023-12-26T00:00:00"/>
    <n v="1000"/>
    <n v="8000"/>
    <n v="13"/>
    <s v="Active"/>
    <d v="2024-12-03T00:00:00"/>
    <x v="2"/>
    <s v="Unique"/>
    <x v="25"/>
    <d v="2024-12-03T00:00:00"/>
    <n v="14"/>
    <n v="499"/>
    <n v="1"/>
    <n v="3"/>
    <n v="3"/>
    <x v="61"/>
    <x v="2"/>
  </r>
  <r>
    <x v="525"/>
    <x v="1"/>
    <x v="1"/>
    <d v="2024-08-30T00:00:00"/>
    <d v="2024-11-28T00:00:00"/>
    <n v="3500"/>
    <n v="42000"/>
    <n v="11"/>
    <s v="Active"/>
    <d v="2025-02-25T00:00:00"/>
    <x v="2"/>
    <s v="Unique"/>
    <x v="12"/>
    <d v="2025-02-25T00:00:00"/>
    <n v="5"/>
    <n v="415"/>
    <n v="1"/>
    <n v="3"/>
    <n v="5"/>
    <x v="21"/>
    <x v="2"/>
  </r>
  <r>
    <x v="526"/>
    <x v="4"/>
    <x v="1"/>
    <d v="2024-02-11T00:00:00"/>
    <d v="2024-05-11T00:00:00"/>
    <n v="1000"/>
    <n v="2000"/>
    <n v="3"/>
    <s v="Active"/>
    <d v="2024-04-01T00:00:00"/>
    <x v="1"/>
    <s v="Unique"/>
    <x v="3"/>
    <d v="2024-04-01T00:00:00"/>
    <n v="1"/>
    <n v="745"/>
    <n v="1"/>
    <n v="1"/>
    <n v="2"/>
    <x v="79"/>
    <x v="2"/>
  </r>
  <r>
    <x v="527"/>
    <x v="3"/>
    <x v="2"/>
    <d v="2024-08-18T00:00:00"/>
    <d v="2024-11-16T00:00:00"/>
    <n v="2000"/>
    <n v="20000"/>
    <n v="18"/>
    <s v="Active"/>
    <d v="2025-10-02T00:00:00"/>
    <x v="0"/>
    <s v="Unique"/>
    <x v="12"/>
    <d v="2025-10-02T00:00:00"/>
    <n v="13"/>
    <n v="196"/>
    <n v="2"/>
    <n v="4"/>
    <n v="5"/>
    <x v="48"/>
    <x v="2"/>
  </r>
  <r>
    <x v="528"/>
    <x v="0"/>
    <x v="2"/>
    <d v="2023-08-08T00:00:00"/>
    <d v="2023-09-07T00:00:00"/>
    <n v="3500"/>
    <n v="21000"/>
    <n v="0"/>
    <s v="Active"/>
    <d v="2023-09-07T00:00:00"/>
    <x v="1"/>
    <s v="Unique"/>
    <x v="27"/>
    <d v="2023-09-07T00:00:00"/>
    <n v="0"/>
    <n v="952"/>
    <n v="1"/>
    <n v="1"/>
    <n v="5"/>
    <x v="23"/>
    <x v="2"/>
  </r>
  <r>
    <x v="529"/>
    <x v="5"/>
    <x v="1"/>
    <d v="2023-04-29T00:00:00"/>
    <d v="2024-04-28T00:00:00"/>
    <n v="3500"/>
    <n v="28000"/>
    <n v="6"/>
    <s v="Cancelled"/>
    <d v="2023-11-07T00:00:00"/>
    <x v="2"/>
    <s v="Unique"/>
    <x v="28"/>
    <d v="2023-11-07T00:00:00"/>
    <n v="6"/>
    <n v="891"/>
    <n v="1"/>
    <n v="2"/>
    <n v="5"/>
    <x v="69"/>
    <x v="2"/>
  </r>
  <r>
    <x v="530"/>
    <x v="1"/>
    <x v="0"/>
    <d v="2023-02-03T00:00:00"/>
    <d v="2023-03-05T00:00:00"/>
    <n v="3500"/>
    <n v="38500"/>
    <n v="2"/>
    <s v="Active"/>
    <d v="2023-02-23T00:00:00"/>
    <x v="1"/>
    <s v="Unique"/>
    <x v="16"/>
    <d v="2023-02-23T00:00:00"/>
    <n v="0"/>
    <n v="1148"/>
    <n v="1"/>
    <n v="1"/>
    <n v="5"/>
    <x v="23"/>
    <x v="2"/>
  </r>
  <r>
    <x v="531"/>
    <x v="1"/>
    <x v="0"/>
    <d v="2025-10-04T00:00:00"/>
    <d v="2026-10-04T00:00:00"/>
    <n v="3500"/>
    <n v="38500"/>
    <n v="5"/>
    <s v="Active"/>
    <d v="2025-11-17T00:00:00"/>
    <x v="2"/>
    <s v="Unique"/>
    <x v="32"/>
    <d v="2025-11-17T00:00:00"/>
    <n v="1"/>
    <n v="150"/>
    <n v="3"/>
    <n v="2"/>
    <n v="5"/>
    <x v="29"/>
    <x v="1"/>
  </r>
  <r>
    <x v="532"/>
    <x v="1"/>
    <x v="0"/>
    <d v="2023-01-23T00:00:00"/>
    <d v="2024-01-23T00:00:00"/>
    <n v="1000"/>
    <n v="12000"/>
    <n v="7"/>
    <s v="Active"/>
    <d v="2023-04-04T00:00:00"/>
    <x v="2"/>
    <s v="Unique"/>
    <x v="2"/>
    <d v="2023-04-04T00:00:00"/>
    <n v="2"/>
    <n v="1108"/>
    <n v="1"/>
    <n v="2"/>
    <n v="4"/>
    <x v="47"/>
    <x v="2"/>
  </r>
  <r>
    <x v="533"/>
    <x v="3"/>
    <x v="1"/>
    <d v="2026-01-12T00:00:00"/>
    <d v="2026-02-11T00:00:00"/>
    <n v="3500"/>
    <n v="10500"/>
    <n v="14"/>
    <s v="Active"/>
    <d v="2026-04-01T00:00:00"/>
    <x v="2"/>
    <s v="Unique"/>
    <x v="35"/>
    <d v="2026-04-01T00:00:00"/>
    <n v="2"/>
    <n v="15"/>
    <n v="5"/>
    <n v="3"/>
    <n v="4"/>
    <x v="101"/>
    <x v="0"/>
  </r>
  <r>
    <x v="534"/>
    <x v="5"/>
    <x v="0"/>
    <d v="2023-11-16T00:00:00"/>
    <d v="2024-11-15T00:00:00"/>
    <n v="1000"/>
    <n v="11000"/>
    <n v="13"/>
    <s v="Active"/>
    <d v="2024-01-29T00:00:00"/>
    <x v="2"/>
    <s v="Unique"/>
    <x v="21"/>
    <d v="2024-01-29T00:00:00"/>
    <n v="2"/>
    <n v="808"/>
    <n v="1"/>
    <n v="3"/>
    <n v="4"/>
    <x v="31"/>
    <x v="2"/>
  </r>
  <r>
    <x v="535"/>
    <x v="2"/>
    <x v="2"/>
    <d v="2025-09-12T00:00:00"/>
    <d v="2025-12-11T00:00:00"/>
    <n v="3500"/>
    <n v="14000"/>
    <n v="22"/>
    <s v="Cancelled"/>
    <d v="2026-02-01T00:00:00"/>
    <x v="0"/>
    <s v="Unique"/>
    <x v="36"/>
    <d v="2026-02-01T00:00:00"/>
    <n v="4"/>
    <n v="74"/>
    <n v="4"/>
    <n v="5"/>
    <n v="4"/>
    <x v="94"/>
    <x v="3"/>
  </r>
  <r>
    <x v="536"/>
    <x v="3"/>
    <x v="2"/>
    <d v="2025-02-06T00:00:00"/>
    <d v="2025-03-08T00:00:00"/>
    <n v="2000"/>
    <n v="10000"/>
    <n v="17"/>
    <s v="Active"/>
    <d v="2026-03-09T00:00:00"/>
    <x v="0"/>
    <s v="Unique"/>
    <x v="14"/>
    <d v="2026-03-09T00:00:00"/>
    <n v="13"/>
    <n v="38"/>
    <n v="4"/>
    <n v="4"/>
    <n v="4"/>
    <x v="32"/>
    <x v="3"/>
  </r>
  <r>
    <x v="537"/>
    <x v="3"/>
    <x v="0"/>
    <d v="2024-06-16T00:00:00"/>
    <d v="2024-09-14T00:00:00"/>
    <n v="3500"/>
    <n v="14000"/>
    <n v="3"/>
    <s v="Cancelled"/>
    <d v="2026-01-11T00:00:00"/>
    <x v="1"/>
    <s v="Unique"/>
    <x v="1"/>
    <d v="2026-01-11T00:00:00"/>
    <n v="18"/>
    <n v="95"/>
    <n v="3"/>
    <n v="1"/>
    <n v="4"/>
    <x v="54"/>
    <x v="1"/>
  </r>
  <r>
    <x v="538"/>
    <x v="0"/>
    <x v="2"/>
    <d v="2024-05-02T00:00:00"/>
    <d v="2024-07-31T00:00:00"/>
    <n v="1000"/>
    <n v="8000"/>
    <n v="19"/>
    <s v="Cancelled"/>
    <d v="2024-05-09T00:00:00"/>
    <x v="0"/>
    <s v="Unique"/>
    <x v="15"/>
    <d v="2024-05-09T00:00:00"/>
    <n v="0"/>
    <n v="707"/>
    <n v="1"/>
    <n v="4"/>
    <n v="3"/>
    <x v="42"/>
    <x v="2"/>
  </r>
  <r>
    <x v="539"/>
    <x v="0"/>
    <x v="2"/>
    <d v="2024-03-25T00:00:00"/>
    <d v="2024-04-24T00:00:00"/>
    <n v="1000"/>
    <n v="2000"/>
    <n v="25"/>
    <s v="Active"/>
    <d v="2025-03-02T00:00:00"/>
    <x v="0"/>
    <s v="Unique"/>
    <x v="11"/>
    <d v="2025-03-02T00:00:00"/>
    <n v="11"/>
    <n v="410"/>
    <n v="1"/>
    <n v="5"/>
    <n v="2"/>
    <x v="66"/>
    <x v="2"/>
  </r>
  <r>
    <x v="540"/>
    <x v="0"/>
    <x v="0"/>
    <d v="2024-04-18T00:00:00"/>
    <d v="2025-04-18T00:00:00"/>
    <n v="2000"/>
    <n v="24000"/>
    <n v="6"/>
    <s v="Active"/>
    <d v="2025-01-01T00:00:00"/>
    <x v="2"/>
    <s v="Unique"/>
    <x v="9"/>
    <d v="2025-01-01T00:00:00"/>
    <n v="8"/>
    <n v="470"/>
    <n v="1"/>
    <n v="2"/>
    <n v="5"/>
    <x v="69"/>
    <x v="2"/>
  </r>
  <r>
    <x v="541"/>
    <x v="4"/>
    <x v="0"/>
    <d v="2024-06-03T00:00:00"/>
    <d v="2024-07-03T00:00:00"/>
    <n v="3500"/>
    <n v="31500"/>
    <n v="8"/>
    <s v="Cancelled"/>
    <d v="2024-08-12T00:00:00"/>
    <x v="2"/>
    <s v="Unique"/>
    <x v="1"/>
    <d v="2024-08-12T00:00:00"/>
    <n v="2"/>
    <n v="612"/>
    <n v="1"/>
    <n v="2"/>
    <n v="5"/>
    <x v="69"/>
    <x v="2"/>
  </r>
  <r>
    <x v="542"/>
    <x v="5"/>
    <x v="0"/>
    <d v="2024-02-25T00:00:00"/>
    <d v="2025-02-24T00:00:00"/>
    <n v="2000"/>
    <n v="10000"/>
    <n v="12"/>
    <s v="Active"/>
    <d v="2024-10-22T00:00:00"/>
    <x v="2"/>
    <s v="Unique"/>
    <x v="3"/>
    <d v="2024-10-22T00:00:00"/>
    <n v="7"/>
    <n v="541"/>
    <n v="1"/>
    <n v="3"/>
    <n v="4"/>
    <x v="31"/>
    <x v="2"/>
  </r>
  <r>
    <x v="543"/>
    <x v="4"/>
    <x v="0"/>
    <d v="2024-04-30T00:00:00"/>
    <d v="2025-04-30T00:00:00"/>
    <n v="2000"/>
    <n v="16000"/>
    <n v="6"/>
    <s v="Active"/>
    <d v="2024-07-21T00:00:00"/>
    <x v="2"/>
    <s v="Unique"/>
    <x v="9"/>
    <d v="2024-07-21T00:00:00"/>
    <n v="2"/>
    <n v="634"/>
    <n v="1"/>
    <n v="2"/>
    <n v="4"/>
    <x v="47"/>
    <x v="2"/>
  </r>
  <r>
    <x v="544"/>
    <x v="4"/>
    <x v="2"/>
    <d v="2025-11-24T00:00:00"/>
    <d v="2026-11-24T00:00:00"/>
    <n v="3500"/>
    <n v="42000"/>
    <n v="10"/>
    <s v="Active"/>
    <d v="2026-03-18T00:00:00"/>
    <x v="2"/>
    <s v="Unique"/>
    <x v="7"/>
    <d v="2026-03-18T00:00:00"/>
    <n v="3"/>
    <n v="29"/>
    <n v="5"/>
    <n v="3"/>
    <n v="5"/>
    <x v="68"/>
    <x v="0"/>
  </r>
  <r>
    <x v="545"/>
    <x v="6"/>
    <x v="0"/>
    <d v="2023-11-07T00:00:00"/>
    <d v="2024-11-06T00:00:00"/>
    <n v="2000"/>
    <n v="18000"/>
    <n v="9"/>
    <s v="Active"/>
    <d v="2023-11-28T00:00:00"/>
    <x v="2"/>
    <s v="Unique"/>
    <x v="21"/>
    <d v="2023-11-28T00:00:00"/>
    <n v="0"/>
    <n v="870"/>
    <n v="1"/>
    <n v="2"/>
    <n v="4"/>
    <x v="47"/>
    <x v="2"/>
  </r>
  <r>
    <x v="546"/>
    <x v="0"/>
    <x v="1"/>
    <d v="2024-12-03T00:00:00"/>
    <d v="2025-01-02T00:00:00"/>
    <n v="2000"/>
    <n v="4000"/>
    <n v="2"/>
    <s v="Active"/>
    <d v="2024-12-29T00:00:00"/>
    <x v="1"/>
    <s v="Unique"/>
    <x v="0"/>
    <d v="2024-12-29T00:00:00"/>
    <n v="0"/>
    <n v="473"/>
    <n v="1"/>
    <n v="1"/>
    <n v="2"/>
    <x v="79"/>
    <x v="2"/>
  </r>
  <r>
    <x v="547"/>
    <x v="6"/>
    <x v="2"/>
    <d v="2024-12-20T00:00:00"/>
    <d v="2025-03-20T00:00:00"/>
    <n v="1000"/>
    <n v="5000"/>
    <n v="21"/>
    <s v="Active"/>
    <d v="2025-01-22T00:00:00"/>
    <x v="0"/>
    <s v="Unique"/>
    <x v="0"/>
    <d v="2025-01-22T00:00:00"/>
    <n v="1"/>
    <n v="449"/>
    <n v="1"/>
    <n v="5"/>
    <n v="3"/>
    <x v="73"/>
    <x v="2"/>
  </r>
  <r>
    <x v="548"/>
    <x v="6"/>
    <x v="1"/>
    <d v="2023-07-03T00:00:00"/>
    <d v="2023-10-01T00:00:00"/>
    <n v="2000"/>
    <n v="22000"/>
    <n v="2"/>
    <s v="Active"/>
    <d v="2024-06-19T00:00:00"/>
    <x v="1"/>
    <s v="Unique"/>
    <x v="6"/>
    <d v="2024-06-19T00:00:00"/>
    <n v="11"/>
    <n v="666"/>
    <n v="1"/>
    <n v="1"/>
    <n v="5"/>
    <x v="23"/>
    <x v="2"/>
  </r>
  <r>
    <x v="549"/>
    <x v="4"/>
    <x v="1"/>
    <d v="2024-05-19T00:00:00"/>
    <d v="2024-06-18T00:00:00"/>
    <n v="3500"/>
    <n v="38500"/>
    <n v="13"/>
    <s v="Active"/>
    <d v="2025-05-06T00:00:00"/>
    <x v="2"/>
    <s v="Unique"/>
    <x v="15"/>
    <d v="2025-05-06T00:00:00"/>
    <n v="11"/>
    <n v="345"/>
    <n v="2"/>
    <n v="3"/>
    <n v="5"/>
    <x v="60"/>
    <x v="2"/>
  </r>
  <r>
    <x v="550"/>
    <x v="2"/>
    <x v="1"/>
    <d v="2023-09-05T00:00:00"/>
    <d v="2023-10-05T00:00:00"/>
    <n v="3500"/>
    <n v="35000"/>
    <n v="4"/>
    <s v="Active"/>
    <d v="2026-04-01T00:00:00"/>
    <x v="1"/>
    <s v="Unique"/>
    <x v="25"/>
    <d v="2026-04-01T00:00:00"/>
    <n v="30"/>
    <n v="15"/>
    <n v="5"/>
    <n v="1"/>
    <n v="5"/>
    <x v="74"/>
    <x v="1"/>
  </r>
  <r>
    <x v="551"/>
    <x v="2"/>
    <x v="1"/>
    <d v="2023-12-15T00:00:00"/>
    <d v="2024-12-14T00:00:00"/>
    <n v="3500"/>
    <n v="31500"/>
    <n v="14"/>
    <s v="Active"/>
    <d v="2025-12-13T00:00:00"/>
    <x v="2"/>
    <s v="Unique"/>
    <x v="22"/>
    <d v="2025-12-13T00:00:00"/>
    <n v="23"/>
    <n v="124"/>
    <n v="3"/>
    <n v="3"/>
    <n v="5"/>
    <x v="25"/>
    <x v="0"/>
  </r>
  <r>
    <x v="552"/>
    <x v="5"/>
    <x v="0"/>
    <d v="2024-04-01T00:00:00"/>
    <d v="2025-04-01T00:00:00"/>
    <n v="3500"/>
    <n v="3500"/>
    <n v="10"/>
    <s v="Active"/>
    <d v="2026-04-12T00:00:00"/>
    <x v="2"/>
    <s v="Unique"/>
    <x v="9"/>
    <d v="2026-04-12T00:00:00"/>
    <n v="24"/>
    <n v="4"/>
    <n v="5"/>
    <n v="3"/>
    <n v="2"/>
    <x v="102"/>
    <x v="1"/>
  </r>
  <r>
    <x v="553"/>
    <x v="1"/>
    <x v="0"/>
    <d v="2025-12-14T00:00:00"/>
    <d v="2026-12-14T00:00:00"/>
    <n v="1000"/>
    <n v="12000"/>
    <n v="11"/>
    <s v="Active"/>
    <d v="2026-04-03T00:00:00"/>
    <x v="2"/>
    <s v="Unique"/>
    <x v="24"/>
    <d v="2026-04-03T00:00:00"/>
    <n v="3"/>
    <n v="13"/>
    <n v="5"/>
    <n v="3"/>
    <n v="4"/>
    <x v="101"/>
    <x v="0"/>
  </r>
  <r>
    <x v="554"/>
    <x v="6"/>
    <x v="1"/>
    <d v="2025-04-10T00:00:00"/>
    <d v="2025-07-09T00:00:00"/>
    <n v="1000"/>
    <n v="2000"/>
    <n v="1"/>
    <s v="Active"/>
    <d v="2025-07-24T00:00:00"/>
    <x v="1"/>
    <s v="Unique"/>
    <x v="26"/>
    <d v="2025-07-24T00:00:00"/>
    <n v="3"/>
    <n v="266"/>
    <n v="2"/>
    <n v="1"/>
    <n v="2"/>
    <x v="19"/>
    <x v="2"/>
  </r>
  <r>
    <x v="555"/>
    <x v="6"/>
    <x v="0"/>
    <d v="2025-02-14T00:00:00"/>
    <d v="2025-03-16T00:00:00"/>
    <n v="3500"/>
    <n v="31500"/>
    <n v="16"/>
    <s v="Active"/>
    <d v="2025-08-25T00:00:00"/>
    <x v="0"/>
    <s v="Unique"/>
    <x v="14"/>
    <d v="2025-08-25T00:00:00"/>
    <n v="6"/>
    <n v="234"/>
    <n v="2"/>
    <n v="4"/>
    <n v="5"/>
    <x v="48"/>
    <x v="2"/>
  </r>
  <r>
    <x v="556"/>
    <x v="6"/>
    <x v="2"/>
    <d v="2025-01-25T00:00:00"/>
    <d v="2026-01-25T00:00:00"/>
    <n v="2000"/>
    <n v="8000"/>
    <n v="13"/>
    <s v="Active"/>
    <d v="2025-12-09T00:00:00"/>
    <x v="2"/>
    <s v="Unique"/>
    <x v="5"/>
    <d v="2025-12-09T00:00:00"/>
    <n v="10"/>
    <n v="128"/>
    <n v="3"/>
    <n v="3"/>
    <n v="3"/>
    <x v="91"/>
    <x v="0"/>
  </r>
  <r>
    <x v="557"/>
    <x v="5"/>
    <x v="1"/>
    <d v="2023-10-16T00:00:00"/>
    <d v="2024-10-15T00:00:00"/>
    <n v="2000"/>
    <n v="18000"/>
    <n v="14"/>
    <s v="Cancelled"/>
    <d v="2026-02-23T00:00:00"/>
    <x v="2"/>
    <s v="Unique"/>
    <x v="31"/>
    <d v="2026-02-23T00:00:00"/>
    <n v="28"/>
    <n v="52"/>
    <n v="4"/>
    <n v="3"/>
    <n v="4"/>
    <x v="14"/>
    <x v="0"/>
  </r>
  <r>
    <x v="558"/>
    <x v="0"/>
    <x v="0"/>
    <d v="2024-01-31T00:00:00"/>
    <d v="2024-03-01T00:00:00"/>
    <n v="1000"/>
    <n v="2000"/>
    <n v="3"/>
    <s v="Cancelled"/>
    <d v="2025-11-23T00:00:00"/>
    <x v="1"/>
    <s v="Unique"/>
    <x v="34"/>
    <d v="2025-11-23T00:00:00"/>
    <n v="21"/>
    <n v="144"/>
    <n v="3"/>
    <n v="1"/>
    <n v="2"/>
    <x v="55"/>
    <x v="1"/>
  </r>
  <r>
    <x v="559"/>
    <x v="0"/>
    <x v="0"/>
    <d v="2023-12-21T00:00:00"/>
    <d v="2024-01-20T00:00:00"/>
    <n v="2000"/>
    <n v="20000"/>
    <n v="1"/>
    <s v="Cancelled"/>
    <d v="2026-02-13T00:00:00"/>
    <x v="1"/>
    <s v="Unique"/>
    <x v="22"/>
    <d v="2026-02-13T00:00:00"/>
    <n v="25"/>
    <n v="62"/>
    <n v="4"/>
    <n v="1"/>
    <n v="5"/>
    <x v="80"/>
    <x v="1"/>
  </r>
  <r>
    <x v="560"/>
    <x v="1"/>
    <x v="0"/>
    <d v="2024-01-26T00:00:00"/>
    <d v="2024-02-25T00:00:00"/>
    <n v="2000"/>
    <n v="16000"/>
    <n v="4"/>
    <s v="Active"/>
    <d v="2024-02-19T00:00:00"/>
    <x v="1"/>
    <s v="Unique"/>
    <x v="34"/>
    <d v="2024-02-19T00:00:00"/>
    <n v="0"/>
    <n v="787"/>
    <n v="1"/>
    <n v="1"/>
    <n v="4"/>
    <x v="39"/>
    <x v="2"/>
  </r>
  <r>
    <x v="561"/>
    <x v="0"/>
    <x v="2"/>
    <d v="2025-11-02T00:00:00"/>
    <d v="2025-12-02T00:00:00"/>
    <n v="2000"/>
    <n v="4000"/>
    <n v="8"/>
    <s v="Active"/>
    <d v="2026-02-28T00:00:00"/>
    <x v="2"/>
    <s v="Unique"/>
    <x v="7"/>
    <d v="2026-02-28T00:00:00"/>
    <n v="3"/>
    <n v="47"/>
    <n v="4"/>
    <n v="2"/>
    <n v="2"/>
    <x v="7"/>
    <x v="1"/>
  </r>
  <r>
    <x v="562"/>
    <x v="4"/>
    <x v="2"/>
    <d v="2025-10-28T00:00:00"/>
    <d v="2026-01-26T00:00:00"/>
    <n v="2000"/>
    <n v="12000"/>
    <n v="20"/>
    <s v="Active"/>
    <d v="2026-01-21T00:00:00"/>
    <x v="0"/>
    <s v="Unique"/>
    <x v="32"/>
    <d v="2026-01-21T00:00:00"/>
    <n v="2"/>
    <n v="85"/>
    <n v="4"/>
    <n v="5"/>
    <n v="4"/>
    <x v="94"/>
    <x v="3"/>
  </r>
  <r>
    <x v="563"/>
    <x v="4"/>
    <x v="2"/>
    <d v="2023-03-14T00:00:00"/>
    <d v="2023-06-12T00:00:00"/>
    <n v="2000"/>
    <n v="24000"/>
    <n v="1"/>
    <s v="Active"/>
    <d v="2023-06-07T00:00:00"/>
    <x v="1"/>
    <s v="Unique"/>
    <x v="20"/>
    <d v="2023-06-07T00:00:00"/>
    <n v="2"/>
    <n v="1044"/>
    <n v="1"/>
    <n v="1"/>
    <n v="5"/>
    <x v="23"/>
    <x v="2"/>
  </r>
  <r>
    <x v="564"/>
    <x v="6"/>
    <x v="1"/>
    <d v="2025-06-18T00:00:00"/>
    <d v="2025-07-18T00:00:00"/>
    <n v="3500"/>
    <n v="21000"/>
    <n v="21"/>
    <s v="Active"/>
    <d v="2025-09-01T00:00:00"/>
    <x v="0"/>
    <s v="Unique"/>
    <x v="18"/>
    <d v="2025-09-01T00:00:00"/>
    <n v="2"/>
    <n v="227"/>
    <n v="2"/>
    <n v="5"/>
    <n v="5"/>
    <x v="83"/>
    <x v="2"/>
  </r>
  <r>
    <x v="565"/>
    <x v="3"/>
    <x v="2"/>
    <d v="2024-01-26T00:00:00"/>
    <d v="2024-02-25T00:00:00"/>
    <n v="1000"/>
    <n v="11000"/>
    <n v="5"/>
    <s v="Active"/>
    <d v="2024-10-17T00:00:00"/>
    <x v="2"/>
    <s v="Unique"/>
    <x v="34"/>
    <d v="2024-10-17T00:00:00"/>
    <n v="8"/>
    <n v="546"/>
    <n v="1"/>
    <n v="2"/>
    <n v="4"/>
    <x v="47"/>
    <x v="2"/>
  </r>
  <r>
    <x v="566"/>
    <x v="3"/>
    <x v="2"/>
    <d v="2024-09-29T00:00:00"/>
    <d v="2024-10-29T00:00:00"/>
    <n v="1000"/>
    <n v="11000"/>
    <n v="21"/>
    <s v="Active"/>
    <d v="2025-04-16T00:00:00"/>
    <x v="0"/>
    <s v="Unique"/>
    <x v="8"/>
    <d v="2025-04-16T00:00:00"/>
    <n v="6"/>
    <n v="365"/>
    <n v="2"/>
    <n v="5"/>
    <n v="4"/>
    <x v="56"/>
    <x v="2"/>
  </r>
  <r>
    <x v="567"/>
    <x v="5"/>
    <x v="0"/>
    <d v="2026-01-31T00:00:00"/>
    <d v="2026-03-02T00:00:00"/>
    <n v="3500"/>
    <n v="35000"/>
    <n v="16"/>
    <s v="Active"/>
    <d v="2026-04-02T00:00:00"/>
    <x v="0"/>
    <s v="Unique"/>
    <x v="35"/>
    <d v="2026-04-02T00:00:00"/>
    <n v="2"/>
    <n v="14"/>
    <n v="5"/>
    <n v="4"/>
    <n v="5"/>
    <x v="65"/>
    <x v="3"/>
  </r>
  <r>
    <x v="568"/>
    <x v="2"/>
    <x v="2"/>
    <d v="2024-10-17T00:00:00"/>
    <d v="2025-10-17T00:00:00"/>
    <n v="3500"/>
    <n v="42000"/>
    <n v="25"/>
    <s v="Active"/>
    <d v="2025-07-24T00:00:00"/>
    <x v="0"/>
    <s v="Unique"/>
    <x v="19"/>
    <d v="2025-07-24T00:00:00"/>
    <n v="9"/>
    <n v="266"/>
    <n v="2"/>
    <n v="5"/>
    <n v="5"/>
    <x v="83"/>
    <x v="2"/>
  </r>
  <r>
    <x v="569"/>
    <x v="0"/>
    <x v="1"/>
    <d v="2024-12-23T00:00:00"/>
    <d v="2025-12-23T00:00:00"/>
    <n v="2000"/>
    <n v="4000"/>
    <n v="21"/>
    <s v="Active"/>
    <d v="2025-09-03T00:00:00"/>
    <x v="0"/>
    <s v="Unique"/>
    <x v="0"/>
    <d v="2025-09-03T00:00:00"/>
    <n v="8"/>
    <n v="225"/>
    <n v="2"/>
    <n v="5"/>
    <n v="2"/>
    <x v="36"/>
    <x v="2"/>
  </r>
  <r>
    <x v="570"/>
    <x v="1"/>
    <x v="0"/>
    <d v="2025-07-10T00:00:00"/>
    <d v="2025-10-08T00:00:00"/>
    <n v="2000"/>
    <n v="2000"/>
    <n v="9"/>
    <s v="Active"/>
    <d v="2026-01-17T00:00:00"/>
    <x v="2"/>
    <s v="Unique"/>
    <x v="17"/>
    <d v="2026-01-17T00:00:00"/>
    <n v="6"/>
    <n v="89"/>
    <n v="4"/>
    <n v="2"/>
    <n v="2"/>
    <x v="7"/>
    <x v="1"/>
  </r>
  <r>
    <x v="571"/>
    <x v="6"/>
    <x v="0"/>
    <d v="2025-12-08T00:00:00"/>
    <d v="2026-01-07T00:00:00"/>
    <n v="3500"/>
    <n v="3500"/>
    <n v="25"/>
    <s v="Cancelled"/>
    <d v="2025-12-23T00:00:00"/>
    <x v="0"/>
    <s v="Unique"/>
    <x v="24"/>
    <d v="2025-12-23T00:00:00"/>
    <n v="0"/>
    <n v="114"/>
    <n v="3"/>
    <n v="5"/>
    <n v="2"/>
    <x v="4"/>
    <x v="1"/>
  </r>
  <r>
    <x v="572"/>
    <x v="3"/>
    <x v="0"/>
    <d v="2024-07-07T00:00:00"/>
    <d v="2024-08-06T00:00:00"/>
    <n v="1000"/>
    <n v="7000"/>
    <n v="18"/>
    <s v="Active"/>
    <d v="2025-09-03T00:00:00"/>
    <x v="0"/>
    <s v="Unique"/>
    <x v="13"/>
    <d v="2025-09-03T00:00:00"/>
    <n v="13"/>
    <n v="225"/>
    <n v="2"/>
    <n v="4"/>
    <n v="3"/>
    <x v="24"/>
    <x v="2"/>
  </r>
  <r>
    <x v="573"/>
    <x v="5"/>
    <x v="2"/>
    <d v="2023-05-21T00:00:00"/>
    <d v="2024-05-20T00:00:00"/>
    <n v="2000"/>
    <n v="6000"/>
    <n v="10"/>
    <s v="Active"/>
    <d v="2025-10-07T00:00:00"/>
    <x v="2"/>
    <s v="Unique"/>
    <x v="29"/>
    <d v="2025-10-07T00:00:00"/>
    <n v="28"/>
    <n v="191"/>
    <n v="2"/>
    <n v="3"/>
    <n v="3"/>
    <x v="3"/>
    <x v="2"/>
  </r>
  <r>
    <x v="574"/>
    <x v="2"/>
    <x v="0"/>
    <d v="2023-01-26T00:00:00"/>
    <d v="2023-04-26T00:00:00"/>
    <n v="1000"/>
    <n v="11000"/>
    <n v="22"/>
    <s v="Active"/>
    <d v="2025-06-21T00:00:00"/>
    <x v="0"/>
    <s v="Unique"/>
    <x v="2"/>
    <d v="2025-06-21T00:00:00"/>
    <n v="28"/>
    <n v="299"/>
    <n v="2"/>
    <n v="5"/>
    <n v="4"/>
    <x v="56"/>
    <x v="2"/>
  </r>
  <r>
    <x v="575"/>
    <x v="2"/>
    <x v="1"/>
    <d v="2025-10-19T00:00:00"/>
    <d v="2026-10-19T00:00:00"/>
    <n v="3500"/>
    <n v="21000"/>
    <n v="21"/>
    <s v="Active"/>
    <d v="2026-02-08T00:00:00"/>
    <x v="0"/>
    <s v="Unique"/>
    <x v="32"/>
    <d v="2026-02-08T00:00:00"/>
    <n v="3"/>
    <n v="67"/>
    <n v="4"/>
    <n v="5"/>
    <n v="5"/>
    <x v="15"/>
    <x v="3"/>
  </r>
  <r>
    <x v="576"/>
    <x v="1"/>
    <x v="1"/>
    <d v="2025-03-18T00:00:00"/>
    <d v="2025-04-17T00:00:00"/>
    <n v="2000"/>
    <n v="14000"/>
    <n v="1"/>
    <s v="Cancelled"/>
    <d v="2025-04-30T00:00:00"/>
    <x v="1"/>
    <s v="Unique"/>
    <x v="33"/>
    <d v="2025-04-30T00:00:00"/>
    <n v="1"/>
    <n v="351"/>
    <n v="2"/>
    <n v="1"/>
    <n v="4"/>
    <x v="70"/>
    <x v="2"/>
  </r>
  <r>
    <x v="577"/>
    <x v="3"/>
    <x v="1"/>
    <d v="2024-08-29T00:00:00"/>
    <d v="2025-08-29T00:00:00"/>
    <n v="1000"/>
    <n v="12000"/>
    <n v="6"/>
    <s v="Active"/>
    <d v="2026-02-28T00:00:00"/>
    <x v="2"/>
    <s v="Unique"/>
    <x v="12"/>
    <d v="2026-02-28T00:00:00"/>
    <n v="17"/>
    <n v="47"/>
    <n v="4"/>
    <n v="2"/>
    <n v="4"/>
    <x v="53"/>
    <x v="1"/>
  </r>
  <r>
    <x v="578"/>
    <x v="4"/>
    <x v="2"/>
    <d v="2024-03-06T00:00:00"/>
    <d v="2024-06-04T00:00:00"/>
    <n v="2000"/>
    <n v="4000"/>
    <n v="3"/>
    <s v="Active"/>
    <d v="2026-02-25T00:00:00"/>
    <x v="1"/>
    <s v="Unique"/>
    <x v="11"/>
    <d v="2026-02-25T00:00:00"/>
    <n v="23"/>
    <n v="50"/>
    <n v="4"/>
    <n v="1"/>
    <n v="2"/>
    <x v="103"/>
    <x v="1"/>
  </r>
  <r>
    <x v="579"/>
    <x v="6"/>
    <x v="2"/>
    <d v="2025-09-28T00:00:00"/>
    <d v="2025-12-27T00:00:00"/>
    <n v="1000"/>
    <n v="10000"/>
    <n v="6"/>
    <s v="Cancelled"/>
    <d v="2026-03-12T00:00:00"/>
    <x v="2"/>
    <s v="Unique"/>
    <x v="36"/>
    <d v="2026-03-12T00:00:00"/>
    <n v="5"/>
    <n v="35"/>
    <n v="4"/>
    <n v="2"/>
    <n v="4"/>
    <x v="53"/>
    <x v="1"/>
  </r>
  <r>
    <x v="580"/>
    <x v="1"/>
    <x v="1"/>
    <d v="2025-03-18T00:00:00"/>
    <d v="2026-03-18T00:00:00"/>
    <n v="1000"/>
    <n v="11000"/>
    <n v="25"/>
    <s v="Active"/>
    <d v="2025-07-19T00:00:00"/>
    <x v="0"/>
    <s v="Unique"/>
    <x v="33"/>
    <d v="2025-07-19T00:00:00"/>
    <n v="4"/>
    <n v="271"/>
    <n v="2"/>
    <n v="5"/>
    <n v="4"/>
    <x v="56"/>
    <x v="2"/>
  </r>
  <r>
    <x v="581"/>
    <x v="5"/>
    <x v="1"/>
    <d v="2023-12-08T00:00:00"/>
    <d v="2024-01-07T00:00:00"/>
    <n v="2000"/>
    <n v="18000"/>
    <n v="21"/>
    <s v="Active"/>
    <d v="2025-04-03T00:00:00"/>
    <x v="0"/>
    <s v="Unique"/>
    <x v="22"/>
    <d v="2025-04-03T00:00:00"/>
    <n v="15"/>
    <n v="378"/>
    <n v="1"/>
    <n v="5"/>
    <n v="4"/>
    <x v="27"/>
    <x v="2"/>
  </r>
  <r>
    <x v="582"/>
    <x v="1"/>
    <x v="1"/>
    <d v="2024-06-05T00:00:00"/>
    <d v="2025-06-05T00:00:00"/>
    <n v="2000"/>
    <n v="10000"/>
    <n v="12"/>
    <s v="Cancelled"/>
    <d v="2025-07-21T00:00:00"/>
    <x v="2"/>
    <s v="Unique"/>
    <x v="1"/>
    <d v="2025-07-21T00:00:00"/>
    <n v="13"/>
    <n v="269"/>
    <n v="2"/>
    <n v="3"/>
    <n v="4"/>
    <x v="8"/>
    <x v="2"/>
  </r>
  <r>
    <x v="583"/>
    <x v="3"/>
    <x v="1"/>
    <d v="2025-06-20T00:00:00"/>
    <d v="2025-09-18T00:00:00"/>
    <n v="2000"/>
    <n v="14000"/>
    <n v="2"/>
    <s v="Cancelled"/>
    <d v="2025-11-13T00:00:00"/>
    <x v="1"/>
    <s v="Unique"/>
    <x v="18"/>
    <d v="2025-11-13T00:00:00"/>
    <n v="4"/>
    <n v="154"/>
    <n v="3"/>
    <n v="1"/>
    <n v="4"/>
    <x v="54"/>
    <x v="1"/>
  </r>
  <r>
    <x v="584"/>
    <x v="1"/>
    <x v="0"/>
    <d v="2025-08-21T00:00:00"/>
    <d v="2025-09-20T00:00:00"/>
    <n v="2000"/>
    <n v="22000"/>
    <n v="21"/>
    <s v="Cancelled"/>
    <d v="2025-12-11T00:00:00"/>
    <x v="0"/>
    <s v="Unique"/>
    <x v="4"/>
    <d v="2025-12-11T00:00:00"/>
    <n v="3"/>
    <n v="126"/>
    <n v="3"/>
    <n v="5"/>
    <n v="5"/>
    <x v="26"/>
    <x v="0"/>
  </r>
  <r>
    <x v="585"/>
    <x v="5"/>
    <x v="2"/>
    <d v="2023-11-30T00:00:00"/>
    <d v="2024-02-28T00:00:00"/>
    <n v="3500"/>
    <n v="21000"/>
    <n v="14"/>
    <s v="Active"/>
    <d v="2023-12-06T00:00:00"/>
    <x v="2"/>
    <s v="Unique"/>
    <x v="21"/>
    <d v="2023-12-06T00:00:00"/>
    <n v="0"/>
    <n v="862"/>
    <n v="1"/>
    <n v="3"/>
    <n v="5"/>
    <x v="21"/>
    <x v="2"/>
  </r>
  <r>
    <x v="586"/>
    <x v="1"/>
    <x v="0"/>
    <d v="2023-05-03T00:00:00"/>
    <d v="2023-06-02T00:00:00"/>
    <n v="3500"/>
    <n v="38500"/>
    <n v="5"/>
    <s v="Active"/>
    <d v="2024-03-29T00:00:00"/>
    <x v="2"/>
    <s v="Unique"/>
    <x v="29"/>
    <d v="2024-03-29T00:00:00"/>
    <n v="10"/>
    <n v="748"/>
    <n v="1"/>
    <n v="2"/>
    <n v="5"/>
    <x v="69"/>
    <x v="2"/>
  </r>
  <r>
    <x v="587"/>
    <x v="4"/>
    <x v="1"/>
    <d v="2025-01-03T00:00:00"/>
    <d v="2025-02-02T00:00:00"/>
    <n v="1000"/>
    <n v="9000"/>
    <n v="25"/>
    <s v="Active"/>
    <d v="2025-11-27T00:00:00"/>
    <x v="0"/>
    <s v="Unique"/>
    <x v="5"/>
    <d v="2025-11-27T00:00:00"/>
    <n v="10"/>
    <n v="140"/>
    <n v="3"/>
    <n v="5"/>
    <n v="3"/>
    <x v="72"/>
    <x v="0"/>
  </r>
  <r>
    <x v="588"/>
    <x v="4"/>
    <x v="2"/>
    <d v="2024-10-04T00:00:00"/>
    <d v="2024-11-03T00:00:00"/>
    <n v="2000"/>
    <n v="18000"/>
    <n v="4"/>
    <s v="Active"/>
    <d v="2024-12-24T00:00:00"/>
    <x v="1"/>
    <s v="Unique"/>
    <x v="19"/>
    <d v="2024-12-24T00:00:00"/>
    <n v="2"/>
    <n v="478"/>
    <n v="1"/>
    <n v="1"/>
    <n v="4"/>
    <x v="39"/>
    <x v="2"/>
  </r>
  <r>
    <x v="589"/>
    <x v="6"/>
    <x v="2"/>
    <d v="2023-06-25T00:00:00"/>
    <d v="2023-07-25T00:00:00"/>
    <n v="2000"/>
    <n v="24000"/>
    <n v="14"/>
    <s v="Active"/>
    <d v="2025-11-10T00:00:00"/>
    <x v="2"/>
    <s v="Unique"/>
    <x v="10"/>
    <d v="2025-11-10T00:00:00"/>
    <n v="28"/>
    <n v="157"/>
    <n v="3"/>
    <n v="3"/>
    <n v="5"/>
    <x v="25"/>
    <x v="0"/>
  </r>
  <r>
    <x v="590"/>
    <x v="4"/>
    <x v="0"/>
    <d v="2023-05-30T00:00:00"/>
    <d v="2023-06-29T00:00:00"/>
    <n v="3500"/>
    <n v="24500"/>
    <n v="7"/>
    <s v="Active"/>
    <d v="2023-06-27T00:00:00"/>
    <x v="2"/>
    <s v="Unique"/>
    <x v="29"/>
    <d v="2023-06-27T00:00:00"/>
    <n v="0"/>
    <n v="1024"/>
    <n v="1"/>
    <n v="2"/>
    <n v="5"/>
    <x v="69"/>
    <x v="2"/>
  </r>
  <r>
    <x v="591"/>
    <x v="6"/>
    <x v="1"/>
    <d v="2025-04-09T00:00:00"/>
    <d v="2026-04-09T00:00:00"/>
    <n v="1000"/>
    <n v="5000"/>
    <n v="23"/>
    <s v="Active"/>
    <d v="2026-01-23T00:00:00"/>
    <x v="0"/>
    <s v="Unique"/>
    <x v="26"/>
    <d v="2026-01-23T00:00:00"/>
    <n v="9"/>
    <n v="83"/>
    <n v="4"/>
    <n v="5"/>
    <n v="3"/>
    <x v="35"/>
    <x v="0"/>
  </r>
  <r>
    <x v="592"/>
    <x v="0"/>
    <x v="1"/>
    <d v="2023-07-17T00:00:00"/>
    <d v="2023-10-15T00:00:00"/>
    <n v="2000"/>
    <n v="24000"/>
    <n v="13"/>
    <s v="Active"/>
    <d v="2025-11-02T00:00:00"/>
    <x v="2"/>
    <s v="Unique"/>
    <x v="6"/>
    <d v="2025-11-02T00:00:00"/>
    <n v="27"/>
    <n v="165"/>
    <n v="3"/>
    <n v="3"/>
    <n v="5"/>
    <x v="25"/>
    <x v="0"/>
  </r>
  <r>
    <x v="593"/>
    <x v="5"/>
    <x v="1"/>
    <d v="2025-10-17T00:00:00"/>
    <d v="2026-10-17T00:00:00"/>
    <n v="2000"/>
    <n v="24000"/>
    <n v="6"/>
    <s v="Cancelled"/>
    <d v="2025-12-09T00:00:00"/>
    <x v="2"/>
    <s v="Unique"/>
    <x v="32"/>
    <d v="2025-12-09T00:00:00"/>
    <n v="1"/>
    <n v="128"/>
    <n v="3"/>
    <n v="2"/>
    <n v="5"/>
    <x v="29"/>
    <x v="1"/>
  </r>
  <r>
    <x v="594"/>
    <x v="6"/>
    <x v="2"/>
    <d v="2025-04-18T00:00:00"/>
    <d v="2026-04-18T00:00:00"/>
    <n v="3500"/>
    <n v="17500"/>
    <n v="25"/>
    <s v="Active"/>
    <d v="2025-06-14T00:00:00"/>
    <x v="0"/>
    <s v="Unique"/>
    <x v="26"/>
    <d v="2025-06-14T00:00:00"/>
    <n v="1"/>
    <n v="306"/>
    <n v="2"/>
    <n v="5"/>
    <n v="4"/>
    <x v="56"/>
    <x v="2"/>
  </r>
  <r>
    <x v="595"/>
    <x v="3"/>
    <x v="0"/>
    <d v="2023-01-03T00:00:00"/>
    <d v="2024-01-03T00:00:00"/>
    <n v="3500"/>
    <n v="10500"/>
    <n v="8"/>
    <s v="Active"/>
    <d v="2025-10-26T00:00:00"/>
    <x v="2"/>
    <s v="Unique"/>
    <x v="2"/>
    <d v="2025-10-26T00:00:00"/>
    <n v="33"/>
    <n v="172"/>
    <n v="3"/>
    <n v="2"/>
    <n v="4"/>
    <x v="58"/>
    <x v="1"/>
  </r>
  <r>
    <x v="596"/>
    <x v="4"/>
    <x v="0"/>
    <d v="2025-03-18T00:00:00"/>
    <d v="2025-06-16T00:00:00"/>
    <n v="2000"/>
    <n v="18000"/>
    <n v="13"/>
    <s v="Active"/>
    <d v="2025-04-03T00:00:00"/>
    <x v="2"/>
    <s v="Unique"/>
    <x v="33"/>
    <d v="2025-04-03T00:00:00"/>
    <n v="0"/>
    <n v="378"/>
    <n v="1"/>
    <n v="3"/>
    <n v="4"/>
    <x v="31"/>
    <x v="2"/>
  </r>
  <r>
    <x v="597"/>
    <x v="5"/>
    <x v="0"/>
    <d v="2024-05-06T00:00:00"/>
    <d v="2024-08-04T00:00:00"/>
    <n v="3500"/>
    <n v="35000"/>
    <n v="14"/>
    <s v="Active"/>
    <d v="2024-07-12T00:00:00"/>
    <x v="2"/>
    <s v="Unique"/>
    <x v="15"/>
    <d v="2024-07-12T00:00:00"/>
    <n v="2"/>
    <n v="643"/>
    <n v="1"/>
    <n v="3"/>
    <n v="5"/>
    <x v="21"/>
    <x v="2"/>
  </r>
  <r>
    <x v="598"/>
    <x v="5"/>
    <x v="0"/>
    <d v="2024-09-09T00:00:00"/>
    <d v="2024-10-09T00:00:00"/>
    <n v="3500"/>
    <n v="10500"/>
    <n v="13"/>
    <s v="Active"/>
    <d v="2026-03-01T00:00:00"/>
    <x v="2"/>
    <s v="Unique"/>
    <x v="8"/>
    <d v="2026-03-01T00:00:00"/>
    <n v="17"/>
    <n v="46"/>
    <n v="4"/>
    <n v="3"/>
    <n v="4"/>
    <x v="14"/>
    <x v="0"/>
  </r>
  <r>
    <x v="599"/>
    <x v="0"/>
    <x v="1"/>
    <d v="2023-05-17T00:00:00"/>
    <d v="2023-08-15T00:00:00"/>
    <n v="3500"/>
    <n v="24500"/>
    <n v="24"/>
    <s v="Active"/>
    <d v="2025-06-11T00:00:00"/>
    <x v="0"/>
    <s v="Unique"/>
    <x v="29"/>
    <d v="2025-06-11T00:00:00"/>
    <n v="24"/>
    <n v="309"/>
    <n v="2"/>
    <n v="5"/>
    <n v="5"/>
    <x v="83"/>
    <x v="2"/>
  </r>
  <r>
    <x v="600"/>
    <x v="0"/>
    <x v="1"/>
    <d v="2024-10-16T00:00:00"/>
    <d v="2025-01-14T00:00:00"/>
    <n v="1000"/>
    <n v="2000"/>
    <n v="19"/>
    <s v="Cancelled"/>
    <d v="2026-04-02T00:00:00"/>
    <x v="0"/>
    <s v="Unique"/>
    <x v="19"/>
    <d v="2026-04-02T00:00:00"/>
    <n v="17"/>
    <n v="14"/>
    <n v="5"/>
    <n v="4"/>
    <n v="2"/>
    <x v="59"/>
    <x v="1"/>
  </r>
  <r>
    <x v="601"/>
    <x v="6"/>
    <x v="1"/>
    <d v="2023-02-02T00:00:00"/>
    <d v="2023-03-04T00:00:00"/>
    <n v="1000"/>
    <n v="4000"/>
    <n v="9"/>
    <s v="Active"/>
    <d v="2025-04-27T00:00:00"/>
    <x v="2"/>
    <s v="Unique"/>
    <x v="16"/>
    <d v="2025-04-27T00:00:00"/>
    <n v="26"/>
    <n v="354"/>
    <n v="2"/>
    <n v="2"/>
    <n v="2"/>
    <x v="43"/>
    <x v="2"/>
  </r>
  <r>
    <x v="602"/>
    <x v="6"/>
    <x v="0"/>
    <d v="2025-06-29T00:00:00"/>
    <d v="2025-07-29T00:00:00"/>
    <n v="2000"/>
    <n v="20000"/>
    <n v="12"/>
    <s v="Active"/>
    <d v="2025-11-06T00:00:00"/>
    <x v="2"/>
    <s v="Unique"/>
    <x v="18"/>
    <d v="2025-11-06T00:00:00"/>
    <n v="4"/>
    <n v="161"/>
    <n v="3"/>
    <n v="3"/>
    <n v="5"/>
    <x v="25"/>
    <x v="0"/>
  </r>
  <r>
    <x v="603"/>
    <x v="4"/>
    <x v="0"/>
    <d v="2023-09-09T00:00:00"/>
    <d v="2023-12-08T00:00:00"/>
    <n v="3500"/>
    <n v="31500"/>
    <n v="20"/>
    <s v="Active"/>
    <d v="2025-12-10T00:00:00"/>
    <x v="0"/>
    <s v="Unique"/>
    <x v="25"/>
    <d v="2025-12-10T00:00:00"/>
    <n v="27"/>
    <n v="127"/>
    <n v="3"/>
    <n v="5"/>
    <n v="5"/>
    <x v="26"/>
    <x v="0"/>
  </r>
  <r>
    <x v="604"/>
    <x v="0"/>
    <x v="1"/>
    <d v="2023-08-17T00:00:00"/>
    <d v="2023-11-15T00:00:00"/>
    <n v="3500"/>
    <n v="35000"/>
    <n v="25"/>
    <s v="Active"/>
    <d v="2023-11-07T00:00:00"/>
    <x v="0"/>
    <s v="Unique"/>
    <x v="27"/>
    <d v="2023-11-07T00:00:00"/>
    <n v="2"/>
    <n v="891"/>
    <n v="1"/>
    <n v="5"/>
    <n v="5"/>
    <x v="10"/>
    <x v="2"/>
  </r>
  <r>
    <x v="605"/>
    <x v="0"/>
    <x v="1"/>
    <d v="2023-11-21T00:00:00"/>
    <d v="2023-12-21T00:00:00"/>
    <n v="1000"/>
    <n v="1000"/>
    <n v="20"/>
    <s v="Active"/>
    <d v="2024-12-16T00:00:00"/>
    <x v="0"/>
    <s v="Unique"/>
    <x v="21"/>
    <d v="2024-12-16T00:00:00"/>
    <n v="12"/>
    <n v="486"/>
    <n v="1"/>
    <n v="5"/>
    <n v="1"/>
    <x v="104"/>
    <x v="2"/>
  </r>
  <r>
    <x v="606"/>
    <x v="2"/>
    <x v="1"/>
    <d v="2025-03-04T00:00:00"/>
    <d v="2026-03-04T00:00:00"/>
    <n v="2000"/>
    <n v="20000"/>
    <n v="16"/>
    <s v="Active"/>
    <d v="2026-02-12T00:00:00"/>
    <x v="0"/>
    <s v="Unique"/>
    <x v="33"/>
    <d v="2026-02-12T00:00:00"/>
    <n v="11"/>
    <n v="63"/>
    <n v="4"/>
    <n v="4"/>
    <n v="5"/>
    <x v="63"/>
    <x v="3"/>
  </r>
  <r>
    <x v="607"/>
    <x v="4"/>
    <x v="2"/>
    <d v="2023-09-20T00:00:00"/>
    <d v="2023-12-19T00:00:00"/>
    <n v="3500"/>
    <n v="14000"/>
    <n v="19"/>
    <s v="Active"/>
    <d v="2023-12-13T00:00:00"/>
    <x v="0"/>
    <s v="Unique"/>
    <x v="25"/>
    <d v="2023-12-13T00:00:00"/>
    <n v="2"/>
    <n v="855"/>
    <n v="1"/>
    <n v="4"/>
    <n v="4"/>
    <x v="13"/>
    <x v="2"/>
  </r>
  <r>
    <x v="608"/>
    <x v="3"/>
    <x v="0"/>
    <d v="2026-01-19T00:00:00"/>
    <d v="2026-02-18T00:00:00"/>
    <n v="3500"/>
    <n v="24500"/>
    <n v="20"/>
    <s v="Active"/>
    <d v="2026-03-01T00:00:00"/>
    <x v="0"/>
    <s v="Unique"/>
    <x v="35"/>
    <d v="2026-03-01T00:00:00"/>
    <n v="1"/>
    <n v="46"/>
    <n v="4"/>
    <n v="5"/>
    <n v="5"/>
    <x v="15"/>
    <x v="3"/>
  </r>
  <r>
    <x v="609"/>
    <x v="4"/>
    <x v="0"/>
    <d v="2024-12-03T00:00:00"/>
    <d v="2025-01-02T00:00:00"/>
    <n v="2000"/>
    <n v="20000"/>
    <n v="1"/>
    <s v="Cancelled"/>
    <d v="2025-01-07T00:00:00"/>
    <x v="1"/>
    <s v="Unique"/>
    <x v="0"/>
    <d v="2025-01-07T00:00:00"/>
    <n v="1"/>
    <n v="464"/>
    <n v="1"/>
    <n v="1"/>
    <n v="5"/>
    <x v="23"/>
    <x v="2"/>
  </r>
  <r>
    <x v="610"/>
    <x v="3"/>
    <x v="0"/>
    <d v="2025-09-27T00:00:00"/>
    <d v="2025-10-27T00:00:00"/>
    <n v="3500"/>
    <n v="42000"/>
    <n v="12"/>
    <s v="Active"/>
    <d v="2026-02-08T00:00:00"/>
    <x v="2"/>
    <s v="Unique"/>
    <x v="36"/>
    <d v="2026-02-08T00:00:00"/>
    <n v="4"/>
    <n v="67"/>
    <n v="4"/>
    <n v="3"/>
    <n v="5"/>
    <x v="30"/>
    <x v="0"/>
  </r>
  <r>
    <x v="611"/>
    <x v="4"/>
    <x v="0"/>
    <d v="2024-05-25T00:00:00"/>
    <d v="2024-06-24T00:00:00"/>
    <n v="2000"/>
    <n v="10000"/>
    <n v="1"/>
    <s v="Active"/>
    <d v="2024-06-14T00:00:00"/>
    <x v="1"/>
    <s v="Unique"/>
    <x v="15"/>
    <d v="2024-06-14T00:00:00"/>
    <n v="0"/>
    <n v="671"/>
    <n v="1"/>
    <n v="1"/>
    <n v="4"/>
    <x v="39"/>
    <x v="2"/>
  </r>
  <r>
    <x v="612"/>
    <x v="0"/>
    <x v="0"/>
    <d v="2023-11-23T00:00:00"/>
    <d v="2024-02-21T00:00:00"/>
    <n v="2000"/>
    <n v="18000"/>
    <n v="12"/>
    <s v="Active"/>
    <d v="2026-02-18T00:00:00"/>
    <x v="2"/>
    <s v="Unique"/>
    <x v="21"/>
    <d v="2026-02-18T00:00:00"/>
    <n v="26"/>
    <n v="57"/>
    <n v="4"/>
    <n v="3"/>
    <n v="4"/>
    <x v="14"/>
    <x v="0"/>
  </r>
  <r>
    <x v="613"/>
    <x v="2"/>
    <x v="0"/>
    <d v="2026-01-09T00:00:00"/>
    <d v="2026-04-09T00:00:00"/>
    <n v="3500"/>
    <n v="28000"/>
    <n v="15"/>
    <s v="Active"/>
    <d v="2026-02-24T00:00:00"/>
    <x v="0"/>
    <s v="Unique"/>
    <x v="35"/>
    <d v="2026-02-24T00:00:00"/>
    <n v="1"/>
    <n v="51"/>
    <n v="4"/>
    <n v="4"/>
    <n v="5"/>
    <x v="63"/>
    <x v="3"/>
  </r>
  <r>
    <x v="614"/>
    <x v="6"/>
    <x v="2"/>
    <d v="2024-01-28T00:00:00"/>
    <d v="2025-01-27T00:00:00"/>
    <n v="3500"/>
    <n v="38500"/>
    <n v="13"/>
    <s v="Cancelled"/>
    <d v="2024-12-02T00:00:00"/>
    <x v="2"/>
    <s v="Unique"/>
    <x v="34"/>
    <d v="2024-12-02T00:00:00"/>
    <n v="10"/>
    <n v="500"/>
    <n v="1"/>
    <n v="3"/>
    <n v="5"/>
    <x v="21"/>
    <x v="2"/>
  </r>
  <r>
    <x v="615"/>
    <x v="1"/>
    <x v="0"/>
    <d v="2024-08-24T00:00:00"/>
    <d v="2024-09-23T00:00:00"/>
    <n v="1000"/>
    <n v="11000"/>
    <n v="0"/>
    <s v="Cancelled"/>
    <d v="2024-09-24T00:00:00"/>
    <x v="1"/>
    <s v="Unique"/>
    <x v="12"/>
    <d v="2024-09-24T00:00:00"/>
    <n v="1"/>
    <n v="569"/>
    <n v="1"/>
    <n v="1"/>
    <n v="4"/>
    <x v="39"/>
    <x v="2"/>
  </r>
  <r>
    <x v="616"/>
    <x v="5"/>
    <x v="1"/>
    <d v="2023-11-18T00:00:00"/>
    <d v="2023-12-18T00:00:00"/>
    <n v="2000"/>
    <n v="10000"/>
    <n v="24"/>
    <s v="Cancelled"/>
    <d v="2024-01-13T00:00:00"/>
    <x v="0"/>
    <s v="Unique"/>
    <x v="21"/>
    <d v="2024-01-13T00:00:00"/>
    <n v="1"/>
    <n v="824"/>
    <n v="1"/>
    <n v="5"/>
    <n v="4"/>
    <x v="27"/>
    <x v="2"/>
  </r>
  <r>
    <x v="617"/>
    <x v="2"/>
    <x v="2"/>
    <d v="2025-07-05T00:00:00"/>
    <d v="2026-07-05T00:00:00"/>
    <n v="1000"/>
    <n v="7000"/>
    <n v="9"/>
    <s v="Active"/>
    <d v="2025-10-13T00:00:00"/>
    <x v="2"/>
    <s v="Unique"/>
    <x v="17"/>
    <d v="2025-10-13T00:00:00"/>
    <n v="3"/>
    <n v="185"/>
    <n v="2"/>
    <n v="2"/>
    <n v="3"/>
    <x v="81"/>
    <x v="2"/>
  </r>
  <r>
    <x v="618"/>
    <x v="5"/>
    <x v="1"/>
    <d v="2023-01-11T00:00:00"/>
    <d v="2023-04-11T00:00:00"/>
    <n v="1000"/>
    <n v="12000"/>
    <n v="15"/>
    <s v="Active"/>
    <d v="2025-05-15T00:00:00"/>
    <x v="0"/>
    <s v="Unique"/>
    <x v="2"/>
    <d v="2025-05-15T00:00:00"/>
    <n v="28"/>
    <n v="336"/>
    <n v="2"/>
    <n v="4"/>
    <n v="4"/>
    <x v="9"/>
    <x v="2"/>
  </r>
  <r>
    <x v="619"/>
    <x v="4"/>
    <x v="2"/>
    <d v="2023-05-06T00:00:00"/>
    <d v="2023-08-04T00:00:00"/>
    <n v="2000"/>
    <n v="18000"/>
    <n v="20"/>
    <s v="Active"/>
    <d v="2026-03-28T00:00:00"/>
    <x v="0"/>
    <s v="Unique"/>
    <x v="29"/>
    <d v="2026-03-28T00:00:00"/>
    <n v="34"/>
    <n v="19"/>
    <n v="5"/>
    <n v="5"/>
    <n v="4"/>
    <x v="77"/>
    <x v="3"/>
  </r>
  <r>
    <x v="620"/>
    <x v="6"/>
    <x v="1"/>
    <d v="2024-10-20T00:00:00"/>
    <d v="2024-11-19T00:00:00"/>
    <n v="3500"/>
    <n v="17500"/>
    <n v="7"/>
    <s v="Active"/>
    <d v="2025-01-02T00:00:00"/>
    <x v="2"/>
    <s v="Unique"/>
    <x v="19"/>
    <d v="2025-01-02T00:00:00"/>
    <n v="2"/>
    <n v="469"/>
    <n v="1"/>
    <n v="2"/>
    <n v="4"/>
    <x v="47"/>
    <x v="2"/>
  </r>
  <r>
    <x v="621"/>
    <x v="2"/>
    <x v="0"/>
    <d v="2025-11-18T00:00:00"/>
    <d v="2025-12-18T00:00:00"/>
    <n v="2000"/>
    <n v="20000"/>
    <n v="10"/>
    <s v="Active"/>
    <d v="2025-12-31T00:00:00"/>
    <x v="2"/>
    <s v="Unique"/>
    <x v="7"/>
    <d v="2025-12-31T00:00:00"/>
    <n v="1"/>
    <n v="106"/>
    <n v="3"/>
    <n v="3"/>
    <n v="5"/>
    <x v="25"/>
    <x v="0"/>
  </r>
  <r>
    <x v="622"/>
    <x v="2"/>
    <x v="2"/>
    <d v="2024-10-30T00:00:00"/>
    <d v="2025-10-30T00:00:00"/>
    <n v="2000"/>
    <n v="12000"/>
    <n v="21"/>
    <s v="Active"/>
    <d v="2025-09-27T00:00:00"/>
    <x v="0"/>
    <s v="Unique"/>
    <x v="19"/>
    <d v="2025-09-27T00:00:00"/>
    <n v="10"/>
    <n v="201"/>
    <n v="2"/>
    <n v="5"/>
    <n v="4"/>
    <x v="56"/>
    <x v="2"/>
  </r>
  <r>
    <x v="623"/>
    <x v="5"/>
    <x v="0"/>
    <d v="2023-01-08T00:00:00"/>
    <d v="2023-02-07T00:00:00"/>
    <n v="2000"/>
    <n v="16000"/>
    <n v="6"/>
    <s v="Active"/>
    <d v="2025-10-30T00:00:00"/>
    <x v="2"/>
    <s v="Unique"/>
    <x v="2"/>
    <d v="2025-10-30T00:00:00"/>
    <n v="33"/>
    <n v="168"/>
    <n v="3"/>
    <n v="2"/>
    <n v="4"/>
    <x v="58"/>
    <x v="1"/>
  </r>
  <r>
    <x v="624"/>
    <x v="1"/>
    <x v="2"/>
    <d v="2025-02-24T00:00:00"/>
    <d v="2025-05-25T00:00:00"/>
    <n v="1000"/>
    <n v="6000"/>
    <n v="15"/>
    <s v="Active"/>
    <d v="2025-07-02T00:00:00"/>
    <x v="0"/>
    <s v="Unique"/>
    <x v="14"/>
    <d v="2025-07-02T00:00:00"/>
    <n v="4"/>
    <n v="288"/>
    <n v="2"/>
    <n v="4"/>
    <n v="3"/>
    <x v="24"/>
    <x v="2"/>
  </r>
  <r>
    <x v="625"/>
    <x v="0"/>
    <x v="1"/>
    <d v="2025-05-29T00:00:00"/>
    <d v="2025-06-28T00:00:00"/>
    <n v="3500"/>
    <n v="17500"/>
    <n v="25"/>
    <s v="Active"/>
    <d v="2025-10-04T00:00:00"/>
    <x v="0"/>
    <s v="Unique"/>
    <x v="30"/>
    <d v="2025-10-04T00:00:00"/>
    <n v="4"/>
    <n v="194"/>
    <n v="2"/>
    <n v="5"/>
    <n v="4"/>
    <x v="56"/>
    <x v="2"/>
  </r>
  <r>
    <x v="626"/>
    <x v="5"/>
    <x v="2"/>
    <d v="2023-04-15T00:00:00"/>
    <d v="2023-05-15T00:00:00"/>
    <n v="2000"/>
    <n v="22000"/>
    <n v="21"/>
    <s v="Active"/>
    <d v="2025-01-06T00:00:00"/>
    <x v="0"/>
    <s v="Unique"/>
    <x v="28"/>
    <d v="2025-01-06T00:00:00"/>
    <n v="20"/>
    <n v="465"/>
    <n v="1"/>
    <n v="5"/>
    <n v="5"/>
    <x v="10"/>
    <x v="2"/>
  </r>
  <r>
    <x v="627"/>
    <x v="3"/>
    <x v="0"/>
    <d v="2025-03-14T00:00:00"/>
    <d v="2025-04-13T00:00:00"/>
    <n v="3500"/>
    <n v="24500"/>
    <n v="3"/>
    <s v="Cancelled"/>
    <d v="2026-02-01T00:00:00"/>
    <x v="1"/>
    <s v="Unique"/>
    <x v="33"/>
    <d v="2026-02-01T00:00:00"/>
    <n v="10"/>
    <n v="74"/>
    <n v="4"/>
    <n v="1"/>
    <n v="5"/>
    <x v="80"/>
    <x v="1"/>
  </r>
  <r>
    <x v="628"/>
    <x v="2"/>
    <x v="2"/>
    <d v="2023-01-22T00:00:00"/>
    <d v="2023-02-21T00:00:00"/>
    <n v="3500"/>
    <n v="42000"/>
    <n v="16"/>
    <s v="Active"/>
    <d v="2024-12-28T00:00:00"/>
    <x v="0"/>
    <s v="Unique"/>
    <x v="2"/>
    <d v="2024-12-28T00:00:00"/>
    <n v="23"/>
    <n v="474"/>
    <n v="1"/>
    <n v="4"/>
    <n v="5"/>
    <x v="16"/>
    <x v="2"/>
  </r>
  <r>
    <x v="629"/>
    <x v="2"/>
    <x v="1"/>
    <d v="2025-02-02T00:00:00"/>
    <d v="2025-03-04T00:00:00"/>
    <n v="2000"/>
    <n v="6000"/>
    <n v="22"/>
    <s v="Active"/>
    <d v="2025-10-13T00:00:00"/>
    <x v="0"/>
    <s v="Unique"/>
    <x v="14"/>
    <d v="2025-10-13T00:00:00"/>
    <n v="8"/>
    <n v="185"/>
    <n v="2"/>
    <n v="5"/>
    <n v="3"/>
    <x v="41"/>
    <x v="2"/>
  </r>
  <r>
    <x v="630"/>
    <x v="5"/>
    <x v="0"/>
    <d v="2025-08-18T00:00:00"/>
    <d v="2025-11-16T00:00:00"/>
    <n v="2000"/>
    <n v="22000"/>
    <n v="24"/>
    <s v="Active"/>
    <d v="2026-01-21T00:00:00"/>
    <x v="0"/>
    <s v="Unique"/>
    <x v="4"/>
    <d v="2026-01-21T00:00:00"/>
    <n v="5"/>
    <n v="85"/>
    <n v="4"/>
    <n v="5"/>
    <n v="5"/>
    <x v="15"/>
    <x v="3"/>
  </r>
  <r>
    <x v="631"/>
    <x v="4"/>
    <x v="2"/>
    <d v="2024-03-30T00:00:00"/>
    <d v="2024-06-28T00:00:00"/>
    <n v="2000"/>
    <n v="10000"/>
    <n v="8"/>
    <s v="Active"/>
    <d v="2024-08-07T00:00:00"/>
    <x v="2"/>
    <s v="Unique"/>
    <x v="11"/>
    <d v="2024-08-07T00:00:00"/>
    <n v="4"/>
    <n v="617"/>
    <n v="1"/>
    <n v="2"/>
    <n v="4"/>
    <x v="47"/>
    <x v="2"/>
  </r>
  <r>
    <x v="632"/>
    <x v="4"/>
    <x v="2"/>
    <d v="2023-01-24T00:00:00"/>
    <d v="2024-01-24T00:00:00"/>
    <n v="3500"/>
    <n v="31500"/>
    <n v="3"/>
    <s v="Active"/>
    <d v="2025-03-11T00:00:00"/>
    <x v="1"/>
    <s v="Unique"/>
    <x v="2"/>
    <d v="2025-03-11T00:00:00"/>
    <n v="25"/>
    <n v="401"/>
    <n v="1"/>
    <n v="1"/>
    <n v="5"/>
    <x v="23"/>
    <x v="2"/>
  </r>
  <r>
    <x v="633"/>
    <x v="5"/>
    <x v="0"/>
    <d v="2025-11-16T00:00:00"/>
    <d v="2025-12-16T00:00:00"/>
    <n v="3500"/>
    <n v="35000"/>
    <n v="24"/>
    <s v="Active"/>
    <d v="2026-03-01T00:00:00"/>
    <x v="0"/>
    <s v="Unique"/>
    <x v="7"/>
    <d v="2026-03-01T00:00:00"/>
    <n v="3"/>
    <n v="46"/>
    <n v="4"/>
    <n v="5"/>
    <n v="5"/>
    <x v="15"/>
    <x v="3"/>
  </r>
  <r>
    <x v="634"/>
    <x v="5"/>
    <x v="0"/>
    <d v="2025-09-28T00:00:00"/>
    <d v="2025-10-28T00:00:00"/>
    <n v="1000"/>
    <n v="4000"/>
    <n v="14"/>
    <s v="Active"/>
    <d v="2025-10-15T00:00:00"/>
    <x v="2"/>
    <s v="Unique"/>
    <x v="36"/>
    <d v="2025-10-15T00:00:00"/>
    <n v="0"/>
    <n v="183"/>
    <n v="2"/>
    <n v="3"/>
    <n v="2"/>
    <x v="62"/>
    <x v="2"/>
  </r>
  <r>
    <x v="635"/>
    <x v="2"/>
    <x v="0"/>
    <d v="2023-09-07T00:00:00"/>
    <d v="2023-10-07T00:00:00"/>
    <n v="1000"/>
    <n v="11000"/>
    <n v="19"/>
    <s v="Active"/>
    <d v="2025-06-12T00:00:00"/>
    <x v="0"/>
    <s v="Unique"/>
    <x v="25"/>
    <d v="2025-06-12T00:00:00"/>
    <n v="21"/>
    <n v="308"/>
    <n v="2"/>
    <n v="4"/>
    <n v="4"/>
    <x v="9"/>
    <x v="2"/>
  </r>
  <r>
    <x v="636"/>
    <x v="6"/>
    <x v="2"/>
    <d v="2025-02-23T00:00:00"/>
    <d v="2025-05-24T00:00:00"/>
    <n v="3500"/>
    <n v="7000"/>
    <n v="8"/>
    <s v="Active"/>
    <d v="2025-09-22T00:00:00"/>
    <x v="2"/>
    <s v="Unique"/>
    <x v="14"/>
    <d v="2025-09-22T00:00:00"/>
    <n v="6"/>
    <n v="206"/>
    <n v="2"/>
    <n v="2"/>
    <n v="3"/>
    <x v="81"/>
    <x v="2"/>
  </r>
  <r>
    <x v="637"/>
    <x v="4"/>
    <x v="1"/>
    <d v="2024-02-17T00:00:00"/>
    <d v="2024-05-17T00:00:00"/>
    <n v="2000"/>
    <n v="6000"/>
    <n v="5"/>
    <s v="Active"/>
    <d v="2025-11-10T00:00:00"/>
    <x v="2"/>
    <s v="Unique"/>
    <x v="3"/>
    <d v="2025-11-10T00:00:00"/>
    <n v="20"/>
    <n v="157"/>
    <n v="3"/>
    <n v="2"/>
    <n v="3"/>
    <x v="97"/>
    <x v="1"/>
  </r>
  <r>
    <x v="638"/>
    <x v="5"/>
    <x v="0"/>
    <d v="2023-12-07T00:00:00"/>
    <d v="2024-03-06T00:00:00"/>
    <n v="3500"/>
    <n v="3500"/>
    <n v="14"/>
    <s v="Active"/>
    <d v="2024-11-30T00:00:00"/>
    <x v="2"/>
    <s v="Unique"/>
    <x v="22"/>
    <d v="2024-11-30T00:00:00"/>
    <n v="11"/>
    <n v="502"/>
    <n v="1"/>
    <n v="3"/>
    <n v="2"/>
    <x v="46"/>
    <x v="2"/>
  </r>
  <r>
    <x v="639"/>
    <x v="0"/>
    <x v="0"/>
    <d v="2024-04-19T00:00:00"/>
    <d v="2024-07-18T00:00:00"/>
    <n v="1000"/>
    <n v="12000"/>
    <n v="25"/>
    <s v="Active"/>
    <d v="2026-03-17T00:00:00"/>
    <x v="0"/>
    <s v="Unique"/>
    <x v="9"/>
    <d v="2026-03-17T00:00:00"/>
    <n v="22"/>
    <n v="30"/>
    <n v="5"/>
    <n v="5"/>
    <n v="4"/>
    <x v="77"/>
    <x v="3"/>
  </r>
  <r>
    <x v="640"/>
    <x v="1"/>
    <x v="1"/>
    <d v="2023-08-03T00:00:00"/>
    <d v="2023-09-02T00:00:00"/>
    <n v="3500"/>
    <n v="31500"/>
    <n v="1"/>
    <s v="Cancelled"/>
    <d v="2026-04-03T00:00:00"/>
    <x v="1"/>
    <s v="Unique"/>
    <x v="27"/>
    <d v="2026-04-03T00:00:00"/>
    <n v="32"/>
    <n v="13"/>
    <n v="5"/>
    <n v="1"/>
    <n v="5"/>
    <x v="74"/>
    <x v="1"/>
  </r>
  <r>
    <x v="641"/>
    <x v="4"/>
    <x v="0"/>
    <d v="2025-08-11T00:00:00"/>
    <d v="2025-09-10T00:00:00"/>
    <n v="1000"/>
    <n v="4000"/>
    <n v="2"/>
    <s v="Active"/>
    <d v="2025-08-31T00:00:00"/>
    <x v="1"/>
    <s v="Unique"/>
    <x v="4"/>
    <d v="2025-08-31T00:00:00"/>
    <n v="0"/>
    <n v="228"/>
    <n v="2"/>
    <n v="1"/>
    <n v="2"/>
    <x v="19"/>
    <x v="2"/>
  </r>
  <r>
    <x v="642"/>
    <x v="2"/>
    <x v="1"/>
    <d v="2025-08-17T00:00:00"/>
    <d v="2026-08-17T00:00:00"/>
    <n v="1000"/>
    <n v="6000"/>
    <n v="21"/>
    <s v="Active"/>
    <d v="2025-10-25T00:00:00"/>
    <x v="0"/>
    <s v="Unique"/>
    <x v="4"/>
    <d v="2025-10-25T00:00:00"/>
    <n v="2"/>
    <n v="173"/>
    <n v="3"/>
    <n v="5"/>
    <n v="3"/>
    <x v="72"/>
    <x v="0"/>
  </r>
  <r>
    <x v="643"/>
    <x v="0"/>
    <x v="2"/>
    <d v="2025-04-12T00:00:00"/>
    <d v="2025-07-11T00:00:00"/>
    <n v="1000"/>
    <n v="8000"/>
    <n v="17"/>
    <s v="Active"/>
    <d v="2025-04-19T00:00:00"/>
    <x v="0"/>
    <s v="Unique"/>
    <x v="26"/>
    <d v="2025-04-19T00:00:00"/>
    <n v="0"/>
    <n v="362"/>
    <n v="2"/>
    <n v="4"/>
    <n v="3"/>
    <x v="24"/>
    <x v="2"/>
  </r>
  <r>
    <x v="644"/>
    <x v="4"/>
    <x v="0"/>
    <d v="2024-11-22T00:00:00"/>
    <d v="2025-02-20T00:00:00"/>
    <n v="2000"/>
    <n v="22000"/>
    <n v="13"/>
    <s v="Active"/>
    <d v="2026-02-20T00:00:00"/>
    <x v="2"/>
    <s v="Unique"/>
    <x v="23"/>
    <d v="2026-02-20T00:00:00"/>
    <n v="14"/>
    <n v="55"/>
    <n v="4"/>
    <n v="3"/>
    <n v="5"/>
    <x v="30"/>
    <x v="0"/>
  </r>
  <r>
    <x v="645"/>
    <x v="3"/>
    <x v="0"/>
    <d v="2023-10-20T00:00:00"/>
    <d v="2024-10-19T00:00:00"/>
    <n v="1000"/>
    <n v="10000"/>
    <n v="14"/>
    <s v="Active"/>
    <d v="2026-02-17T00:00:00"/>
    <x v="2"/>
    <s v="Unique"/>
    <x v="31"/>
    <d v="2026-02-17T00:00:00"/>
    <n v="27"/>
    <n v="58"/>
    <n v="4"/>
    <n v="3"/>
    <n v="4"/>
    <x v="14"/>
    <x v="0"/>
  </r>
  <r>
    <x v="646"/>
    <x v="1"/>
    <x v="2"/>
    <d v="2025-05-09T00:00:00"/>
    <d v="2025-06-08T00:00:00"/>
    <n v="2000"/>
    <n v="16000"/>
    <n v="25"/>
    <s v="Active"/>
    <d v="2025-06-11T00:00:00"/>
    <x v="0"/>
    <s v="Unique"/>
    <x v="30"/>
    <d v="2025-06-11T00:00:00"/>
    <n v="1"/>
    <n v="309"/>
    <n v="2"/>
    <n v="5"/>
    <n v="4"/>
    <x v="56"/>
    <x v="2"/>
  </r>
  <r>
    <x v="647"/>
    <x v="5"/>
    <x v="0"/>
    <d v="2024-08-09T00:00:00"/>
    <d v="2024-11-07T00:00:00"/>
    <n v="1000"/>
    <n v="9000"/>
    <n v="3"/>
    <s v="Active"/>
    <d v="2024-08-17T00:00:00"/>
    <x v="1"/>
    <s v="Unique"/>
    <x v="12"/>
    <d v="2024-08-17T00:00:00"/>
    <n v="0"/>
    <n v="607"/>
    <n v="1"/>
    <n v="1"/>
    <n v="3"/>
    <x v="2"/>
    <x v="2"/>
  </r>
  <r>
    <x v="648"/>
    <x v="5"/>
    <x v="1"/>
    <d v="2025-05-16T00:00:00"/>
    <d v="2025-06-15T00:00:00"/>
    <n v="3500"/>
    <n v="42000"/>
    <n v="10"/>
    <s v="Active"/>
    <d v="2026-01-29T00:00:00"/>
    <x v="2"/>
    <s v="Unique"/>
    <x v="30"/>
    <d v="2026-01-29T00:00:00"/>
    <n v="8"/>
    <n v="77"/>
    <n v="4"/>
    <n v="3"/>
    <n v="5"/>
    <x v="30"/>
    <x v="0"/>
  </r>
  <r>
    <x v="649"/>
    <x v="5"/>
    <x v="2"/>
    <d v="2023-10-27T00:00:00"/>
    <d v="2023-11-26T00:00:00"/>
    <n v="2000"/>
    <n v="12000"/>
    <n v="13"/>
    <s v="Active"/>
    <d v="2025-03-07T00:00:00"/>
    <x v="2"/>
    <s v="Unique"/>
    <x v="31"/>
    <d v="2025-03-07T00:00:00"/>
    <n v="16"/>
    <n v="405"/>
    <n v="1"/>
    <n v="3"/>
    <n v="4"/>
    <x v="31"/>
    <x v="2"/>
  </r>
  <r>
    <x v="650"/>
    <x v="4"/>
    <x v="2"/>
    <d v="2024-09-23T00:00:00"/>
    <d v="2024-12-22T00:00:00"/>
    <n v="3500"/>
    <n v="3500"/>
    <n v="13"/>
    <s v="Active"/>
    <d v="2024-09-29T00:00:00"/>
    <x v="2"/>
    <s v="Unique"/>
    <x v="8"/>
    <d v="2024-09-29T00:00:00"/>
    <n v="0"/>
    <n v="564"/>
    <n v="1"/>
    <n v="3"/>
    <n v="2"/>
    <x v="46"/>
    <x v="2"/>
  </r>
  <r>
    <x v="651"/>
    <x v="1"/>
    <x v="2"/>
    <d v="2025-07-10T00:00:00"/>
    <d v="2026-07-10T00:00:00"/>
    <n v="1000"/>
    <n v="9000"/>
    <n v="1"/>
    <s v="Active"/>
    <d v="2025-08-20T00:00:00"/>
    <x v="1"/>
    <s v="Unique"/>
    <x v="17"/>
    <d v="2025-08-20T00:00:00"/>
    <n v="1"/>
    <n v="239"/>
    <n v="2"/>
    <n v="1"/>
    <n v="3"/>
    <x v="28"/>
    <x v="2"/>
  </r>
  <r>
    <x v="652"/>
    <x v="5"/>
    <x v="0"/>
    <d v="2025-12-08T00:00:00"/>
    <d v="2026-03-08T00:00:00"/>
    <n v="3500"/>
    <n v="42000"/>
    <n v="21"/>
    <s v="Active"/>
    <d v="2026-03-02T00:00:00"/>
    <x v="0"/>
    <s v="Unique"/>
    <x v="24"/>
    <d v="2026-03-02T00:00:00"/>
    <n v="2"/>
    <n v="45"/>
    <n v="4"/>
    <n v="5"/>
    <n v="5"/>
    <x v="15"/>
    <x v="3"/>
  </r>
  <r>
    <x v="653"/>
    <x v="6"/>
    <x v="2"/>
    <d v="2024-06-21T00:00:00"/>
    <d v="2025-06-21T00:00:00"/>
    <n v="2000"/>
    <n v="12000"/>
    <n v="5"/>
    <s v="Active"/>
    <d v="2024-09-14T00:00:00"/>
    <x v="2"/>
    <s v="Unique"/>
    <x v="1"/>
    <d v="2024-09-14T00:00:00"/>
    <n v="2"/>
    <n v="579"/>
    <n v="1"/>
    <n v="2"/>
    <n v="4"/>
    <x v="47"/>
    <x v="2"/>
  </r>
  <r>
    <x v="654"/>
    <x v="2"/>
    <x v="2"/>
    <d v="2024-09-05T00:00:00"/>
    <d v="2024-12-04T00:00:00"/>
    <n v="2000"/>
    <n v="10000"/>
    <n v="9"/>
    <s v="Active"/>
    <d v="2025-04-15T00:00:00"/>
    <x v="2"/>
    <s v="Unique"/>
    <x v="8"/>
    <d v="2025-04-15T00:00:00"/>
    <n v="7"/>
    <n v="366"/>
    <n v="1"/>
    <n v="2"/>
    <n v="4"/>
    <x v="47"/>
    <x v="2"/>
  </r>
  <r>
    <x v="655"/>
    <x v="3"/>
    <x v="2"/>
    <d v="2025-12-30T00:00:00"/>
    <d v="2026-01-29T00:00:00"/>
    <n v="2000"/>
    <n v="4000"/>
    <n v="5"/>
    <s v="Active"/>
    <d v="2026-02-20T00:00:00"/>
    <x v="2"/>
    <s v="Unique"/>
    <x v="24"/>
    <d v="2026-02-20T00:00:00"/>
    <n v="1"/>
    <n v="55"/>
    <n v="4"/>
    <n v="2"/>
    <n v="2"/>
    <x v="7"/>
    <x v="1"/>
  </r>
  <r>
    <x v="656"/>
    <x v="1"/>
    <x v="1"/>
    <d v="2023-12-11T00:00:00"/>
    <d v="2024-12-10T00:00:00"/>
    <n v="3500"/>
    <n v="28000"/>
    <n v="5"/>
    <s v="Cancelled"/>
    <d v="2024-12-26T00:00:00"/>
    <x v="2"/>
    <s v="Unique"/>
    <x v="22"/>
    <d v="2024-12-26T00:00:00"/>
    <n v="12"/>
    <n v="476"/>
    <n v="1"/>
    <n v="2"/>
    <n v="5"/>
    <x v="69"/>
    <x v="2"/>
  </r>
  <r>
    <x v="657"/>
    <x v="6"/>
    <x v="0"/>
    <d v="2025-08-31T00:00:00"/>
    <d v="2025-11-29T00:00:00"/>
    <n v="1000"/>
    <n v="7000"/>
    <n v="8"/>
    <s v="Active"/>
    <d v="2026-03-13T00:00:00"/>
    <x v="2"/>
    <s v="Unique"/>
    <x v="4"/>
    <d v="2026-03-13T00:00:00"/>
    <n v="6"/>
    <n v="34"/>
    <n v="4"/>
    <n v="2"/>
    <n v="3"/>
    <x v="93"/>
    <x v="1"/>
  </r>
  <r>
    <x v="658"/>
    <x v="2"/>
    <x v="0"/>
    <d v="2024-07-02T00:00:00"/>
    <d v="2025-07-02T00:00:00"/>
    <n v="3500"/>
    <n v="42000"/>
    <n v="12"/>
    <s v="Active"/>
    <d v="2025-01-28T00:00:00"/>
    <x v="2"/>
    <s v="Unique"/>
    <x v="13"/>
    <d v="2025-01-28T00:00:00"/>
    <n v="6"/>
    <n v="443"/>
    <n v="1"/>
    <n v="3"/>
    <n v="5"/>
    <x v="21"/>
    <x v="2"/>
  </r>
  <r>
    <x v="659"/>
    <x v="1"/>
    <x v="0"/>
    <d v="2025-12-09T00:00:00"/>
    <d v="2026-03-09T00:00:00"/>
    <n v="1000"/>
    <n v="7000"/>
    <n v="4"/>
    <s v="Active"/>
    <d v="2026-01-31T00:00:00"/>
    <x v="1"/>
    <s v="Unique"/>
    <x v="24"/>
    <d v="2026-01-31T00:00:00"/>
    <n v="1"/>
    <n v="75"/>
    <n v="4"/>
    <n v="1"/>
    <n v="3"/>
    <x v="99"/>
    <x v="1"/>
  </r>
  <r>
    <x v="660"/>
    <x v="2"/>
    <x v="1"/>
    <d v="2023-05-14T00:00:00"/>
    <d v="2024-05-13T00:00:00"/>
    <n v="2000"/>
    <n v="4000"/>
    <n v="0"/>
    <s v="Cancelled"/>
    <d v="2023-06-23T00:00:00"/>
    <x v="1"/>
    <s v="Unique"/>
    <x v="29"/>
    <d v="2023-06-23T00:00:00"/>
    <n v="1"/>
    <n v="1028"/>
    <n v="1"/>
    <n v="1"/>
    <n v="2"/>
    <x v="79"/>
    <x v="2"/>
  </r>
  <r>
    <x v="661"/>
    <x v="4"/>
    <x v="0"/>
    <d v="2024-07-12T00:00:00"/>
    <d v="2025-07-12T00:00:00"/>
    <n v="3500"/>
    <n v="3500"/>
    <n v="18"/>
    <s v="Active"/>
    <d v="2025-04-18T00:00:00"/>
    <x v="0"/>
    <s v="Unique"/>
    <x v="13"/>
    <d v="2025-04-18T00:00:00"/>
    <n v="9"/>
    <n v="363"/>
    <n v="2"/>
    <n v="4"/>
    <n v="2"/>
    <x v="12"/>
    <x v="2"/>
  </r>
  <r>
    <x v="662"/>
    <x v="2"/>
    <x v="1"/>
    <d v="2025-07-08T00:00:00"/>
    <d v="2025-10-06T00:00:00"/>
    <n v="2000"/>
    <n v="24000"/>
    <n v="16"/>
    <s v="Active"/>
    <d v="2025-10-22T00:00:00"/>
    <x v="0"/>
    <s v="Unique"/>
    <x v="17"/>
    <d v="2025-10-22T00:00:00"/>
    <n v="3"/>
    <n v="176"/>
    <n v="3"/>
    <n v="4"/>
    <n v="5"/>
    <x v="17"/>
    <x v="0"/>
  </r>
  <r>
    <x v="663"/>
    <x v="5"/>
    <x v="0"/>
    <d v="2024-02-23T00:00:00"/>
    <d v="2024-05-23T00:00:00"/>
    <n v="2000"/>
    <n v="8000"/>
    <n v="13"/>
    <s v="Active"/>
    <d v="2026-03-19T00:00:00"/>
    <x v="2"/>
    <s v="Unique"/>
    <x v="3"/>
    <d v="2026-03-19T00:00:00"/>
    <n v="24"/>
    <n v="28"/>
    <n v="5"/>
    <n v="3"/>
    <n v="3"/>
    <x v="105"/>
    <x v="0"/>
  </r>
  <r>
    <x v="664"/>
    <x v="1"/>
    <x v="1"/>
    <d v="2023-04-26T00:00:00"/>
    <d v="2023-05-26T00:00:00"/>
    <n v="2000"/>
    <n v="2000"/>
    <n v="24"/>
    <s v="Active"/>
    <d v="2025-06-23T00:00:00"/>
    <x v="0"/>
    <s v="Unique"/>
    <x v="28"/>
    <d v="2025-06-23T00:00:00"/>
    <n v="25"/>
    <n v="297"/>
    <n v="2"/>
    <n v="5"/>
    <n v="2"/>
    <x v="36"/>
    <x v="2"/>
  </r>
  <r>
    <x v="665"/>
    <x v="1"/>
    <x v="0"/>
    <d v="2025-09-01T00:00:00"/>
    <d v="2026-09-01T00:00:00"/>
    <n v="1000"/>
    <n v="2000"/>
    <n v="13"/>
    <s v="Active"/>
    <d v="2026-04-03T00:00:00"/>
    <x v="2"/>
    <s v="Unique"/>
    <x v="36"/>
    <d v="2026-04-03T00:00:00"/>
    <n v="7"/>
    <n v="13"/>
    <n v="5"/>
    <n v="3"/>
    <n v="2"/>
    <x v="102"/>
    <x v="1"/>
  </r>
  <r>
    <x v="666"/>
    <x v="1"/>
    <x v="0"/>
    <d v="2025-11-30T00:00:00"/>
    <d v="2026-11-30T00:00:00"/>
    <n v="3500"/>
    <n v="7000"/>
    <n v="20"/>
    <s v="Active"/>
    <d v="2026-03-02T00:00:00"/>
    <x v="0"/>
    <s v="Unique"/>
    <x v="7"/>
    <d v="2026-03-02T00:00:00"/>
    <n v="3"/>
    <n v="45"/>
    <n v="4"/>
    <n v="5"/>
    <n v="3"/>
    <x v="35"/>
    <x v="0"/>
  </r>
  <r>
    <x v="667"/>
    <x v="6"/>
    <x v="2"/>
    <d v="2023-11-01T00:00:00"/>
    <d v="2024-01-30T00:00:00"/>
    <n v="3500"/>
    <n v="10500"/>
    <n v="19"/>
    <s v="Active"/>
    <d v="2025-01-06T00:00:00"/>
    <x v="0"/>
    <s v="Unique"/>
    <x v="21"/>
    <d v="2025-01-06T00:00:00"/>
    <n v="14"/>
    <n v="465"/>
    <n v="1"/>
    <n v="4"/>
    <n v="4"/>
    <x v="13"/>
    <x v="2"/>
  </r>
  <r>
    <x v="668"/>
    <x v="2"/>
    <x v="1"/>
    <d v="2025-02-24T00:00:00"/>
    <d v="2025-03-26T00:00:00"/>
    <n v="1000"/>
    <n v="1000"/>
    <n v="14"/>
    <s v="Active"/>
    <d v="2025-03-03T00:00:00"/>
    <x v="2"/>
    <s v="Unique"/>
    <x v="14"/>
    <d v="2025-03-03T00:00:00"/>
    <n v="0"/>
    <n v="409"/>
    <n v="1"/>
    <n v="3"/>
    <n v="1"/>
    <x v="45"/>
    <x v="2"/>
  </r>
  <r>
    <x v="669"/>
    <x v="2"/>
    <x v="2"/>
    <d v="2024-05-10T00:00:00"/>
    <d v="2025-05-10T00:00:00"/>
    <n v="2000"/>
    <n v="6000"/>
    <n v="7"/>
    <s v="Active"/>
    <d v="2025-12-15T00:00:00"/>
    <x v="2"/>
    <s v="Unique"/>
    <x v="15"/>
    <d v="2025-12-15T00:00:00"/>
    <n v="19"/>
    <n v="122"/>
    <n v="3"/>
    <n v="2"/>
    <n v="3"/>
    <x v="97"/>
    <x v="1"/>
  </r>
  <r>
    <x v="670"/>
    <x v="0"/>
    <x v="0"/>
    <d v="2023-03-11T00:00:00"/>
    <d v="2024-03-10T00:00:00"/>
    <n v="1000"/>
    <n v="9000"/>
    <n v="0"/>
    <s v="Active"/>
    <d v="2024-07-06T00:00:00"/>
    <x v="1"/>
    <s v="Unique"/>
    <x v="20"/>
    <d v="2024-07-06T00:00:00"/>
    <n v="15"/>
    <n v="649"/>
    <n v="1"/>
    <n v="1"/>
    <n v="3"/>
    <x v="2"/>
    <x v="2"/>
  </r>
  <r>
    <x v="671"/>
    <x v="3"/>
    <x v="1"/>
    <d v="2024-07-22T00:00:00"/>
    <d v="2024-10-20T00:00:00"/>
    <n v="3500"/>
    <n v="28000"/>
    <n v="9"/>
    <s v="Active"/>
    <d v="2025-11-19T00:00:00"/>
    <x v="2"/>
    <s v="Unique"/>
    <x v="13"/>
    <d v="2025-11-19T00:00:00"/>
    <n v="15"/>
    <n v="148"/>
    <n v="3"/>
    <n v="2"/>
    <n v="5"/>
    <x v="29"/>
    <x v="1"/>
  </r>
  <r>
    <x v="672"/>
    <x v="1"/>
    <x v="2"/>
    <d v="2025-03-12T00:00:00"/>
    <d v="2025-04-11T00:00:00"/>
    <n v="1000"/>
    <n v="5000"/>
    <n v="0"/>
    <s v="Cancelled"/>
    <d v="2025-09-20T00:00:00"/>
    <x v="1"/>
    <s v="Unique"/>
    <x v="33"/>
    <d v="2025-09-20T00:00:00"/>
    <n v="6"/>
    <n v="208"/>
    <n v="2"/>
    <n v="1"/>
    <n v="3"/>
    <x v="28"/>
    <x v="2"/>
  </r>
  <r>
    <x v="673"/>
    <x v="6"/>
    <x v="1"/>
    <d v="2024-02-03T00:00:00"/>
    <d v="2024-03-04T00:00:00"/>
    <n v="2000"/>
    <n v="16000"/>
    <n v="22"/>
    <s v="Active"/>
    <d v="2025-01-23T00:00:00"/>
    <x v="0"/>
    <s v="Unique"/>
    <x v="3"/>
    <d v="2025-01-23T00:00:00"/>
    <n v="11"/>
    <n v="448"/>
    <n v="1"/>
    <n v="5"/>
    <n v="4"/>
    <x v="27"/>
    <x v="2"/>
  </r>
  <r>
    <x v="674"/>
    <x v="6"/>
    <x v="0"/>
    <d v="2025-08-07T00:00:00"/>
    <d v="2025-09-06T00:00:00"/>
    <n v="3500"/>
    <n v="31500"/>
    <n v="9"/>
    <s v="Active"/>
    <d v="2025-08-20T00:00:00"/>
    <x v="2"/>
    <s v="Unique"/>
    <x v="4"/>
    <d v="2025-08-20T00:00:00"/>
    <n v="0"/>
    <n v="239"/>
    <n v="2"/>
    <n v="2"/>
    <n v="5"/>
    <x v="85"/>
    <x v="2"/>
  </r>
  <r>
    <x v="675"/>
    <x v="2"/>
    <x v="2"/>
    <d v="2025-12-19T00:00:00"/>
    <d v="2026-12-19T00:00:00"/>
    <n v="1000"/>
    <n v="9000"/>
    <n v="6"/>
    <s v="Cancelled"/>
    <d v="2026-03-06T00:00:00"/>
    <x v="2"/>
    <s v="Unique"/>
    <x v="24"/>
    <d v="2026-03-06T00:00:00"/>
    <n v="2"/>
    <n v="41"/>
    <n v="4"/>
    <n v="2"/>
    <n v="3"/>
    <x v="93"/>
    <x v="1"/>
  </r>
  <r>
    <x v="676"/>
    <x v="0"/>
    <x v="2"/>
    <d v="2024-06-11T00:00:00"/>
    <d v="2024-07-11T00:00:00"/>
    <n v="1000"/>
    <n v="9000"/>
    <n v="8"/>
    <s v="Active"/>
    <d v="2025-07-06T00:00:00"/>
    <x v="2"/>
    <s v="Unique"/>
    <x v="1"/>
    <d v="2025-07-06T00:00:00"/>
    <n v="12"/>
    <n v="284"/>
    <n v="2"/>
    <n v="2"/>
    <n v="3"/>
    <x v="81"/>
    <x v="2"/>
  </r>
  <r>
    <x v="677"/>
    <x v="3"/>
    <x v="1"/>
    <d v="2025-01-29T00:00:00"/>
    <d v="2025-02-28T00:00:00"/>
    <n v="1000"/>
    <n v="4000"/>
    <n v="21"/>
    <s v="Active"/>
    <d v="2025-07-19T00:00:00"/>
    <x v="0"/>
    <s v="Unique"/>
    <x v="5"/>
    <d v="2025-07-19T00:00:00"/>
    <n v="5"/>
    <n v="271"/>
    <n v="2"/>
    <n v="5"/>
    <n v="2"/>
    <x v="36"/>
    <x v="2"/>
  </r>
  <r>
    <x v="678"/>
    <x v="6"/>
    <x v="0"/>
    <d v="2024-02-21T00:00:00"/>
    <d v="2025-02-20T00:00:00"/>
    <n v="2000"/>
    <n v="24000"/>
    <n v="20"/>
    <s v="Cancelled"/>
    <d v="2025-03-29T00:00:00"/>
    <x v="0"/>
    <s v="Unique"/>
    <x v="3"/>
    <d v="2025-03-29T00:00:00"/>
    <n v="13"/>
    <n v="383"/>
    <n v="1"/>
    <n v="5"/>
    <n v="5"/>
    <x v="10"/>
    <x v="2"/>
  </r>
  <r>
    <x v="679"/>
    <x v="4"/>
    <x v="0"/>
    <d v="2024-11-22T00:00:00"/>
    <d v="2025-02-20T00:00:00"/>
    <n v="3500"/>
    <n v="7000"/>
    <n v="22"/>
    <s v="Active"/>
    <d v="2026-01-16T00:00:00"/>
    <x v="0"/>
    <s v="Unique"/>
    <x v="23"/>
    <d v="2026-01-16T00:00:00"/>
    <n v="13"/>
    <n v="90"/>
    <n v="4"/>
    <n v="5"/>
    <n v="3"/>
    <x v="35"/>
    <x v="0"/>
  </r>
  <r>
    <x v="680"/>
    <x v="5"/>
    <x v="1"/>
    <d v="2025-10-09T00:00:00"/>
    <d v="2025-11-08T00:00:00"/>
    <n v="3500"/>
    <n v="35000"/>
    <n v="4"/>
    <s v="Cancelled"/>
    <d v="2025-10-31T00:00:00"/>
    <x v="1"/>
    <s v="Unique"/>
    <x v="32"/>
    <d v="2025-10-31T00:00:00"/>
    <n v="0"/>
    <n v="167"/>
    <n v="3"/>
    <n v="1"/>
    <n v="5"/>
    <x v="5"/>
    <x v="1"/>
  </r>
  <r>
    <x v="681"/>
    <x v="4"/>
    <x v="1"/>
    <d v="2023-02-12T00:00:00"/>
    <d v="2023-03-14T00:00:00"/>
    <n v="3500"/>
    <n v="7000"/>
    <n v="3"/>
    <s v="Active"/>
    <d v="2025-07-12T00:00:00"/>
    <x v="1"/>
    <s v="Unique"/>
    <x v="16"/>
    <d v="2025-07-12T00:00:00"/>
    <n v="29"/>
    <n v="278"/>
    <n v="2"/>
    <n v="1"/>
    <n v="3"/>
    <x v="28"/>
    <x v="2"/>
  </r>
  <r>
    <x v="682"/>
    <x v="6"/>
    <x v="1"/>
    <d v="2024-11-23T00:00:00"/>
    <d v="2025-11-23T00:00:00"/>
    <n v="3500"/>
    <n v="38500"/>
    <n v="12"/>
    <s v="Active"/>
    <d v="2026-02-09T00:00:00"/>
    <x v="2"/>
    <s v="Unique"/>
    <x v="23"/>
    <d v="2026-02-09T00:00:00"/>
    <n v="14"/>
    <n v="66"/>
    <n v="4"/>
    <n v="3"/>
    <n v="5"/>
    <x v="30"/>
    <x v="0"/>
  </r>
  <r>
    <x v="683"/>
    <x v="0"/>
    <x v="2"/>
    <d v="2023-10-27T00:00:00"/>
    <d v="2024-01-25T00:00:00"/>
    <n v="2000"/>
    <n v="24000"/>
    <n v="16"/>
    <s v="Active"/>
    <d v="2024-02-06T00:00:00"/>
    <x v="0"/>
    <s v="Unique"/>
    <x v="31"/>
    <d v="2024-02-06T00:00:00"/>
    <n v="3"/>
    <n v="800"/>
    <n v="1"/>
    <n v="4"/>
    <n v="5"/>
    <x v="16"/>
    <x v="2"/>
  </r>
  <r>
    <x v="684"/>
    <x v="3"/>
    <x v="2"/>
    <d v="2026-01-31T00:00:00"/>
    <d v="2026-05-01T00:00:00"/>
    <n v="2000"/>
    <n v="16000"/>
    <n v="2"/>
    <s v="Cancelled"/>
    <d v="2026-02-19T00:00:00"/>
    <x v="1"/>
    <s v="Unique"/>
    <x v="35"/>
    <d v="2026-02-19T00:00:00"/>
    <n v="0"/>
    <n v="56"/>
    <n v="4"/>
    <n v="1"/>
    <n v="4"/>
    <x v="1"/>
    <x v="1"/>
  </r>
  <r>
    <x v="685"/>
    <x v="4"/>
    <x v="0"/>
    <d v="2026-01-29T00:00:00"/>
    <d v="2027-01-29T00:00:00"/>
    <n v="1000"/>
    <n v="10000"/>
    <n v="7"/>
    <s v="Active"/>
    <d v="2026-03-21T00:00:00"/>
    <x v="2"/>
    <s v="Unique"/>
    <x v="35"/>
    <d v="2026-03-21T00:00:00"/>
    <n v="1"/>
    <n v="26"/>
    <n v="5"/>
    <n v="2"/>
    <n v="4"/>
    <x v="75"/>
    <x v="1"/>
  </r>
  <r>
    <x v="686"/>
    <x v="6"/>
    <x v="2"/>
    <d v="2023-03-15T00:00:00"/>
    <d v="2023-06-13T00:00:00"/>
    <n v="2000"/>
    <n v="14000"/>
    <n v="4"/>
    <s v="Active"/>
    <d v="2023-04-10T00:00:00"/>
    <x v="1"/>
    <s v="Unique"/>
    <x v="20"/>
    <d v="2023-04-10T00:00:00"/>
    <n v="0"/>
    <n v="1102"/>
    <n v="1"/>
    <n v="1"/>
    <n v="4"/>
    <x v="39"/>
    <x v="2"/>
  </r>
  <r>
    <x v="687"/>
    <x v="4"/>
    <x v="0"/>
    <d v="2023-02-01T00:00:00"/>
    <d v="2023-03-03T00:00:00"/>
    <n v="3500"/>
    <n v="42000"/>
    <n v="5"/>
    <s v="Active"/>
    <d v="2025-09-12T00:00:00"/>
    <x v="2"/>
    <s v="Unique"/>
    <x v="16"/>
    <d v="2025-09-12T00:00:00"/>
    <n v="31"/>
    <n v="216"/>
    <n v="2"/>
    <n v="2"/>
    <n v="5"/>
    <x v="85"/>
    <x v="2"/>
  </r>
  <r>
    <x v="688"/>
    <x v="5"/>
    <x v="1"/>
    <d v="2023-09-09T00:00:00"/>
    <d v="2023-12-08T00:00:00"/>
    <n v="2000"/>
    <n v="16000"/>
    <n v="0"/>
    <s v="Active"/>
    <d v="2023-12-21T00:00:00"/>
    <x v="1"/>
    <s v="Unique"/>
    <x v="25"/>
    <d v="2023-12-21T00:00:00"/>
    <n v="3"/>
    <n v="847"/>
    <n v="1"/>
    <n v="1"/>
    <n v="4"/>
    <x v="39"/>
    <x v="2"/>
  </r>
  <r>
    <x v="689"/>
    <x v="4"/>
    <x v="1"/>
    <d v="2026-01-13T00:00:00"/>
    <d v="2027-01-13T00:00:00"/>
    <n v="3500"/>
    <n v="42000"/>
    <n v="20"/>
    <s v="Cancelled"/>
    <d v="2026-04-04T00:00:00"/>
    <x v="0"/>
    <s v="Unique"/>
    <x v="35"/>
    <d v="2026-04-04T00:00:00"/>
    <n v="2"/>
    <n v="12"/>
    <n v="5"/>
    <n v="5"/>
    <n v="5"/>
    <x v="96"/>
    <x v="3"/>
  </r>
  <r>
    <x v="690"/>
    <x v="0"/>
    <x v="2"/>
    <d v="2023-01-08T00:00:00"/>
    <d v="2024-01-08T00:00:00"/>
    <n v="1000"/>
    <n v="6000"/>
    <n v="19"/>
    <s v="Active"/>
    <d v="2024-11-10T00:00:00"/>
    <x v="0"/>
    <s v="Unique"/>
    <x v="2"/>
    <d v="2024-11-10T00:00:00"/>
    <n v="22"/>
    <n v="522"/>
    <n v="1"/>
    <n v="4"/>
    <n v="3"/>
    <x v="42"/>
    <x v="2"/>
  </r>
  <r>
    <x v="691"/>
    <x v="1"/>
    <x v="2"/>
    <d v="2025-12-03T00:00:00"/>
    <d v="2026-01-02T00:00:00"/>
    <n v="1000"/>
    <n v="5000"/>
    <n v="6"/>
    <s v="Active"/>
    <d v="2026-02-10T00:00:00"/>
    <x v="2"/>
    <s v="Unique"/>
    <x v="24"/>
    <d v="2026-02-10T00:00:00"/>
    <n v="2"/>
    <n v="65"/>
    <n v="4"/>
    <n v="2"/>
    <n v="3"/>
    <x v="93"/>
    <x v="1"/>
  </r>
  <r>
    <x v="692"/>
    <x v="4"/>
    <x v="1"/>
    <d v="2024-03-30T00:00:00"/>
    <d v="2024-04-29T00:00:00"/>
    <n v="2000"/>
    <n v="18000"/>
    <n v="0"/>
    <s v="Active"/>
    <d v="2026-02-24T00:00:00"/>
    <x v="1"/>
    <s v="Unique"/>
    <x v="11"/>
    <d v="2026-02-24T00:00:00"/>
    <n v="22"/>
    <n v="51"/>
    <n v="4"/>
    <n v="1"/>
    <n v="4"/>
    <x v="1"/>
    <x v="1"/>
  </r>
  <r>
    <x v="693"/>
    <x v="3"/>
    <x v="1"/>
    <d v="2024-02-06T00:00:00"/>
    <d v="2024-05-06T00:00:00"/>
    <n v="1000"/>
    <n v="9000"/>
    <n v="8"/>
    <s v="Active"/>
    <d v="2026-01-18T00:00:00"/>
    <x v="2"/>
    <s v="Unique"/>
    <x v="3"/>
    <d v="2026-01-18T00:00:00"/>
    <n v="23"/>
    <n v="88"/>
    <n v="4"/>
    <n v="2"/>
    <n v="3"/>
    <x v="93"/>
    <x v="1"/>
  </r>
  <r>
    <x v="694"/>
    <x v="4"/>
    <x v="0"/>
    <d v="2024-05-01T00:00:00"/>
    <d v="2025-05-01T00:00:00"/>
    <n v="3500"/>
    <n v="14000"/>
    <n v="14"/>
    <s v="Active"/>
    <d v="2024-07-19T00:00:00"/>
    <x v="2"/>
    <s v="Unique"/>
    <x v="15"/>
    <d v="2024-07-19T00:00:00"/>
    <n v="2"/>
    <n v="636"/>
    <n v="1"/>
    <n v="3"/>
    <n v="4"/>
    <x v="31"/>
    <x v="2"/>
  </r>
  <r>
    <x v="695"/>
    <x v="5"/>
    <x v="2"/>
    <d v="2024-03-04T00:00:00"/>
    <d v="2024-06-02T00:00:00"/>
    <n v="3500"/>
    <n v="24500"/>
    <n v="23"/>
    <s v="Active"/>
    <d v="2024-06-02T00:00:00"/>
    <x v="0"/>
    <s v="Unique"/>
    <x v="11"/>
    <d v="2024-06-02T00:00:00"/>
    <n v="2"/>
    <n v="683"/>
    <n v="1"/>
    <n v="5"/>
    <n v="5"/>
    <x v="10"/>
    <x v="2"/>
  </r>
  <r>
    <x v="696"/>
    <x v="1"/>
    <x v="1"/>
    <d v="2025-12-13T00:00:00"/>
    <d v="2026-01-12T00:00:00"/>
    <n v="1000"/>
    <n v="4000"/>
    <n v="6"/>
    <s v="Active"/>
    <d v="2026-03-17T00:00:00"/>
    <x v="2"/>
    <s v="Unique"/>
    <x v="24"/>
    <d v="2026-03-17T00:00:00"/>
    <n v="3"/>
    <n v="30"/>
    <n v="5"/>
    <n v="2"/>
    <n v="2"/>
    <x v="18"/>
    <x v="1"/>
  </r>
  <r>
    <x v="697"/>
    <x v="6"/>
    <x v="1"/>
    <d v="2025-03-19T00:00:00"/>
    <d v="2026-03-19T00:00:00"/>
    <n v="3500"/>
    <n v="42000"/>
    <n v="22"/>
    <s v="Active"/>
    <d v="2026-01-05T00:00:00"/>
    <x v="0"/>
    <s v="Unique"/>
    <x v="33"/>
    <d v="2026-01-05T00:00:00"/>
    <n v="9"/>
    <n v="101"/>
    <n v="3"/>
    <n v="5"/>
    <n v="5"/>
    <x v="26"/>
    <x v="0"/>
  </r>
  <r>
    <x v="698"/>
    <x v="4"/>
    <x v="2"/>
    <d v="2023-12-27T00:00:00"/>
    <d v="2024-12-26T00:00:00"/>
    <n v="3500"/>
    <n v="35000"/>
    <n v="3"/>
    <s v="Cancelled"/>
    <d v="2024-04-18T00:00:00"/>
    <x v="1"/>
    <s v="Unique"/>
    <x v="22"/>
    <d v="2024-04-18T00:00:00"/>
    <n v="3"/>
    <n v="728"/>
    <n v="1"/>
    <n v="1"/>
    <n v="5"/>
    <x v="23"/>
    <x v="2"/>
  </r>
  <r>
    <x v="699"/>
    <x v="3"/>
    <x v="1"/>
    <d v="2024-10-13T00:00:00"/>
    <d v="2024-11-12T00:00:00"/>
    <n v="2000"/>
    <n v="10000"/>
    <n v="24"/>
    <s v="Active"/>
    <d v="2025-06-08T00:00:00"/>
    <x v="0"/>
    <s v="Unique"/>
    <x v="19"/>
    <d v="2025-06-08T00:00:00"/>
    <n v="7"/>
    <n v="312"/>
    <n v="2"/>
    <n v="5"/>
    <n v="4"/>
    <x v="56"/>
    <x v="2"/>
  </r>
  <r>
    <x v="700"/>
    <x v="1"/>
    <x v="0"/>
    <d v="2025-11-13T00:00:00"/>
    <d v="2026-11-13T00:00:00"/>
    <n v="1000"/>
    <n v="9000"/>
    <n v="8"/>
    <s v="Cancelled"/>
    <d v="2026-01-06T00:00:00"/>
    <x v="2"/>
    <s v="Unique"/>
    <x v="7"/>
    <d v="2026-01-06T00:00:00"/>
    <n v="1"/>
    <n v="100"/>
    <n v="3"/>
    <n v="2"/>
    <n v="3"/>
    <x v="97"/>
    <x v="1"/>
  </r>
  <r>
    <x v="701"/>
    <x v="6"/>
    <x v="0"/>
    <d v="2023-02-28T00:00:00"/>
    <d v="2023-05-29T00:00:00"/>
    <n v="3500"/>
    <n v="42000"/>
    <n v="19"/>
    <s v="Cancelled"/>
    <d v="2025-02-12T00:00:00"/>
    <x v="0"/>
    <s v="Unique"/>
    <x v="16"/>
    <d v="2025-02-12T00:00:00"/>
    <n v="23"/>
    <n v="428"/>
    <n v="1"/>
    <n v="4"/>
    <n v="5"/>
    <x v="16"/>
    <x v="2"/>
  </r>
  <r>
    <x v="702"/>
    <x v="4"/>
    <x v="1"/>
    <d v="2024-05-16T00:00:00"/>
    <d v="2025-05-16T00:00:00"/>
    <n v="3500"/>
    <n v="31500"/>
    <n v="14"/>
    <s v="Active"/>
    <d v="2024-12-27T00:00:00"/>
    <x v="2"/>
    <s v="Unique"/>
    <x v="15"/>
    <d v="2024-12-27T00:00:00"/>
    <n v="7"/>
    <n v="475"/>
    <n v="1"/>
    <n v="3"/>
    <n v="5"/>
    <x v="21"/>
    <x v="2"/>
  </r>
  <r>
    <x v="703"/>
    <x v="6"/>
    <x v="2"/>
    <d v="2025-03-12T00:00:00"/>
    <d v="2025-04-11T00:00:00"/>
    <n v="2000"/>
    <n v="24000"/>
    <n v="23"/>
    <s v="Active"/>
    <d v="2025-10-24T00:00:00"/>
    <x v="0"/>
    <s v="Unique"/>
    <x v="33"/>
    <d v="2025-10-24T00:00:00"/>
    <n v="7"/>
    <n v="174"/>
    <n v="3"/>
    <n v="5"/>
    <n v="5"/>
    <x v="26"/>
    <x v="0"/>
  </r>
  <r>
    <x v="704"/>
    <x v="6"/>
    <x v="2"/>
    <d v="2024-07-16T00:00:00"/>
    <d v="2024-10-14T00:00:00"/>
    <n v="3500"/>
    <n v="31500"/>
    <n v="3"/>
    <s v="Cancelled"/>
    <d v="2024-08-11T00:00:00"/>
    <x v="1"/>
    <s v="Unique"/>
    <x v="13"/>
    <d v="2024-08-11T00:00:00"/>
    <n v="0"/>
    <n v="613"/>
    <n v="1"/>
    <n v="1"/>
    <n v="5"/>
    <x v="23"/>
    <x v="2"/>
  </r>
  <r>
    <x v="705"/>
    <x v="2"/>
    <x v="1"/>
    <d v="2025-02-23T00:00:00"/>
    <d v="2025-03-25T00:00:00"/>
    <n v="3500"/>
    <n v="14000"/>
    <n v="6"/>
    <s v="Cancelled"/>
    <d v="2025-09-20T00:00:00"/>
    <x v="2"/>
    <s v="Unique"/>
    <x v="14"/>
    <d v="2025-09-20T00:00:00"/>
    <n v="6"/>
    <n v="208"/>
    <n v="2"/>
    <n v="2"/>
    <n v="4"/>
    <x v="37"/>
    <x v="2"/>
  </r>
  <r>
    <x v="706"/>
    <x v="5"/>
    <x v="2"/>
    <d v="2025-06-13T00:00:00"/>
    <d v="2025-09-11T00:00:00"/>
    <n v="3500"/>
    <n v="35000"/>
    <n v="1"/>
    <s v="Cancelled"/>
    <d v="2026-04-07T00:00:00"/>
    <x v="1"/>
    <s v="Unique"/>
    <x v="18"/>
    <d v="2026-04-07T00:00:00"/>
    <n v="9"/>
    <n v="9"/>
    <n v="5"/>
    <n v="1"/>
    <n v="5"/>
    <x v="74"/>
    <x v="1"/>
  </r>
  <r>
    <x v="707"/>
    <x v="6"/>
    <x v="0"/>
    <d v="2023-07-17T00:00:00"/>
    <d v="2024-07-16T00:00:00"/>
    <n v="1000"/>
    <n v="12000"/>
    <n v="12"/>
    <s v="Cancelled"/>
    <d v="2025-02-05T00:00:00"/>
    <x v="2"/>
    <s v="Unique"/>
    <x v="6"/>
    <d v="2025-02-05T00:00:00"/>
    <n v="18"/>
    <n v="435"/>
    <n v="1"/>
    <n v="3"/>
    <n v="4"/>
    <x v="31"/>
    <x v="2"/>
  </r>
  <r>
    <x v="708"/>
    <x v="1"/>
    <x v="1"/>
    <d v="2023-02-17T00:00:00"/>
    <d v="2023-03-19T00:00:00"/>
    <n v="2000"/>
    <n v="2000"/>
    <n v="2"/>
    <s v="Cancelled"/>
    <d v="2023-03-13T00:00:00"/>
    <x v="1"/>
    <s v="Unique"/>
    <x v="16"/>
    <d v="2023-03-13T00:00:00"/>
    <n v="0"/>
    <n v="1130"/>
    <n v="1"/>
    <n v="1"/>
    <n v="2"/>
    <x v="79"/>
    <x v="2"/>
  </r>
  <r>
    <x v="709"/>
    <x v="2"/>
    <x v="0"/>
    <d v="2025-11-09T00:00:00"/>
    <d v="2025-12-09T00:00:00"/>
    <n v="3500"/>
    <n v="35000"/>
    <n v="1"/>
    <s v="Cancelled"/>
    <d v="2026-03-19T00:00:00"/>
    <x v="1"/>
    <s v="Unique"/>
    <x v="7"/>
    <d v="2026-03-19T00:00:00"/>
    <n v="4"/>
    <n v="28"/>
    <n v="5"/>
    <n v="1"/>
    <n v="5"/>
    <x v="74"/>
    <x v="1"/>
  </r>
  <r>
    <x v="710"/>
    <x v="5"/>
    <x v="2"/>
    <d v="2024-08-11T00:00:00"/>
    <d v="2024-09-10T00:00:00"/>
    <n v="2000"/>
    <n v="6000"/>
    <n v="6"/>
    <s v="Active"/>
    <d v="2025-01-27T00:00:00"/>
    <x v="2"/>
    <s v="Unique"/>
    <x v="12"/>
    <d v="2025-01-27T00:00:00"/>
    <n v="5"/>
    <n v="444"/>
    <n v="1"/>
    <n v="2"/>
    <n v="3"/>
    <x v="52"/>
    <x v="2"/>
  </r>
  <r>
    <x v="711"/>
    <x v="2"/>
    <x v="1"/>
    <d v="2025-03-19T00:00:00"/>
    <d v="2025-04-18T00:00:00"/>
    <n v="1000"/>
    <n v="1000"/>
    <n v="7"/>
    <s v="Active"/>
    <d v="2026-03-24T00:00:00"/>
    <x v="2"/>
    <s v="Unique"/>
    <x v="33"/>
    <d v="2026-03-24T00:00:00"/>
    <n v="12"/>
    <n v="23"/>
    <n v="5"/>
    <n v="2"/>
    <n v="1"/>
    <x v="106"/>
    <x v="1"/>
  </r>
  <r>
    <x v="712"/>
    <x v="4"/>
    <x v="0"/>
    <d v="2023-06-16T00:00:00"/>
    <d v="2023-07-16T00:00:00"/>
    <n v="1000"/>
    <n v="1000"/>
    <n v="12"/>
    <s v="Cancelled"/>
    <d v="2024-10-01T00:00:00"/>
    <x v="2"/>
    <s v="Unique"/>
    <x v="10"/>
    <d v="2024-10-01T00:00:00"/>
    <n v="15"/>
    <n v="562"/>
    <n v="1"/>
    <n v="3"/>
    <n v="1"/>
    <x v="45"/>
    <x v="2"/>
  </r>
  <r>
    <x v="713"/>
    <x v="5"/>
    <x v="2"/>
    <d v="2024-08-08T00:00:00"/>
    <d v="2024-11-06T00:00:00"/>
    <n v="3500"/>
    <n v="35000"/>
    <n v="7"/>
    <s v="Active"/>
    <d v="2025-11-12T00:00:00"/>
    <x v="2"/>
    <s v="Unique"/>
    <x v="12"/>
    <d v="2025-11-12T00:00:00"/>
    <n v="15"/>
    <n v="155"/>
    <n v="3"/>
    <n v="2"/>
    <n v="5"/>
    <x v="29"/>
    <x v="1"/>
  </r>
  <r>
    <x v="714"/>
    <x v="1"/>
    <x v="2"/>
    <d v="2024-05-14T00:00:00"/>
    <d v="2025-05-14T00:00:00"/>
    <n v="3500"/>
    <n v="21000"/>
    <n v="25"/>
    <s v="Active"/>
    <d v="2025-11-19T00:00:00"/>
    <x v="0"/>
    <s v="Unique"/>
    <x v="15"/>
    <d v="2025-11-19T00:00:00"/>
    <n v="18"/>
    <n v="148"/>
    <n v="3"/>
    <n v="5"/>
    <n v="5"/>
    <x v="26"/>
    <x v="0"/>
  </r>
  <r>
    <x v="715"/>
    <x v="5"/>
    <x v="1"/>
    <d v="2024-05-15T00:00:00"/>
    <d v="2024-08-13T00:00:00"/>
    <n v="2000"/>
    <n v="10000"/>
    <n v="4"/>
    <s v="Cancelled"/>
    <d v="2025-08-29T00:00:00"/>
    <x v="1"/>
    <s v="Unique"/>
    <x v="15"/>
    <d v="2025-08-29T00:00:00"/>
    <n v="15"/>
    <n v="230"/>
    <n v="2"/>
    <n v="1"/>
    <n v="4"/>
    <x v="70"/>
    <x v="2"/>
  </r>
  <r>
    <x v="716"/>
    <x v="5"/>
    <x v="0"/>
    <d v="2024-01-12T00:00:00"/>
    <d v="2024-04-11T00:00:00"/>
    <n v="2000"/>
    <n v="18000"/>
    <n v="6"/>
    <s v="Active"/>
    <d v="2025-02-12T00:00:00"/>
    <x v="2"/>
    <s v="Unique"/>
    <x v="34"/>
    <d v="2025-02-12T00:00:00"/>
    <n v="13"/>
    <n v="428"/>
    <n v="1"/>
    <n v="2"/>
    <n v="4"/>
    <x v="47"/>
    <x v="2"/>
  </r>
  <r>
    <x v="717"/>
    <x v="6"/>
    <x v="1"/>
    <d v="2024-06-13T00:00:00"/>
    <d v="2024-07-13T00:00:00"/>
    <n v="3500"/>
    <n v="31500"/>
    <n v="14"/>
    <s v="Active"/>
    <d v="2025-12-06T00:00:00"/>
    <x v="2"/>
    <s v="Unique"/>
    <x v="1"/>
    <d v="2025-12-06T00:00:00"/>
    <n v="17"/>
    <n v="131"/>
    <n v="3"/>
    <n v="3"/>
    <n v="5"/>
    <x v="25"/>
    <x v="0"/>
  </r>
  <r>
    <x v="718"/>
    <x v="4"/>
    <x v="0"/>
    <d v="2024-04-04T00:00:00"/>
    <d v="2025-04-04T00:00:00"/>
    <n v="1000"/>
    <n v="3000"/>
    <n v="5"/>
    <s v="Active"/>
    <d v="2025-11-03T00:00:00"/>
    <x v="2"/>
    <s v="Unique"/>
    <x v="9"/>
    <d v="2025-11-03T00:00:00"/>
    <n v="18"/>
    <n v="164"/>
    <n v="3"/>
    <n v="2"/>
    <n v="2"/>
    <x v="88"/>
    <x v="1"/>
  </r>
  <r>
    <x v="719"/>
    <x v="2"/>
    <x v="2"/>
    <d v="2025-09-20T00:00:00"/>
    <d v="2025-10-20T00:00:00"/>
    <n v="1000"/>
    <n v="12000"/>
    <n v="3"/>
    <s v="Active"/>
    <d v="2025-12-07T00:00:00"/>
    <x v="1"/>
    <s v="Unique"/>
    <x v="36"/>
    <d v="2025-12-07T00:00:00"/>
    <n v="2"/>
    <n v="130"/>
    <n v="3"/>
    <n v="1"/>
    <n v="4"/>
    <x v="54"/>
    <x v="1"/>
  </r>
  <r>
    <x v="720"/>
    <x v="2"/>
    <x v="1"/>
    <d v="2023-04-26T00:00:00"/>
    <d v="2023-05-26T00:00:00"/>
    <n v="1000"/>
    <n v="3000"/>
    <n v="14"/>
    <s v="Active"/>
    <d v="2025-09-19T00:00:00"/>
    <x v="2"/>
    <s v="Unique"/>
    <x v="28"/>
    <d v="2025-09-19T00:00:00"/>
    <n v="28"/>
    <n v="209"/>
    <n v="2"/>
    <n v="3"/>
    <n v="2"/>
    <x v="62"/>
    <x v="2"/>
  </r>
  <r>
    <x v="721"/>
    <x v="5"/>
    <x v="0"/>
    <d v="2024-01-19T00:00:00"/>
    <d v="2024-02-18T00:00:00"/>
    <n v="3500"/>
    <n v="14000"/>
    <n v="6"/>
    <s v="Active"/>
    <d v="2024-12-06T00:00:00"/>
    <x v="2"/>
    <s v="Unique"/>
    <x v="34"/>
    <d v="2024-12-06T00:00:00"/>
    <n v="10"/>
    <n v="496"/>
    <n v="1"/>
    <n v="2"/>
    <n v="4"/>
    <x v="47"/>
    <x v="2"/>
  </r>
  <r>
    <x v="722"/>
    <x v="6"/>
    <x v="0"/>
    <d v="2024-10-10T00:00:00"/>
    <d v="2025-01-08T00:00:00"/>
    <n v="2000"/>
    <n v="2000"/>
    <n v="6"/>
    <s v="Cancelled"/>
    <d v="2025-03-28T00:00:00"/>
    <x v="2"/>
    <s v="Unique"/>
    <x v="19"/>
    <d v="2025-03-28T00:00:00"/>
    <n v="5"/>
    <n v="384"/>
    <n v="1"/>
    <n v="2"/>
    <n v="2"/>
    <x v="6"/>
    <x v="2"/>
  </r>
  <r>
    <x v="723"/>
    <x v="2"/>
    <x v="0"/>
    <d v="2026-01-23T00:00:00"/>
    <d v="2027-01-23T00:00:00"/>
    <n v="3500"/>
    <n v="17500"/>
    <n v="13"/>
    <s v="Active"/>
    <d v="2026-03-06T00:00:00"/>
    <x v="2"/>
    <s v="Unique"/>
    <x v="35"/>
    <d v="2026-03-06T00:00:00"/>
    <n v="1"/>
    <n v="41"/>
    <n v="4"/>
    <n v="3"/>
    <n v="4"/>
    <x v="14"/>
    <x v="0"/>
  </r>
  <r>
    <x v="724"/>
    <x v="5"/>
    <x v="1"/>
    <d v="2025-09-27T00:00:00"/>
    <d v="2025-12-26T00:00:00"/>
    <n v="1000"/>
    <n v="7000"/>
    <n v="24"/>
    <s v="Active"/>
    <d v="2025-11-11T00:00:00"/>
    <x v="0"/>
    <s v="Unique"/>
    <x v="36"/>
    <d v="2025-11-11T00:00:00"/>
    <n v="1"/>
    <n v="156"/>
    <n v="3"/>
    <n v="5"/>
    <n v="3"/>
    <x v="72"/>
    <x v="0"/>
  </r>
  <r>
    <x v="725"/>
    <x v="6"/>
    <x v="0"/>
    <d v="2025-04-15T00:00:00"/>
    <d v="2025-05-15T00:00:00"/>
    <n v="1000"/>
    <n v="5000"/>
    <n v="17"/>
    <s v="Active"/>
    <d v="2025-05-31T00:00:00"/>
    <x v="0"/>
    <s v="Unique"/>
    <x v="26"/>
    <d v="2025-05-31T00:00:00"/>
    <n v="1"/>
    <n v="320"/>
    <n v="2"/>
    <n v="4"/>
    <n v="3"/>
    <x v="24"/>
    <x v="2"/>
  </r>
  <r>
    <x v="726"/>
    <x v="1"/>
    <x v="1"/>
    <d v="2023-07-13T00:00:00"/>
    <d v="2023-08-12T00:00:00"/>
    <n v="2000"/>
    <n v="6000"/>
    <n v="16"/>
    <s v="Active"/>
    <d v="2026-03-02T00:00:00"/>
    <x v="0"/>
    <s v="Unique"/>
    <x v="6"/>
    <d v="2026-03-02T00:00:00"/>
    <n v="31"/>
    <n v="45"/>
    <n v="4"/>
    <n v="4"/>
    <n v="3"/>
    <x v="98"/>
    <x v="0"/>
  </r>
  <r>
    <x v="727"/>
    <x v="1"/>
    <x v="2"/>
    <d v="2025-09-28T00:00:00"/>
    <d v="2025-12-27T00:00:00"/>
    <n v="3500"/>
    <n v="28000"/>
    <n v="7"/>
    <s v="Active"/>
    <d v="2026-03-18T00:00:00"/>
    <x v="2"/>
    <s v="Unique"/>
    <x v="36"/>
    <d v="2026-03-18T00:00:00"/>
    <n v="5"/>
    <n v="29"/>
    <n v="5"/>
    <n v="2"/>
    <n v="5"/>
    <x v="107"/>
    <x v="1"/>
  </r>
  <r>
    <x v="728"/>
    <x v="0"/>
    <x v="0"/>
    <d v="2024-05-07T00:00:00"/>
    <d v="2024-08-05T00:00:00"/>
    <n v="2000"/>
    <n v="4000"/>
    <n v="18"/>
    <s v="Active"/>
    <d v="2025-04-12T00:00:00"/>
    <x v="0"/>
    <s v="Unique"/>
    <x v="15"/>
    <d v="2025-04-12T00:00:00"/>
    <n v="11"/>
    <n v="369"/>
    <n v="1"/>
    <n v="4"/>
    <n v="2"/>
    <x v="78"/>
    <x v="2"/>
  </r>
  <r>
    <x v="729"/>
    <x v="6"/>
    <x v="0"/>
    <d v="2025-01-23T00:00:00"/>
    <d v="2026-01-23T00:00:00"/>
    <n v="1000"/>
    <n v="10000"/>
    <n v="25"/>
    <s v="Cancelled"/>
    <d v="2025-09-26T00:00:00"/>
    <x v="0"/>
    <s v="Unique"/>
    <x v="5"/>
    <d v="2025-09-26T00:00:00"/>
    <n v="8"/>
    <n v="202"/>
    <n v="2"/>
    <n v="5"/>
    <n v="4"/>
    <x v="56"/>
    <x v="2"/>
  </r>
  <r>
    <x v="730"/>
    <x v="3"/>
    <x v="0"/>
    <d v="2023-12-11T00:00:00"/>
    <d v="2024-12-10T00:00:00"/>
    <n v="2000"/>
    <n v="12000"/>
    <n v="3"/>
    <s v="Cancelled"/>
    <d v="2024-02-28T00:00:00"/>
    <x v="1"/>
    <s v="Unique"/>
    <x v="22"/>
    <d v="2024-02-28T00:00:00"/>
    <n v="2"/>
    <n v="778"/>
    <n v="1"/>
    <n v="1"/>
    <n v="4"/>
    <x v="39"/>
    <x v="2"/>
  </r>
  <r>
    <x v="731"/>
    <x v="6"/>
    <x v="2"/>
    <d v="2026-01-18T00:00:00"/>
    <d v="2026-02-17T00:00:00"/>
    <n v="3500"/>
    <n v="21000"/>
    <n v="7"/>
    <s v="Active"/>
    <d v="2026-03-15T00:00:00"/>
    <x v="2"/>
    <s v="Unique"/>
    <x v="35"/>
    <d v="2026-03-15T00:00:00"/>
    <n v="1"/>
    <n v="32"/>
    <n v="4"/>
    <n v="2"/>
    <n v="5"/>
    <x v="82"/>
    <x v="1"/>
  </r>
  <r>
    <x v="732"/>
    <x v="4"/>
    <x v="2"/>
    <d v="2025-06-11T00:00:00"/>
    <d v="2025-09-09T00:00:00"/>
    <n v="1000"/>
    <n v="5000"/>
    <n v="14"/>
    <s v="Active"/>
    <d v="2025-12-15T00:00:00"/>
    <x v="2"/>
    <s v="Unique"/>
    <x v="18"/>
    <d v="2025-12-15T00:00:00"/>
    <n v="6"/>
    <n v="122"/>
    <n v="3"/>
    <n v="3"/>
    <n v="3"/>
    <x v="91"/>
    <x v="0"/>
  </r>
  <r>
    <x v="733"/>
    <x v="0"/>
    <x v="2"/>
    <d v="2024-11-19T00:00:00"/>
    <d v="2025-02-17T00:00:00"/>
    <n v="3500"/>
    <n v="31500"/>
    <n v="17"/>
    <s v="Active"/>
    <d v="2026-04-08T00:00:00"/>
    <x v="0"/>
    <s v="Unique"/>
    <x v="23"/>
    <d v="2026-04-08T00:00:00"/>
    <n v="16"/>
    <n v="8"/>
    <n v="5"/>
    <n v="4"/>
    <n v="5"/>
    <x v="65"/>
    <x v="3"/>
  </r>
  <r>
    <x v="734"/>
    <x v="1"/>
    <x v="1"/>
    <d v="2025-12-02T00:00:00"/>
    <d v="2026-03-02T00:00:00"/>
    <n v="1000"/>
    <n v="5000"/>
    <n v="18"/>
    <s v="Active"/>
    <d v="2026-02-15T00:00:00"/>
    <x v="0"/>
    <s v="Unique"/>
    <x v="24"/>
    <d v="2026-02-15T00:00:00"/>
    <n v="2"/>
    <n v="60"/>
    <n v="4"/>
    <n v="4"/>
    <n v="3"/>
    <x v="98"/>
    <x v="0"/>
  </r>
  <r>
    <x v="735"/>
    <x v="3"/>
    <x v="2"/>
    <d v="2024-09-10T00:00:00"/>
    <d v="2024-12-09T00:00:00"/>
    <n v="2000"/>
    <n v="20000"/>
    <n v="6"/>
    <s v="Active"/>
    <d v="2025-07-05T00:00:00"/>
    <x v="2"/>
    <s v="Unique"/>
    <x v="8"/>
    <d v="2025-07-05T00:00:00"/>
    <n v="9"/>
    <n v="285"/>
    <n v="2"/>
    <n v="2"/>
    <n v="5"/>
    <x v="85"/>
    <x v="2"/>
  </r>
  <r>
    <x v="736"/>
    <x v="3"/>
    <x v="0"/>
    <d v="2025-11-15T00:00:00"/>
    <d v="2026-02-13T00:00:00"/>
    <n v="2000"/>
    <n v="14000"/>
    <n v="15"/>
    <s v="Active"/>
    <d v="2026-03-26T00:00:00"/>
    <x v="0"/>
    <s v="Unique"/>
    <x v="7"/>
    <d v="2026-03-26T00:00:00"/>
    <n v="4"/>
    <n v="21"/>
    <n v="5"/>
    <n v="4"/>
    <n v="4"/>
    <x v="40"/>
    <x v="3"/>
  </r>
  <r>
    <x v="737"/>
    <x v="1"/>
    <x v="1"/>
    <d v="2025-01-13T00:00:00"/>
    <d v="2025-02-12T00:00:00"/>
    <n v="1000"/>
    <n v="8000"/>
    <n v="22"/>
    <s v="Active"/>
    <d v="2025-04-25T00:00:00"/>
    <x v="0"/>
    <s v="Unique"/>
    <x v="5"/>
    <d v="2025-04-25T00:00:00"/>
    <n v="3"/>
    <n v="356"/>
    <n v="2"/>
    <n v="5"/>
    <n v="3"/>
    <x v="41"/>
    <x v="2"/>
  </r>
  <r>
    <x v="738"/>
    <x v="3"/>
    <x v="1"/>
    <d v="2024-09-24T00:00:00"/>
    <d v="2024-10-24T00:00:00"/>
    <n v="3500"/>
    <n v="24500"/>
    <n v="15"/>
    <s v="Active"/>
    <d v="2025-09-02T00:00:00"/>
    <x v="0"/>
    <s v="Unique"/>
    <x v="8"/>
    <d v="2025-09-02T00:00:00"/>
    <n v="11"/>
    <n v="226"/>
    <n v="2"/>
    <n v="4"/>
    <n v="5"/>
    <x v="48"/>
    <x v="2"/>
  </r>
  <r>
    <x v="739"/>
    <x v="2"/>
    <x v="0"/>
    <d v="2023-03-27T00:00:00"/>
    <d v="2023-04-26T00:00:00"/>
    <n v="1000"/>
    <n v="11000"/>
    <n v="9"/>
    <s v="Active"/>
    <d v="2023-04-03T00:00:00"/>
    <x v="2"/>
    <s v="Unique"/>
    <x v="20"/>
    <d v="2023-04-03T00:00:00"/>
    <n v="0"/>
    <n v="1109"/>
    <n v="1"/>
    <n v="2"/>
    <n v="4"/>
    <x v="47"/>
    <x v="2"/>
  </r>
  <r>
    <x v="740"/>
    <x v="0"/>
    <x v="1"/>
    <d v="2025-04-26T00:00:00"/>
    <d v="2026-04-26T00:00:00"/>
    <n v="2000"/>
    <n v="12000"/>
    <n v="22"/>
    <s v="Active"/>
    <d v="2025-12-07T00:00:00"/>
    <x v="0"/>
    <s v="Unique"/>
    <x v="26"/>
    <d v="2025-12-07T00:00:00"/>
    <n v="7"/>
    <n v="130"/>
    <n v="3"/>
    <n v="5"/>
    <n v="4"/>
    <x v="33"/>
    <x v="0"/>
  </r>
  <r>
    <x v="741"/>
    <x v="3"/>
    <x v="0"/>
    <d v="2024-12-30T00:00:00"/>
    <d v="2025-03-30T00:00:00"/>
    <n v="3500"/>
    <n v="10500"/>
    <n v="10"/>
    <s v="Active"/>
    <d v="2025-08-12T00:00:00"/>
    <x v="2"/>
    <s v="Unique"/>
    <x v="0"/>
    <d v="2025-08-12T00:00:00"/>
    <n v="7"/>
    <n v="247"/>
    <n v="2"/>
    <n v="3"/>
    <n v="4"/>
    <x v="8"/>
    <x v="2"/>
  </r>
  <r>
    <x v="742"/>
    <x v="5"/>
    <x v="2"/>
    <d v="2023-05-19T00:00:00"/>
    <d v="2023-08-17T00:00:00"/>
    <n v="3500"/>
    <n v="14000"/>
    <n v="20"/>
    <s v="Active"/>
    <d v="2024-01-21T00:00:00"/>
    <x v="0"/>
    <s v="Unique"/>
    <x v="29"/>
    <d v="2024-01-21T00:00:00"/>
    <n v="8"/>
    <n v="816"/>
    <n v="1"/>
    <n v="5"/>
    <n v="4"/>
    <x v="27"/>
    <x v="2"/>
  </r>
  <r>
    <x v="743"/>
    <x v="3"/>
    <x v="0"/>
    <d v="2024-03-18T00:00:00"/>
    <d v="2025-03-18T00:00:00"/>
    <n v="3500"/>
    <n v="31500"/>
    <n v="16"/>
    <s v="Active"/>
    <d v="2025-10-03T00:00:00"/>
    <x v="0"/>
    <s v="Unique"/>
    <x v="11"/>
    <d v="2025-10-03T00:00:00"/>
    <n v="18"/>
    <n v="195"/>
    <n v="2"/>
    <n v="4"/>
    <n v="5"/>
    <x v="48"/>
    <x v="2"/>
  </r>
  <r>
    <x v="744"/>
    <x v="2"/>
    <x v="2"/>
    <d v="2024-06-09T00:00:00"/>
    <d v="2025-06-09T00:00:00"/>
    <n v="2000"/>
    <n v="16000"/>
    <n v="3"/>
    <s v="Active"/>
    <d v="2024-07-03T00:00:00"/>
    <x v="1"/>
    <s v="Unique"/>
    <x v="1"/>
    <d v="2024-07-03T00:00:00"/>
    <n v="0"/>
    <n v="652"/>
    <n v="1"/>
    <n v="1"/>
    <n v="4"/>
    <x v="39"/>
    <x v="2"/>
  </r>
  <r>
    <x v="745"/>
    <x v="6"/>
    <x v="0"/>
    <d v="2025-08-09T00:00:00"/>
    <d v="2026-08-09T00:00:00"/>
    <n v="3500"/>
    <n v="3500"/>
    <n v="16"/>
    <s v="Active"/>
    <d v="2026-01-08T00:00:00"/>
    <x v="0"/>
    <s v="Unique"/>
    <x v="4"/>
    <d v="2026-01-08T00:00:00"/>
    <n v="4"/>
    <n v="98"/>
    <n v="3"/>
    <n v="4"/>
    <n v="2"/>
    <x v="86"/>
    <x v="1"/>
  </r>
  <r>
    <x v="746"/>
    <x v="2"/>
    <x v="2"/>
    <d v="2025-04-22T00:00:00"/>
    <d v="2025-07-21T00:00:00"/>
    <n v="1000"/>
    <n v="10000"/>
    <n v="17"/>
    <s v="Active"/>
    <d v="2025-06-06T00:00:00"/>
    <x v="0"/>
    <s v="Unique"/>
    <x v="26"/>
    <d v="2025-06-06T00:00:00"/>
    <n v="1"/>
    <n v="314"/>
    <n v="2"/>
    <n v="4"/>
    <n v="4"/>
    <x v="9"/>
    <x v="2"/>
  </r>
  <r>
    <x v="747"/>
    <x v="0"/>
    <x v="2"/>
    <d v="2023-10-09T00:00:00"/>
    <d v="2024-10-08T00:00:00"/>
    <n v="1000"/>
    <n v="10000"/>
    <n v="20"/>
    <s v="Active"/>
    <d v="2024-09-05T00:00:00"/>
    <x v="0"/>
    <s v="Unique"/>
    <x v="31"/>
    <d v="2024-09-05T00:00:00"/>
    <n v="10"/>
    <n v="588"/>
    <n v="1"/>
    <n v="5"/>
    <n v="4"/>
    <x v="27"/>
    <x v="2"/>
  </r>
  <r>
    <x v="748"/>
    <x v="6"/>
    <x v="1"/>
    <d v="2023-12-03T00:00:00"/>
    <d v="2024-03-02T00:00:00"/>
    <n v="1000"/>
    <n v="5000"/>
    <n v="1"/>
    <s v="Cancelled"/>
    <d v="2024-01-17T00:00:00"/>
    <x v="1"/>
    <s v="Unique"/>
    <x v="22"/>
    <d v="2024-01-17T00:00:00"/>
    <n v="1"/>
    <n v="820"/>
    <n v="1"/>
    <n v="1"/>
    <n v="3"/>
    <x v="2"/>
    <x v="2"/>
  </r>
  <r>
    <x v="749"/>
    <x v="4"/>
    <x v="0"/>
    <d v="2023-10-15T00:00:00"/>
    <d v="2023-11-14T00:00:00"/>
    <n v="3500"/>
    <n v="28000"/>
    <n v="21"/>
    <s v="Active"/>
    <d v="2025-07-17T00:00:00"/>
    <x v="0"/>
    <s v="Unique"/>
    <x v="31"/>
    <d v="2025-07-17T00:00:00"/>
    <n v="21"/>
    <n v="273"/>
    <n v="2"/>
    <n v="5"/>
    <n v="5"/>
    <x v="83"/>
    <x v="2"/>
  </r>
  <r>
    <x v="750"/>
    <x v="0"/>
    <x v="2"/>
    <d v="2024-10-12T00:00:00"/>
    <d v="2025-01-10T00:00:00"/>
    <n v="1000"/>
    <n v="6000"/>
    <n v="10"/>
    <s v="Active"/>
    <d v="2025-03-29T00:00:00"/>
    <x v="2"/>
    <s v="Unique"/>
    <x v="19"/>
    <d v="2025-03-29T00:00:00"/>
    <n v="5"/>
    <n v="383"/>
    <n v="1"/>
    <n v="3"/>
    <n v="3"/>
    <x v="61"/>
    <x v="2"/>
  </r>
  <r>
    <x v="751"/>
    <x v="0"/>
    <x v="1"/>
    <d v="2024-03-20T00:00:00"/>
    <d v="2024-04-19T00:00:00"/>
    <n v="1000"/>
    <n v="7000"/>
    <n v="16"/>
    <s v="Active"/>
    <d v="2026-02-17T00:00:00"/>
    <x v="0"/>
    <s v="Unique"/>
    <x v="11"/>
    <d v="2026-02-17T00:00:00"/>
    <n v="22"/>
    <n v="58"/>
    <n v="4"/>
    <n v="4"/>
    <n v="3"/>
    <x v="98"/>
    <x v="0"/>
  </r>
  <r>
    <x v="752"/>
    <x v="4"/>
    <x v="2"/>
    <d v="2025-11-25T00:00:00"/>
    <d v="2025-12-25T00:00:00"/>
    <n v="2000"/>
    <n v="22000"/>
    <n v="24"/>
    <s v="Active"/>
    <d v="2026-02-16T00:00:00"/>
    <x v="0"/>
    <s v="Unique"/>
    <x v="7"/>
    <d v="2026-02-16T00:00:00"/>
    <n v="2"/>
    <n v="59"/>
    <n v="4"/>
    <n v="5"/>
    <n v="5"/>
    <x v="15"/>
    <x v="3"/>
  </r>
  <r>
    <x v="753"/>
    <x v="0"/>
    <x v="1"/>
    <d v="2025-03-06T00:00:00"/>
    <d v="2025-04-05T00:00:00"/>
    <n v="1000"/>
    <n v="7000"/>
    <n v="11"/>
    <s v="Active"/>
    <d v="2025-06-29T00:00:00"/>
    <x v="2"/>
    <s v="Unique"/>
    <x v="33"/>
    <d v="2025-06-29T00:00:00"/>
    <n v="3"/>
    <n v="291"/>
    <n v="2"/>
    <n v="3"/>
    <n v="3"/>
    <x v="3"/>
    <x v="2"/>
  </r>
  <r>
    <x v="754"/>
    <x v="3"/>
    <x v="2"/>
    <d v="2024-06-23T00:00:00"/>
    <d v="2024-09-21T00:00:00"/>
    <n v="2000"/>
    <n v="10000"/>
    <n v="9"/>
    <s v="Active"/>
    <d v="2025-04-21T00:00:00"/>
    <x v="2"/>
    <s v="Unique"/>
    <x v="1"/>
    <d v="2025-04-21T00:00:00"/>
    <n v="9"/>
    <n v="360"/>
    <n v="2"/>
    <n v="2"/>
    <n v="4"/>
    <x v="37"/>
    <x v="2"/>
  </r>
  <r>
    <x v="755"/>
    <x v="1"/>
    <x v="0"/>
    <d v="2023-07-10T00:00:00"/>
    <d v="2023-10-08T00:00:00"/>
    <n v="3500"/>
    <n v="3500"/>
    <n v="24"/>
    <s v="Active"/>
    <d v="2024-09-27T00:00:00"/>
    <x v="0"/>
    <s v="Unique"/>
    <x v="6"/>
    <d v="2024-09-27T00:00:00"/>
    <n v="14"/>
    <n v="566"/>
    <n v="1"/>
    <n v="5"/>
    <n v="2"/>
    <x v="66"/>
    <x v="2"/>
  </r>
  <r>
    <x v="756"/>
    <x v="6"/>
    <x v="2"/>
    <d v="2024-05-31T00:00:00"/>
    <d v="2025-05-31T00:00:00"/>
    <n v="3500"/>
    <n v="38500"/>
    <n v="9"/>
    <s v="Active"/>
    <d v="2024-11-11T00:00:00"/>
    <x v="2"/>
    <s v="Unique"/>
    <x v="15"/>
    <d v="2024-11-11T00:00:00"/>
    <n v="5"/>
    <n v="521"/>
    <n v="1"/>
    <n v="2"/>
    <n v="5"/>
    <x v="69"/>
    <x v="2"/>
  </r>
  <r>
    <x v="757"/>
    <x v="2"/>
    <x v="2"/>
    <d v="2023-06-14T00:00:00"/>
    <d v="2023-09-12T00:00:00"/>
    <n v="3500"/>
    <n v="14000"/>
    <n v="6"/>
    <s v="Active"/>
    <d v="2026-01-20T00:00:00"/>
    <x v="2"/>
    <s v="Unique"/>
    <x v="10"/>
    <d v="2026-01-20T00:00:00"/>
    <n v="31"/>
    <n v="86"/>
    <n v="4"/>
    <n v="2"/>
    <n v="4"/>
    <x v="53"/>
    <x v="1"/>
  </r>
  <r>
    <x v="758"/>
    <x v="4"/>
    <x v="2"/>
    <d v="2023-10-21T00:00:00"/>
    <d v="2024-10-20T00:00:00"/>
    <n v="3500"/>
    <n v="10500"/>
    <n v="11"/>
    <s v="Active"/>
    <d v="2024-08-21T00:00:00"/>
    <x v="2"/>
    <s v="Unique"/>
    <x v="31"/>
    <d v="2024-08-21T00:00:00"/>
    <n v="10"/>
    <n v="603"/>
    <n v="1"/>
    <n v="3"/>
    <n v="4"/>
    <x v="31"/>
    <x v="2"/>
  </r>
  <r>
    <x v="759"/>
    <x v="0"/>
    <x v="2"/>
    <d v="2023-11-04T00:00:00"/>
    <d v="2023-12-04T00:00:00"/>
    <n v="3500"/>
    <n v="24500"/>
    <n v="18"/>
    <s v="Active"/>
    <d v="2026-01-28T00:00:00"/>
    <x v="0"/>
    <s v="Unique"/>
    <x v="21"/>
    <d v="2026-01-28T00:00:00"/>
    <n v="26"/>
    <n v="78"/>
    <n v="4"/>
    <n v="4"/>
    <n v="5"/>
    <x v="63"/>
    <x v="3"/>
  </r>
  <r>
    <x v="760"/>
    <x v="0"/>
    <x v="0"/>
    <d v="2024-11-08T00:00:00"/>
    <d v="2025-02-06T00:00:00"/>
    <n v="1000"/>
    <n v="4000"/>
    <n v="11"/>
    <s v="Active"/>
    <d v="2026-03-29T00:00:00"/>
    <x v="2"/>
    <s v="Unique"/>
    <x v="23"/>
    <d v="2026-03-29T00:00:00"/>
    <n v="16"/>
    <n v="18"/>
    <n v="5"/>
    <n v="3"/>
    <n v="2"/>
    <x v="102"/>
    <x v="1"/>
  </r>
  <r>
    <x v="761"/>
    <x v="0"/>
    <x v="2"/>
    <d v="2024-08-05T00:00:00"/>
    <d v="2025-08-05T00:00:00"/>
    <n v="1000"/>
    <n v="12000"/>
    <n v="3"/>
    <s v="Cancelled"/>
    <d v="2024-09-06T00:00:00"/>
    <x v="1"/>
    <s v="Unique"/>
    <x v="12"/>
    <d v="2024-09-06T00:00:00"/>
    <n v="1"/>
    <n v="587"/>
    <n v="1"/>
    <n v="1"/>
    <n v="4"/>
    <x v="39"/>
    <x v="2"/>
  </r>
  <r>
    <x v="762"/>
    <x v="4"/>
    <x v="0"/>
    <d v="2023-01-27T00:00:00"/>
    <d v="2023-04-27T00:00:00"/>
    <n v="2000"/>
    <n v="18000"/>
    <n v="5"/>
    <s v="Cancelled"/>
    <d v="2023-04-14T00:00:00"/>
    <x v="2"/>
    <s v="Unique"/>
    <x v="2"/>
    <d v="2023-04-14T00:00:00"/>
    <n v="2"/>
    <n v="1098"/>
    <n v="1"/>
    <n v="2"/>
    <n v="4"/>
    <x v="47"/>
    <x v="2"/>
  </r>
  <r>
    <x v="763"/>
    <x v="0"/>
    <x v="1"/>
    <d v="2023-07-20T00:00:00"/>
    <d v="2023-10-18T00:00:00"/>
    <n v="2000"/>
    <n v="20000"/>
    <n v="16"/>
    <s v="Active"/>
    <d v="2025-06-11T00:00:00"/>
    <x v="0"/>
    <s v="Unique"/>
    <x v="6"/>
    <d v="2025-06-11T00:00:00"/>
    <n v="22"/>
    <n v="309"/>
    <n v="2"/>
    <n v="4"/>
    <n v="5"/>
    <x v="48"/>
    <x v="2"/>
  </r>
  <r>
    <x v="764"/>
    <x v="2"/>
    <x v="1"/>
    <d v="2024-10-22T00:00:00"/>
    <d v="2025-10-22T00:00:00"/>
    <n v="3500"/>
    <n v="24500"/>
    <n v="13"/>
    <s v="Active"/>
    <d v="2025-02-17T00:00:00"/>
    <x v="2"/>
    <s v="Unique"/>
    <x v="19"/>
    <d v="2025-02-17T00:00:00"/>
    <n v="3"/>
    <n v="423"/>
    <n v="1"/>
    <n v="3"/>
    <n v="5"/>
    <x v="21"/>
    <x v="2"/>
  </r>
  <r>
    <x v="765"/>
    <x v="4"/>
    <x v="0"/>
    <d v="2023-09-09T00:00:00"/>
    <d v="2023-10-09T00:00:00"/>
    <n v="1000"/>
    <n v="8000"/>
    <n v="9"/>
    <s v="Cancelled"/>
    <d v="2024-02-15T00:00:00"/>
    <x v="2"/>
    <s v="Unique"/>
    <x v="25"/>
    <d v="2024-02-15T00:00:00"/>
    <n v="5"/>
    <n v="791"/>
    <n v="1"/>
    <n v="2"/>
    <n v="3"/>
    <x v="52"/>
    <x v="2"/>
  </r>
  <r>
    <x v="766"/>
    <x v="0"/>
    <x v="2"/>
    <d v="2023-04-06T00:00:00"/>
    <d v="2024-04-05T00:00:00"/>
    <n v="3500"/>
    <n v="31500"/>
    <n v="5"/>
    <s v="Active"/>
    <d v="2025-10-10T00:00:00"/>
    <x v="2"/>
    <s v="Unique"/>
    <x v="28"/>
    <d v="2025-10-10T00:00:00"/>
    <n v="30"/>
    <n v="188"/>
    <n v="2"/>
    <n v="2"/>
    <n v="5"/>
    <x v="85"/>
    <x v="2"/>
  </r>
  <r>
    <x v="767"/>
    <x v="4"/>
    <x v="1"/>
    <d v="2023-10-12T00:00:00"/>
    <d v="2024-10-11T00:00:00"/>
    <n v="1000"/>
    <n v="3000"/>
    <n v="11"/>
    <s v="Active"/>
    <d v="2025-06-23T00:00:00"/>
    <x v="2"/>
    <s v="Unique"/>
    <x v="31"/>
    <d v="2025-06-23T00:00:00"/>
    <n v="20"/>
    <n v="297"/>
    <n v="2"/>
    <n v="3"/>
    <n v="2"/>
    <x v="62"/>
    <x v="2"/>
  </r>
  <r>
    <x v="768"/>
    <x v="6"/>
    <x v="0"/>
    <d v="2023-06-30T00:00:00"/>
    <d v="2023-07-30T00:00:00"/>
    <n v="2000"/>
    <n v="18000"/>
    <n v="21"/>
    <s v="Active"/>
    <d v="2023-08-19T00:00:00"/>
    <x v="0"/>
    <s v="Unique"/>
    <x v="10"/>
    <d v="2023-08-19T00:00:00"/>
    <n v="1"/>
    <n v="971"/>
    <n v="1"/>
    <n v="5"/>
    <n v="4"/>
    <x v="27"/>
    <x v="2"/>
  </r>
  <r>
    <x v="769"/>
    <x v="1"/>
    <x v="1"/>
    <d v="2025-10-25T00:00:00"/>
    <d v="2025-11-24T00:00:00"/>
    <n v="3500"/>
    <n v="35000"/>
    <n v="12"/>
    <s v="Active"/>
    <d v="2025-11-09T00:00:00"/>
    <x v="2"/>
    <s v="Unique"/>
    <x v="32"/>
    <d v="2025-11-09T00:00:00"/>
    <n v="0"/>
    <n v="158"/>
    <n v="3"/>
    <n v="3"/>
    <n v="5"/>
    <x v="25"/>
    <x v="0"/>
  </r>
  <r>
    <x v="770"/>
    <x v="6"/>
    <x v="2"/>
    <d v="2025-07-13T00:00:00"/>
    <d v="2025-08-12T00:00:00"/>
    <n v="1000"/>
    <n v="9000"/>
    <n v="18"/>
    <s v="Active"/>
    <d v="2025-09-18T00:00:00"/>
    <x v="0"/>
    <s v="Unique"/>
    <x v="17"/>
    <d v="2025-09-18T00:00:00"/>
    <n v="2"/>
    <n v="210"/>
    <n v="2"/>
    <n v="4"/>
    <n v="3"/>
    <x v="24"/>
    <x v="2"/>
  </r>
  <r>
    <x v="771"/>
    <x v="1"/>
    <x v="1"/>
    <d v="2023-08-08T00:00:00"/>
    <d v="2023-11-06T00:00:00"/>
    <n v="2000"/>
    <n v="16000"/>
    <n v="15"/>
    <s v="Cancelled"/>
    <d v="2024-08-31T00:00:00"/>
    <x v="0"/>
    <s v="Unique"/>
    <x v="27"/>
    <d v="2024-08-31T00:00:00"/>
    <n v="12"/>
    <n v="593"/>
    <n v="1"/>
    <n v="4"/>
    <n v="4"/>
    <x v="13"/>
    <x v="2"/>
  </r>
  <r>
    <x v="772"/>
    <x v="5"/>
    <x v="1"/>
    <d v="2026-01-31T00:00:00"/>
    <d v="2026-03-02T00:00:00"/>
    <n v="1000"/>
    <n v="3000"/>
    <n v="2"/>
    <s v="Cancelled"/>
    <d v="2026-02-28T00:00:00"/>
    <x v="1"/>
    <s v="Unique"/>
    <x v="35"/>
    <d v="2026-02-28T00:00:00"/>
    <n v="0"/>
    <n v="47"/>
    <n v="4"/>
    <n v="1"/>
    <n v="2"/>
    <x v="103"/>
    <x v="1"/>
  </r>
  <r>
    <x v="773"/>
    <x v="5"/>
    <x v="0"/>
    <d v="2023-12-21T00:00:00"/>
    <d v="2024-01-20T00:00:00"/>
    <n v="2000"/>
    <n v="8000"/>
    <n v="21"/>
    <s v="Active"/>
    <d v="2024-05-12T00:00:00"/>
    <x v="0"/>
    <s v="Unique"/>
    <x v="22"/>
    <d v="2024-05-12T00:00:00"/>
    <n v="4"/>
    <n v="704"/>
    <n v="1"/>
    <n v="5"/>
    <n v="3"/>
    <x v="73"/>
    <x v="2"/>
  </r>
  <r>
    <x v="774"/>
    <x v="1"/>
    <x v="0"/>
    <d v="2025-01-10T00:00:00"/>
    <d v="2025-02-09T00:00:00"/>
    <n v="3500"/>
    <n v="42000"/>
    <n v="8"/>
    <s v="Active"/>
    <d v="2025-09-11T00:00:00"/>
    <x v="2"/>
    <s v="Unique"/>
    <x v="5"/>
    <d v="2025-09-11T00:00:00"/>
    <n v="8"/>
    <n v="217"/>
    <n v="2"/>
    <n v="2"/>
    <n v="5"/>
    <x v="85"/>
    <x v="2"/>
  </r>
  <r>
    <x v="775"/>
    <x v="6"/>
    <x v="2"/>
    <d v="2023-04-26T00:00:00"/>
    <d v="2023-05-26T00:00:00"/>
    <n v="3500"/>
    <n v="28000"/>
    <n v="21"/>
    <s v="Active"/>
    <d v="2023-09-25T00:00:00"/>
    <x v="0"/>
    <s v="Unique"/>
    <x v="28"/>
    <d v="2023-09-25T00:00:00"/>
    <n v="4"/>
    <n v="934"/>
    <n v="1"/>
    <n v="5"/>
    <n v="5"/>
    <x v="10"/>
    <x v="2"/>
  </r>
  <r>
    <x v="776"/>
    <x v="3"/>
    <x v="0"/>
    <d v="2023-01-21T00:00:00"/>
    <d v="2023-04-21T00:00:00"/>
    <n v="2000"/>
    <n v="6000"/>
    <n v="15"/>
    <s v="Active"/>
    <d v="2023-11-05T00:00:00"/>
    <x v="0"/>
    <s v="Unique"/>
    <x v="2"/>
    <d v="2023-11-05T00:00:00"/>
    <n v="9"/>
    <n v="893"/>
    <n v="1"/>
    <n v="4"/>
    <n v="3"/>
    <x v="42"/>
    <x v="2"/>
  </r>
  <r>
    <x v="777"/>
    <x v="6"/>
    <x v="0"/>
    <d v="2023-08-28T00:00:00"/>
    <d v="2023-09-27T00:00:00"/>
    <n v="1000"/>
    <n v="10000"/>
    <n v="24"/>
    <s v="Active"/>
    <d v="2026-04-06T00:00:00"/>
    <x v="0"/>
    <s v="Unique"/>
    <x v="27"/>
    <d v="2026-04-06T00:00:00"/>
    <n v="31"/>
    <n v="10"/>
    <n v="5"/>
    <n v="5"/>
    <n v="4"/>
    <x v="77"/>
    <x v="3"/>
  </r>
  <r>
    <x v="778"/>
    <x v="3"/>
    <x v="2"/>
    <d v="2023-11-28T00:00:00"/>
    <d v="2024-02-26T00:00:00"/>
    <n v="3500"/>
    <n v="24500"/>
    <n v="18"/>
    <s v="Active"/>
    <d v="2025-08-29T00:00:00"/>
    <x v="0"/>
    <s v="Unique"/>
    <x v="21"/>
    <d v="2025-08-29T00:00:00"/>
    <n v="21"/>
    <n v="230"/>
    <n v="2"/>
    <n v="4"/>
    <n v="5"/>
    <x v="48"/>
    <x v="2"/>
  </r>
  <r>
    <x v="779"/>
    <x v="0"/>
    <x v="0"/>
    <d v="2023-07-10T00:00:00"/>
    <d v="2023-08-09T00:00:00"/>
    <n v="2000"/>
    <n v="16000"/>
    <n v="2"/>
    <s v="Cancelled"/>
    <d v="2024-01-18T00:00:00"/>
    <x v="1"/>
    <s v="Unique"/>
    <x v="6"/>
    <d v="2024-01-18T00:00:00"/>
    <n v="6"/>
    <n v="819"/>
    <n v="1"/>
    <n v="1"/>
    <n v="4"/>
    <x v="39"/>
    <x v="2"/>
  </r>
  <r>
    <x v="780"/>
    <x v="1"/>
    <x v="1"/>
    <d v="2023-02-01T00:00:00"/>
    <d v="2023-03-03T00:00:00"/>
    <n v="3500"/>
    <n v="24500"/>
    <n v="7"/>
    <s v="Active"/>
    <d v="2023-05-10T00:00:00"/>
    <x v="2"/>
    <s v="Unique"/>
    <x v="16"/>
    <d v="2023-05-10T00:00:00"/>
    <n v="3"/>
    <n v="1072"/>
    <n v="1"/>
    <n v="2"/>
    <n v="5"/>
    <x v="69"/>
    <x v="2"/>
  </r>
  <r>
    <x v="781"/>
    <x v="5"/>
    <x v="1"/>
    <d v="2023-08-06T00:00:00"/>
    <d v="2023-09-05T00:00:00"/>
    <n v="1000"/>
    <n v="12000"/>
    <n v="17"/>
    <s v="Active"/>
    <d v="2025-02-23T00:00:00"/>
    <x v="0"/>
    <s v="Unique"/>
    <x v="27"/>
    <d v="2025-02-23T00:00:00"/>
    <n v="18"/>
    <n v="417"/>
    <n v="1"/>
    <n v="4"/>
    <n v="4"/>
    <x v="13"/>
    <x v="2"/>
  </r>
  <r>
    <x v="782"/>
    <x v="0"/>
    <x v="2"/>
    <d v="2025-12-06T00:00:00"/>
    <d v="2026-12-06T00:00:00"/>
    <n v="2000"/>
    <n v="16000"/>
    <n v="9"/>
    <s v="Active"/>
    <d v="2025-12-25T00:00:00"/>
    <x v="2"/>
    <s v="Unique"/>
    <x v="24"/>
    <d v="2025-12-25T00:00:00"/>
    <n v="0"/>
    <n v="112"/>
    <n v="3"/>
    <n v="2"/>
    <n v="4"/>
    <x v="58"/>
    <x v="1"/>
  </r>
  <r>
    <x v="783"/>
    <x v="3"/>
    <x v="1"/>
    <d v="2024-01-07T00:00:00"/>
    <d v="2025-01-06T00:00:00"/>
    <n v="2000"/>
    <n v="22000"/>
    <n v="4"/>
    <s v="Cancelled"/>
    <d v="2024-11-15T00:00:00"/>
    <x v="1"/>
    <s v="Unique"/>
    <x v="34"/>
    <d v="2024-11-15T00:00:00"/>
    <n v="10"/>
    <n v="517"/>
    <n v="1"/>
    <n v="1"/>
    <n v="5"/>
    <x v="23"/>
    <x v="2"/>
  </r>
  <r>
    <x v="784"/>
    <x v="2"/>
    <x v="1"/>
    <d v="2024-09-28T00:00:00"/>
    <d v="2024-12-27T00:00:00"/>
    <n v="2000"/>
    <n v="2000"/>
    <n v="21"/>
    <s v="Active"/>
    <d v="2026-03-07T00:00:00"/>
    <x v="0"/>
    <s v="Unique"/>
    <x v="8"/>
    <d v="2026-03-07T00:00:00"/>
    <n v="17"/>
    <n v="40"/>
    <n v="4"/>
    <n v="5"/>
    <n v="2"/>
    <x v="108"/>
    <x v="1"/>
  </r>
  <r>
    <x v="785"/>
    <x v="2"/>
    <x v="1"/>
    <d v="2026-01-21T00:00:00"/>
    <d v="2026-02-20T00:00:00"/>
    <n v="1000"/>
    <n v="4000"/>
    <n v="5"/>
    <s v="Cancelled"/>
    <d v="2026-04-04T00:00:00"/>
    <x v="2"/>
    <s v="Unique"/>
    <x v="35"/>
    <d v="2026-04-04T00:00:00"/>
    <n v="2"/>
    <n v="12"/>
    <n v="5"/>
    <n v="2"/>
    <n v="2"/>
    <x v="18"/>
    <x v="1"/>
  </r>
  <r>
    <x v="786"/>
    <x v="6"/>
    <x v="1"/>
    <d v="2025-10-27T00:00:00"/>
    <d v="2026-10-27T00:00:00"/>
    <n v="2000"/>
    <n v="16000"/>
    <n v="5"/>
    <s v="Active"/>
    <d v="2026-03-20T00:00:00"/>
    <x v="2"/>
    <s v="Unique"/>
    <x v="32"/>
    <d v="2026-03-20T00:00:00"/>
    <n v="4"/>
    <n v="27"/>
    <n v="5"/>
    <n v="2"/>
    <n v="4"/>
    <x v="75"/>
    <x v="1"/>
  </r>
  <r>
    <x v="787"/>
    <x v="2"/>
    <x v="2"/>
    <d v="2024-11-18T00:00:00"/>
    <d v="2024-12-18T00:00:00"/>
    <n v="3500"/>
    <n v="10500"/>
    <n v="11"/>
    <s v="Active"/>
    <d v="2025-03-01T00:00:00"/>
    <x v="2"/>
    <s v="Unique"/>
    <x v="23"/>
    <d v="2025-03-01T00:00:00"/>
    <n v="3"/>
    <n v="411"/>
    <n v="1"/>
    <n v="3"/>
    <n v="4"/>
    <x v="31"/>
    <x v="2"/>
  </r>
  <r>
    <x v="788"/>
    <x v="1"/>
    <x v="1"/>
    <d v="2023-09-06T00:00:00"/>
    <d v="2023-10-06T00:00:00"/>
    <n v="2000"/>
    <n v="8000"/>
    <n v="21"/>
    <s v="Active"/>
    <d v="2025-10-04T00:00:00"/>
    <x v="0"/>
    <s v="Unique"/>
    <x v="25"/>
    <d v="2025-10-04T00:00:00"/>
    <n v="24"/>
    <n v="194"/>
    <n v="2"/>
    <n v="5"/>
    <n v="3"/>
    <x v="41"/>
    <x v="2"/>
  </r>
  <r>
    <x v="789"/>
    <x v="5"/>
    <x v="0"/>
    <d v="2025-10-06T00:00:00"/>
    <d v="2026-10-06T00:00:00"/>
    <n v="1000"/>
    <n v="1000"/>
    <n v="1"/>
    <s v="Cancelled"/>
    <d v="2026-04-12T00:00:00"/>
    <x v="1"/>
    <s v="Unique"/>
    <x v="32"/>
    <d v="2026-04-12T00:00:00"/>
    <n v="6"/>
    <n v="4"/>
    <n v="5"/>
    <n v="1"/>
    <n v="1"/>
    <x v="92"/>
    <x v="1"/>
  </r>
  <r>
    <x v="790"/>
    <x v="0"/>
    <x v="2"/>
    <d v="2024-03-13T00:00:00"/>
    <d v="2024-06-11T00:00:00"/>
    <n v="1000"/>
    <n v="9000"/>
    <n v="6"/>
    <s v="Active"/>
    <d v="2025-03-15T00:00:00"/>
    <x v="2"/>
    <s v="Unique"/>
    <x v="11"/>
    <d v="2025-03-15T00:00:00"/>
    <n v="12"/>
    <n v="397"/>
    <n v="1"/>
    <n v="2"/>
    <n v="3"/>
    <x v="52"/>
    <x v="2"/>
  </r>
  <r>
    <x v="791"/>
    <x v="3"/>
    <x v="0"/>
    <d v="2023-07-25T00:00:00"/>
    <d v="2023-10-23T00:00:00"/>
    <n v="3500"/>
    <n v="24500"/>
    <n v="5"/>
    <s v="Cancelled"/>
    <d v="2026-03-02T00:00:00"/>
    <x v="2"/>
    <s v="Unique"/>
    <x v="6"/>
    <d v="2026-03-02T00:00:00"/>
    <n v="31"/>
    <n v="45"/>
    <n v="4"/>
    <n v="2"/>
    <n v="5"/>
    <x v="82"/>
    <x v="1"/>
  </r>
  <r>
    <x v="792"/>
    <x v="4"/>
    <x v="2"/>
    <d v="2023-12-25T00:00:00"/>
    <d v="2024-12-24T00:00:00"/>
    <n v="2000"/>
    <n v="18000"/>
    <n v="2"/>
    <s v="Active"/>
    <d v="2024-01-25T00:00:00"/>
    <x v="1"/>
    <s v="Unique"/>
    <x v="22"/>
    <d v="2024-01-25T00:00:00"/>
    <n v="1"/>
    <n v="812"/>
    <n v="1"/>
    <n v="1"/>
    <n v="4"/>
    <x v="39"/>
    <x v="2"/>
  </r>
  <r>
    <x v="793"/>
    <x v="5"/>
    <x v="1"/>
    <d v="2025-07-23T00:00:00"/>
    <d v="2025-10-21T00:00:00"/>
    <n v="3500"/>
    <n v="3500"/>
    <n v="9"/>
    <s v="Active"/>
    <d v="2025-10-19T00:00:00"/>
    <x v="2"/>
    <s v="Unique"/>
    <x v="17"/>
    <d v="2025-10-19T00:00:00"/>
    <n v="2"/>
    <n v="179"/>
    <n v="3"/>
    <n v="2"/>
    <n v="2"/>
    <x v="88"/>
    <x v="1"/>
  </r>
  <r>
    <x v="794"/>
    <x v="2"/>
    <x v="2"/>
    <d v="2023-09-25T00:00:00"/>
    <d v="2023-10-25T00:00:00"/>
    <n v="3500"/>
    <n v="24500"/>
    <n v="3"/>
    <s v="Active"/>
    <d v="2025-02-22T00:00:00"/>
    <x v="1"/>
    <s v="Unique"/>
    <x v="25"/>
    <d v="2025-02-22T00:00:00"/>
    <n v="16"/>
    <n v="418"/>
    <n v="1"/>
    <n v="1"/>
    <n v="5"/>
    <x v="23"/>
    <x v="2"/>
  </r>
  <r>
    <x v="795"/>
    <x v="4"/>
    <x v="1"/>
    <d v="2025-11-03T00:00:00"/>
    <d v="2026-11-03T00:00:00"/>
    <n v="2000"/>
    <n v="4000"/>
    <n v="23"/>
    <s v="Active"/>
    <d v="2026-03-27T00:00:00"/>
    <x v="0"/>
    <s v="Unique"/>
    <x v="7"/>
    <d v="2026-03-27T00:00:00"/>
    <n v="4"/>
    <n v="20"/>
    <n v="5"/>
    <n v="5"/>
    <n v="2"/>
    <x v="109"/>
    <x v="1"/>
  </r>
  <r>
    <x v="796"/>
    <x v="5"/>
    <x v="2"/>
    <d v="2023-07-01T00:00:00"/>
    <d v="2024-06-30T00:00:00"/>
    <n v="2000"/>
    <n v="4000"/>
    <n v="16"/>
    <s v="Active"/>
    <d v="2024-09-24T00:00:00"/>
    <x v="0"/>
    <s v="Unique"/>
    <x v="6"/>
    <d v="2024-09-24T00:00:00"/>
    <n v="14"/>
    <n v="569"/>
    <n v="1"/>
    <n v="4"/>
    <n v="2"/>
    <x v="78"/>
    <x v="2"/>
  </r>
  <r>
    <x v="797"/>
    <x v="2"/>
    <x v="2"/>
    <d v="2024-12-01T00:00:00"/>
    <d v="2024-12-31T00:00:00"/>
    <n v="2000"/>
    <n v="14000"/>
    <n v="4"/>
    <s v="Active"/>
    <d v="2025-01-23T00:00:00"/>
    <x v="1"/>
    <s v="Unique"/>
    <x v="0"/>
    <d v="2025-01-23T00:00:00"/>
    <n v="1"/>
    <n v="448"/>
    <n v="1"/>
    <n v="1"/>
    <n v="4"/>
    <x v="39"/>
    <x v="2"/>
  </r>
  <r>
    <x v="798"/>
    <x v="3"/>
    <x v="1"/>
    <d v="2023-09-23T00:00:00"/>
    <d v="2023-12-22T00:00:00"/>
    <n v="1000"/>
    <n v="6000"/>
    <n v="1"/>
    <s v="Cancelled"/>
    <d v="2025-06-18T00:00:00"/>
    <x v="1"/>
    <s v="Unique"/>
    <x v="25"/>
    <d v="2025-06-18T00:00:00"/>
    <n v="20"/>
    <n v="302"/>
    <n v="2"/>
    <n v="1"/>
    <n v="3"/>
    <x v="28"/>
    <x v="2"/>
  </r>
  <r>
    <x v="799"/>
    <x v="3"/>
    <x v="1"/>
    <d v="2025-11-14T00:00:00"/>
    <d v="2026-02-12T00:00:00"/>
    <n v="3500"/>
    <n v="17500"/>
    <n v="4"/>
    <s v="Cancelled"/>
    <d v="2026-03-15T00:00:00"/>
    <x v="1"/>
    <s v="Unique"/>
    <x v="7"/>
    <d v="2026-03-15T00:00:00"/>
    <n v="4"/>
    <n v="32"/>
    <n v="4"/>
    <n v="1"/>
    <n v="4"/>
    <x v="1"/>
    <x v="1"/>
  </r>
  <r>
    <x v="800"/>
    <x v="1"/>
    <x v="2"/>
    <d v="2024-12-04T00:00:00"/>
    <d v="2025-12-04T00:00:00"/>
    <n v="1000"/>
    <n v="12000"/>
    <s v=""/>
    <s v="Active"/>
    <s v="46022"/>
    <x v="0"/>
    <s v="Unique"/>
    <x v="0"/>
    <s v="46022"/>
    <n v="12"/>
    <n v="106"/>
    <n v="3"/>
    <n v="5"/>
    <n v="4"/>
    <x v="33"/>
    <x v="0"/>
  </r>
  <r>
    <x v="801"/>
    <x v="2"/>
    <x v="2"/>
    <d v="2025-05-17T00:00:00"/>
    <d v="2025-06-16T00:00:00"/>
    <n v="3500"/>
    <n v="7000"/>
    <s v=""/>
    <s v="Active"/>
    <s v="46050"/>
    <x v="0"/>
    <s v="Unique"/>
    <x v="30"/>
    <s v="46050"/>
    <n v="8"/>
    <n v="78"/>
    <n v="4"/>
    <n v="5"/>
    <n v="3"/>
    <x v="35"/>
    <x v="0"/>
  </r>
  <r>
    <x v="802"/>
    <x v="1"/>
    <x v="0"/>
    <d v="2025-09-19T00:00:00"/>
    <d v="2025-10-19T00:00:00"/>
    <n v="3500"/>
    <n v="35000"/>
    <s v=""/>
    <s v="Cancelled"/>
    <s v="45257"/>
    <x v="0"/>
    <s v="Unique"/>
    <x v="36"/>
    <s v="45257"/>
    <n v="0"/>
    <n v="871"/>
    <n v="1"/>
    <n v="5"/>
    <n v="5"/>
    <x v="10"/>
    <x v="2"/>
  </r>
  <r>
    <x v="803"/>
    <x v="6"/>
    <x v="0"/>
    <d v="2024-05-27T00:00:00"/>
    <d v="2025-05-27T00:00:00"/>
    <n v="3500"/>
    <n v="42000"/>
    <s v=""/>
    <s v="Active"/>
    <s v="45937"/>
    <x v="0"/>
    <s v="Unique"/>
    <x v="15"/>
    <s v="45937"/>
    <n v="16"/>
    <n v="191"/>
    <n v="2"/>
    <n v="5"/>
    <n v="5"/>
    <x v="83"/>
    <x v="2"/>
  </r>
  <r>
    <x v="804"/>
    <x v="2"/>
    <x v="1"/>
    <d v="2024-12-09T00:00:00"/>
    <d v="2025-03-09T00:00:00"/>
    <n v="1000"/>
    <n v="1000"/>
    <s v=""/>
    <s v="Cancelled"/>
    <s v="45960"/>
    <x v="0"/>
    <s v="Unique"/>
    <x v="0"/>
    <s v="45960"/>
    <n v="10"/>
    <n v="168"/>
    <n v="3"/>
    <n v="5"/>
    <n v="1"/>
    <x v="110"/>
    <x v="1"/>
  </r>
  <r>
    <x v="805"/>
    <x v="6"/>
    <x v="1"/>
    <d v="2025-12-27T00:00:00"/>
    <d v="2026-03-27T00:00:00"/>
    <n v="3500"/>
    <n v="10500"/>
    <s v=""/>
    <s v="Cancelled"/>
    <s v="46011"/>
    <x v="0"/>
    <s v="Unique"/>
    <x v="24"/>
    <s v="46011"/>
    <n v="0"/>
    <n v="117"/>
    <n v="3"/>
    <n v="5"/>
    <n v="4"/>
    <x v="33"/>
    <x v="0"/>
  </r>
  <r>
    <x v="806"/>
    <x v="5"/>
    <x v="2"/>
    <d v="2024-07-01T00:00:00"/>
    <d v="2024-07-31T00:00:00"/>
    <n v="3500"/>
    <n v="35000"/>
    <s v=""/>
    <s v="Active"/>
    <s v="45649"/>
    <x v="0"/>
    <s v="Unique"/>
    <x v="13"/>
    <s v="45649"/>
    <n v="5"/>
    <n v="479"/>
    <n v="1"/>
    <n v="5"/>
    <n v="5"/>
    <x v="10"/>
    <x v="2"/>
  </r>
  <r>
    <x v="807"/>
    <x v="1"/>
    <x v="2"/>
    <d v="2025-10-18T00:00:00"/>
    <d v="2026-10-18T00:00:00"/>
    <n v="1000"/>
    <n v="10000"/>
    <s v=""/>
    <s v="Cancelled"/>
    <s v="46071"/>
    <x v="0"/>
    <s v="Unique"/>
    <x v="32"/>
    <s v="46071"/>
    <n v="4"/>
    <n v="57"/>
    <n v="4"/>
    <n v="5"/>
    <n v="4"/>
    <x v="94"/>
    <x v="3"/>
  </r>
  <r>
    <x v="808"/>
    <x v="1"/>
    <x v="0"/>
    <d v="2023-06-21T00:00:00"/>
    <d v="2024-06-20T00:00:00"/>
    <n v="2000"/>
    <n v="20000"/>
    <s v=""/>
    <s v="Cancelled"/>
    <s v="45846"/>
    <x v="0"/>
    <s v="Unique"/>
    <x v="10"/>
    <s v="45846"/>
    <n v="24"/>
    <n v="282"/>
    <n v="2"/>
    <n v="5"/>
    <n v="5"/>
    <x v="83"/>
    <x v="2"/>
  </r>
  <r>
    <x v="809"/>
    <x v="1"/>
    <x v="2"/>
    <d v="2024-02-04T00:00:00"/>
    <d v="2024-05-04T00:00:00"/>
    <n v="3500"/>
    <n v="17500"/>
    <s v=""/>
    <s v="Active"/>
    <s v="45926"/>
    <x v="0"/>
    <s v="Unique"/>
    <x v="3"/>
    <s v="45926"/>
    <n v="19"/>
    <n v="202"/>
    <n v="2"/>
    <n v="5"/>
    <n v="4"/>
    <x v="56"/>
    <x v="2"/>
  </r>
  <r>
    <x v="810"/>
    <x v="6"/>
    <x v="0"/>
    <d v="2023-08-17T00:00:00"/>
    <d v="2023-11-15T00:00:00"/>
    <n v="2000"/>
    <n v="10000"/>
    <s v=""/>
    <s v="Cancelled"/>
    <s v="45535"/>
    <x v="0"/>
    <s v="Unique"/>
    <x v="27"/>
    <s v="45535"/>
    <n v="12"/>
    <n v="593"/>
    <n v="1"/>
    <n v="5"/>
    <n v="4"/>
    <x v="27"/>
    <x v="2"/>
  </r>
  <r>
    <x v="811"/>
    <x v="4"/>
    <x v="2"/>
    <d v="2025-10-21T00:00:00"/>
    <d v="2025-11-20T00:00:00"/>
    <n v="2000"/>
    <n v="4000"/>
    <s v=""/>
    <s v="Cancelled"/>
    <s v="46031"/>
    <x v="0"/>
    <s v="Unique"/>
    <x v="32"/>
    <s v="46031"/>
    <n v="2"/>
    <n v="97"/>
    <n v="3"/>
    <n v="5"/>
    <n v="2"/>
    <x v="4"/>
    <x v="1"/>
  </r>
  <r>
    <x v="812"/>
    <x v="0"/>
    <x v="1"/>
    <d v="2025-04-18T00:00:00"/>
    <d v="2026-04-18T00:00:00"/>
    <n v="1000"/>
    <n v="11000"/>
    <s v=""/>
    <s v="Active"/>
    <s v="45895"/>
    <x v="0"/>
    <s v="Unique"/>
    <x v="26"/>
    <s v="45895"/>
    <n v="4"/>
    <n v="233"/>
    <n v="2"/>
    <n v="5"/>
    <n v="4"/>
    <x v="56"/>
    <x v="2"/>
  </r>
  <r>
    <x v="813"/>
    <x v="0"/>
    <x v="1"/>
    <d v="2023-09-24T00:00:00"/>
    <d v="2024-09-23T00:00:00"/>
    <n v="1000"/>
    <n v="9000"/>
    <s v=""/>
    <s v="Active"/>
    <s v="45802"/>
    <x v="0"/>
    <s v="Unique"/>
    <x v="25"/>
    <s v="45802"/>
    <n v="20"/>
    <n v="326"/>
    <n v="2"/>
    <n v="5"/>
    <n v="3"/>
    <x v="41"/>
    <x v="2"/>
  </r>
  <r>
    <x v="814"/>
    <x v="5"/>
    <x v="2"/>
    <d v="2024-05-15T00:00:00"/>
    <d v="2025-05-15T00:00:00"/>
    <n v="1000"/>
    <n v="2000"/>
    <s v=""/>
    <s v="Active"/>
    <s v="46003"/>
    <x v="0"/>
    <s v="Unique"/>
    <x v="15"/>
    <s v="46003"/>
    <n v="18"/>
    <n v="125"/>
    <n v="3"/>
    <n v="5"/>
    <n v="2"/>
    <x v="4"/>
    <x v="1"/>
  </r>
  <r>
    <x v="815"/>
    <x v="0"/>
    <x v="2"/>
    <d v="2026-01-14T00:00:00"/>
    <d v="2026-02-13T00:00:00"/>
    <n v="3500"/>
    <n v="31500"/>
    <s v=""/>
    <s v="Cancelled"/>
    <s v="45758"/>
    <x v="0"/>
    <s v="Unique"/>
    <x v="35"/>
    <s v="45758"/>
    <n v="0"/>
    <n v="370"/>
    <n v="1"/>
    <n v="5"/>
    <n v="5"/>
    <x v="10"/>
    <x v="2"/>
  </r>
  <r>
    <x v="816"/>
    <x v="2"/>
    <x v="1"/>
    <d v="2024-12-05T00:00:00"/>
    <d v="2025-03-05T00:00:00"/>
    <n v="3500"/>
    <n v="3500"/>
    <s v=""/>
    <s v="Cancelled"/>
    <s v="45412"/>
    <x v="0"/>
    <s v="Unique"/>
    <x v="0"/>
    <s v="45412"/>
    <n v="0"/>
    <n v="716"/>
    <n v="1"/>
    <n v="5"/>
    <n v="2"/>
    <x v="66"/>
    <x v="2"/>
  </r>
  <r>
    <x v="817"/>
    <x v="3"/>
    <x v="1"/>
    <d v="2024-10-27T00:00:00"/>
    <d v="2025-10-27T00:00:00"/>
    <n v="3500"/>
    <n v="7000"/>
    <s v=""/>
    <s v="Cancelled"/>
    <s v="46059"/>
    <x v="0"/>
    <s v="Unique"/>
    <x v="19"/>
    <s v="46059"/>
    <n v="15"/>
    <n v="69"/>
    <n v="4"/>
    <n v="5"/>
    <n v="3"/>
    <x v="3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AB79B-4A14-4116-B2B0-914411C6EAC9}" name="PivotTable4" cacheId="1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L4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8">
        <item x="2"/>
        <item x="16"/>
        <item x="20"/>
        <item n="o" x="28"/>
        <item x="29"/>
        <item x="10"/>
        <item x="6"/>
        <item x="27"/>
        <item x="25"/>
        <item x="31"/>
        <item x="21"/>
        <item x="22"/>
        <item x="34"/>
        <item x="3"/>
        <item x="11"/>
        <item x="9"/>
        <item x="15"/>
        <item x="1"/>
        <item x="13"/>
        <item x="12"/>
        <item x="8"/>
        <item x="19"/>
        <item x="23"/>
        <item x="0"/>
        <item x="5"/>
        <item x="14"/>
        <item x="33"/>
        <item x="26"/>
        <item x="30"/>
        <item x="18"/>
        <item x="17"/>
        <item x="4"/>
        <item x="36"/>
        <item x="32"/>
        <item x="7"/>
        <item x="24"/>
        <item x="35"/>
        <item t="default"/>
      </items>
    </pivotField>
    <pivotField compact="0" outline="0" showAll="0"/>
    <pivotField axis="axisCol" compact="0" outline="0" showAll="0">
      <items count="39">
        <item x="23"/>
        <item x="11"/>
        <item x="3"/>
        <item x="15"/>
        <item x="13"/>
        <item x="27"/>
        <item x="12"/>
        <item x="25"/>
        <item x="14"/>
        <item x="6"/>
        <item x="2"/>
        <item x="4"/>
        <item x="0"/>
        <item x="9"/>
        <item x="7"/>
        <item x="24"/>
        <item x="10"/>
        <item x="5"/>
        <item x="28"/>
        <item x="1"/>
        <item x="35"/>
        <item x="8"/>
        <item x="29"/>
        <item x="18"/>
        <item x="17"/>
        <item x="31"/>
        <item x="22"/>
        <item x="20"/>
        <item x="26"/>
        <item x="34"/>
        <item x="21"/>
        <item x="32"/>
        <item x="16"/>
        <item x="19"/>
        <item x="37"/>
        <item x="30"/>
        <item x="33"/>
        <item x="36"/>
        <item t="default"/>
      </items>
    </pivotField>
    <pivotField compact="0" outline="0" showAll="0"/>
  </pivotFields>
  <rowFields count="1">
    <field x="12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4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 t="grand">
      <x/>
    </i>
  </colItems>
  <pageFields count="1">
    <pageField fld="8" item="0" hier="-1"/>
  </pageFields>
  <dataFields count="1">
    <dataField name="Count of Mem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7FEBF-2D09-4A30-AC7C-3EEAA478F343}" name="PivotTable5" cacheId="1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C113" firstHeaderRow="0" firstDataRow="1" firstDataCol="1"/>
  <pivotFields count="21">
    <pivotField dataField="1" compact="0" outline="0" showAll="0"/>
    <pivotField compact="0" outline="0" showAll="0">
      <items count="8">
        <item x="5"/>
        <item x="1"/>
        <item x="0"/>
        <item x="6"/>
        <item x="2"/>
        <item x="4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2">
        <item x="96"/>
        <item x="77"/>
        <item x="38"/>
        <item x="109"/>
        <item x="65"/>
        <item x="40"/>
        <item x="76"/>
        <item x="59"/>
        <item x="68"/>
        <item x="101"/>
        <item x="105"/>
        <item x="102"/>
        <item x="107"/>
        <item x="75"/>
        <item x="100"/>
        <item x="18"/>
        <item x="106"/>
        <item x="74"/>
        <item x="89"/>
        <item x="22"/>
        <item x="87"/>
        <item x="92"/>
        <item x="15"/>
        <item x="94"/>
        <item x="35"/>
        <item x="108"/>
        <item x="63"/>
        <item x="32"/>
        <item x="98"/>
        <item x="49"/>
        <item x="30"/>
        <item x="14"/>
        <item x="20"/>
        <item x="57"/>
        <item x="82"/>
        <item x="53"/>
        <item x="93"/>
        <item x="7"/>
        <item x="80"/>
        <item x="1"/>
        <item x="99"/>
        <item x="103"/>
        <item x="26"/>
        <item x="33"/>
        <item x="72"/>
        <item x="4"/>
        <item x="110"/>
        <item x="17"/>
        <item x="0"/>
        <item x="64"/>
        <item x="86"/>
        <item x="50"/>
        <item x="25"/>
        <item x="11"/>
        <item x="91"/>
        <item x="34"/>
        <item x="29"/>
        <item x="58"/>
        <item x="97"/>
        <item x="88"/>
        <item x="5"/>
        <item x="54"/>
        <item x="51"/>
        <item x="55"/>
        <item x="83"/>
        <item x="56"/>
        <item x="41"/>
        <item x="36"/>
        <item x="71"/>
        <item x="48"/>
        <item x="9"/>
        <item x="24"/>
        <item x="12"/>
        <item x="60"/>
        <item x="8"/>
        <item x="3"/>
        <item x="62"/>
        <item x="95"/>
        <item x="85"/>
        <item x="37"/>
        <item x="81"/>
        <item x="43"/>
        <item x="44"/>
        <item x="67"/>
        <item x="70"/>
        <item x="28"/>
        <item x="19"/>
        <item x="10"/>
        <item x="27"/>
        <item x="73"/>
        <item x="66"/>
        <item x="104"/>
        <item x="16"/>
        <item x="13"/>
        <item x="42"/>
        <item x="78"/>
        <item x="90"/>
        <item x="21"/>
        <item x="31"/>
        <item x="61"/>
        <item x="46"/>
        <item x="45"/>
        <item x="69"/>
        <item x="47"/>
        <item x="52"/>
        <item x="6"/>
        <item x="23"/>
        <item x="39"/>
        <item x="2"/>
        <item x="79"/>
        <item x="84"/>
        <item t="default"/>
      </items>
    </pivotField>
    <pivotField compact="0" outline="0" showAll="0">
      <items count="5">
        <item x="2"/>
        <item x="3"/>
        <item x="0"/>
        <item x="1"/>
        <item t="default"/>
      </items>
    </pivotField>
  </pivotFields>
  <rowFields count="1">
    <field x="19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Fields count="1">
    <field x="-2"/>
  </colFields>
  <colItems count="2">
    <i>
      <x/>
    </i>
    <i i="1">
      <x v="1"/>
    </i>
  </colItems>
  <dataFields count="2">
    <dataField name="Members" fld="0" subtotal="count" baseField="0" baseItem="0"/>
    <dataField name="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67CEF-775E-4805-BF2A-96716E768E2B}" name="PivotTable6" cacheId="1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G1:I6" firstHeaderRow="0" firstDataRow="1" firstDataCol="1"/>
  <pivotFields count="21">
    <pivotField dataField="1" compact="0" outline="0" showAll="0">
      <items count="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compact="0" outline="0" showAll="0">
      <items count="8">
        <item x="5"/>
        <item x="1"/>
        <item x="0"/>
        <item x="6"/>
        <item x="2"/>
        <item x="4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5">
    <i>
      <x/>
    </i>
    <i>
      <x v="3"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embers" fld="0" subtotal="count" baseField="0" baseItem="0"/>
    <dataField name="Revenue" fld="6" baseField="0" baseItem="0"/>
  </dataFields>
  <chartFormats count="6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5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5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20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B13A0-A774-41F6-8401-6C0D90E33147}" name="PivotTable7" cacheId="1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C5" firstHeaderRow="0" firstDataRow="1" firstDataCol="1"/>
  <pivotFields count="21">
    <pivotField dataField="1" compact="0" outline="0" showAll="0"/>
    <pivotField compact="0" outline="0" showAll="0">
      <items count="8">
        <item x="5"/>
        <item x="1"/>
        <item x="0"/>
        <item x="6"/>
        <item x="2"/>
        <item x="4"/>
        <item x="3"/>
        <item t="default"/>
      </items>
    </pivotField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embers" fld="0" subtotal="count" baseField="0" baseItem="0"/>
    <dataField name="Revenue" fld="6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781F0-F04E-4B28-80CB-58BC66A7DF07}" name="PivotTable8" cacheId="1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:D9" firstHeaderRow="0" firstDataRow="1" firstDataCol="1"/>
  <pivotFields count="21">
    <pivotField dataField="1" compact="0" outline="0" showAll="0">
      <items count="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axis="axisRow" compact="0" showAll="0" sortType="descending">
      <items count="8">
        <item x="5"/>
        <item x="1"/>
        <item x="0"/>
        <item x="6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2"/>
        <item x="1"/>
        <item x="0"/>
        <item t="default"/>
      </items>
    </pivotField>
    <pivotField compact="0" numFmtId="14" outline="0" showAll="0"/>
    <pivotField compact="0" numFmtId="1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</pivotFields>
  <rowFields count="1">
    <field x="1"/>
  </rowFields>
  <rowItems count="8">
    <i>
      <x v="3"/>
    </i>
    <i>
      <x v="4"/>
    </i>
    <i>
      <x v="5"/>
    </i>
    <i>
      <x/>
    </i>
    <i>
      <x v="6"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6" baseField="0" baseItem="0"/>
    <dataField name="Members" fld="0" subtotal="count" baseField="0" baseItem="0"/>
    <dataField name="Average of Attendance" fld="7" subtotal="average" baseField="0" baseItem="0"/>
  </dataFields>
  <formats count="2">
    <format dxfId="49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50">
      <pivotArea field="1" grandRow="1" outline="0" axis="axisRow" fieldPosition="0">
        <references count="1">
          <reference field="4294967294" count="1" selected="0">
            <x v="2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5AFD7-1412-47D6-ACBA-30A0E2B630EA}" name="PivotTable10" cacheId="1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I9:AL17" firstHeaderRow="0" firstDataRow="1" firstDataCol="1"/>
  <pivotFields count="21">
    <pivotField dataField="1" compact="0" outline="0" showAll="0">
      <items count="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axis="axisRow" compact="0" showAll="0" sortType="descending">
      <items count="8">
        <item x="3"/>
        <item x="4"/>
        <item x="2"/>
        <item x="6"/>
        <item x="0"/>
        <item x="1"/>
        <item x="5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numFmtId="14" outline="0" showAll="0"/>
    <pivotField compact="0" numFmtId="14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6" baseField="0" baseItem="0"/>
    <dataField name="Members" fld="0" subtotal="count" baseField="0" baseItem="0"/>
    <dataField name="Average of Attendance" fld="7" subtotal="average" baseField="0" baseItem="0"/>
  </dataFields>
  <formats count="20">
    <format dxfId="29">
      <pivotArea outline="0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30">
      <pivotArea field="1" grandRow="1" outline="0" axis="axisRow" fieldPosition="0">
        <references count="1">
          <reference field="4294967294" count="1" selected="0">
            <x v="2"/>
          </reference>
        </references>
      </pivotArea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" type="button" dataOnly="0" labelOnly="1" outline="0" axis="axisRow" fieldPosition="0"/>
    </format>
    <format dxfId="34">
      <pivotArea dataOnly="0" labelOnly="1" outline="0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1" type="button" dataOnly="0" labelOnly="1" outline="0" axis="axisRow" fieldPosition="0"/>
    </format>
    <format dxfId="40">
      <pivotArea dataOnly="0" labelOnly="1" outline="0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1" type="button" dataOnly="0" labelOnly="1" outline="0" axis="axisRow" fieldPosition="0"/>
    </format>
    <format dxfId="46">
      <pivotArea dataOnly="0" labelOnly="1" outline="0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ranch_ID" xr10:uid="{213F4722-2BE5-44A9-918F-47B51409751F}" sourceName="Branch ID">
  <pivotTables>
    <pivotTable tabId="13" name="PivotTable8"/>
    <pivotTable tabId="11" name="PivotTable5"/>
    <pivotTable tabId="12" name="PivotTable7"/>
    <pivotTable tabId="11" name="PivotTable6"/>
    <pivotTable tabId="15" name="PivotTable10"/>
  </pivotTables>
  <data>
    <tabular pivotCacheId="1345537780">
      <items count="7">
        <i x="5" s="1"/>
        <i x="1" s="1"/>
        <i x="0" s="1"/>
        <i x="6" s="1"/>
        <i x="2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embership_Type" xr10:uid="{CD055CBE-FBC6-4F62-80D4-71A4DD930C9A}" sourceName="Membership Type">
  <pivotTables>
    <pivotTable tabId="13" name="PivotTable8"/>
    <pivotTable tabId="11" name="PivotTable6"/>
    <pivotTable tabId="11" name="PivotTable5"/>
    <pivotTable tabId="12" name="PivotTable7"/>
    <pivotTable tabId="15" name="PivotTable10"/>
  </pivotTables>
  <data>
    <tabular pivotCacheId="1345537780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Ranking" xr10:uid="{454FDCAE-4064-4B91-B735-CA910015E4F4}" sourceName="Customer Ranking">
  <pivotTables>
    <pivotTable tabId="13" name="PivotTable8"/>
    <pivotTable tabId="11" name="PivotTable6"/>
    <pivotTable tabId="11" name="PivotTable5"/>
    <pivotTable tabId="12" name="PivotTable7"/>
    <pivotTable tabId="15" name="PivotTable10"/>
  </pivotTables>
  <data>
    <tabular pivotCacheId="1345537780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ch ID 1" xr10:uid="{2882914B-845A-4261-9A43-F70C48C794EB}" cache="Slicer_Branch_ID" caption="Branch ID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ch ID" xr10:uid="{3DA239D0-2140-4DA2-9A1E-2DDE7DBCAAD5}" cache="Slicer_Branch_ID" caption="Branch ID" columnCount="2" rowHeight="228600"/>
  <slicer name="Membership Type" xr10:uid="{26F25E89-EBDA-495F-B49B-EF31C7226A65}" cache="Slicer_Membership_Type" caption="Membership Type" columnCount="3" rowHeight="228600"/>
  <slicer name="Customer Ranking" xr10:uid="{6AFC3209-4B25-4885-B618-1276D73BBF15}" cache="Slicer_Customer_Ranking" caption="Customer Ranking" columnCount="4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ranch ID 2" xr10:uid="{1E3C34C4-D2F2-4C10-A8D9-F6711927D28A}" cache="Slicer_Branch_ID" caption="Branch ID" startItem="4" columnCount="4" rowHeight="228600"/>
  <slicer name="Membership Type 1" xr10:uid="{5E5CA8EB-122E-4A90-B7A1-57C7D22656FF}" cache="Slicer_Membership_Type" caption="Membership Type" columnCount="3" rowHeight="228600"/>
  <slicer name="Customer Ranking 1" xr10:uid="{3C691424-5BC0-4E27-BFB0-0F114A04A78D}" cache="Slicer_Customer_Ranking" caption="Customer Ranking" columnCount="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69FB8A-5B4C-4D8C-B587-39EED10D8AFE}" name="Table5" displayName="Table5" ref="A1:B8" totalsRowShown="0">
  <autoFilter ref="A1:B8" xr:uid="{8269FB8A-5B4C-4D8C-B587-39EED10D8AFE}"/>
  <tableColumns count="2">
    <tableColumn id="1" xr3:uid="{FBFC615E-925E-44F8-81ED-8E6C5337A37F}" name="A (Branch ID)"/>
    <tableColumn id="2" xr3:uid="{102F9073-8502-411D-A2FC-0E6942AEB257}" name="B (Cit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E2232-A454-40F1-82C5-C313C675DC5B}" name="Table1" displayName="Table1" ref="A1:N819" totalsRowShown="0" headerRowDxfId="28">
  <autoFilter ref="A1:N819" xr:uid="{37CE2232-A454-40F1-82C5-C313C675DC5B}"/>
  <tableColumns count="14">
    <tableColumn id="1" xr3:uid="{9F4E4F86-499F-4454-92E0-6976E7E55123}" name="Member ID">
      <calculatedColumnFormula>"MEM" &amp; TEXT(ROW()-1,"0000")</calculatedColumnFormula>
    </tableColumn>
    <tableColumn id="2" xr3:uid="{26C580C8-FCD3-452C-9A31-808042ED2061}" name="Member Name" dataDxfId="27">
      <calculatedColumnFormula>INDEX('Name pool'!A:A, RANDBETWEEN(2, COUNTA('Name pool'!A:A))) &amp; " " &amp; INDEX('Name pool'!B:B, RANDBETWEEN(2, COUNTA('Name pool'!B:B)))</calculatedColumnFormula>
    </tableColumn>
    <tableColumn id="3" xr3:uid="{D9567813-8AF1-4B27-BDF3-DF032E0E2B0E}" name="City"/>
    <tableColumn id="4" xr3:uid="{C3CF55B9-9EEF-4B67-8EB1-D98F07DEF55D}" name="Branch ID" dataDxfId="26">
      <calculatedColumnFormula>CHOOSE(RANDBETWEEN(1,7),"BR01","BR02","BR03","BR04","BR05","BR06","BR07")</calculatedColumnFormula>
    </tableColumn>
    <tableColumn id="5" xr3:uid="{06FC0A18-4AE4-4FAE-B7FF-5A180FA29602}" name="Membership Type">
      <calculatedColumnFormula>CHOOSE(RANDBETWEEN(1,3),"Basic","Standard","Premium")</calculatedColumnFormula>
    </tableColumn>
    <tableColumn id="6" xr3:uid="{C4E3453B-5438-4FD8-9B93-2FDA9C2A9BE1}" name="Join Date" dataDxfId="25"/>
    <tableColumn id="7" xr3:uid="{A1B8F40F-2DCB-4DCA-A525-C77416AEB419}" name="Expiry Date" dataDxfId="24"/>
    <tableColumn id="8" xr3:uid="{CA87D189-1FFA-447D-9E40-1EC793C0AED8}" name="Monthly Fee"/>
    <tableColumn id="9" xr3:uid="{D457415A-CDE8-436C-B29C-E8E254EF5F9B}" name="Total Payments">
      <calculatedColumnFormula>H2 * RANDBETWEEN(1,12)</calculatedColumnFormula>
    </tableColumn>
    <tableColumn id="10" xr3:uid="{4FA4E48C-9A4F-4C93-A99D-28388475D93A}" name="Attendance"/>
    <tableColumn id="11" xr3:uid="{D71C34F3-9EF3-446F-AF53-58E99DC2DEBD}" name="Trainer Assigned">
      <calculatedColumnFormula>CHOOSE(RANDBETWEEN(1,2),"Yes","No")</calculatedColumnFormula>
    </tableColumn>
    <tableColumn id="12" xr3:uid="{2904E45D-DEE2-470E-87F8-3A47853ED718}" name="Workout Goal">
      <calculatedColumnFormula>CHOOSE(RANDBETWEEN(1,3),"Weight Loss","Muscle Gain","General Fitness")</calculatedColumnFormula>
    </tableColumn>
    <tableColumn id="13" xr3:uid="{558A0827-7292-4BC2-932E-BBC576D0D27D}" name="Status">
      <calculatedColumnFormula>IF(J2&lt;5,IF(RANDBETWEEN(1,100)&lt;70,"Cancelled","Active"),"Active")</calculatedColumnFormula>
    </tableColumn>
    <tableColumn id="14" xr3:uid="{BA459B75-8193-406E-860A-3043B7C73476}" name="Last Visit Date" dataDxfId="23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9732C5-ADDD-4CE4-A52B-593DFDE62EC9}" name="Table3" displayName="Table3" ref="A1:N819" totalsRowShown="0">
  <autoFilter ref="A1:N819" xr:uid="{F79732C5-ADDD-4CE4-A52B-593DFDE62EC9}"/>
  <tableColumns count="14">
    <tableColumn id="1" xr3:uid="{1770EF5A-AA15-4EF3-9AA8-AE976EB4179E}" name="Member ID" dataDxfId="16">
      <calculatedColumnFormula>TRIM(CLEAN(Raw_Data!A2))</calculatedColumnFormula>
    </tableColumn>
    <tableColumn id="2" xr3:uid="{1E74320B-D81C-460A-AF4E-24568A815ABF}" name="Member Name">
      <calculatedColumnFormula>TRIM(Raw_Data!B2)</calculatedColumnFormula>
    </tableColumn>
    <tableColumn id="3" xr3:uid="{5C375F50-2C41-4D2C-BAA5-C7A379735AD7}" name="City" dataDxfId="15">
      <calculatedColumnFormula>_xlfn.XLOOKUP(D2, Branch_Master!A:A, Branch_Master!B:B)</calculatedColumnFormula>
    </tableColumn>
    <tableColumn id="4" xr3:uid="{EFB4901A-01F8-4549-B3DB-8782DC68F91E}" name="Branch ID" dataDxfId="14">
      <calculatedColumnFormula>TRIM(Raw_Data!D2)</calculatedColumnFormula>
    </tableColumn>
    <tableColumn id="5" xr3:uid="{7E39A676-73AC-4149-BA19-DE3165EC478B}" name="Membership Type" dataDxfId="13">
      <calculatedColumnFormula>PROPER(TRIM(Raw_Data!E2))</calculatedColumnFormula>
    </tableColumn>
    <tableColumn id="6" xr3:uid="{3F9EDD07-CBE4-43FC-8168-C5DD8E925A4D}" name="Join Date" dataDxfId="12">
      <calculatedColumnFormula>IFERROR(DATEVALUE(Raw_Data!F2), Raw_Data!F2)</calculatedColumnFormula>
    </tableColumn>
    <tableColumn id="7" xr3:uid="{8D547549-F2FC-4A19-AC3F-BCAA91DE06C7}" name="Expiry Date" dataDxfId="11">
      <calculatedColumnFormula>IFERROR(
    IF(
        IFERROR(DATEVALUE(Raw_Data!G2), Raw_Data!G2) &lt;
        IFERROR(DATEVALUE(Raw_Data!F2), Raw_Data!F2),
        IFERROR(DATEVALUE(Raw_Data!F2), Raw_Data!F2) + 30,
        IFERROR(DATEVALUE(Raw_Data!G2), Raw_Data!G2)
    ),
    ""
)</calculatedColumnFormula>
    </tableColumn>
    <tableColumn id="8" xr3:uid="{9A10CF02-2A99-4085-A524-62F66131B3A8}" name="Monthly Fee" dataDxfId="10">
      <calculatedColumnFormula>IFERROR(VALUE(Raw_Data!H2), "")</calculatedColumnFormula>
    </tableColumn>
    <tableColumn id="9" xr3:uid="{E433E8A9-918D-4D83-B545-0783AAB041CF}" name="Total Payments" dataDxfId="9">
      <calculatedColumnFormula>IFERROR(VALUE(Raw_Data!I2), "")</calculatedColumnFormula>
    </tableColumn>
    <tableColumn id="10" xr3:uid="{BDC40DA4-13D6-4725-9A17-72A1EEBB2560}" name="Attendance" dataDxfId="8">
      <calculatedColumnFormula>IFERROR(
    VALUE(SUBSTITUTE(Raw_Data!J2," visits","")),
    ""
)</calculatedColumnFormula>
    </tableColumn>
    <tableColumn id="11" xr3:uid="{D177D371-9B3E-4537-9C2B-6AAAB6C03C6A}" name="Trainer Assigned" dataDxfId="7">
      <calculatedColumnFormula>IF(TRIM(Raw_Data!K2)="","No",PROPER(TRIM(Raw_Data!K2)))</calculatedColumnFormula>
    </tableColumn>
    <tableColumn id="12" xr3:uid="{C874BD54-7E75-456B-9697-A4F05B6EBDB4}" name="Workout Goal" dataDxfId="6">
      <calculatedColumnFormula>PROPER(TRIM(Raw_Data!L2))</calculatedColumnFormula>
    </tableColumn>
    <tableColumn id="13" xr3:uid="{B64E2BA6-7147-412A-A4BB-BA8B74B1F672}" name="Status" dataDxfId="5"/>
    <tableColumn id="14" xr3:uid="{BAFCAF7D-03C6-4E3C-80ED-720F309E356A}" name="Last Visit Date" dataDxfId="4">
      <calculatedColumnFormula>IFERROR(DATEVALUE(Raw_Data!N2), Raw_Data!N2)</calculatedColumnFormula>
    </tableColumn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1A5CA9-1EA1-438C-8F04-91367A277DA8}" name="Table4" displayName="Table4" ref="A1:E44" totalsRowShown="0">
  <autoFilter ref="A1:E44" xr:uid="{CC1A5CA9-1EA1-438C-8F04-91367A277DA8}"/>
  <tableColumns count="5">
    <tableColumn id="1" xr3:uid="{0D1CFBF4-8486-4809-9B60-5132E986D127}" name="Joined Month"/>
    <tableColumn id="2" xr3:uid="{5969B5F3-39A5-4F9F-9A6D-A28D07F996E2}" name="Actual Revenue"/>
    <tableColumn id="3" xr3:uid="{E1DBACCB-37EB-4346-B8DF-EBA4BF20D907}" name="Month index"/>
    <tableColumn id="4" xr3:uid="{23E6EA01-5C50-42B9-A9DC-BEA6DD134D1F}" name="Moving average" dataDxfId="1"/>
    <tableColumn id="5" xr3:uid="{634A0385-E93E-4AD2-9FC4-FCC77426EFF7}" name="Forecast Revenue" dataDxfId="0">
      <calculatedColumnFormula>IF(B2="", _xlfn.FORECAST.LINEAR(C2, $B$2:$B$37, $C$2:$C$37), B2)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7EF37D-FD59-47C9-A5B7-08CE079F198B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eWZiVnunxintoHJb6LX7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474A-788F-4A8E-852E-6C69B413DA96}">
  <dimension ref="A1:B35"/>
  <sheetViews>
    <sheetView workbookViewId="0">
      <selection activeCell="E1" sqref="E1:F8"/>
    </sheetView>
  </sheetViews>
  <sheetFormatPr defaultRowHeight="14.45"/>
  <cols>
    <col min="1" max="1" width="10.7109375" bestFit="1" customWidth="1"/>
    <col min="2" max="2" width="10.42578125" bestFit="1" customWidth="1"/>
    <col min="5" max="5" width="9.42578125" bestFit="1" customWidth="1"/>
    <col min="6" max="6" width="11" bestFit="1" customWidth="1"/>
  </cols>
  <sheetData>
    <row r="1" spans="1:2" ht="15">
      <c r="A1" s="6" t="s">
        <v>0</v>
      </c>
      <c r="B1" s="6" t="s">
        <v>1</v>
      </c>
    </row>
    <row r="2" spans="1:2" ht="15">
      <c r="A2" t="s">
        <v>2</v>
      </c>
      <c r="B2" t="s">
        <v>3</v>
      </c>
    </row>
    <row r="3" spans="1:2" ht="15">
      <c r="A3" t="s">
        <v>4</v>
      </c>
      <c r="B3" t="s">
        <v>5</v>
      </c>
    </row>
    <row r="4" spans="1:2" ht="15">
      <c r="A4" t="s">
        <v>6</v>
      </c>
      <c r="B4" t="s">
        <v>7</v>
      </c>
    </row>
    <row r="5" spans="1:2" ht="15">
      <c r="A5" t="s">
        <v>8</v>
      </c>
      <c r="B5" t="s">
        <v>9</v>
      </c>
    </row>
    <row r="6" spans="1:2" ht="15">
      <c r="A6" t="s">
        <v>10</v>
      </c>
      <c r="B6" t="s">
        <v>11</v>
      </c>
    </row>
    <row r="7" spans="1:2" ht="15">
      <c r="A7" t="s">
        <v>12</v>
      </c>
      <c r="B7" t="s">
        <v>13</v>
      </c>
    </row>
    <row r="8" spans="1:2" ht="15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9914-5ED7-4450-97D0-DDF77382D660}">
  <dimension ref="A1:B8"/>
  <sheetViews>
    <sheetView workbookViewId="0">
      <selection sqref="A1:B8"/>
    </sheetView>
  </sheetViews>
  <sheetFormatPr defaultRowHeight="15"/>
  <cols>
    <col min="1" max="1" width="14.85546875" bestFit="1" customWidth="1"/>
    <col min="2" max="2" width="11" bestFit="1" customWidth="1"/>
  </cols>
  <sheetData>
    <row r="1" spans="1:2">
      <c r="A1" s="6" t="s">
        <v>70</v>
      </c>
      <c r="B1" s="6" t="s">
        <v>71</v>
      </c>
    </row>
    <row r="2" spans="1:2">
      <c r="A2" t="s">
        <v>72</v>
      </c>
      <c r="B2" t="s">
        <v>73</v>
      </c>
    </row>
    <row r="3" spans="1:2">
      <c r="A3" t="s">
        <v>74</v>
      </c>
      <c r="B3" t="s">
        <v>75</v>
      </c>
    </row>
    <row r="4" spans="1:2">
      <c r="A4" t="s">
        <v>76</v>
      </c>
      <c r="B4" t="s">
        <v>77</v>
      </c>
    </row>
    <row r="5" spans="1:2">
      <c r="A5" t="s">
        <v>78</v>
      </c>
      <c r="B5" t="s">
        <v>79</v>
      </c>
    </row>
    <row r="6" spans="1:2">
      <c r="A6" t="s">
        <v>80</v>
      </c>
      <c r="B6" t="s">
        <v>81</v>
      </c>
    </row>
    <row r="7" spans="1:2">
      <c r="A7" t="s">
        <v>82</v>
      </c>
      <c r="B7" t="s">
        <v>83</v>
      </c>
    </row>
    <row r="8" spans="1:2">
      <c r="A8" t="s">
        <v>84</v>
      </c>
      <c r="B8" t="s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482D-7E92-4D0D-80D6-98A7229E7825}">
  <sheetPr>
    <tabColor rgb="FFFFC000"/>
  </sheetPr>
  <dimension ref="A1:U819"/>
  <sheetViews>
    <sheetView topLeftCell="A789" workbookViewId="0">
      <selection activeCell="A802" sqref="A802"/>
    </sheetView>
  </sheetViews>
  <sheetFormatPr defaultRowHeight="14.45"/>
  <cols>
    <col min="1" max="1" width="12.7109375" customWidth="1"/>
    <col min="2" max="2" width="16" customWidth="1"/>
    <col min="3" max="3" width="10.42578125" customWidth="1"/>
    <col min="4" max="4" width="11" customWidth="1"/>
    <col min="5" max="5" width="18.7109375" customWidth="1"/>
    <col min="6" max="6" width="10.85546875" customWidth="1"/>
    <col min="7" max="7" width="12.7109375" customWidth="1"/>
    <col min="8" max="8" width="13.85546875" customWidth="1"/>
    <col min="9" max="9" width="16.140625" customWidth="1"/>
    <col min="10" max="10" width="12.85546875" customWidth="1"/>
    <col min="11" max="11" width="17.28515625" customWidth="1"/>
    <col min="12" max="12" width="15" customWidth="1"/>
    <col min="14" max="14" width="15" style="2" customWidth="1"/>
    <col min="16" max="16" width="10.7109375" customWidth="1"/>
    <col min="17" max="17" width="15.5703125" bestFit="1" customWidth="1"/>
    <col min="18" max="18" width="17.140625" bestFit="1" customWidth="1"/>
    <col min="19" max="19" width="17.7109375" bestFit="1" customWidth="1"/>
    <col min="20" max="20" width="14.7109375" bestFit="1" customWidth="1"/>
    <col min="21" max="21" width="18.7109375" bestFit="1" customWidth="1"/>
  </cols>
  <sheetData>
    <row r="1" spans="1:2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3" t="s">
        <v>99</v>
      </c>
      <c r="O1" s="1"/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 spans="1:21">
      <c r="A2" t="str">
        <f>"MEM" &amp; TEXT(ROW()-1,"0000")</f>
        <v>MEM0001</v>
      </c>
      <c r="B2" t="str">
        <f ca="1">INDEX('Name pool'!A:A, RANDBETWEEN(2, COUNTA('Name pool'!A:A))) &amp; " " &amp; INDEX('Name pool'!B:B, RANDBETWEEN(2, COUNTA('Name pool'!B:B)))</f>
        <v>Karthik Joshi</v>
      </c>
      <c r="C2" t="s">
        <v>77</v>
      </c>
      <c r="D2" t="str">
        <f t="shared" ref="D2:D65" ca="1" si="0">CHOOSE(RANDBETWEEN(1,7),"BR01","BR02","BR03","BR04","BR05","BR06","BR07")</f>
        <v>BR07</v>
      </c>
      <c r="E2" t="str">
        <f ca="1">CHOOSE(RANDBETWEEN(1,3),"Basic","Standard","Premium")</f>
        <v>Premium</v>
      </c>
      <c r="F2" s="2">
        <v>45630</v>
      </c>
      <c r="G2" s="2">
        <v>45660</v>
      </c>
      <c r="H2">
        <v>1000</v>
      </c>
      <c r="I2">
        <f ca="1">H2 * RANDBETWEEN(1,12)</f>
        <v>8000</v>
      </c>
      <c r="J2">
        <v>18</v>
      </c>
      <c r="K2" t="str">
        <f ca="1">CHOOSE(RANDBETWEEN(1,2),"Yes","No")</f>
        <v>No</v>
      </c>
      <c r="L2" t="str">
        <f ca="1">CHOOSE(RANDBETWEEN(1,3),"Weight Loss","Muscle Gain","General Fitness")</f>
        <v>Weight Loss</v>
      </c>
      <c r="M2" t="str">
        <f ca="1">IF(J2&lt;5,IF(RANDBETWEEN(1,100)&lt;70,"Cancelled","Active"),"Active")</f>
        <v>Active</v>
      </c>
      <c r="N2" s="2">
        <v>46022</v>
      </c>
      <c r="O2" s="1"/>
      <c r="Q2" t="str">
        <f ca="1">IF(RAND()&lt;0.2,
    IF(RAND()&lt;0.5, LOWER(C2), UPPER(C2)),
    C2
)</f>
        <v>Chennai</v>
      </c>
      <c r="R2">
        <f ca="1">IF(RAND()&lt;0.15,
    J2 &amp; " visits",
    J2
)</f>
        <v>18</v>
      </c>
      <c r="S2">
        <f ca="1">IF(RAND()&lt;0.1,
    TEXT(H2,"0"),
    H2
)</f>
        <v>1000</v>
      </c>
      <c r="T2">
        <f ca="1">IF(F2="", DATE(2023,1,1)+RANDBETWEEN(0,900), F2)</f>
        <v>45630</v>
      </c>
      <c r="U2" s="2">
        <f ca="1">IF(
   M2="Cancelled",
   F2 + RANDBETWEEN(5, DATEDIF(F2, G2, "D")),
   F2 + RANDBETWEEN(5, DATEDIF(F2, TODAY(), "D"))
)</f>
        <v>46110</v>
      </c>
    </row>
    <row r="3" spans="1:21">
      <c r="A3" t="str">
        <f t="shared" ref="A3:A66" si="1">"MEM" &amp; TEXT(ROW()-1,"0000")</f>
        <v>MEM0002</v>
      </c>
      <c r="B3" t="str">
        <f ca="1">INDEX('Name pool'!A:A, RANDBETWEEN(2, COUNTA('Name pool'!A:A))) &amp; " " &amp; INDEX('Name pool'!B:B, RANDBETWEEN(2, COUNTA('Name pool'!B:B)))</f>
        <v>Meera George</v>
      </c>
      <c r="C3" t="s">
        <v>81</v>
      </c>
      <c r="D3" t="str">
        <f t="shared" ca="1" si="0"/>
        <v>BR01</v>
      </c>
      <c r="E3" t="str">
        <f t="shared" ref="E3:E33" ca="1" si="2">CHOOSE(RANDBETWEEN(1,3),"Basic","Standard","Premium")</f>
        <v>Basic</v>
      </c>
      <c r="F3" s="2">
        <v>45446</v>
      </c>
      <c r="G3" s="2">
        <v>45536</v>
      </c>
      <c r="H3" t="s">
        <v>105</v>
      </c>
      <c r="I3">
        <f t="shared" ref="I3:I33" ca="1" si="3">H3 * RANDBETWEEN(1,12)</f>
        <v>17500</v>
      </c>
      <c r="J3" t="s">
        <v>106</v>
      </c>
      <c r="K3" t="str">
        <f t="shared" ref="K3:K33" ca="1" si="4">CHOOSE(RANDBETWEEN(1,2),"Yes","No")</f>
        <v>No</v>
      </c>
      <c r="L3" t="str">
        <f t="shared" ref="L3:L33" ca="1" si="5">CHOOSE(RANDBETWEEN(1,3),"Weight Loss","Muscle Gain","General Fitness")</f>
        <v>Muscle Gain</v>
      </c>
      <c r="M3" t="str">
        <f t="shared" ref="M3:M33" ca="1" si="6">IF(J3&lt;5,IF(RANDBETWEEN(1,100)&lt;70,"Cancelled","Active"),"Active")</f>
        <v>Active</v>
      </c>
      <c r="N3" s="2">
        <v>46050</v>
      </c>
      <c r="O3" s="1"/>
      <c r="Q3" t="str">
        <f ca="1">IF(RAND()&lt;0.2,
    IF(RAND()&lt;0.5, LOWER(C3), UPPER(C3)),
    C3
)</f>
        <v>mumbai</v>
      </c>
      <c r="R3" t="str">
        <f t="shared" ref="R3:R66" ca="1" si="7">IF(RAND()&lt;0.15,
    J3 &amp; " visits",
    J3
)</f>
        <v>0 visits visits</v>
      </c>
      <c r="S3" t="str">
        <f t="shared" ref="S3:S66" ca="1" si="8">IF(RAND()&lt;0.1,
    TEXT(H3,"0"),
    H3
)</f>
        <v>3500</v>
      </c>
      <c r="T3">
        <f t="shared" ref="T3:T66" ca="1" si="9">RANDBETWEEN(DATE(2023,1,1), DATE(2026,1,31))</f>
        <v>45233</v>
      </c>
      <c r="U3" s="2">
        <f t="shared" ref="U3:U66" ca="1" si="10">IF(AND(M3="Cancelled", RAND()&lt;0.5),
    F3 + RANDBETWEEN(10,50),
    N3
)</f>
        <v>46050</v>
      </c>
    </row>
    <row r="4" spans="1:21">
      <c r="A4" t="str">
        <f t="shared" si="1"/>
        <v>MEM0003</v>
      </c>
      <c r="B4" t="str">
        <f ca="1">INDEX('Name pool'!A:A, RANDBETWEEN(2, COUNTA('Name pool'!A:A))) &amp; " " &amp; INDEX('Name pool'!B:B, RANDBETWEEN(2, COUNTA('Name pool'!B:B)))</f>
        <v>Fatima Das</v>
      </c>
      <c r="C4" t="s">
        <v>107</v>
      </c>
      <c r="D4" t="str">
        <f t="shared" ca="1" si="0"/>
        <v>BR05</v>
      </c>
      <c r="E4" t="str">
        <f t="shared" ca="1" si="2"/>
        <v>Premium</v>
      </c>
      <c r="F4" s="2">
        <v>44945</v>
      </c>
      <c r="G4" s="2">
        <v>45035</v>
      </c>
      <c r="H4">
        <v>3500</v>
      </c>
      <c r="I4">
        <f t="shared" ca="1" si="3"/>
        <v>42000</v>
      </c>
      <c r="J4">
        <v>1</v>
      </c>
      <c r="K4" t="str">
        <f t="shared" ca="1" si="4"/>
        <v>No</v>
      </c>
      <c r="L4" t="str">
        <f t="shared" ca="1" si="5"/>
        <v>Weight Loss</v>
      </c>
      <c r="M4" t="str">
        <f t="shared" ca="1" si="6"/>
        <v>Active</v>
      </c>
      <c r="N4" s="2">
        <v>45257</v>
      </c>
      <c r="O4" s="1"/>
      <c r="Q4" t="str">
        <f ca="1">IF(RAND()&lt;0.2,
    IF(RAND()&lt;0.5, LOWER(C4), UPPER(C4)),
    C4
)</f>
        <v>TRIVANDRUM</v>
      </c>
      <c r="R4">
        <f t="shared" ca="1" si="7"/>
        <v>1</v>
      </c>
      <c r="S4" t="str">
        <f t="shared" ca="1" si="8"/>
        <v>3500</v>
      </c>
      <c r="T4">
        <f t="shared" ca="1" si="9"/>
        <v>45357</v>
      </c>
      <c r="U4" s="2">
        <f t="shared" ca="1" si="10"/>
        <v>45257</v>
      </c>
    </row>
    <row r="5" spans="1:21">
      <c r="A5" t="str">
        <f t="shared" si="1"/>
        <v>MEM0004</v>
      </c>
      <c r="B5" t="str">
        <f ca="1">INDEX('Name pool'!A:A, RANDBETWEEN(2, COUNTA('Name pool'!A:A))) &amp; " " &amp; INDEX('Name pool'!B:B, RANDBETWEEN(2, COUNTA('Name pool'!B:B)))</f>
        <v>Priya D’Souza</v>
      </c>
      <c r="C5" t="s">
        <v>73</v>
      </c>
      <c r="D5" t="str">
        <f t="shared" ca="1" si="0"/>
        <v>BR04</v>
      </c>
      <c r="E5" t="str">
        <f t="shared" ca="1" si="2"/>
        <v>Premium</v>
      </c>
      <c r="F5" s="2">
        <v>45342</v>
      </c>
      <c r="G5" s="2">
        <v>45432</v>
      </c>
      <c r="H5">
        <v>3500</v>
      </c>
      <c r="I5">
        <f t="shared" ca="1" si="3"/>
        <v>14000</v>
      </c>
      <c r="J5">
        <v>13</v>
      </c>
      <c r="K5" t="str">
        <f t="shared" ca="1" si="4"/>
        <v>Yes</v>
      </c>
      <c r="L5" t="str">
        <f t="shared" ca="1" si="5"/>
        <v>Weight Loss</v>
      </c>
      <c r="M5" t="str">
        <f t="shared" ca="1" si="6"/>
        <v>Active</v>
      </c>
      <c r="N5" s="2">
        <v>45937</v>
      </c>
      <c r="O5" s="1"/>
      <c r="Q5" t="str">
        <f ca="1">IF(RAND()&lt;0.2,
    IF(RAND()&lt;0.5, LOWER(C5), UPPER(C5)),
    C5
)</f>
        <v>Kochi</v>
      </c>
      <c r="R5">
        <f t="shared" ca="1" si="7"/>
        <v>13</v>
      </c>
      <c r="S5">
        <f t="shared" ca="1" si="8"/>
        <v>3500</v>
      </c>
      <c r="T5">
        <f t="shared" ca="1" si="9"/>
        <v>45581</v>
      </c>
      <c r="U5" s="2">
        <f t="shared" ca="1" si="10"/>
        <v>45937</v>
      </c>
    </row>
    <row r="6" spans="1:21">
      <c r="A6" t="str">
        <f t="shared" si="1"/>
        <v>MEM0005</v>
      </c>
      <c r="B6" t="str">
        <f ca="1">INDEX('Name pool'!A:A, RANDBETWEEN(2, COUNTA('Name pool'!A:A))) &amp; " " &amp; INDEX('Name pool'!B:B, RANDBETWEEN(2, COUNTA('Name pool'!B:B)))</f>
        <v>Sanjay Patel</v>
      </c>
      <c r="C6" t="s">
        <v>81</v>
      </c>
      <c r="D6" t="str">
        <f t="shared" ca="1" si="0"/>
        <v>BR04</v>
      </c>
      <c r="E6" t="str">
        <f t="shared" ca="1" si="2"/>
        <v>Standard</v>
      </c>
      <c r="F6" s="2">
        <v>45891</v>
      </c>
      <c r="G6" s="2">
        <v>46256</v>
      </c>
      <c r="H6">
        <v>1000</v>
      </c>
      <c r="I6">
        <f t="shared" ca="1" si="3"/>
        <v>6000</v>
      </c>
      <c r="J6">
        <v>20</v>
      </c>
      <c r="K6" t="str">
        <f t="shared" ca="1" si="4"/>
        <v>No</v>
      </c>
      <c r="L6" t="str">
        <f t="shared" ca="1" si="5"/>
        <v>Weight Loss</v>
      </c>
      <c r="M6" t="str">
        <f t="shared" ca="1" si="6"/>
        <v>Active</v>
      </c>
      <c r="N6" s="2">
        <v>45960</v>
      </c>
      <c r="O6" s="1"/>
      <c r="Q6" t="str">
        <f ca="1">IF(RAND()&lt;0.2,
    IF(RAND()&lt;0.5, LOWER(C6), UPPER(C6)),
    C6
)</f>
        <v>Mumbai</v>
      </c>
      <c r="R6">
        <f t="shared" ca="1" si="7"/>
        <v>20</v>
      </c>
      <c r="S6">
        <f t="shared" ca="1" si="8"/>
        <v>1000</v>
      </c>
      <c r="T6">
        <f t="shared" ca="1" si="9"/>
        <v>44929</v>
      </c>
      <c r="U6" s="2">
        <f ca="1">IF(AND(M6="Cancelled", RAND()&lt;0.5),
    F6 + RANDBETWEEN(10,50),
    N6
)</f>
        <v>45960</v>
      </c>
    </row>
    <row r="7" spans="1:21">
      <c r="A7" t="str">
        <f t="shared" si="1"/>
        <v>MEM0006</v>
      </c>
      <c r="B7" t="str">
        <f ca="1">INDEX('Name pool'!A:A, RANDBETWEEN(2, COUNTA('Name pool'!A:A))) &amp; " " &amp; INDEX('Name pool'!B:B, RANDBETWEEN(2, COUNTA('Name pool'!B:B)))</f>
        <v>Varun Yadav</v>
      </c>
      <c r="C7" t="s">
        <v>81</v>
      </c>
      <c r="D7" t="str">
        <f t="shared" ca="1" si="0"/>
        <v>BR03</v>
      </c>
      <c r="E7" t="str">
        <f t="shared" ca="1" si="2"/>
        <v>Standard</v>
      </c>
      <c r="F7" s="2">
        <v>45669</v>
      </c>
      <c r="G7" s="2">
        <v>46034</v>
      </c>
      <c r="H7">
        <v>3500</v>
      </c>
      <c r="I7">
        <f t="shared" ca="1" si="3"/>
        <v>31500</v>
      </c>
      <c r="J7">
        <v>1</v>
      </c>
      <c r="K7" t="str">
        <f t="shared" ca="1" si="4"/>
        <v>No</v>
      </c>
      <c r="L7" t="str">
        <f t="shared" ca="1" si="5"/>
        <v>Weight Loss</v>
      </c>
      <c r="M7" t="str">
        <f t="shared" ca="1" si="6"/>
        <v>Cancelled</v>
      </c>
      <c r="N7" s="2">
        <v>46011</v>
      </c>
      <c r="O7" s="1"/>
      <c r="Q7" t="str">
        <f ca="1">IF(RAND()&lt;0.2,
    IF(RAND()&lt;0.5, LOWER(C7), UPPER(C7)),
    C7
)</f>
        <v>Mumbai</v>
      </c>
      <c r="R7">
        <f t="shared" ca="1" si="7"/>
        <v>1</v>
      </c>
      <c r="S7">
        <f t="shared" ca="1" si="8"/>
        <v>3500</v>
      </c>
      <c r="T7">
        <f t="shared" ca="1" si="9"/>
        <v>45732</v>
      </c>
      <c r="U7" s="2">
        <f t="shared" ca="1" si="10"/>
        <v>46011</v>
      </c>
    </row>
    <row r="8" spans="1:21">
      <c r="A8" t="str">
        <f t="shared" si="1"/>
        <v>MEM0007</v>
      </c>
      <c r="B8" t="str">
        <f ca="1">INDEX('Name pool'!A:A, RANDBETWEEN(2, COUNTA('Name pool'!A:A))) &amp; " " &amp; INDEX('Name pool'!B:B, RANDBETWEEN(2, COUNTA('Name pool'!B:B)))</f>
        <v>Zara Joshi</v>
      </c>
      <c r="C8" t="s">
        <v>73</v>
      </c>
      <c r="D8" t="str">
        <f t="shared" ca="1" si="0"/>
        <v>BR01</v>
      </c>
      <c r="E8" t="str">
        <f t="shared" ca="1" si="2"/>
        <v>Standard</v>
      </c>
      <c r="F8" s="2">
        <v>45116</v>
      </c>
      <c r="G8" s="2">
        <v>45146</v>
      </c>
      <c r="H8">
        <v>3500</v>
      </c>
      <c r="I8">
        <f t="shared" ca="1" si="3"/>
        <v>17500</v>
      </c>
      <c r="J8">
        <v>7</v>
      </c>
      <c r="K8" t="str">
        <f t="shared" ca="1" si="4"/>
        <v>No</v>
      </c>
      <c r="L8" t="str">
        <f t="shared" ca="1" si="5"/>
        <v>Weight Loss</v>
      </c>
      <c r="M8" t="str">
        <f t="shared" ca="1" si="6"/>
        <v>Active</v>
      </c>
      <c r="N8" s="2">
        <v>45649</v>
      </c>
      <c r="O8" s="1"/>
      <c r="Q8" t="str">
        <f ca="1">IF(RAND()&lt;0.2,
    IF(RAND()&lt;0.5, LOWER(C8), UPPER(C8)),
    C8
)</f>
        <v>kochi</v>
      </c>
      <c r="R8">
        <f t="shared" ca="1" si="7"/>
        <v>7</v>
      </c>
      <c r="S8">
        <f t="shared" ca="1" si="8"/>
        <v>3500</v>
      </c>
      <c r="T8">
        <f t="shared" ca="1" si="9"/>
        <v>45818</v>
      </c>
      <c r="U8" s="2">
        <f t="shared" ca="1" si="10"/>
        <v>45649</v>
      </c>
    </row>
    <row r="9" spans="1:21">
      <c r="A9" t="str">
        <f t="shared" si="1"/>
        <v>MEM0008</v>
      </c>
      <c r="B9" t="str">
        <f ca="1">INDEX('Name pool'!A:A, RANDBETWEEN(2, COUNTA('Name pool'!A:A))) &amp; " " &amp; INDEX('Name pool'!B:B, RANDBETWEEN(2, COUNTA('Name pool'!B:B)))</f>
        <v>Aditya Khan</v>
      </c>
      <c r="C9" t="s">
        <v>85</v>
      </c>
      <c r="D9" t="str">
        <f t="shared" ca="1" si="0"/>
        <v>BR01</v>
      </c>
      <c r="E9" t="str">
        <f t="shared" ca="1" si="2"/>
        <v>Standard</v>
      </c>
      <c r="F9" s="2">
        <v>45986</v>
      </c>
      <c r="G9" s="2">
        <v>46076</v>
      </c>
      <c r="H9" t="s">
        <v>108</v>
      </c>
      <c r="I9">
        <f t="shared" ca="1" si="3"/>
        <v>3000</v>
      </c>
      <c r="J9" t="s">
        <v>109</v>
      </c>
      <c r="K9" t="str">
        <f t="shared" ca="1" si="4"/>
        <v>No</v>
      </c>
      <c r="L9" t="str">
        <f t="shared" ca="1" si="5"/>
        <v>Muscle Gain</v>
      </c>
      <c r="M9" t="str">
        <f t="shared" ca="1" si="6"/>
        <v>Active</v>
      </c>
      <c r="N9" s="2">
        <v>46071</v>
      </c>
      <c r="O9" s="1"/>
      <c r="Q9" t="str">
        <f ca="1">IF(RAND()&lt;0.2,
    IF(RAND()&lt;0.5, LOWER(C9), UPPER(C9)),
    C9
)</f>
        <v>Calicut</v>
      </c>
      <c r="R9" t="str">
        <f t="shared" ca="1" si="7"/>
        <v>8 visits</v>
      </c>
      <c r="S9" t="str">
        <f t="shared" ca="1" si="8"/>
        <v>1000</v>
      </c>
      <c r="T9">
        <f t="shared" ca="1" si="9"/>
        <v>45392</v>
      </c>
      <c r="U9" s="2">
        <f t="shared" ca="1" si="10"/>
        <v>46071</v>
      </c>
    </row>
    <row r="10" spans="1:21">
      <c r="A10" t="str">
        <f t="shared" si="1"/>
        <v>MEM0009</v>
      </c>
      <c r="B10" t="str">
        <f ca="1">INDEX('Name pool'!A:A, RANDBETWEEN(2, COUNTA('Name pool'!A:A))) &amp; " " &amp; INDEX('Name pool'!B:B, RANDBETWEEN(2, COUNTA('Name pool'!B:B)))</f>
        <v>Lakshmi Shetty</v>
      </c>
      <c r="C10" t="s">
        <v>75</v>
      </c>
      <c r="D10" t="str">
        <f t="shared" ca="1" si="0"/>
        <v>BR06</v>
      </c>
      <c r="E10" t="str">
        <f t="shared" ca="1" si="2"/>
        <v>Premium</v>
      </c>
      <c r="F10" s="2">
        <v>45552</v>
      </c>
      <c r="G10" s="2">
        <v>45582</v>
      </c>
      <c r="H10">
        <v>2000</v>
      </c>
      <c r="I10">
        <f t="shared" ca="1" si="3"/>
        <v>4000</v>
      </c>
      <c r="J10" t="s">
        <v>110</v>
      </c>
      <c r="K10" t="str">
        <f t="shared" ca="1" si="4"/>
        <v>Yes</v>
      </c>
      <c r="L10" t="str">
        <f t="shared" ca="1" si="5"/>
        <v>General Fitness</v>
      </c>
      <c r="M10" t="str">
        <f t="shared" ca="1" si="6"/>
        <v>Active</v>
      </c>
      <c r="N10" s="2">
        <v>45846</v>
      </c>
      <c r="O10" s="1"/>
      <c r="Q10" t="str">
        <f ca="1">IF(RAND()&lt;0.2,
    IF(RAND()&lt;0.5, LOWER(C10), UPPER(C10)),
    C10
)</f>
        <v>BANGALORE</v>
      </c>
      <c r="R10" t="str">
        <f t="shared" ca="1" si="7"/>
        <v>14 visits</v>
      </c>
      <c r="S10">
        <f t="shared" ca="1" si="8"/>
        <v>2000</v>
      </c>
      <c r="T10">
        <f t="shared" ca="1" si="9"/>
        <v>45098</v>
      </c>
      <c r="U10" s="2">
        <f t="shared" ca="1" si="10"/>
        <v>45846</v>
      </c>
    </row>
    <row r="11" spans="1:21">
      <c r="A11" t="str">
        <f t="shared" si="1"/>
        <v>MEM0010</v>
      </c>
      <c r="B11" t="str">
        <f ca="1">INDEX('Name pool'!A:A, RANDBETWEEN(2, COUNTA('Name pool'!A:A))) &amp; " " &amp; INDEX('Name pool'!B:B, RANDBETWEEN(2, COUNTA('Name pool'!B:B)))</f>
        <v>Pooja Iyer</v>
      </c>
      <c r="C11" t="s">
        <v>81</v>
      </c>
      <c r="D11" t="str">
        <f t="shared" ca="1" si="0"/>
        <v>BR03</v>
      </c>
      <c r="E11" t="str">
        <f t="shared" ca="1" si="2"/>
        <v>Basic</v>
      </c>
      <c r="F11" s="2">
        <v>45390</v>
      </c>
      <c r="G11" s="2">
        <v>45420</v>
      </c>
      <c r="H11">
        <v>3500</v>
      </c>
      <c r="I11">
        <f t="shared" ca="1" si="3"/>
        <v>24500</v>
      </c>
      <c r="J11">
        <v>15</v>
      </c>
      <c r="K11" t="str">
        <f t="shared" ca="1" si="4"/>
        <v>Yes</v>
      </c>
      <c r="L11" t="str">
        <f t="shared" ca="1" si="5"/>
        <v>Muscle Gain</v>
      </c>
      <c r="M11" t="str">
        <f t="shared" ca="1" si="6"/>
        <v>Active</v>
      </c>
      <c r="N11" s="2">
        <v>45926</v>
      </c>
      <c r="O11" s="1"/>
      <c r="Q11" t="str">
        <f ca="1">IF(RAND()&lt;0.2,
    IF(RAND()&lt;0.5, LOWER(C11), UPPER(C11)),
    C11
)</f>
        <v>Mumbai</v>
      </c>
      <c r="R11" t="str">
        <f t="shared" ca="1" si="7"/>
        <v>15 visits</v>
      </c>
      <c r="S11">
        <f t="shared" ca="1" si="8"/>
        <v>3500</v>
      </c>
      <c r="T11">
        <f t="shared" ca="1" si="9"/>
        <v>45002</v>
      </c>
      <c r="U11" s="2">
        <f t="shared" ca="1" si="10"/>
        <v>45926</v>
      </c>
    </row>
    <row r="12" spans="1:21">
      <c r="A12" t="str">
        <f t="shared" si="1"/>
        <v>MEM0011</v>
      </c>
      <c r="B12" t="str">
        <f ca="1">INDEX('Name pool'!A:A, RANDBETWEEN(2, COUNTA('Name pool'!A:A))) &amp; " " &amp; INDEX('Name pool'!B:B, RANDBETWEEN(2, COUNTA('Name pool'!B:B)))</f>
        <v>Siddharth Shaikh</v>
      </c>
      <c r="C12" t="s">
        <v>81</v>
      </c>
      <c r="D12" t="str">
        <f t="shared" ca="1" si="0"/>
        <v>BR01</v>
      </c>
      <c r="E12" t="str">
        <f t="shared" ca="1" si="2"/>
        <v>Standard</v>
      </c>
      <c r="F12" s="2">
        <v>45093</v>
      </c>
      <c r="G12" s="2">
        <v>45458</v>
      </c>
      <c r="H12">
        <v>2000</v>
      </c>
      <c r="I12">
        <f t="shared" ca="1" si="3"/>
        <v>2000</v>
      </c>
      <c r="J12" t="s">
        <v>111</v>
      </c>
      <c r="K12" t="str">
        <f t="shared" ca="1" si="4"/>
        <v>Yes</v>
      </c>
      <c r="L12" t="str">
        <f t="shared" ca="1" si="5"/>
        <v>General Fitness</v>
      </c>
      <c r="M12" t="str">
        <f t="shared" ca="1" si="6"/>
        <v>Active</v>
      </c>
      <c r="N12" s="2">
        <v>45535</v>
      </c>
      <c r="O12" s="1"/>
      <c r="Q12" t="str">
        <f ca="1">IF(RAND()&lt;0.2,
    IF(RAND()&lt;0.5, LOWER(C12), UPPER(C12)),
    C12
)</f>
        <v>Mumbai</v>
      </c>
      <c r="R12" t="str">
        <f t="shared" ca="1" si="7"/>
        <v>23 visits</v>
      </c>
      <c r="S12">
        <f t="shared" ca="1" si="8"/>
        <v>2000</v>
      </c>
      <c r="T12">
        <f t="shared" ca="1" si="9"/>
        <v>45643</v>
      </c>
      <c r="U12" s="2">
        <f t="shared" ca="1" si="10"/>
        <v>45535</v>
      </c>
    </row>
    <row r="13" spans="1:21">
      <c r="A13" t="str">
        <f t="shared" si="1"/>
        <v>MEM0012</v>
      </c>
      <c r="B13" t="str">
        <f ca="1">INDEX('Name pool'!A:A, RANDBETWEEN(2, COUNTA('Name pool'!A:A))) &amp; " " &amp; INDEX('Name pool'!B:B, RANDBETWEEN(2, COUNTA('Name pool'!B:B)))</f>
        <v>Ishita Nambiar</v>
      </c>
      <c r="C13" t="s">
        <v>112</v>
      </c>
      <c r="D13" t="str">
        <f t="shared" ca="1" si="0"/>
        <v>BR06</v>
      </c>
      <c r="E13" t="str">
        <f t="shared" ca="1" si="2"/>
        <v>Basic</v>
      </c>
      <c r="F13" s="2">
        <v>45363</v>
      </c>
      <c r="G13" s="2">
        <v>45728</v>
      </c>
      <c r="H13">
        <v>2000</v>
      </c>
      <c r="I13">
        <f t="shared" ca="1" si="3"/>
        <v>24000</v>
      </c>
      <c r="J13">
        <v>14</v>
      </c>
      <c r="K13" t="str">
        <f t="shared" ca="1" si="4"/>
        <v>Yes</v>
      </c>
      <c r="L13" t="str">
        <f t="shared" ca="1" si="5"/>
        <v>Weight Loss</v>
      </c>
      <c r="M13" t="str">
        <f t="shared" ca="1" si="6"/>
        <v>Active</v>
      </c>
      <c r="N13" s="2">
        <v>46031</v>
      </c>
      <c r="O13" s="1"/>
      <c r="Q13" t="str">
        <f ca="1">IF(RAND()&lt;0.2,
    IF(RAND()&lt;0.5, LOWER(C13), UPPER(C13)),
    C13
)</f>
        <v>HYDERABAD</v>
      </c>
      <c r="R13">
        <f t="shared" ca="1" si="7"/>
        <v>14</v>
      </c>
      <c r="S13">
        <f t="shared" ca="1" si="8"/>
        <v>2000</v>
      </c>
      <c r="T13">
        <f t="shared" ca="1" si="9"/>
        <v>45090</v>
      </c>
      <c r="U13" s="2">
        <f t="shared" ca="1" si="10"/>
        <v>46031</v>
      </c>
    </row>
    <row r="14" spans="1:21">
      <c r="A14" t="str">
        <f t="shared" si="1"/>
        <v>MEM0013</v>
      </c>
      <c r="B14" t="str">
        <f ca="1">INDEX('Name pool'!A:A, RANDBETWEEN(2, COUNTA('Name pool'!A:A))) &amp; " " &amp; INDEX('Name pool'!B:B, RANDBETWEEN(2, COUNTA('Name pool'!B:B)))</f>
        <v>Aditya Fernandes</v>
      </c>
      <c r="C14" t="s">
        <v>77</v>
      </c>
      <c r="D14" t="str">
        <f t="shared" ca="1" si="0"/>
        <v>BR05</v>
      </c>
      <c r="E14" t="str">
        <f t="shared" ca="1" si="2"/>
        <v>Premium</v>
      </c>
      <c r="F14" s="2">
        <v>45518</v>
      </c>
      <c r="G14" s="2">
        <v>45548</v>
      </c>
      <c r="H14">
        <v>1000</v>
      </c>
      <c r="I14">
        <f t="shared" ca="1" si="3"/>
        <v>2000</v>
      </c>
      <c r="J14">
        <v>15</v>
      </c>
      <c r="K14" t="str">
        <f t="shared" ca="1" si="4"/>
        <v>No</v>
      </c>
      <c r="L14" t="str">
        <f t="shared" ca="1" si="5"/>
        <v>General Fitness</v>
      </c>
      <c r="M14" t="str">
        <f t="shared" ca="1" si="6"/>
        <v>Active</v>
      </c>
      <c r="N14" s="2">
        <v>45895</v>
      </c>
      <c r="O14" s="1"/>
      <c r="Q14" t="str">
        <f ca="1">IF(RAND()&lt;0.2,
    IF(RAND()&lt;0.5, LOWER(C14), UPPER(C14)),
    C14
)</f>
        <v>Chennai</v>
      </c>
      <c r="R14">
        <f t="shared" ca="1" si="7"/>
        <v>15</v>
      </c>
      <c r="S14">
        <f t="shared" ca="1" si="8"/>
        <v>1000</v>
      </c>
      <c r="T14">
        <f t="shared" ca="1" si="9"/>
        <v>46041</v>
      </c>
      <c r="U14" s="2">
        <f t="shared" ca="1" si="10"/>
        <v>45895</v>
      </c>
    </row>
    <row r="15" spans="1:21">
      <c r="A15" t="str">
        <f t="shared" si="1"/>
        <v>MEM0014</v>
      </c>
      <c r="B15" t="str">
        <f ca="1">INDEX('Name pool'!A:A, RANDBETWEEN(2, COUNTA('Name pool'!A:A))) &amp; " " &amp; INDEX('Name pool'!B:B, RANDBETWEEN(2, COUNTA('Name pool'!B:B)))</f>
        <v>Pooja Agarwal</v>
      </c>
      <c r="C15" t="s">
        <v>85</v>
      </c>
      <c r="D15" t="str">
        <f t="shared" ca="1" si="0"/>
        <v>BR03</v>
      </c>
      <c r="E15" t="str">
        <f t="shared" ca="1" si="2"/>
        <v>Premium</v>
      </c>
      <c r="F15" s="2">
        <v>45394</v>
      </c>
      <c r="G15" s="2">
        <v>45484</v>
      </c>
      <c r="H15" t="s">
        <v>108</v>
      </c>
      <c r="I15">
        <f t="shared" ca="1" si="3"/>
        <v>9000</v>
      </c>
      <c r="J15">
        <v>10</v>
      </c>
      <c r="K15" t="str">
        <f t="shared" ca="1" si="4"/>
        <v>No</v>
      </c>
      <c r="L15" t="str">
        <f t="shared" ca="1" si="5"/>
        <v>General Fitness</v>
      </c>
      <c r="M15" t="str">
        <f t="shared" ca="1" si="6"/>
        <v>Active</v>
      </c>
      <c r="N15" s="2">
        <v>45802</v>
      </c>
      <c r="Q15" t="str">
        <f ca="1">IF(RAND()&lt;0.2,
    IF(RAND()&lt;0.5, LOWER(C15), UPPER(C15)),
    C15
)</f>
        <v>Calicut</v>
      </c>
      <c r="R15">
        <f t="shared" ca="1" si="7"/>
        <v>10</v>
      </c>
      <c r="S15" t="str">
        <f t="shared" ca="1" si="8"/>
        <v>1000</v>
      </c>
      <c r="T15">
        <f t="shared" ca="1" si="9"/>
        <v>45897</v>
      </c>
      <c r="U15" s="2">
        <f t="shared" ca="1" si="10"/>
        <v>45802</v>
      </c>
    </row>
    <row r="16" spans="1:21">
      <c r="A16" t="str">
        <f t="shared" si="1"/>
        <v>MEM0015</v>
      </c>
      <c r="B16" t="str">
        <f ca="1">INDEX('Name pool'!A:A, RANDBETWEEN(2, COUNTA('Name pool'!A:A))) &amp; " " &amp; INDEX('Name pool'!B:B, RANDBETWEEN(2, COUNTA('Name pool'!B:B)))</f>
        <v>Nikhil Verma</v>
      </c>
      <c r="C16" t="s">
        <v>75</v>
      </c>
      <c r="D16" t="str">
        <f t="shared" ca="1" si="0"/>
        <v>BR05</v>
      </c>
      <c r="E16" t="str">
        <f t="shared" ca="1" si="2"/>
        <v>Standard</v>
      </c>
      <c r="F16" s="2">
        <v>45496</v>
      </c>
      <c r="G16" s="2">
        <v>45861</v>
      </c>
      <c r="H16">
        <v>1000</v>
      </c>
      <c r="I16">
        <f t="shared" ca="1" si="3"/>
        <v>8000</v>
      </c>
      <c r="J16">
        <v>21</v>
      </c>
      <c r="K16" t="str">
        <f t="shared" ca="1" si="4"/>
        <v>Yes</v>
      </c>
      <c r="L16" t="str">
        <f t="shared" ca="1" si="5"/>
        <v>Weight Loss</v>
      </c>
      <c r="M16" t="str">
        <f t="shared" ca="1" si="6"/>
        <v>Active</v>
      </c>
      <c r="N16" s="2">
        <v>46003</v>
      </c>
      <c r="Q16" t="str">
        <f ca="1">IF(RAND()&lt;0.2,
    IF(RAND()&lt;0.5, LOWER(C16), UPPER(C16)),
    C16
)</f>
        <v>Bangalore</v>
      </c>
      <c r="R16">
        <f t="shared" ca="1" si="7"/>
        <v>21</v>
      </c>
      <c r="S16">
        <f t="shared" ca="1" si="8"/>
        <v>1000</v>
      </c>
      <c r="T16">
        <f t="shared" ca="1" si="9"/>
        <v>45695</v>
      </c>
      <c r="U16" s="2">
        <f t="shared" ca="1" si="10"/>
        <v>46003</v>
      </c>
    </row>
    <row r="17" spans="1:21">
      <c r="A17" t="str">
        <f t="shared" si="1"/>
        <v>MEM0016</v>
      </c>
      <c r="B17" t="str">
        <f ca="1">INDEX('Name pool'!A:A, RANDBETWEEN(2, COUNTA('Name pool'!A:A))) &amp; " " &amp; INDEX('Name pool'!B:B, RANDBETWEEN(2, COUNTA('Name pool'!B:B)))</f>
        <v>Riya Kapoor</v>
      </c>
      <c r="C17" t="s">
        <v>75</v>
      </c>
      <c r="D17" t="str">
        <f t="shared" ca="1" si="0"/>
        <v>BR01</v>
      </c>
      <c r="E17" t="str">
        <f t="shared" ca="1" si="2"/>
        <v>Premium</v>
      </c>
      <c r="F17" s="2">
        <v>45689</v>
      </c>
      <c r="G17" s="2">
        <v>45719</v>
      </c>
      <c r="H17">
        <v>3500</v>
      </c>
      <c r="I17">
        <f t="shared" ca="1" si="3"/>
        <v>42000</v>
      </c>
      <c r="J17">
        <v>6</v>
      </c>
      <c r="K17" t="str">
        <f t="shared" ca="1" si="4"/>
        <v>Yes</v>
      </c>
      <c r="L17" t="str">
        <f t="shared" ca="1" si="5"/>
        <v>Muscle Gain</v>
      </c>
      <c r="M17" t="str">
        <f t="shared" ca="1" si="6"/>
        <v>Active</v>
      </c>
      <c r="N17" s="2">
        <v>45758</v>
      </c>
      <c r="Q17" t="str">
        <f ca="1">IF(RAND()&lt;0.2,
    IF(RAND()&lt;0.5, LOWER(C17), UPPER(C17)),
    C17
)</f>
        <v>Bangalore</v>
      </c>
      <c r="R17">
        <f t="shared" ca="1" si="7"/>
        <v>6</v>
      </c>
      <c r="S17">
        <f t="shared" ca="1" si="8"/>
        <v>3500</v>
      </c>
      <c r="T17">
        <f t="shared" ca="1" si="9"/>
        <v>46019</v>
      </c>
      <c r="U17" s="2">
        <f t="shared" ca="1" si="10"/>
        <v>45758</v>
      </c>
    </row>
    <row r="18" spans="1:21">
      <c r="A18" t="str">
        <f t="shared" si="1"/>
        <v>MEM0017</v>
      </c>
      <c r="B18" t="str">
        <f ca="1">INDEX('Name pool'!A:A, RANDBETWEEN(2, COUNTA('Name pool'!A:A))) &amp; " " &amp; INDEX('Name pool'!B:B, RANDBETWEEN(2, COUNTA('Name pool'!B:B)))</f>
        <v>Deepak Agarwal</v>
      </c>
      <c r="C18" t="s">
        <v>73</v>
      </c>
      <c r="D18" t="str">
        <f t="shared" ca="1" si="0"/>
        <v>BR04</v>
      </c>
      <c r="E18" t="str">
        <f t="shared" ca="1" si="2"/>
        <v>Basic</v>
      </c>
      <c r="F18" s="2">
        <v>45358</v>
      </c>
      <c r="G18" s="2">
        <v>45723</v>
      </c>
      <c r="H18">
        <v>3500</v>
      </c>
      <c r="I18">
        <f t="shared" ca="1" si="3"/>
        <v>24500</v>
      </c>
      <c r="J18">
        <v>16</v>
      </c>
      <c r="K18" t="str">
        <f t="shared" ca="1" si="4"/>
        <v>Yes</v>
      </c>
      <c r="L18" t="str">
        <f t="shared" ca="1" si="5"/>
        <v>General Fitness</v>
      </c>
      <c r="M18" t="str">
        <f t="shared" ca="1" si="6"/>
        <v>Active</v>
      </c>
      <c r="N18" s="2">
        <v>45412</v>
      </c>
      <c r="Q18" t="str">
        <f ca="1">IF(RAND()&lt;0.2,
    IF(RAND()&lt;0.5, LOWER(C18), UPPER(C18)),
    C18
)</f>
        <v>Kochi</v>
      </c>
      <c r="R18">
        <f t="shared" ca="1" si="7"/>
        <v>16</v>
      </c>
      <c r="S18">
        <f t="shared" ca="1" si="8"/>
        <v>3500</v>
      </c>
      <c r="T18">
        <f t="shared" ca="1" si="9"/>
        <v>45201</v>
      </c>
      <c r="U18" s="2">
        <f t="shared" ca="1" si="10"/>
        <v>45412</v>
      </c>
    </row>
    <row r="19" spans="1:21">
      <c r="A19" t="str">
        <f t="shared" si="1"/>
        <v>MEM0018</v>
      </c>
      <c r="B19" t="str">
        <f ca="1">INDEX('Name pool'!A:A, RANDBETWEEN(2, COUNTA('Name pool'!A:A))) &amp; " " &amp; INDEX('Name pool'!B:B, RANDBETWEEN(2, COUNTA('Name pool'!B:B)))</f>
        <v>Ankit Naidu</v>
      </c>
      <c r="C19" t="s">
        <v>77</v>
      </c>
      <c r="D19" t="str">
        <f t="shared" ca="1" si="0"/>
        <v>BR02</v>
      </c>
      <c r="E19" t="str">
        <f t="shared" ca="1" si="2"/>
        <v>Premium</v>
      </c>
      <c r="F19" s="2">
        <v>45872</v>
      </c>
      <c r="G19" s="2">
        <v>46237</v>
      </c>
      <c r="H19">
        <v>3500</v>
      </c>
      <c r="I19">
        <f t="shared" ca="1" si="3"/>
        <v>38500</v>
      </c>
      <c r="J19">
        <v>14</v>
      </c>
      <c r="K19" t="str">
        <f t="shared" ca="1" si="4"/>
        <v>Yes</v>
      </c>
      <c r="L19" t="str">
        <f t="shared" ca="1" si="5"/>
        <v>Muscle Gain</v>
      </c>
      <c r="M19" t="str">
        <f t="shared" ca="1" si="6"/>
        <v>Active</v>
      </c>
      <c r="N19" s="2">
        <v>46059</v>
      </c>
      <c r="Q19" t="str">
        <f ca="1">IF(RAND()&lt;0.2,
    IF(RAND()&lt;0.5, LOWER(C19), UPPER(C19)),
    C19
)</f>
        <v>chennai</v>
      </c>
      <c r="R19" t="str">
        <f t="shared" ca="1" si="7"/>
        <v>14 visits</v>
      </c>
      <c r="S19">
        <f t="shared" ca="1" si="8"/>
        <v>3500</v>
      </c>
      <c r="T19">
        <f t="shared" ca="1" si="9"/>
        <v>45559</v>
      </c>
      <c r="U19" s="2">
        <f t="shared" ca="1" si="10"/>
        <v>46059</v>
      </c>
    </row>
    <row r="20" spans="1:21">
      <c r="A20" t="str">
        <f t="shared" si="1"/>
        <v>MEM0019</v>
      </c>
      <c r="B20" t="str">
        <f ca="1">INDEX('Name pool'!A:A, RANDBETWEEN(2, COUNTA('Name pool'!A:A))) &amp; " " &amp; INDEX('Name pool'!B:B, RANDBETWEEN(2, COUNTA('Name pool'!B:B)))</f>
        <v>Fatima Gupta</v>
      </c>
      <c r="C20" t="s">
        <v>85</v>
      </c>
      <c r="D20" t="str">
        <f t="shared" ca="1" si="0"/>
        <v>BR07</v>
      </c>
      <c r="E20" t="str">
        <f t="shared" ca="1" si="2"/>
        <v>Basic</v>
      </c>
      <c r="F20" s="2">
        <v>45429</v>
      </c>
      <c r="G20" s="2">
        <v>45459</v>
      </c>
      <c r="H20">
        <v>3500</v>
      </c>
      <c r="I20">
        <f t="shared" ca="1" si="3"/>
        <v>24500</v>
      </c>
      <c r="J20">
        <v>23</v>
      </c>
      <c r="K20" t="str">
        <f t="shared" ca="1" si="4"/>
        <v>Yes</v>
      </c>
      <c r="L20" t="str">
        <f t="shared" ca="1" si="5"/>
        <v>General Fitness</v>
      </c>
      <c r="M20" t="str">
        <f t="shared" ca="1" si="6"/>
        <v>Active</v>
      </c>
      <c r="N20" s="2">
        <v>46072</v>
      </c>
      <c r="Q20" t="str">
        <f ca="1">IF(RAND()&lt;0.2,
    IF(RAND()&lt;0.5, LOWER(C20), UPPER(C20)),
    C20
)</f>
        <v>calicut</v>
      </c>
      <c r="R20">
        <f t="shared" ca="1" si="7"/>
        <v>23</v>
      </c>
      <c r="S20">
        <f t="shared" ca="1" si="8"/>
        <v>3500</v>
      </c>
      <c r="T20">
        <f t="shared" ca="1" si="9"/>
        <v>45370</v>
      </c>
      <c r="U20" s="2">
        <f t="shared" ca="1" si="10"/>
        <v>46072</v>
      </c>
    </row>
    <row r="21" spans="1:21">
      <c r="A21" t="str">
        <f t="shared" si="1"/>
        <v>MEM0020</v>
      </c>
      <c r="B21" t="str">
        <f ca="1">INDEX('Name pool'!A:A, RANDBETWEEN(2, COUNTA('Name pool'!A:A))) &amp; " " &amp; INDEX('Name pool'!B:B, RANDBETWEEN(2, COUNTA('Name pool'!B:B)))</f>
        <v>Priya Gupta</v>
      </c>
      <c r="C21" t="s">
        <v>83</v>
      </c>
      <c r="D21" t="str">
        <f t="shared" ca="1" si="0"/>
        <v>BR06</v>
      </c>
      <c r="E21" t="str">
        <f t="shared" ca="1" si="2"/>
        <v>Basic</v>
      </c>
      <c r="F21" s="2">
        <v>44974</v>
      </c>
      <c r="G21" s="2">
        <v>45004</v>
      </c>
      <c r="H21">
        <v>2000</v>
      </c>
      <c r="I21">
        <f t="shared" ca="1" si="3"/>
        <v>6000</v>
      </c>
      <c r="J21">
        <v>19</v>
      </c>
      <c r="K21" t="str">
        <f t="shared" ca="1" si="4"/>
        <v>Yes</v>
      </c>
      <c r="L21" t="str">
        <f t="shared" ca="1" si="5"/>
        <v>Weight Loss</v>
      </c>
      <c r="M21" t="str">
        <f t="shared" ca="1" si="6"/>
        <v>Active</v>
      </c>
      <c r="N21" s="2">
        <v>45123</v>
      </c>
      <c r="Q21" t="str">
        <f ca="1">IF(RAND()&lt;0.2,
    IF(RAND()&lt;0.5, LOWER(C21), UPPER(C21)),
    C21
)</f>
        <v>Trivandrum</v>
      </c>
      <c r="R21">
        <f t="shared" ca="1" si="7"/>
        <v>19</v>
      </c>
      <c r="S21">
        <f t="shared" ca="1" si="8"/>
        <v>2000</v>
      </c>
      <c r="T21">
        <f t="shared" ca="1" si="9"/>
        <v>45143</v>
      </c>
      <c r="U21" s="2">
        <f t="shared" ca="1" si="10"/>
        <v>45123</v>
      </c>
    </row>
    <row r="22" spans="1:21">
      <c r="A22" t="str">
        <f t="shared" si="1"/>
        <v>MEM0021</v>
      </c>
      <c r="B22" t="str">
        <f ca="1">INDEX('Name pool'!A:A, RANDBETWEEN(2, COUNTA('Name pool'!A:A))) &amp; " " &amp; INDEX('Name pool'!B:B, RANDBETWEEN(2, COUNTA('Name pool'!B:B)))</f>
        <v>Rohit Singh</v>
      </c>
      <c r="C22" t="s">
        <v>83</v>
      </c>
      <c r="D22" t="str">
        <f t="shared" ca="1" si="0"/>
        <v>BR07</v>
      </c>
      <c r="E22" t="str">
        <f t="shared" ca="1" si="2"/>
        <v>Basic</v>
      </c>
      <c r="F22" s="2">
        <v>45629</v>
      </c>
      <c r="G22" s="2">
        <v>45659</v>
      </c>
      <c r="H22">
        <v>3500</v>
      </c>
      <c r="I22">
        <f t="shared" ca="1" si="3"/>
        <v>3500</v>
      </c>
      <c r="J22" t="s">
        <v>113</v>
      </c>
      <c r="K22" t="str">
        <f t="shared" ca="1" si="4"/>
        <v>No</v>
      </c>
      <c r="L22" t="str">
        <f t="shared" ca="1" si="5"/>
        <v>Weight Loss</v>
      </c>
      <c r="M22" t="str">
        <f t="shared" ca="1" si="6"/>
        <v>Active</v>
      </c>
      <c r="N22" s="2">
        <v>45950</v>
      </c>
      <c r="Q22" t="str">
        <f ca="1">IF(RAND()&lt;0.2,
    IF(RAND()&lt;0.5, LOWER(C22), UPPER(C22)),
    C22
)</f>
        <v>Trivandrum</v>
      </c>
      <c r="R22" t="str">
        <f t="shared" ca="1" si="7"/>
        <v>17 visits visits</v>
      </c>
      <c r="S22">
        <f t="shared" ca="1" si="8"/>
        <v>3500</v>
      </c>
      <c r="T22">
        <f t="shared" ca="1" si="9"/>
        <v>45979</v>
      </c>
      <c r="U22" s="2">
        <f t="shared" ca="1" si="10"/>
        <v>45950</v>
      </c>
    </row>
    <row r="23" spans="1:21">
      <c r="A23" t="str">
        <f t="shared" si="1"/>
        <v>MEM0022</v>
      </c>
      <c r="B23" t="str">
        <f ca="1">INDEX('Name pool'!A:A, RANDBETWEEN(2, COUNTA('Name pool'!A:A))) &amp; " " &amp; INDEX('Name pool'!B:B, RANDBETWEEN(2, COUNTA('Name pool'!B:B)))</f>
        <v>Zara Menon</v>
      </c>
      <c r="C23" t="s">
        <v>114</v>
      </c>
      <c r="D23" t="str">
        <f t="shared" ca="1" si="0"/>
        <v>BR04</v>
      </c>
      <c r="E23" t="str">
        <f t="shared" ca="1" si="2"/>
        <v>Basic</v>
      </c>
      <c r="F23" s="2">
        <v>45326</v>
      </c>
      <c r="G23" s="2">
        <v>45356</v>
      </c>
      <c r="H23">
        <v>1000</v>
      </c>
      <c r="I23">
        <f t="shared" ca="1" si="3"/>
        <v>2000</v>
      </c>
      <c r="J23">
        <v>18</v>
      </c>
      <c r="K23" t="str">
        <f t="shared" ca="1" si="4"/>
        <v>Yes</v>
      </c>
      <c r="L23" t="str">
        <f t="shared" ca="1" si="5"/>
        <v>General Fitness</v>
      </c>
      <c r="M23" t="str">
        <f t="shared" ca="1" si="6"/>
        <v>Active</v>
      </c>
      <c r="N23" s="2">
        <v>45865</v>
      </c>
      <c r="Q23" t="str">
        <f ca="1">IF(RAND()&lt;0.2,
    IF(RAND()&lt;0.5, LOWER(C23), UPPER(C23)),
    C23
)</f>
        <v>TRIVANDRUM</v>
      </c>
      <c r="R23" t="str">
        <f t="shared" ca="1" si="7"/>
        <v>18 visits</v>
      </c>
      <c r="S23">
        <f t="shared" ca="1" si="8"/>
        <v>1000</v>
      </c>
      <c r="T23">
        <f t="shared" ca="1" si="9"/>
        <v>45518</v>
      </c>
      <c r="U23" s="2">
        <f t="shared" ca="1" si="10"/>
        <v>45865</v>
      </c>
    </row>
    <row r="24" spans="1:21">
      <c r="A24" t="str">
        <f t="shared" si="1"/>
        <v>MEM0023</v>
      </c>
      <c r="B24" t="str">
        <f ca="1">INDEX('Name pool'!A:A, RANDBETWEEN(2, COUNTA('Name pool'!A:A))) &amp; " " &amp; INDEX('Name pool'!B:B, RANDBETWEEN(2, COUNTA('Name pool'!B:B)))</f>
        <v>Harish Desai</v>
      </c>
      <c r="C24" t="s">
        <v>75</v>
      </c>
      <c r="D24" t="str">
        <f t="shared" ca="1" si="0"/>
        <v>BR07</v>
      </c>
      <c r="E24" t="str">
        <f t="shared" ca="1" si="2"/>
        <v>Basic</v>
      </c>
      <c r="F24" s="2">
        <v>45858</v>
      </c>
      <c r="G24" s="2">
        <v>46223</v>
      </c>
      <c r="H24">
        <v>1000</v>
      </c>
      <c r="I24">
        <f t="shared" ca="1" si="3"/>
        <v>5000</v>
      </c>
      <c r="J24">
        <v>9</v>
      </c>
      <c r="K24" t="str">
        <f t="shared" ca="1" si="4"/>
        <v>Yes</v>
      </c>
      <c r="L24" t="str">
        <f t="shared" ca="1" si="5"/>
        <v>General Fitness</v>
      </c>
      <c r="M24" t="str">
        <f t="shared" ca="1" si="6"/>
        <v>Active</v>
      </c>
      <c r="N24" s="2">
        <v>46102</v>
      </c>
      <c r="Q24" t="str">
        <f ca="1">IF(RAND()&lt;0.2,
    IF(RAND()&lt;0.5, LOWER(C24), UPPER(C24)),
    C24
)</f>
        <v>Bangalore</v>
      </c>
      <c r="R24">
        <f t="shared" ca="1" si="7"/>
        <v>9</v>
      </c>
      <c r="S24">
        <f t="shared" ca="1" si="8"/>
        <v>1000</v>
      </c>
      <c r="T24">
        <f t="shared" ca="1" si="9"/>
        <v>45922</v>
      </c>
      <c r="U24" s="2">
        <f t="shared" ca="1" si="10"/>
        <v>46102</v>
      </c>
    </row>
    <row r="25" spans="1:21">
      <c r="A25" t="str">
        <f t="shared" si="1"/>
        <v>MEM0024</v>
      </c>
      <c r="B25" t="str">
        <f ca="1">INDEX('Name pool'!A:A, RANDBETWEEN(2, COUNTA('Name pool'!A:A))) &amp; " " &amp; INDEX('Name pool'!B:B, RANDBETWEEN(2, COUNTA('Name pool'!B:B)))</f>
        <v>Harish Desai</v>
      </c>
      <c r="C25" t="s">
        <v>73</v>
      </c>
      <c r="D25" t="str">
        <f t="shared" ca="1" si="0"/>
        <v>BR03</v>
      </c>
      <c r="E25" t="str">
        <f t="shared" ca="1" si="2"/>
        <v>Basic</v>
      </c>
      <c r="F25" s="2">
        <v>45814</v>
      </c>
      <c r="G25" s="2">
        <v>45904</v>
      </c>
      <c r="H25">
        <v>1000</v>
      </c>
      <c r="I25">
        <f t="shared" ca="1" si="3"/>
        <v>5000</v>
      </c>
      <c r="J25">
        <v>4</v>
      </c>
      <c r="K25" t="str">
        <f t="shared" ca="1" si="4"/>
        <v>No</v>
      </c>
      <c r="L25" t="str">
        <f t="shared" ca="1" si="5"/>
        <v>Weight Loss</v>
      </c>
      <c r="M25" t="str">
        <f t="shared" ca="1" si="6"/>
        <v>Active</v>
      </c>
      <c r="N25" s="2">
        <v>45855</v>
      </c>
      <c r="Q25" t="str">
        <f ca="1">IF(RAND()&lt;0.2,
    IF(RAND()&lt;0.5, LOWER(C25), UPPER(C25)),
    C25
)</f>
        <v>kochi</v>
      </c>
      <c r="R25">
        <f t="shared" ca="1" si="7"/>
        <v>4</v>
      </c>
      <c r="S25">
        <f t="shared" ca="1" si="8"/>
        <v>1000</v>
      </c>
      <c r="T25">
        <f t="shared" ca="1" si="9"/>
        <v>44937</v>
      </c>
      <c r="U25" s="2">
        <f t="shared" ca="1" si="10"/>
        <v>45855</v>
      </c>
    </row>
    <row r="26" spans="1:21">
      <c r="A26" t="str">
        <f t="shared" si="1"/>
        <v>MEM0025</v>
      </c>
      <c r="B26" t="str">
        <f ca="1">INDEX('Name pool'!A:A, RANDBETWEEN(2, COUNTA('Name pool'!A:A))) &amp; " " &amp; INDEX('Name pool'!B:B, RANDBETWEEN(2, COUNTA('Name pool'!B:B)))</f>
        <v>Ayesha Nair</v>
      </c>
      <c r="C26" t="s">
        <v>79</v>
      </c>
      <c r="D26" t="str">
        <f t="shared" ca="1" si="0"/>
        <v>BR07</v>
      </c>
      <c r="E26" t="str">
        <f t="shared" ca="1" si="2"/>
        <v>Standard</v>
      </c>
      <c r="F26" s="2">
        <v>45963</v>
      </c>
      <c r="G26" s="2">
        <v>46328</v>
      </c>
      <c r="H26">
        <v>1000</v>
      </c>
      <c r="I26">
        <f t="shared" ca="1" si="3"/>
        <v>4000</v>
      </c>
      <c r="J26">
        <v>13</v>
      </c>
      <c r="K26" t="str">
        <f t="shared" ca="1" si="4"/>
        <v>Yes</v>
      </c>
      <c r="L26" t="str">
        <f t="shared" ca="1" si="5"/>
        <v>General Fitness</v>
      </c>
      <c r="M26" t="str">
        <f t="shared" ca="1" si="6"/>
        <v>Active</v>
      </c>
      <c r="N26" s="2">
        <v>46058</v>
      </c>
      <c r="Q26" t="str">
        <f ca="1">IF(RAND()&lt;0.2,
    IF(RAND()&lt;0.5, LOWER(C26), UPPER(C26)),
    C26
)</f>
        <v>Hyderabad</v>
      </c>
      <c r="R26">
        <f t="shared" ca="1" si="7"/>
        <v>13</v>
      </c>
      <c r="S26">
        <f t="shared" ca="1" si="8"/>
        <v>1000</v>
      </c>
      <c r="T26">
        <f t="shared" ca="1" si="9"/>
        <v>45163</v>
      </c>
      <c r="U26" s="2">
        <f t="shared" ca="1" si="10"/>
        <v>46058</v>
      </c>
    </row>
    <row r="27" spans="1:21">
      <c r="A27" t="str">
        <f t="shared" si="1"/>
        <v>MEM0026</v>
      </c>
      <c r="B27" t="str">
        <f ca="1">INDEX('Name pool'!A:A, RANDBETWEEN(2, COUNTA('Name pool'!A:A))) &amp; " " &amp; INDEX('Name pool'!B:B, RANDBETWEEN(2, COUNTA('Name pool'!B:B)))</f>
        <v>Shreya Lewis</v>
      </c>
      <c r="C27" t="s">
        <v>77</v>
      </c>
      <c r="D27" t="str">
        <f t="shared" ca="1" si="0"/>
        <v>BR04</v>
      </c>
      <c r="E27" t="str">
        <f t="shared" ca="1" si="2"/>
        <v>Premium</v>
      </c>
      <c r="F27" s="2">
        <v>45571</v>
      </c>
      <c r="G27" s="2">
        <v>45661</v>
      </c>
      <c r="H27">
        <v>3500</v>
      </c>
      <c r="I27">
        <f t="shared" ca="1" si="3"/>
        <v>21000</v>
      </c>
      <c r="J27">
        <v>12</v>
      </c>
      <c r="K27" t="str">
        <f t="shared" ca="1" si="4"/>
        <v>No</v>
      </c>
      <c r="L27" t="str">
        <f t="shared" ca="1" si="5"/>
        <v>Muscle Gain</v>
      </c>
      <c r="M27" t="str">
        <f t="shared" ca="1" si="6"/>
        <v>Active</v>
      </c>
      <c r="N27" s="2">
        <v>45686</v>
      </c>
      <c r="Q27" t="str">
        <f ca="1">IF(RAND()&lt;0.2,
    IF(RAND()&lt;0.5, LOWER(C27), UPPER(C27)),
    C27
)</f>
        <v>Chennai</v>
      </c>
      <c r="R27">
        <f t="shared" ca="1" si="7"/>
        <v>12</v>
      </c>
      <c r="S27">
        <f t="shared" ca="1" si="8"/>
        <v>3500</v>
      </c>
      <c r="T27">
        <f t="shared" ca="1" si="9"/>
        <v>45613</v>
      </c>
      <c r="U27" s="2">
        <f t="shared" ca="1" si="10"/>
        <v>45686</v>
      </c>
    </row>
    <row r="28" spans="1:21">
      <c r="A28" t="str">
        <f t="shared" si="1"/>
        <v>MEM0027</v>
      </c>
      <c r="B28" t="str">
        <f ca="1">INDEX('Name pool'!A:A, RANDBETWEEN(2, COUNTA('Name pool'!A:A))) &amp; " " &amp; INDEX('Name pool'!B:B, RANDBETWEEN(2, COUNTA('Name pool'!B:B)))</f>
        <v>Fatima Reddy</v>
      </c>
      <c r="C28" t="s">
        <v>73</v>
      </c>
      <c r="D28" t="str">
        <f t="shared" ca="1" si="0"/>
        <v>BR05</v>
      </c>
      <c r="E28" t="str">
        <f t="shared" ca="1" si="2"/>
        <v>Standard</v>
      </c>
      <c r="F28" s="2">
        <v>44959</v>
      </c>
      <c r="G28" s="2">
        <v>44989</v>
      </c>
      <c r="H28">
        <v>3500</v>
      </c>
      <c r="I28">
        <f t="shared" ca="1" si="3"/>
        <v>21000</v>
      </c>
      <c r="J28">
        <v>16</v>
      </c>
      <c r="K28" t="str">
        <f t="shared" ca="1" si="4"/>
        <v>No</v>
      </c>
      <c r="L28" t="str">
        <f t="shared" ca="1" si="5"/>
        <v>General Fitness</v>
      </c>
      <c r="M28" t="str">
        <f t="shared" ca="1" si="6"/>
        <v>Active</v>
      </c>
      <c r="N28" s="2">
        <v>45950</v>
      </c>
      <c r="Q28" t="str">
        <f ca="1">IF(RAND()&lt;0.2,
    IF(RAND()&lt;0.5, LOWER(C28), UPPER(C28)),
    C28
)</f>
        <v>Kochi</v>
      </c>
      <c r="R28">
        <f t="shared" ca="1" si="7"/>
        <v>16</v>
      </c>
      <c r="S28">
        <f t="shared" ca="1" si="8"/>
        <v>3500</v>
      </c>
      <c r="T28">
        <f t="shared" ca="1" si="9"/>
        <v>45229</v>
      </c>
      <c r="U28" s="2">
        <f t="shared" ca="1" si="10"/>
        <v>45950</v>
      </c>
    </row>
    <row r="29" spans="1:21">
      <c r="A29" t="str">
        <f t="shared" si="1"/>
        <v>MEM0028</v>
      </c>
      <c r="B29" t="str">
        <f ca="1">INDEX('Name pool'!A:A, RANDBETWEEN(2, COUNTA('Name pool'!A:A))) &amp; " " &amp; INDEX('Name pool'!B:B, RANDBETWEEN(2, COUNTA('Name pool'!B:B)))</f>
        <v>Pooja Fernandes</v>
      </c>
      <c r="C29" t="s">
        <v>77</v>
      </c>
      <c r="D29" t="str">
        <f t="shared" ca="1" si="0"/>
        <v>BR07</v>
      </c>
      <c r="E29" t="str">
        <f t="shared" ca="1" si="2"/>
        <v>Standard</v>
      </c>
      <c r="F29" s="2">
        <v>45097</v>
      </c>
      <c r="G29" s="2">
        <v>45462</v>
      </c>
      <c r="H29">
        <v>1000</v>
      </c>
      <c r="I29">
        <f t="shared" ca="1" si="3"/>
        <v>10000</v>
      </c>
      <c r="J29">
        <v>17</v>
      </c>
      <c r="K29" t="str">
        <f t="shared" ca="1" si="4"/>
        <v>No</v>
      </c>
      <c r="L29" t="str">
        <f t="shared" ca="1" si="5"/>
        <v>Muscle Gain</v>
      </c>
      <c r="M29" t="str">
        <f t="shared" ca="1" si="6"/>
        <v>Active</v>
      </c>
      <c r="N29" s="2">
        <v>45499</v>
      </c>
      <c r="Q29" t="str">
        <f ca="1">IF(RAND()&lt;0.2,
    IF(RAND()&lt;0.5, LOWER(C29), UPPER(C29)),
    C29
)</f>
        <v>Chennai</v>
      </c>
      <c r="R29">
        <f t="shared" ca="1" si="7"/>
        <v>17</v>
      </c>
      <c r="S29">
        <f t="shared" ca="1" si="8"/>
        <v>1000</v>
      </c>
      <c r="T29">
        <f t="shared" ca="1" si="9"/>
        <v>46030</v>
      </c>
      <c r="U29" s="2">
        <f t="shared" ca="1" si="10"/>
        <v>45499</v>
      </c>
    </row>
    <row r="30" spans="1:21">
      <c r="A30" t="str">
        <f t="shared" si="1"/>
        <v>MEM0029</v>
      </c>
      <c r="B30" t="str">
        <f ca="1">INDEX('Name pool'!A:A, RANDBETWEEN(2, COUNTA('Name pool'!A:A))) &amp; " " &amp; INDEX('Name pool'!B:B, RANDBETWEEN(2, COUNTA('Name pool'!B:B)))</f>
        <v>Siddharth Shetty</v>
      </c>
      <c r="C30" t="s">
        <v>77</v>
      </c>
      <c r="D30" t="str">
        <f t="shared" ca="1" si="0"/>
        <v>BR07</v>
      </c>
      <c r="E30" t="str">
        <f t="shared" ca="1" si="2"/>
        <v>Basic</v>
      </c>
      <c r="F30" s="2">
        <v>45971</v>
      </c>
      <c r="G30" s="2">
        <v>46336</v>
      </c>
      <c r="H30">
        <v>3500</v>
      </c>
      <c r="I30">
        <f t="shared" ca="1" si="3"/>
        <v>10500</v>
      </c>
      <c r="J30">
        <v>1</v>
      </c>
      <c r="K30" t="str">
        <f t="shared" ca="1" si="4"/>
        <v>No</v>
      </c>
      <c r="L30" t="str">
        <f t="shared" ca="1" si="5"/>
        <v>Muscle Gain</v>
      </c>
      <c r="M30" t="str">
        <f t="shared" ca="1" si="6"/>
        <v>Active</v>
      </c>
      <c r="N30" s="2">
        <v>46110</v>
      </c>
      <c r="Q30" t="str">
        <f ca="1">IF(RAND()&lt;0.2,
    IF(RAND()&lt;0.5, LOWER(C30), UPPER(C30)),
    C30
)</f>
        <v>Chennai</v>
      </c>
      <c r="R30">
        <f t="shared" ca="1" si="7"/>
        <v>1</v>
      </c>
      <c r="S30">
        <f t="shared" ca="1" si="8"/>
        <v>3500</v>
      </c>
      <c r="T30">
        <f t="shared" ca="1" si="9"/>
        <v>45727</v>
      </c>
      <c r="U30" s="2">
        <f t="shared" ca="1" si="10"/>
        <v>46110</v>
      </c>
    </row>
    <row r="31" spans="1:21">
      <c r="A31" t="str">
        <f t="shared" si="1"/>
        <v>MEM0030</v>
      </c>
      <c r="B31" t="str">
        <f ca="1">INDEX('Name pool'!A:A, RANDBETWEEN(2, COUNTA('Name pool'!A:A))) &amp; " " &amp; INDEX('Name pool'!B:B, RANDBETWEEN(2, COUNTA('Name pool'!B:B)))</f>
        <v>Riya Gupta</v>
      </c>
      <c r="C31" t="s">
        <v>75</v>
      </c>
      <c r="D31" t="str">
        <f t="shared" ca="1" si="0"/>
        <v>BR01</v>
      </c>
      <c r="E31" t="str">
        <f t="shared" ca="1" si="2"/>
        <v>Premium</v>
      </c>
      <c r="F31" s="2">
        <v>44988</v>
      </c>
      <c r="G31" s="2">
        <v>45353</v>
      </c>
      <c r="H31">
        <v>3500</v>
      </c>
      <c r="I31">
        <f t="shared" ca="1" si="3"/>
        <v>17500</v>
      </c>
      <c r="J31">
        <v>0</v>
      </c>
      <c r="K31" t="str">
        <f t="shared" ca="1" si="4"/>
        <v>Yes</v>
      </c>
      <c r="L31" t="str">
        <f t="shared" ca="1" si="5"/>
        <v>General Fitness</v>
      </c>
      <c r="M31" t="str">
        <f t="shared" ca="1" si="6"/>
        <v>Cancelled</v>
      </c>
      <c r="N31" s="2">
        <v>45264</v>
      </c>
      <c r="Q31" t="str">
        <f ca="1">IF(RAND()&lt;0.2,
    IF(RAND()&lt;0.5, LOWER(C31), UPPER(C31)),
    C31
)</f>
        <v>Bangalore</v>
      </c>
      <c r="R31">
        <f t="shared" ca="1" si="7"/>
        <v>0</v>
      </c>
      <c r="S31">
        <f t="shared" ca="1" si="8"/>
        <v>3500</v>
      </c>
      <c r="T31">
        <f t="shared" ca="1" si="9"/>
        <v>45725</v>
      </c>
      <c r="U31" s="2">
        <f t="shared" ca="1" si="10"/>
        <v>45264</v>
      </c>
    </row>
    <row r="32" spans="1:21">
      <c r="A32" t="str">
        <f t="shared" si="1"/>
        <v>MEM0031</v>
      </c>
      <c r="B32" t="str">
        <f ca="1">INDEX('Name pool'!A:A, RANDBETWEEN(2, COUNTA('Name pool'!A:A))) &amp; " " &amp; INDEX('Name pool'!B:B, RANDBETWEEN(2, COUNTA('Name pool'!B:B)))</f>
        <v>Karthik George</v>
      </c>
      <c r="C32" t="s">
        <v>75</v>
      </c>
      <c r="D32" t="str">
        <f t="shared" ca="1" si="0"/>
        <v>BR07</v>
      </c>
      <c r="E32" t="str">
        <f t="shared" ca="1" si="2"/>
        <v>Premium</v>
      </c>
      <c r="F32" s="2">
        <v>45493</v>
      </c>
      <c r="G32" s="2">
        <v>45583</v>
      </c>
      <c r="H32">
        <v>2000</v>
      </c>
      <c r="I32">
        <f t="shared" ca="1" si="3"/>
        <v>18000</v>
      </c>
      <c r="J32">
        <v>19</v>
      </c>
      <c r="K32" t="str">
        <f t="shared" ca="1" si="4"/>
        <v>No</v>
      </c>
      <c r="L32" t="str">
        <f t="shared" ca="1" si="5"/>
        <v>Muscle Gain</v>
      </c>
      <c r="M32" t="str">
        <f t="shared" ca="1" si="6"/>
        <v>Active</v>
      </c>
      <c r="N32" s="2">
        <v>45827</v>
      </c>
      <c r="Q32" t="str">
        <f ca="1">IF(RAND()&lt;0.2,
    IF(RAND()&lt;0.5, LOWER(C32), UPPER(C32)),
    C32
)</f>
        <v>Bangalore</v>
      </c>
      <c r="R32">
        <f t="shared" ca="1" si="7"/>
        <v>19</v>
      </c>
      <c r="S32">
        <f t="shared" ca="1" si="8"/>
        <v>2000</v>
      </c>
      <c r="T32">
        <f t="shared" ca="1" si="9"/>
        <v>45058</v>
      </c>
      <c r="U32" s="2">
        <f t="shared" ca="1" si="10"/>
        <v>45827</v>
      </c>
    </row>
    <row r="33" spans="1:21">
      <c r="A33" t="str">
        <f t="shared" si="1"/>
        <v>MEM0032</v>
      </c>
      <c r="B33" t="str">
        <f ca="1">INDEX('Name pool'!A:A, RANDBETWEEN(2, COUNTA('Name pool'!A:A))) &amp; " " &amp; INDEX('Name pool'!B:B, RANDBETWEEN(2, COUNTA('Name pool'!B:B)))</f>
        <v>Meera Reddy</v>
      </c>
      <c r="C33" t="s">
        <v>85</v>
      </c>
      <c r="D33" t="str">
        <f t="shared" ca="1" si="0"/>
        <v>BR02</v>
      </c>
      <c r="E33" t="str">
        <f t="shared" ca="1" si="2"/>
        <v>Basic</v>
      </c>
      <c r="F33" s="2">
        <v>45247</v>
      </c>
      <c r="G33" s="2">
        <v>45337</v>
      </c>
      <c r="H33">
        <v>3500</v>
      </c>
      <c r="I33">
        <f t="shared" ca="1" si="3"/>
        <v>31500</v>
      </c>
      <c r="J33">
        <v>11</v>
      </c>
      <c r="K33" t="str">
        <f t="shared" ca="1" si="4"/>
        <v>No</v>
      </c>
      <c r="L33" t="str">
        <f t="shared" ca="1" si="5"/>
        <v>Muscle Gain</v>
      </c>
      <c r="M33" t="str">
        <f t="shared" ca="1" si="6"/>
        <v>Active</v>
      </c>
      <c r="N33" s="2">
        <v>45987</v>
      </c>
      <c r="Q33" t="str">
        <f ca="1">IF(RAND()&lt;0.2,
    IF(RAND()&lt;0.5, LOWER(C33), UPPER(C33)),
    C33
)</f>
        <v>Calicut</v>
      </c>
      <c r="R33">
        <f t="shared" ca="1" si="7"/>
        <v>11</v>
      </c>
      <c r="S33">
        <f t="shared" ca="1" si="8"/>
        <v>3500</v>
      </c>
      <c r="T33">
        <f t="shared" ca="1" si="9"/>
        <v>45879</v>
      </c>
      <c r="U33" s="2">
        <f t="shared" ca="1" si="10"/>
        <v>45987</v>
      </c>
    </row>
    <row r="34" spans="1:21">
      <c r="A34" t="str">
        <f t="shared" si="1"/>
        <v>MEM0033</v>
      </c>
      <c r="B34" t="str">
        <f ca="1">INDEX('Name pool'!A:A, RANDBETWEEN(2, COUNTA('Name pool'!A:A))) &amp; " " &amp; INDEX('Name pool'!B:B, RANDBETWEEN(2, COUNTA('Name pool'!B:B)))</f>
        <v>Varun George</v>
      </c>
      <c r="C34" t="s">
        <v>79</v>
      </c>
      <c r="D34" t="str">
        <f t="shared" ca="1" si="0"/>
        <v>BR07</v>
      </c>
      <c r="E34" t="str">
        <f t="shared" ref="E34:E97" ca="1" si="11">CHOOSE(RANDBETWEEN(1,3),"Basic","Standard","Premium")</f>
        <v>Basic</v>
      </c>
      <c r="F34" s="2">
        <v>45276</v>
      </c>
      <c r="G34" s="2">
        <v>45641</v>
      </c>
      <c r="H34">
        <v>2000</v>
      </c>
      <c r="I34">
        <f t="shared" ref="I34:I97" ca="1" si="12">H34 * RANDBETWEEN(1,12)</f>
        <v>12000</v>
      </c>
      <c r="J34">
        <v>21</v>
      </c>
      <c r="K34" t="str">
        <f t="shared" ref="K34:K97" ca="1" si="13">CHOOSE(RANDBETWEEN(1,2),"Yes","No")</f>
        <v>Yes</v>
      </c>
      <c r="L34" t="str">
        <f t="shared" ref="L34:L97" ca="1" si="14">CHOOSE(RANDBETWEEN(1,3),"Weight Loss","Muscle Gain","General Fitness")</f>
        <v>Muscle Gain</v>
      </c>
      <c r="M34" t="str">
        <f t="shared" ref="M34:M97" ca="1" si="15">IF(J34&lt;5,IF(RANDBETWEEN(1,100)&lt;70,"Cancelled","Active"),"Active")</f>
        <v>Active</v>
      </c>
      <c r="N34" s="2">
        <v>45981</v>
      </c>
      <c r="Q34" t="str">
        <f ca="1">IF(RAND()&lt;0.2,
    IF(RAND()&lt;0.5, LOWER(C34), UPPER(C34)),
    C34
)</f>
        <v>Hyderabad</v>
      </c>
      <c r="R34">
        <f t="shared" ca="1" si="7"/>
        <v>21</v>
      </c>
      <c r="S34">
        <f t="shared" ca="1" si="8"/>
        <v>2000</v>
      </c>
      <c r="T34">
        <f t="shared" ca="1" si="9"/>
        <v>45130</v>
      </c>
      <c r="U34" s="2">
        <f t="shared" ca="1" si="10"/>
        <v>45981</v>
      </c>
    </row>
    <row r="35" spans="1:21">
      <c r="A35" t="str">
        <f t="shared" si="1"/>
        <v>MEM0034</v>
      </c>
      <c r="B35" t="str">
        <f ca="1">INDEX('Name pool'!A:A, RANDBETWEEN(2, COUNTA('Name pool'!A:A))) &amp; " " &amp; INDEX('Name pool'!B:B, RANDBETWEEN(2, COUNTA('Name pool'!B:B)))</f>
        <v>Riya Singh</v>
      </c>
      <c r="C35" t="s">
        <v>77</v>
      </c>
      <c r="D35" t="str">
        <f t="shared" ca="1" si="0"/>
        <v>BR01</v>
      </c>
      <c r="E35" t="str">
        <f t="shared" ca="1" si="11"/>
        <v>Standard</v>
      </c>
      <c r="F35" s="2">
        <v>45621</v>
      </c>
      <c r="G35" s="2">
        <v>45986</v>
      </c>
      <c r="H35">
        <v>2000</v>
      </c>
      <c r="I35">
        <f t="shared" ca="1" si="12"/>
        <v>4000</v>
      </c>
      <c r="J35">
        <v>24</v>
      </c>
      <c r="K35" t="str">
        <f t="shared" ca="1" si="13"/>
        <v>No</v>
      </c>
      <c r="L35" t="str">
        <f t="shared" ca="1" si="14"/>
        <v>Weight Loss</v>
      </c>
      <c r="M35" t="str">
        <f t="shared" ca="1" si="15"/>
        <v>Active</v>
      </c>
      <c r="N35" s="2">
        <v>45718</v>
      </c>
      <c r="Q35" t="str">
        <f ca="1">IF(RAND()&lt;0.2,
    IF(RAND()&lt;0.5, LOWER(C35), UPPER(C35)),
    C35
)</f>
        <v>Chennai</v>
      </c>
      <c r="R35">
        <f t="shared" ca="1" si="7"/>
        <v>24</v>
      </c>
      <c r="S35">
        <f t="shared" ca="1" si="8"/>
        <v>2000</v>
      </c>
      <c r="T35">
        <f t="shared" ca="1" si="9"/>
        <v>45356</v>
      </c>
      <c r="U35" s="2">
        <f t="shared" ca="1" si="10"/>
        <v>45718</v>
      </c>
    </row>
    <row r="36" spans="1:21">
      <c r="A36" t="str">
        <f t="shared" si="1"/>
        <v>MEM0035</v>
      </c>
      <c r="B36" t="str">
        <f ca="1">INDEX('Name pool'!A:A, RANDBETWEEN(2, COUNTA('Name pool'!A:A))) &amp; " " &amp; INDEX('Name pool'!B:B, RANDBETWEEN(2, COUNTA('Name pool'!B:B)))</f>
        <v>Neha Gupta</v>
      </c>
      <c r="C36" t="s">
        <v>79</v>
      </c>
      <c r="D36" t="str">
        <f t="shared" ca="1" si="0"/>
        <v>BR05</v>
      </c>
      <c r="E36" t="str">
        <f t="shared" ca="1" si="11"/>
        <v>Premium</v>
      </c>
      <c r="F36" s="2">
        <v>45340</v>
      </c>
      <c r="G36" s="2">
        <v>45370</v>
      </c>
      <c r="H36">
        <v>1000</v>
      </c>
      <c r="I36">
        <f t="shared" ca="1" si="12"/>
        <v>9000</v>
      </c>
      <c r="J36">
        <v>1</v>
      </c>
      <c r="K36" t="str">
        <f t="shared" ca="1" si="13"/>
        <v>Yes</v>
      </c>
      <c r="L36" t="str">
        <f t="shared" ca="1" si="14"/>
        <v>Weight Loss</v>
      </c>
      <c r="M36" t="str">
        <f t="shared" ca="1" si="15"/>
        <v>Cancelled</v>
      </c>
      <c r="N36" s="2">
        <v>45881</v>
      </c>
      <c r="Q36" t="str">
        <f ca="1">IF(RAND()&lt;0.2,
    IF(RAND()&lt;0.5, LOWER(C36), UPPER(C36)),
    C36
)</f>
        <v>Hyderabad</v>
      </c>
      <c r="R36">
        <f t="shared" ca="1" si="7"/>
        <v>1</v>
      </c>
      <c r="S36">
        <f t="shared" ca="1" si="8"/>
        <v>1000</v>
      </c>
      <c r="T36">
        <f t="shared" ca="1" si="9"/>
        <v>45056</v>
      </c>
      <c r="U36" s="2">
        <f t="shared" ca="1" si="10"/>
        <v>45881</v>
      </c>
    </row>
    <row r="37" spans="1:21">
      <c r="A37" t="str">
        <f t="shared" si="1"/>
        <v>MEM0036</v>
      </c>
      <c r="B37" t="str">
        <f ca="1">INDEX('Name pool'!A:A, RANDBETWEEN(2, COUNTA('Name pool'!A:A))) &amp; " " &amp; INDEX('Name pool'!B:B, RANDBETWEEN(2, COUNTA('Name pool'!B:B)))</f>
        <v>Varun Joseph</v>
      </c>
      <c r="C37" t="s">
        <v>115</v>
      </c>
      <c r="D37" t="str">
        <f t="shared" ca="1" si="0"/>
        <v>BR06</v>
      </c>
      <c r="E37" t="str">
        <f t="shared" ca="1" si="11"/>
        <v>Basic</v>
      </c>
      <c r="F37" s="2">
        <v>44950</v>
      </c>
      <c r="G37" s="2">
        <v>45040</v>
      </c>
      <c r="H37">
        <v>3500</v>
      </c>
      <c r="I37">
        <f t="shared" ca="1" si="12"/>
        <v>7000</v>
      </c>
      <c r="J37">
        <v>9</v>
      </c>
      <c r="K37" t="str">
        <f t="shared" ca="1" si="13"/>
        <v>No</v>
      </c>
      <c r="L37" t="str">
        <f t="shared" ca="1" si="14"/>
        <v>Weight Loss</v>
      </c>
      <c r="M37" t="str">
        <f t="shared" ca="1" si="15"/>
        <v>Active</v>
      </c>
      <c r="N37" s="2">
        <v>45961</v>
      </c>
      <c r="Q37" t="str">
        <f ca="1">IF(RAND()&lt;0.2,
    IF(RAND()&lt;0.5, LOWER(C37), UPPER(C37)),
    C37
)</f>
        <v>chennai</v>
      </c>
      <c r="R37">
        <f t="shared" ca="1" si="7"/>
        <v>9</v>
      </c>
      <c r="S37">
        <f t="shared" ca="1" si="8"/>
        <v>3500</v>
      </c>
      <c r="T37">
        <f t="shared" ca="1" si="9"/>
        <v>45088</v>
      </c>
      <c r="U37" s="2">
        <f t="shared" ca="1" si="10"/>
        <v>45961</v>
      </c>
    </row>
    <row r="38" spans="1:21">
      <c r="A38" t="str">
        <f t="shared" si="1"/>
        <v>MEM0037</v>
      </c>
      <c r="B38" t="str">
        <f ca="1">INDEX('Name pool'!A:A, RANDBETWEEN(2, COUNTA('Name pool'!A:A))) &amp; " " &amp; INDEX('Name pool'!B:B, RANDBETWEEN(2, COUNTA('Name pool'!B:B)))</f>
        <v>Ayesha Nair</v>
      </c>
      <c r="C38" t="s">
        <v>73</v>
      </c>
      <c r="D38" t="str">
        <f t="shared" ca="1" si="0"/>
        <v>BR05</v>
      </c>
      <c r="E38" t="str">
        <f t="shared" ca="1" si="11"/>
        <v>Standard</v>
      </c>
      <c r="F38" s="2">
        <v>45855</v>
      </c>
      <c r="G38" s="2">
        <v>45945</v>
      </c>
      <c r="H38">
        <v>3500</v>
      </c>
      <c r="I38">
        <f t="shared" ca="1" si="12"/>
        <v>3500</v>
      </c>
      <c r="J38">
        <v>13</v>
      </c>
      <c r="K38" t="str">
        <f t="shared" ca="1" si="13"/>
        <v>No</v>
      </c>
      <c r="L38" t="str">
        <f t="shared" ca="1" si="14"/>
        <v>Weight Loss</v>
      </c>
      <c r="M38" t="str">
        <f t="shared" ca="1" si="15"/>
        <v>Active</v>
      </c>
      <c r="N38" s="2">
        <v>46053</v>
      </c>
      <c r="Q38" t="str">
        <f ca="1">IF(RAND()&lt;0.2,
    IF(RAND()&lt;0.5, LOWER(C38), UPPER(C38)),
    C38
)</f>
        <v>Kochi</v>
      </c>
      <c r="R38">
        <f t="shared" ca="1" si="7"/>
        <v>13</v>
      </c>
      <c r="S38">
        <f t="shared" ca="1" si="8"/>
        <v>3500</v>
      </c>
      <c r="T38">
        <f t="shared" ca="1" si="9"/>
        <v>45858</v>
      </c>
      <c r="U38" s="2">
        <f t="shared" ca="1" si="10"/>
        <v>46053</v>
      </c>
    </row>
    <row r="39" spans="1:21">
      <c r="A39" t="str">
        <f t="shared" si="1"/>
        <v>MEM0038</v>
      </c>
      <c r="B39" t="str">
        <f ca="1">INDEX('Name pool'!A:A, RANDBETWEEN(2, COUNTA('Name pool'!A:A))) &amp; " " &amp; INDEX('Name pool'!B:B, RANDBETWEEN(2, COUNTA('Name pool'!B:B)))</f>
        <v>Akash Mathew</v>
      </c>
      <c r="C39" t="s">
        <v>77</v>
      </c>
      <c r="D39" t="str">
        <f t="shared" ca="1" si="0"/>
        <v>BR02</v>
      </c>
      <c r="E39" t="str">
        <f t="shared" ca="1" si="11"/>
        <v>Basic</v>
      </c>
      <c r="F39" s="2">
        <v>45673</v>
      </c>
      <c r="G39" s="2">
        <v>45763</v>
      </c>
      <c r="H39" t="s">
        <v>105</v>
      </c>
      <c r="I39">
        <f t="shared" ca="1" si="12"/>
        <v>17500</v>
      </c>
      <c r="J39">
        <v>13</v>
      </c>
      <c r="K39" t="str">
        <f t="shared" ca="1" si="13"/>
        <v>Yes</v>
      </c>
      <c r="L39" t="str">
        <f t="shared" ca="1" si="14"/>
        <v>Muscle Gain</v>
      </c>
      <c r="M39" t="str">
        <f t="shared" ca="1" si="15"/>
        <v>Active</v>
      </c>
      <c r="N39" s="2">
        <v>45759</v>
      </c>
      <c r="Q39" t="str">
        <f ca="1">IF(RAND()&lt;0.2,
    IF(RAND()&lt;0.5, LOWER(C39), UPPER(C39)),
    C39
)</f>
        <v>Chennai</v>
      </c>
      <c r="R39">
        <f t="shared" ca="1" si="7"/>
        <v>13</v>
      </c>
      <c r="S39" t="str">
        <f t="shared" ca="1" si="8"/>
        <v>3500</v>
      </c>
      <c r="T39">
        <f t="shared" ca="1" si="9"/>
        <v>45670</v>
      </c>
      <c r="U39" s="2">
        <f t="shared" ca="1" si="10"/>
        <v>45759</v>
      </c>
    </row>
    <row r="40" spans="1:21">
      <c r="A40" t="str">
        <f t="shared" si="1"/>
        <v>MEM0039</v>
      </c>
      <c r="B40" t="str">
        <f ca="1">INDEX('Name pool'!A:A, RANDBETWEEN(2, COUNTA('Name pool'!A:A))) &amp; " " &amp; INDEX('Name pool'!B:B, RANDBETWEEN(2, COUNTA('Name pool'!B:B)))</f>
        <v>Neha Menon</v>
      </c>
      <c r="C40" t="s">
        <v>79</v>
      </c>
      <c r="D40" t="str">
        <f t="shared" ca="1" si="0"/>
        <v>BR04</v>
      </c>
      <c r="E40" t="str">
        <f t="shared" ca="1" si="11"/>
        <v>Basic</v>
      </c>
      <c r="F40" s="2">
        <v>46018</v>
      </c>
      <c r="G40" s="2">
        <v>46048</v>
      </c>
      <c r="H40">
        <v>2000</v>
      </c>
      <c r="I40">
        <f t="shared" ca="1" si="12"/>
        <v>12000</v>
      </c>
      <c r="J40">
        <v>15</v>
      </c>
      <c r="K40" t="str">
        <f t="shared" ca="1" si="13"/>
        <v>No</v>
      </c>
      <c r="L40" t="str">
        <f t="shared" ca="1" si="14"/>
        <v>General Fitness</v>
      </c>
      <c r="M40" t="str">
        <f t="shared" ca="1" si="15"/>
        <v>Active</v>
      </c>
      <c r="N40" s="2">
        <v>46088</v>
      </c>
      <c r="Q40" t="str">
        <f ca="1">IF(RAND()&lt;0.2,
    IF(RAND()&lt;0.5, LOWER(C40), UPPER(C40)),
    C40
)</f>
        <v>Hyderabad</v>
      </c>
      <c r="R40">
        <f t="shared" ca="1" si="7"/>
        <v>15</v>
      </c>
      <c r="S40">
        <f t="shared" ca="1" si="8"/>
        <v>2000</v>
      </c>
      <c r="T40">
        <f t="shared" ca="1" si="9"/>
        <v>45150</v>
      </c>
      <c r="U40" s="2">
        <f t="shared" ca="1" si="10"/>
        <v>46088</v>
      </c>
    </row>
    <row r="41" spans="1:21">
      <c r="A41" t="str">
        <f t="shared" si="1"/>
        <v>MEM0040</v>
      </c>
      <c r="B41" t="str">
        <f ca="1">INDEX('Name pool'!A:A, RANDBETWEEN(2, COUNTA('Name pool'!A:A))) &amp; " " &amp; INDEX('Name pool'!B:B, RANDBETWEEN(2, COUNTA('Name pool'!B:B)))</f>
        <v>Lakshmi Chatterjee</v>
      </c>
      <c r="C41" t="s">
        <v>79</v>
      </c>
      <c r="D41" t="str">
        <f t="shared" ca="1" si="0"/>
        <v>BR03</v>
      </c>
      <c r="E41" t="str">
        <f t="shared" ca="1" si="11"/>
        <v>Premium</v>
      </c>
      <c r="F41" s="2">
        <v>45987</v>
      </c>
      <c r="G41" s="2">
        <v>46352</v>
      </c>
      <c r="H41">
        <v>3500</v>
      </c>
      <c r="I41">
        <f t="shared" ca="1" si="12"/>
        <v>42000</v>
      </c>
      <c r="J41">
        <v>15</v>
      </c>
      <c r="K41" t="str">
        <f t="shared" ca="1" si="13"/>
        <v>Yes</v>
      </c>
      <c r="L41" t="str">
        <f t="shared" ca="1" si="14"/>
        <v>General Fitness</v>
      </c>
      <c r="M41" t="str">
        <f t="shared" ca="1" si="15"/>
        <v>Active</v>
      </c>
      <c r="N41" s="2">
        <v>46092</v>
      </c>
      <c r="Q41" t="str">
        <f ca="1">IF(RAND()&lt;0.2,
    IF(RAND()&lt;0.5, LOWER(C41), UPPER(C41)),
    C41
)</f>
        <v>Hyderabad</v>
      </c>
      <c r="R41">
        <f t="shared" ca="1" si="7"/>
        <v>15</v>
      </c>
      <c r="S41">
        <f t="shared" ca="1" si="8"/>
        <v>3500</v>
      </c>
      <c r="T41">
        <f t="shared" ca="1" si="9"/>
        <v>45459</v>
      </c>
      <c r="U41" s="2">
        <f t="shared" ca="1" si="10"/>
        <v>46092</v>
      </c>
    </row>
    <row r="42" spans="1:21">
      <c r="A42" t="str">
        <f t="shared" si="1"/>
        <v>MEM0041</v>
      </c>
      <c r="B42" t="str">
        <f ca="1">INDEX('Name pool'!A:A, RANDBETWEEN(2, COUNTA('Name pool'!A:A))) &amp; " " &amp; INDEX('Name pool'!B:B, RANDBETWEEN(2, COUNTA('Name pool'!B:B)))</f>
        <v>Aditya Bhat</v>
      </c>
      <c r="C42" t="s">
        <v>85</v>
      </c>
      <c r="D42" t="str">
        <f t="shared" ca="1" si="0"/>
        <v>BR05</v>
      </c>
      <c r="E42" t="str">
        <f t="shared" ca="1" si="11"/>
        <v>Standard</v>
      </c>
      <c r="F42" s="2">
        <v>45459</v>
      </c>
      <c r="G42" s="2">
        <v>45824</v>
      </c>
      <c r="H42">
        <v>1000</v>
      </c>
      <c r="I42">
        <f t="shared" ca="1" si="12"/>
        <v>10000</v>
      </c>
      <c r="J42">
        <v>17</v>
      </c>
      <c r="K42" t="str">
        <f t="shared" ca="1" si="13"/>
        <v>Yes</v>
      </c>
      <c r="L42" t="str">
        <f t="shared" ca="1" si="14"/>
        <v>General Fitness</v>
      </c>
      <c r="M42" t="str">
        <f t="shared" ca="1" si="15"/>
        <v>Active</v>
      </c>
      <c r="N42" s="2">
        <v>45590</v>
      </c>
      <c r="Q42" t="str">
        <f ca="1">IF(RAND()&lt;0.2,
    IF(RAND()&lt;0.5, LOWER(C42), UPPER(C42)),
    C42
)</f>
        <v>Calicut</v>
      </c>
      <c r="R42">
        <f t="shared" ca="1" si="7"/>
        <v>17</v>
      </c>
      <c r="S42">
        <f t="shared" ca="1" si="8"/>
        <v>1000</v>
      </c>
      <c r="T42">
        <f t="shared" ca="1" si="9"/>
        <v>45591</v>
      </c>
      <c r="U42" s="2">
        <f t="shared" ca="1" si="10"/>
        <v>45590</v>
      </c>
    </row>
    <row r="43" spans="1:21">
      <c r="A43" t="str">
        <f t="shared" si="1"/>
        <v>MEM0042</v>
      </c>
      <c r="B43" t="str">
        <f ca="1">INDEX('Name pool'!A:A, RANDBETWEEN(2, COUNTA('Name pool'!A:A))) &amp; " " &amp; INDEX('Name pool'!B:B, RANDBETWEEN(2, COUNTA('Name pool'!B:B)))</f>
        <v>Zara Verma</v>
      </c>
      <c r="C43" t="s">
        <v>81</v>
      </c>
      <c r="D43" t="str">
        <f t="shared" ca="1" si="0"/>
        <v>BR03</v>
      </c>
      <c r="E43" t="str">
        <f t="shared" ca="1" si="11"/>
        <v>Premium</v>
      </c>
      <c r="F43" s="2">
        <v>45171</v>
      </c>
      <c r="G43" s="2">
        <v>45201</v>
      </c>
      <c r="H43">
        <v>3500</v>
      </c>
      <c r="I43">
        <f t="shared" ca="1" si="12"/>
        <v>7000</v>
      </c>
      <c r="J43">
        <v>20</v>
      </c>
      <c r="K43" t="str">
        <f t="shared" ca="1" si="13"/>
        <v>No</v>
      </c>
      <c r="L43" t="str">
        <f t="shared" ca="1" si="14"/>
        <v>General Fitness</v>
      </c>
      <c r="M43" t="str">
        <f t="shared" ca="1" si="15"/>
        <v>Active</v>
      </c>
      <c r="N43" s="2">
        <v>46017</v>
      </c>
      <c r="Q43" t="str">
        <f ca="1">IF(RAND()&lt;0.2,
    IF(RAND()&lt;0.5, LOWER(C43), UPPER(C43)),
    C43
)</f>
        <v>Mumbai</v>
      </c>
      <c r="R43">
        <f t="shared" ca="1" si="7"/>
        <v>20</v>
      </c>
      <c r="S43">
        <f t="shared" ca="1" si="8"/>
        <v>3500</v>
      </c>
      <c r="T43">
        <f t="shared" ca="1" si="9"/>
        <v>45813</v>
      </c>
      <c r="U43" s="2">
        <f t="shared" ca="1" si="10"/>
        <v>46017</v>
      </c>
    </row>
    <row r="44" spans="1:21">
      <c r="A44" t="str">
        <f t="shared" si="1"/>
        <v>MEM0043</v>
      </c>
      <c r="B44" t="str">
        <f ca="1">INDEX('Name pool'!A:A, RANDBETWEEN(2, COUNTA('Name pool'!A:A))) &amp; " " &amp; INDEX('Name pool'!B:B, RANDBETWEEN(2, COUNTA('Name pool'!B:B)))</f>
        <v>Vivek Fernandes</v>
      </c>
      <c r="C44" t="s">
        <v>81</v>
      </c>
      <c r="D44" t="str">
        <f t="shared" ca="1" si="0"/>
        <v>BR07</v>
      </c>
      <c r="E44" t="str">
        <f t="shared" ca="1" si="11"/>
        <v>Basic</v>
      </c>
      <c r="F44" s="2">
        <v>45759</v>
      </c>
      <c r="G44" s="2">
        <v>45849</v>
      </c>
      <c r="H44">
        <v>3500</v>
      </c>
      <c r="I44">
        <f t="shared" ca="1" si="12"/>
        <v>17500</v>
      </c>
      <c r="J44">
        <v>13</v>
      </c>
      <c r="K44" t="str">
        <f t="shared" ca="1" si="13"/>
        <v>Yes</v>
      </c>
      <c r="L44" t="str">
        <f t="shared" ca="1" si="14"/>
        <v>General Fitness</v>
      </c>
      <c r="M44" t="str">
        <f t="shared" ca="1" si="15"/>
        <v>Active</v>
      </c>
      <c r="N44" s="2">
        <v>46011</v>
      </c>
      <c r="Q44" t="str">
        <f ca="1">IF(RAND()&lt;0.2,
    IF(RAND()&lt;0.5, LOWER(C44), UPPER(C44)),
    C44
)</f>
        <v>Mumbai</v>
      </c>
      <c r="R44">
        <f t="shared" ca="1" si="7"/>
        <v>13</v>
      </c>
      <c r="S44">
        <f t="shared" ca="1" si="8"/>
        <v>3500</v>
      </c>
      <c r="T44">
        <f t="shared" ca="1" si="9"/>
        <v>44940</v>
      </c>
      <c r="U44" s="2">
        <f t="shared" ca="1" si="10"/>
        <v>46011</v>
      </c>
    </row>
    <row r="45" spans="1:21">
      <c r="A45" t="str">
        <f t="shared" si="1"/>
        <v>MEM0044</v>
      </c>
      <c r="B45" t="str">
        <f ca="1">INDEX('Name pool'!A:A, RANDBETWEEN(2, COUNTA('Name pool'!A:A))) &amp; " " &amp; INDEX('Name pool'!B:B, RANDBETWEEN(2, COUNTA('Name pool'!B:B)))</f>
        <v>Karthik Joshi</v>
      </c>
      <c r="C45" t="s">
        <v>75</v>
      </c>
      <c r="D45" t="str">
        <f t="shared" ca="1" si="0"/>
        <v>BR02</v>
      </c>
      <c r="E45" t="str">
        <f t="shared" ca="1" si="11"/>
        <v>Basic</v>
      </c>
      <c r="F45" s="2">
        <v>45142</v>
      </c>
      <c r="G45" s="2">
        <v>45172</v>
      </c>
      <c r="H45">
        <v>2000</v>
      </c>
      <c r="I45">
        <f t="shared" ca="1" si="12"/>
        <v>6000</v>
      </c>
      <c r="J45">
        <v>11</v>
      </c>
      <c r="K45" t="str">
        <f t="shared" ca="1" si="13"/>
        <v>No</v>
      </c>
      <c r="L45" t="str">
        <f t="shared" ca="1" si="14"/>
        <v>General Fitness</v>
      </c>
      <c r="M45" t="str">
        <f t="shared" ca="1" si="15"/>
        <v>Active</v>
      </c>
      <c r="N45" s="2">
        <v>45524</v>
      </c>
      <c r="Q45" t="str">
        <f ca="1">IF(RAND()&lt;0.2,
    IF(RAND()&lt;0.5, LOWER(C45), UPPER(C45)),
    C45
)</f>
        <v>Bangalore</v>
      </c>
      <c r="R45" t="str">
        <f t="shared" ca="1" si="7"/>
        <v>11 visits</v>
      </c>
      <c r="S45">
        <f t="shared" ca="1" si="8"/>
        <v>2000</v>
      </c>
      <c r="T45">
        <f t="shared" ca="1" si="9"/>
        <v>45565</v>
      </c>
      <c r="U45" s="2">
        <f t="shared" ca="1" si="10"/>
        <v>45524</v>
      </c>
    </row>
    <row r="46" spans="1:21">
      <c r="A46" t="str">
        <f t="shared" si="1"/>
        <v>MEM0045</v>
      </c>
      <c r="B46" t="str">
        <f ca="1">INDEX('Name pool'!A:A, RANDBETWEEN(2, COUNTA('Name pool'!A:A))) &amp; " " &amp; INDEX('Name pool'!B:B, RANDBETWEEN(2, COUNTA('Name pool'!B:B)))</f>
        <v>Nisha Bhat</v>
      </c>
      <c r="C46" t="s">
        <v>79</v>
      </c>
      <c r="D46" t="str">
        <f t="shared" ca="1" si="0"/>
        <v>BR05</v>
      </c>
      <c r="E46" t="str">
        <f t="shared" ca="1" si="11"/>
        <v>Basic</v>
      </c>
      <c r="F46" s="2">
        <v>45894</v>
      </c>
      <c r="G46" s="2">
        <v>45984</v>
      </c>
      <c r="H46">
        <v>1000</v>
      </c>
      <c r="I46">
        <f t="shared" ca="1" si="12"/>
        <v>3000</v>
      </c>
      <c r="J46">
        <v>23</v>
      </c>
      <c r="K46" t="str">
        <f t="shared" ca="1" si="13"/>
        <v>No</v>
      </c>
      <c r="L46" t="str">
        <f t="shared" ca="1" si="14"/>
        <v>Muscle Gain</v>
      </c>
      <c r="M46" t="str">
        <f t="shared" ca="1" si="15"/>
        <v>Active</v>
      </c>
      <c r="N46" s="2">
        <v>46042</v>
      </c>
      <c r="Q46" t="str">
        <f ca="1">IF(RAND()&lt;0.2,
    IF(RAND()&lt;0.5, LOWER(C46), UPPER(C46)),
    C46
)</f>
        <v>Hyderabad</v>
      </c>
      <c r="R46">
        <f t="shared" ca="1" si="7"/>
        <v>23</v>
      </c>
      <c r="S46" t="str">
        <f t="shared" ca="1" si="8"/>
        <v>1000</v>
      </c>
      <c r="T46">
        <f t="shared" ca="1" si="9"/>
        <v>45107</v>
      </c>
      <c r="U46" s="2">
        <f t="shared" ca="1" si="10"/>
        <v>46042</v>
      </c>
    </row>
    <row r="47" spans="1:21">
      <c r="A47" t="str">
        <f t="shared" si="1"/>
        <v>MEM0046</v>
      </c>
      <c r="B47" t="str">
        <f ca="1">INDEX('Name pool'!A:A, RANDBETWEEN(2, COUNTA('Name pool'!A:A))) &amp; " " &amp; INDEX('Name pool'!B:B, RANDBETWEEN(2, COUNTA('Name pool'!B:B)))</f>
        <v>Divya Das</v>
      </c>
      <c r="C47" t="s">
        <v>116</v>
      </c>
      <c r="D47" t="str">
        <f t="shared" ca="1" si="0"/>
        <v>BR06</v>
      </c>
      <c r="E47" t="str">
        <f t="shared" ca="1" si="11"/>
        <v>Premium</v>
      </c>
      <c r="F47" s="2">
        <v>45497</v>
      </c>
      <c r="G47" s="2">
        <v>45527</v>
      </c>
      <c r="H47">
        <v>1000</v>
      </c>
      <c r="I47">
        <f t="shared" ca="1" si="12"/>
        <v>12000</v>
      </c>
      <c r="J47">
        <v>24</v>
      </c>
      <c r="K47" t="str">
        <f t="shared" ca="1" si="13"/>
        <v>No</v>
      </c>
      <c r="L47" t="str">
        <f t="shared" ca="1" si="14"/>
        <v>Muscle Gain</v>
      </c>
      <c r="M47" t="str">
        <f t="shared" ca="1" si="15"/>
        <v>Active</v>
      </c>
      <c r="N47" s="2">
        <v>45947</v>
      </c>
      <c r="Q47" t="str">
        <f ca="1">IF(RAND()&lt;0.2,
    IF(RAND()&lt;0.5, LOWER(C47), UPPER(C47)),
    C47
)</f>
        <v>kochi</v>
      </c>
      <c r="R47">
        <f t="shared" ca="1" si="7"/>
        <v>24</v>
      </c>
      <c r="S47">
        <f t="shared" ca="1" si="8"/>
        <v>1000</v>
      </c>
      <c r="T47">
        <f t="shared" ca="1" si="9"/>
        <v>45237</v>
      </c>
      <c r="U47" s="2">
        <f t="shared" ca="1" si="10"/>
        <v>45947</v>
      </c>
    </row>
    <row r="48" spans="1:21">
      <c r="A48" t="str">
        <f t="shared" si="1"/>
        <v>MEM0047</v>
      </c>
      <c r="B48" t="str">
        <f ca="1">INDEX('Name pool'!A:A, RANDBETWEEN(2, COUNTA('Name pool'!A:A))) &amp; " " &amp; INDEX('Name pool'!B:B, RANDBETWEEN(2, COUNTA('Name pool'!B:B)))</f>
        <v>Arjun D’Souza</v>
      </c>
      <c r="C48" t="s">
        <v>75</v>
      </c>
      <c r="D48" t="str">
        <f t="shared" ca="1" si="0"/>
        <v>BR03</v>
      </c>
      <c r="E48" t="str">
        <f t="shared" ca="1" si="11"/>
        <v>Standard</v>
      </c>
      <c r="F48" s="2">
        <v>45541</v>
      </c>
      <c r="G48" s="2">
        <v>45571</v>
      </c>
      <c r="H48">
        <v>1000</v>
      </c>
      <c r="I48">
        <f t="shared" ca="1" si="12"/>
        <v>5000</v>
      </c>
      <c r="J48">
        <v>12</v>
      </c>
      <c r="K48" t="str">
        <f t="shared" ca="1" si="13"/>
        <v>No</v>
      </c>
      <c r="L48" t="str">
        <f t="shared" ca="1" si="14"/>
        <v>Weight Loss</v>
      </c>
      <c r="M48" t="str">
        <f t="shared" ca="1" si="15"/>
        <v>Active</v>
      </c>
      <c r="N48" s="2">
        <v>45597</v>
      </c>
      <c r="Q48" t="str">
        <f ca="1">IF(RAND()&lt;0.2,
    IF(RAND()&lt;0.5, LOWER(C48), UPPER(C48)),
    C48
)</f>
        <v>Bangalore</v>
      </c>
      <c r="R48">
        <f t="shared" ca="1" si="7"/>
        <v>12</v>
      </c>
      <c r="S48">
        <f t="shared" ca="1" si="8"/>
        <v>1000</v>
      </c>
      <c r="T48">
        <f t="shared" ca="1" si="9"/>
        <v>45425</v>
      </c>
      <c r="U48" s="2">
        <f t="shared" ca="1" si="10"/>
        <v>45597</v>
      </c>
    </row>
    <row r="49" spans="1:21">
      <c r="A49" t="str">
        <f t="shared" si="1"/>
        <v>MEM0048</v>
      </c>
      <c r="B49" t="str">
        <f ca="1">INDEX('Name pool'!A:A, RANDBETWEEN(2, COUNTA('Name pool'!A:A))) &amp; " " &amp; INDEX('Name pool'!B:B, RANDBETWEEN(2, COUNTA('Name pool'!B:B)))</f>
        <v>Shreya Shaikh</v>
      </c>
      <c r="C49" t="s">
        <v>81</v>
      </c>
      <c r="D49" t="str">
        <f t="shared" ca="1" si="0"/>
        <v>BR04</v>
      </c>
      <c r="E49" t="str">
        <f t="shared" ca="1" si="11"/>
        <v>Basic</v>
      </c>
      <c r="F49" s="2">
        <v>45015</v>
      </c>
      <c r="G49" s="2">
        <v>45380</v>
      </c>
      <c r="H49">
        <v>1000</v>
      </c>
      <c r="I49">
        <f t="shared" ca="1" si="12"/>
        <v>4000</v>
      </c>
      <c r="J49">
        <v>9</v>
      </c>
      <c r="K49" t="str">
        <f t="shared" ca="1" si="13"/>
        <v>No</v>
      </c>
      <c r="L49" t="str">
        <f t="shared" ca="1" si="14"/>
        <v>Weight Loss</v>
      </c>
      <c r="M49" t="str">
        <f t="shared" ca="1" si="15"/>
        <v>Active</v>
      </c>
      <c r="N49" s="2">
        <v>45936</v>
      </c>
      <c r="Q49" t="str">
        <f ca="1">IF(RAND()&lt;0.2,
    IF(RAND()&lt;0.5, LOWER(C49), UPPER(C49)),
    C49
)</f>
        <v>Mumbai</v>
      </c>
      <c r="R49">
        <f t="shared" ca="1" si="7"/>
        <v>9</v>
      </c>
      <c r="S49">
        <f t="shared" ca="1" si="8"/>
        <v>1000</v>
      </c>
      <c r="T49">
        <f t="shared" ca="1" si="9"/>
        <v>45117</v>
      </c>
      <c r="U49" s="2">
        <f t="shared" ca="1" si="10"/>
        <v>45936</v>
      </c>
    </row>
    <row r="50" spans="1:21">
      <c r="A50" t="str">
        <f t="shared" si="1"/>
        <v>MEM0049</v>
      </c>
      <c r="B50" t="str">
        <f ca="1">INDEX('Name pool'!A:A, RANDBETWEEN(2, COUNTA('Name pool'!A:A))) &amp; " " &amp; INDEX('Name pool'!B:B, RANDBETWEEN(2, COUNTA('Name pool'!B:B)))</f>
        <v>Varun Gupta</v>
      </c>
      <c r="C50" t="s">
        <v>117</v>
      </c>
      <c r="D50" t="str">
        <f t="shared" ca="1" si="0"/>
        <v>BR07</v>
      </c>
      <c r="E50" t="str">
        <f t="shared" ca="1" si="11"/>
        <v>Basic</v>
      </c>
      <c r="F50" s="2">
        <v>46003</v>
      </c>
      <c r="G50" s="2">
        <v>46093</v>
      </c>
      <c r="H50">
        <v>3500</v>
      </c>
      <c r="I50">
        <f t="shared" ca="1" si="12"/>
        <v>42000</v>
      </c>
      <c r="J50">
        <v>24</v>
      </c>
      <c r="K50" t="str">
        <f t="shared" ca="1" si="13"/>
        <v>No</v>
      </c>
      <c r="L50" t="str">
        <f t="shared" ca="1" si="14"/>
        <v>Muscle Gain</v>
      </c>
      <c r="M50" t="str">
        <f t="shared" ca="1" si="15"/>
        <v>Active</v>
      </c>
      <c r="N50" s="2">
        <v>46118</v>
      </c>
      <c r="Q50" t="str">
        <f ca="1">IF(RAND()&lt;0.2,
    IF(RAND()&lt;0.5, LOWER(C50), UPPER(C50)),
    C50
)</f>
        <v>mumbai</v>
      </c>
      <c r="R50" t="str">
        <f t="shared" ca="1" si="7"/>
        <v>24 visits</v>
      </c>
      <c r="S50">
        <f t="shared" ca="1" si="8"/>
        <v>3500</v>
      </c>
      <c r="T50">
        <f t="shared" ca="1" si="9"/>
        <v>46018</v>
      </c>
      <c r="U50" s="2">
        <f t="shared" ca="1" si="10"/>
        <v>46118</v>
      </c>
    </row>
    <row r="51" spans="1:21">
      <c r="A51" t="str">
        <f t="shared" si="1"/>
        <v>MEM0050</v>
      </c>
      <c r="B51" t="str">
        <f ca="1">INDEX('Name pool'!A:A, RANDBETWEEN(2, COUNTA('Name pool'!A:A))) &amp; " " &amp; INDEX('Name pool'!B:B, RANDBETWEEN(2, COUNTA('Name pool'!B:B)))</f>
        <v>Ayesha Reddy</v>
      </c>
      <c r="C51" t="s">
        <v>75</v>
      </c>
      <c r="D51" t="str">
        <f t="shared" ca="1" si="0"/>
        <v>BR01</v>
      </c>
      <c r="E51" t="str">
        <f t="shared" ca="1" si="11"/>
        <v>Basic</v>
      </c>
      <c r="F51" s="2">
        <v>45330</v>
      </c>
      <c r="G51" s="2">
        <v>45695</v>
      </c>
      <c r="H51">
        <v>3500</v>
      </c>
      <c r="I51">
        <f t="shared" ca="1" si="12"/>
        <v>14000</v>
      </c>
      <c r="J51" t="s">
        <v>118</v>
      </c>
      <c r="K51" t="str">
        <f t="shared" ca="1" si="13"/>
        <v>No</v>
      </c>
      <c r="L51" t="str">
        <f t="shared" ca="1" si="14"/>
        <v>Weight Loss</v>
      </c>
      <c r="M51" t="str">
        <f t="shared" ca="1" si="15"/>
        <v>Active</v>
      </c>
      <c r="N51" s="2">
        <v>45998</v>
      </c>
      <c r="Q51" t="str">
        <f ca="1">IF(RAND()&lt;0.2,
    IF(RAND()&lt;0.5, LOWER(C51), UPPER(C51)),
    C51
)</f>
        <v>bangalore</v>
      </c>
      <c r="R51" t="str">
        <f t="shared" ca="1" si="7"/>
        <v>22 visits</v>
      </c>
      <c r="S51">
        <f t="shared" ca="1" si="8"/>
        <v>3500</v>
      </c>
      <c r="T51">
        <f t="shared" ca="1" si="9"/>
        <v>44992</v>
      </c>
      <c r="U51" s="2">
        <f t="shared" ca="1" si="10"/>
        <v>45998</v>
      </c>
    </row>
    <row r="52" spans="1:21">
      <c r="A52" t="str">
        <f t="shared" si="1"/>
        <v>MEM0051</v>
      </c>
      <c r="B52" t="str">
        <f ca="1">INDEX('Name pool'!A:A, RANDBETWEEN(2, COUNTA('Name pool'!A:A))) &amp; " " &amp; INDEX('Name pool'!B:B, RANDBETWEEN(2, COUNTA('Name pool'!B:B)))</f>
        <v>Rahul Reddy</v>
      </c>
      <c r="C52" t="s">
        <v>119</v>
      </c>
      <c r="D52" t="str">
        <f t="shared" ca="1" si="0"/>
        <v>BR02</v>
      </c>
      <c r="E52" t="str">
        <f t="shared" ca="1" si="11"/>
        <v>Basic</v>
      </c>
      <c r="F52" s="2">
        <v>44984</v>
      </c>
      <c r="G52" s="2">
        <v>45349</v>
      </c>
      <c r="H52">
        <v>3500</v>
      </c>
      <c r="I52">
        <f t="shared" ca="1" si="12"/>
        <v>21000</v>
      </c>
      <c r="J52">
        <v>0</v>
      </c>
      <c r="K52" t="str">
        <f t="shared" ca="1" si="13"/>
        <v>No</v>
      </c>
      <c r="L52" t="str">
        <f t="shared" ca="1" si="14"/>
        <v>General Fitness</v>
      </c>
      <c r="M52" t="str">
        <f t="shared" ca="1" si="15"/>
        <v>Cancelled</v>
      </c>
      <c r="N52" s="2">
        <v>45014</v>
      </c>
      <c r="Q52" t="str">
        <f ca="1">IF(RAND()&lt;0.2,
    IF(RAND()&lt;0.5, LOWER(C52), UPPER(C52)),
    C52
)</f>
        <v>bangalore</v>
      </c>
      <c r="R52">
        <f t="shared" ca="1" si="7"/>
        <v>0</v>
      </c>
      <c r="S52">
        <f t="shared" ca="1" si="8"/>
        <v>3500</v>
      </c>
      <c r="T52">
        <f t="shared" ca="1" si="9"/>
        <v>44936</v>
      </c>
      <c r="U52" s="2">
        <f t="shared" ca="1" si="10"/>
        <v>45014</v>
      </c>
    </row>
    <row r="53" spans="1:21">
      <c r="A53" t="str">
        <f t="shared" si="1"/>
        <v>MEM0052</v>
      </c>
      <c r="B53" t="str">
        <f ca="1">INDEX('Name pool'!A:A, RANDBETWEEN(2, COUNTA('Name pool'!A:A))) &amp; " " &amp; INDEX('Name pool'!B:B, RANDBETWEEN(2, COUNTA('Name pool'!B:B)))</f>
        <v>Anu Pillai</v>
      </c>
      <c r="C53" t="s">
        <v>73</v>
      </c>
      <c r="D53" t="str">
        <f t="shared" ca="1" si="0"/>
        <v>BR05</v>
      </c>
      <c r="E53" t="str">
        <f t="shared" ca="1" si="11"/>
        <v>Basic</v>
      </c>
      <c r="F53" s="2">
        <v>45237</v>
      </c>
      <c r="G53" s="2">
        <v>45602</v>
      </c>
      <c r="H53">
        <v>2000</v>
      </c>
      <c r="I53">
        <f t="shared" ca="1" si="12"/>
        <v>2000</v>
      </c>
      <c r="J53">
        <v>1</v>
      </c>
      <c r="K53" t="str">
        <f t="shared" ca="1" si="13"/>
        <v>No</v>
      </c>
      <c r="L53" t="str">
        <f t="shared" ca="1" si="14"/>
        <v>Muscle Gain</v>
      </c>
      <c r="M53" t="str">
        <f t="shared" ca="1" si="15"/>
        <v>Active</v>
      </c>
      <c r="N53" s="2">
        <v>45312</v>
      </c>
      <c r="Q53" t="str">
        <f ca="1">IF(RAND()&lt;0.2,
    IF(RAND()&lt;0.5, LOWER(C53), UPPER(C53)),
    C53
)</f>
        <v>Kochi</v>
      </c>
      <c r="R53">
        <f t="shared" ca="1" si="7"/>
        <v>1</v>
      </c>
      <c r="S53">
        <f t="shared" ca="1" si="8"/>
        <v>2000</v>
      </c>
      <c r="T53">
        <f t="shared" ca="1" si="9"/>
        <v>45294</v>
      </c>
      <c r="U53" s="2">
        <f t="shared" ca="1" si="10"/>
        <v>45312</v>
      </c>
    </row>
    <row r="54" spans="1:21">
      <c r="A54" t="str">
        <f t="shared" si="1"/>
        <v>MEM0053</v>
      </c>
      <c r="B54" t="str">
        <f ca="1">INDEX('Name pool'!A:A, RANDBETWEEN(2, COUNTA('Name pool'!A:A))) &amp; " " &amp; INDEX('Name pool'!B:B, RANDBETWEEN(2, COUNTA('Name pool'!B:B)))</f>
        <v>Manoj Thomas</v>
      </c>
      <c r="C54" t="s">
        <v>83</v>
      </c>
      <c r="D54" t="str">
        <f t="shared" ca="1" si="0"/>
        <v>BR01</v>
      </c>
      <c r="E54" t="str">
        <f t="shared" ca="1" si="11"/>
        <v>Standard</v>
      </c>
      <c r="F54" s="2">
        <v>45022</v>
      </c>
      <c r="G54" s="2">
        <v>45387</v>
      </c>
      <c r="H54" t="s">
        <v>120</v>
      </c>
      <c r="I54">
        <f t="shared" ca="1" si="12"/>
        <v>24000</v>
      </c>
      <c r="J54">
        <v>6</v>
      </c>
      <c r="K54" t="str">
        <f t="shared" ca="1" si="13"/>
        <v>Yes</v>
      </c>
      <c r="L54" t="str">
        <f t="shared" ca="1" si="14"/>
        <v>General Fitness</v>
      </c>
      <c r="M54" t="str">
        <f t="shared" ca="1" si="15"/>
        <v>Active</v>
      </c>
      <c r="N54" s="2">
        <v>45829</v>
      </c>
      <c r="Q54" t="str">
        <f ca="1">IF(RAND()&lt;0.2,
    IF(RAND()&lt;0.5, LOWER(C54), UPPER(C54)),
    C54
)</f>
        <v>Trivandrum</v>
      </c>
      <c r="R54">
        <f t="shared" ca="1" si="7"/>
        <v>6</v>
      </c>
      <c r="S54" t="str">
        <f t="shared" ca="1" si="8"/>
        <v>2000</v>
      </c>
      <c r="T54">
        <f t="shared" ca="1" si="9"/>
        <v>45181</v>
      </c>
      <c r="U54" s="2">
        <f t="shared" ca="1" si="10"/>
        <v>45829</v>
      </c>
    </row>
    <row r="55" spans="1:21">
      <c r="A55" t="str">
        <f t="shared" si="1"/>
        <v>MEM0054</v>
      </c>
      <c r="B55" t="str">
        <f ca="1">INDEX('Name pool'!A:A, RANDBETWEEN(2, COUNTA('Name pool'!A:A))) &amp; " " &amp; INDEX('Name pool'!B:B, RANDBETWEEN(2, COUNTA('Name pool'!B:B)))</f>
        <v>Zara Kapoor</v>
      </c>
      <c r="C55" t="s">
        <v>83</v>
      </c>
      <c r="D55" t="str">
        <f t="shared" ca="1" si="0"/>
        <v>BR04</v>
      </c>
      <c r="E55" t="str">
        <f t="shared" ca="1" si="11"/>
        <v>Premium</v>
      </c>
      <c r="F55" s="2">
        <v>45341</v>
      </c>
      <c r="G55" s="2">
        <v>45371</v>
      </c>
      <c r="H55">
        <v>2000</v>
      </c>
      <c r="I55">
        <f t="shared" ca="1" si="12"/>
        <v>10000</v>
      </c>
      <c r="J55" t="s">
        <v>113</v>
      </c>
      <c r="K55" t="str">
        <f t="shared" ca="1" si="13"/>
        <v>No</v>
      </c>
      <c r="L55" t="str">
        <f t="shared" ca="1" si="14"/>
        <v>General Fitness</v>
      </c>
      <c r="M55" t="str">
        <f t="shared" ca="1" si="15"/>
        <v>Active</v>
      </c>
      <c r="N55" s="2">
        <v>45406</v>
      </c>
      <c r="Q55" t="str">
        <f ca="1">IF(RAND()&lt;0.2,
    IF(RAND()&lt;0.5, LOWER(C55), UPPER(C55)),
    C55
)</f>
        <v>Trivandrum</v>
      </c>
      <c r="R55" t="str">
        <f t="shared" ca="1" si="7"/>
        <v>17 visits</v>
      </c>
      <c r="S55">
        <f t="shared" ca="1" si="8"/>
        <v>2000</v>
      </c>
      <c r="T55">
        <f t="shared" ca="1" si="9"/>
        <v>45150</v>
      </c>
      <c r="U55" s="2">
        <f t="shared" ca="1" si="10"/>
        <v>45406</v>
      </c>
    </row>
    <row r="56" spans="1:21">
      <c r="A56" t="str">
        <f t="shared" si="1"/>
        <v>MEM0055</v>
      </c>
      <c r="B56" t="str">
        <f ca="1">INDEX('Name pool'!A:A, RANDBETWEEN(2, COUNTA('Name pool'!A:A))) &amp; " " &amp; INDEX('Name pool'!B:B, RANDBETWEEN(2, COUNTA('Name pool'!B:B)))</f>
        <v>Kavya George</v>
      </c>
      <c r="C56" t="s">
        <v>79</v>
      </c>
      <c r="D56" t="str">
        <f t="shared" ca="1" si="0"/>
        <v>BR04</v>
      </c>
      <c r="E56" t="str">
        <f t="shared" ca="1" si="11"/>
        <v>Basic</v>
      </c>
      <c r="F56" s="2">
        <v>45631</v>
      </c>
      <c r="G56" s="2">
        <v>45721</v>
      </c>
      <c r="H56" t="s">
        <v>105</v>
      </c>
      <c r="I56">
        <f t="shared" ca="1" si="12"/>
        <v>28000</v>
      </c>
      <c r="J56">
        <v>15</v>
      </c>
      <c r="K56" t="str">
        <f t="shared" ca="1" si="13"/>
        <v>Yes</v>
      </c>
      <c r="L56" t="str">
        <f t="shared" ca="1" si="14"/>
        <v>Weight Loss</v>
      </c>
      <c r="M56" t="str">
        <f t="shared" ca="1" si="15"/>
        <v>Active</v>
      </c>
      <c r="N56" s="2">
        <v>46120</v>
      </c>
      <c r="Q56" t="str">
        <f ca="1">IF(RAND()&lt;0.2,
    IF(RAND()&lt;0.5, LOWER(C56), UPPER(C56)),
    C56
)</f>
        <v>Hyderabad</v>
      </c>
      <c r="R56">
        <f t="shared" ca="1" si="7"/>
        <v>15</v>
      </c>
      <c r="S56" t="str">
        <f t="shared" ca="1" si="8"/>
        <v>3500</v>
      </c>
      <c r="T56">
        <f t="shared" ca="1" si="9"/>
        <v>45813</v>
      </c>
      <c r="U56" s="2">
        <f t="shared" ca="1" si="10"/>
        <v>46120</v>
      </c>
    </row>
    <row r="57" spans="1:21">
      <c r="A57" t="str">
        <f t="shared" si="1"/>
        <v>MEM0056</v>
      </c>
      <c r="B57" t="str">
        <f ca="1">INDEX('Name pool'!A:A, RANDBETWEEN(2, COUNTA('Name pool'!A:A))) &amp; " " &amp; INDEX('Name pool'!B:B, RANDBETWEEN(2, COUNTA('Name pool'!B:B)))</f>
        <v>Lakshmi Shaikh</v>
      </c>
      <c r="C57" t="s">
        <v>79</v>
      </c>
      <c r="D57" t="str">
        <f t="shared" ca="1" si="0"/>
        <v>BR05</v>
      </c>
      <c r="E57" t="str">
        <f t="shared" ca="1" si="11"/>
        <v>Standard</v>
      </c>
      <c r="F57" s="2">
        <v>45697</v>
      </c>
      <c r="G57" s="2">
        <v>45727</v>
      </c>
      <c r="H57" t="s">
        <v>120</v>
      </c>
      <c r="I57">
        <f t="shared" ca="1" si="12"/>
        <v>24000</v>
      </c>
      <c r="J57">
        <v>23</v>
      </c>
      <c r="K57" t="str">
        <f t="shared" ca="1" si="13"/>
        <v>Yes</v>
      </c>
      <c r="L57" t="str">
        <f t="shared" ca="1" si="14"/>
        <v>General Fitness</v>
      </c>
      <c r="M57" t="str">
        <f t="shared" ca="1" si="15"/>
        <v>Active</v>
      </c>
      <c r="N57" s="2">
        <v>45892</v>
      </c>
      <c r="Q57" t="str">
        <f ca="1">IF(RAND()&lt;0.2,
    IF(RAND()&lt;0.5, LOWER(C57), UPPER(C57)),
    C57
)</f>
        <v>Hyderabad</v>
      </c>
      <c r="R57">
        <f t="shared" ca="1" si="7"/>
        <v>23</v>
      </c>
      <c r="S57" t="str">
        <f t="shared" ca="1" si="8"/>
        <v>2000</v>
      </c>
      <c r="T57">
        <f t="shared" ca="1" si="9"/>
        <v>45241</v>
      </c>
      <c r="U57" s="2">
        <f t="shared" ca="1" si="10"/>
        <v>45892</v>
      </c>
    </row>
    <row r="58" spans="1:21">
      <c r="A58" t="str">
        <f t="shared" si="1"/>
        <v>MEM0057</v>
      </c>
      <c r="B58" t="str">
        <f ca="1">INDEX('Name pool'!A:A, RANDBETWEEN(2, COUNTA('Name pool'!A:A))) &amp; " " &amp; INDEX('Name pool'!B:B, RANDBETWEEN(2, COUNTA('Name pool'!B:B)))</f>
        <v>Varun Reddy</v>
      </c>
      <c r="C58" t="s">
        <v>79</v>
      </c>
      <c r="D58" t="str">
        <f t="shared" ca="1" si="0"/>
        <v>BR02</v>
      </c>
      <c r="E58" t="str">
        <f t="shared" ca="1" si="11"/>
        <v>Standard</v>
      </c>
      <c r="F58" s="2">
        <v>45491</v>
      </c>
      <c r="G58" s="2">
        <v>45581</v>
      </c>
      <c r="H58">
        <v>3500</v>
      </c>
      <c r="I58">
        <f t="shared" ca="1" si="12"/>
        <v>24500</v>
      </c>
      <c r="J58">
        <v>1</v>
      </c>
      <c r="K58" t="str">
        <f t="shared" ca="1" si="13"/>
        <v>No</v>
      </c>
      <c r="L58" t="str">
        <f t="shared" ca="1" si="14"/>
        <v>Weight Loss</v>
      </c>
      <c r="M58" t="str">
        <f t="shared" ca="1" si="15"/>
        <v>Cancelled</v>
      </c>
      <c r="N58" s="2">
        <v>45506</v>
      </c>
      <c r="Q58" t="str">
        <f ca="1">IF(RAND()&lt;0.2,
    IF(RAND()&lt;0.5, LOWER(C58), UPPER(C58)),
    C58
)</f>
        <v>hyderabad</v>
      </c>
      <c r="R58" t="str">
        <f t="shared" ca="1" si="7"/>
        <v>1 visits</v>
      </c>
      <c r="S58">
        <f t="shared" ca="1" si="8"/>
        <v>3500</v>
      </c>
      <c r="T58">
        <f t="shared" ca="1" si="9"/>
        <v>45597</v>
      </c>
      <c r="U58" s="2">
        <f t="shared" ca="1" si="10"/>
        <v>45506</v>
      </c>
    </row>
    <row r="59" spans="1:21">
      <c r="A59" t="str">
        <f t="shared" si="1"/>
        <v>MEM0058</v>
      </c>
      <c r="B59" t="str">
        <f ca="1">INDEX('Name pool'!A:A, RANDBETWEEN(2, COUNTA('Name pool'!A:A))) &amp; " " &amp; INDEX('Name pool'!B:B, RANDBETWEEN(2, COUNTA('Name pool'!B:B)))</f>
        <v>Akash Menon</v>
      </c>
      <c r="C59" t="s">
        <v>81</v>
      </c>
      <c r="D59" t="str">
        <f t="shared" ca="1" si="0"/>
        <v>BR06</v>
      </c>
      <c r="E59" t="str">
        <f t="shared" ca="1" si="11"/>
        <v>Standard</v>
      </c>
      <c r="F59" s="2">
        <v>45183</v>
      </c>
      <c r="G59" s="2">
        <v>45213</v>
      </c>
      <c r="H59">
        <v>1000</v>
      </c>
      <c r="I59">
        <f t="shared" ca="1" si="12"/>
        <v>12000</v>
      </c>
      <c r="J59">
        <v>17</v>
      </c>
      <c r="K59" t="str">
        <f t="shared" ca="1" si="13"/>
        <v>No</v>
      </c>
      <c r="L59" t="str">
        <f t="shared" ca="1" si="14"/>
        <v>Muscle Gain</v>
      </c>
      <c r="M59" t="str">
        <f t="shared" ca="1" si="15"/>
        <v>Active</v>
      </c>
      <c r="N59" s="2">
        <v>45712</v>
      </c>
      <c r="Q59" t="str">
        <f ca="1">IF(RAND()&lt;0.2,
    IF(RAND()&lt;0.5, LOWER(C59), UPPER(C59)),
    C59
)</f>
        <v>Mumbai</v>
      </c>
      <c r="R59" t="str">
        <f t="shared" ca="1" si="7"/>
        <v>17 visits</v>
      </c>
      <c r="S59">
        <f t="shared" ca="1" si="8"/>
        <v>1000</v>
      </c>
      <c r="T59">
        <f t="shared" ca="1" si="9"/>
        <v>45760</v>
      </c>
      <c r="U59" s="2">
        <f t="shared" ca="1" si="10"/>
        <v>45712</v>
      </c>
    </row>
    <row r="60" spans="1:21">
      <c r="A60" t="str">
        <f t="shared" si="1"/>
        <v>MEM0059</v>
      </c>
      <c r="B60" t="str">
        <f ca="1">INDEX('Name pool'!A:A, RANDBETWEEN(2, COUNTA('Name pool'!A:A))) &amp; " " &amp; INDEX('Name pool'!B:B, RANDBETWEEN(2, COUNTA('Name pool'!B:B)))</f>
        <v>Kavya Reddy</v>
      </c>
      <c r="C60" t="s">
        <v>83</v>
      </c>
      <c r="D60" t="str">
        <f t="shared" ca="1" si="0"/>
        <v>BR05</v>
      </c>
      <c r="E60" t="str">
        <f t="shared" ca="1" si="11"/>
        <v>Premium</v>
      </c>
      <c r="F60" s="2">
        <v>45067</v>
      </c>
      <c r="G60" s="2">
        <v>45097</v>
      </c>
      <c r="H60">
        <v>1000</v>
      </c>
      <c r="I60">
        <f t="shared" ca="1" si="12"/>
        <v>5000</v>
      </c>
      <c r="J60">
        <v>9</v>
      </c>
      <c r="K60" t="str">
        <f t="shared" ca="1" si="13"/>
        <v>Yes</v>
      </c>
      <c r="L60" t="str">
        <f t="shared" ca="1" si="14"/>
        <v>Weight Loss</v>
      </c>
      <c r="M60" t="str">
        <f t="shared" ca="1" si="15"/>
        <v>Active</v>
      </c>
      <c r="N60" s="2">
        <v>45130</v>
      </c>
      <c r="Q60" t="str">
        <f ca="1">IF(RAND()&lt;0.2,
    IF(RAND()&lt;0.5, LOWER(C60), UPPER(C60)),
    C60
)</f>
        <v>Trivandrum</v>
      </c>
      <c r="R60">
        <f t="shared" ca="1" si="7"/>
        <v>9</v>
      </c>
      <c r="S60">
        <f t="shared" ca="1" si="8"/>
        <v>1000</v>
      </c>
      <c r="T60">
        <f t="shared" ca="1" si="9"/>
        <v>45178</v>
      </c>
      <c r="U60" s="2">
        <f t="shared" ca="1" si="10"/>
        <v>45130</v>
      </c>
    </row>
    <row r="61" spans="1:21">
      <c r="A61" t="str">
        <f t="shared" si="1"/>
        <v>MEM0060</v>
      </c>
      <c r="B61" t="str">
        <f ca="1">INDEX('Name pool'!A:A, RANDBETWEEN(2, COUNTA('Name pool'!A:A))) &amp; " " &amp; INDEX('Name pool'!B:B, RANDBETWEEN(2, COUNTA('Name pool'!B:B)))</f>
        <v>Manoj Sharma</v>
      </c>
      <c r="C61" t="s">
        <v>83</v>
      </c>
      <c r="D61" t="str">
        <f t="shared" ca="1" si="0"/>
        <v>BR01</v>
      </c>
      <c r="E61" t="str">
        <f t="shared" ca="1" si="11"/>
        <v>Premium</v>
      </c>
      <c r="F61" s="2">
        <v>45324</v>
      </c>
      <c r="G61" s="2">
        <v>45414</v>
      </c>
      <c r="H61">
        <v>1000</v>
      </c>
      <c r="I61">
        <f t="shared" ca="1" si="12"/>
        <v>2000</v>
      </c>
      <c r="J61">
        <v>13</v>
      </c>
      <c r="K61" t="str">
        <f t="shared" ca="1" si="13"/>
        <v>Yes</v>
      </c>
      <c r="L61" t="str">
        <f t="shared" ca="1" si="14"/>
        <v>General Fitness</v>
      </c>
      <c r="M61" t="str">
        <f t="shared" ca="1" si="15"/>
        <v>Active</v>
      </c>
      <c r="N61" s="2">
        <v>46073</v>
      </c>
      <c r="Q61" t="str">
        <f ca="1">IF(RAND()&lt;0.2,
    IF(RAND()&lt;0.5, LOWER(C61), UPPER(C61)),
    C61
)</f>
        <v>Trivandrum</v>
      </c>
      <c r="R61">
        <f t="shared" ca="1" si="7"/>
        <v>13</v>
      </c>
      <c r="S61">
        <f t="shared" ca="1" si="8"/>
        <v>1000</v>
      </c>
      <c r="T61">
        <f t="shared" ca="1" si="9"/>
        <v>45657</v>
      </c>
      <c r="U61" s="2">
        <f t="shared" ca="1" si="10"/>
        <v>46073</v>
      </c>
    </row>
    <row r="62" spans="1:21">
      <c r="A62" t="str">
        <f t="shared" si="1"/>
        <v>MEM0061</v>
      </c>
      <c r="B62" t="str">
        <f ca="1">INDEX('Name pool'!A:A, RANDBETWEEN(2, COUNTA('Name pool'!A:A))) &amp; " " &amp; INDEX('Name pool'!B:B, RANDBETWEEN(2, COUNTA('Name pool'!B:B)))</f>
        <v>Pooja Banerjee</v>
      </c>
      <c r="C62" t="s">
        <v>81</v>
      </c>
      <c r="D62" t="str">
        <f t="shared" ca="1" si="0"/>
        <v>BR05</v>
      </c>
      <c r="E62" t="str">
        <f t="shared" ca="1" si="11"/>
        <v>Basic</v>
      </c>
      <c r="F62" s="2">
        <v>45396</v>
      </c>
      <c r="G62" s="2">
        <v>45761</v>
      </c>
      <c r="H62">
        <v>1000</v>
      </c>
      <c r="I62">
        <f t="shared" ca="1" si="12"/>
        <v>10000</v>
      </c>
      <c r="J62">
        <v>7</v>
      </c>
      <c r="K62" t="str">
        <f t="shared" ca="1" si="13"/>
        <v>No</v>
      </c>
      <c r="L62" t="str">
        <f t="shared" ca="1" si="14"/>
        <v>Muscle Gain</v>
      </c>
      <c r="M62" t="str">
        <f t="shared" ca="1" si="15"/>
        <v>Active</v>
      </c>
      <c r="N62" s="2">
        <v>45852</v>
      </c>
      <c r="Q62" t="str">
        <f ca="1">IF(RAND()&lt;0.2,
    IF(RAND()&lt;0.5, LOWER(C62), UPPER(C62)),
    C62
)</f>
        <v>Mumbai</v>
      </c>
      <c r="R62">
        <f t="shared" ca="1" si="7"/>
        <v>7</v>
      </c>
      <c r="S62">
        <f t="shared" ca="1" si="8"/>
        <v>1000</v>
      </c>
      <c r="T62">
        <f t="shared" ca="1" si="9"/>
        <v>45325</v>
      </c>
      <c r="U62" s="2">
        <f t="shared" ca="1" si="10"/>
        <v>45852</v>
      </c>
    </row>
    <row r="63" spans="1:21">
      <c r="A63" t="str">
        <f t="shared" si="1"/>
        <v>MEM0062</v>
      </c>
      <c r="B63" t="str">
        <f ca="1">INDEX('Name pool'!A:A, RANDBETWEEN(2, COUNTA('Name pool'!A:A))) &amp; " " &amp; INDEX('Name pool'!B:B, RANDBETWEEN(2, COUNTA('Name pool'!B:B)))</f>
        <v>Neha Lewis</v>
      </c>
      <c r="C63" t="s">
        <v>121</v>
      </c>
      <c r="D63" t="str">
        <f t="shared" ca="1" si="0"/>
        <v>BR04</v>
      </c>
      <c r="E63" t="str">
        <f t="shared" ca="1" si="11"/>
        <v>Standard</v>
      </c>
      <c r="F63" s="2">
        <v>45861</v>
      </c>
      <c r="G63" s="2">
        <v>46226</v>
      </c>
      <c r="H63">
        <v>1000</v>
      </c>
      <c r="I63">
        <f t="shared" ca="1" si="12"/>
        <v>7000</v>
      </c>
      <c r="J63" t="s">
        <v>109</v>
      </c>
      <c r="K63" t="str">
        <f t="shared" ca="1" si="13"/>
        <v>Yes</v>
      </c>
      <c r="L63" t="str">
        <f t="shared" ca="1" si="14"/>
        <v>Weight Loss</v>
      </c>
      <c r="M63" t="str">
        <f t="shared" ca="1" si="15"/>
        <v>Active</v>
      </c>
      <c r="N63" s="2">
        <v>45875</v>
      </c>
      <c r="Q63" t="str">
        <f ca="1">IF(RAND()&lt;0.2,
    IF(RAND()&lt;0.5, LOWER(C63), UPPER(C63)),
    C63
)</f>
        <v>MUMBAI</v>
      </c>
      <c r="R63" t="str">
        <f t="shared" ca="1" si="7"/>
        <v>8 visits</v>
      </c>
      <c r="S63">
        <f t="shared" ca="1" si="8"/>
        <v>1000</v>
      </c>
      <c r="T63">
        <f t="shared" ca="1" si="9"/>
        <v>44928</v>
      </c>
      <c r="U63" s="2">
        <f t="shared" ca="1" si="10"/>
        <v>45875</v>
      </c>
    </row>
    <row r="64" spans="1:21">
      <c r="A64" t="str">
        <f t="shared" si="1"/>
        <v>MEM0063</v>
      </c>
      <c r="B64" t="str">
        <f ca="1">INDEX('Name pool'!A:A, RANDBETWEEN(2, COUNTA('Name pool'!A:A))) &amp; " " &amp; INDEX('Name pool'!B:B, RANDBETWEEN(2, COUNTA('Name pool'!B:B)))</f>
        <v>Rahul Malhotra</v>
      </c>
      <c r="C64" t="s">
        <v>85</v>
      </c>
      <c r="D64" t="str">
        <f t="shared" ca="1" si="0"/>
        <v>BR02</v>
      </c>
      <c r="E64" t="str">
        <f t="shared" ca="1" si="11"/>
        <v>Premium</v>
      </c>
      <c r="F64" s="2">
        <v>45251</v>
      </c>
      <c r="G64" s="2">
        <v>45281</v>
      </c>
      <c r="H64">
        <v>3500</v>
      </c>
      <c r="I64">
        <f t="shared" ca="1" si="12"/>
        <v>17500</v>
      </c>
      <c r="J64">
        <v>10</v>
      </c>
      <c r="K64" t="str">
        <f t="shared" ca="1" si="13"/>
        <v>Yes</v>
      </c>
      <c r="L64" t="str">
        <f t="shared" ca="1" si="14"/>
        <v>Muscle Gain</v>
      </c>
      <c r="M64" t="str">
        <f t="shared" ca="1" si="15"/>
        <v>Active</v>
      </c>
      <c r="N64" s="2">
        <v>45500</v>
      </c>
      <c r="Q64" t="str">
        <f ca="1">IF(RAND()&lt;0.2,
    IF(RAND()&lt;0.5, LOWER(C64), UPPER(C64)),
    C64
)</f>
        <v>Calicut</v>
      </c>
      <c r="R64">
        <f t="shared" ca="1" si="7"/>
        <v>10</v>
      </c>
      <c r="S64">
        <f t="shared" ca="1" si="8"/>
        <v>3500</v>
      </c>
      <c r="T64">
        <f t="shared" ca="1" si="9"/>
        <v>45779</v>
      </c>
      <c r="U64" s="2">
        <f t="shared" ca="1" si="10"/>
        <v>45500</v>
      </c>
    </row>
    <row r="65" spans="1:21">
      <c r="A65" t="str">
        <f t="shared" si="1"/>
        <v>MEM0064</v>
      </c>
      <c r="B65" t="str">
        <f ca="1">INDEX('Name pool'!A:A, RANDBETWEEN(2, COUNTA('Name pool'!A:A))) &amp; " " &amp; INDEX('Name pool'!B:B, RANDBETWEEN(2, COUNTA('Name pool'!B:B)))</f>
        <v>Riya Nambiar</v>
      </c>
      <c r="C65" t="s">
        <v>73</v>
      </c>
      <c r="D65" t="str">
        <f t="shared" ca="1" si="0"/>
        <v>BR03</v>
      </c>
      <c r="E65" t="str">
        <f t="shared" ca="1" si="11"/>
        <v>Basic</v>
      </c>
      <c r="F65" s="2">
        <v>45570</v>
      </c>
      <c r="G65" s="2">
        <v>45660</v>
      </c>
      <c r="H65" t="s">
        <v>108</v>
      </c>
      <c r="I65">
        <f t="shared" ca="1" si="12"/>
        <v>9000</v>
      </c>
      <c r="J65">
        <v>14</v>
      </c>
      <c r="K65" t="str">
        <f t="shared" ca="1" si="13"/>
        <v>Yes</v>
      </c>
      <c r="L65" t="str">
        <f t="shared" ca="1" si="14"/>
        <v>Weight Loss</v>
      </c>
      <c r="M65" t="str">
        <f t="shared" ca="1" si="15"/>
        <v>Active</v>
      </c>
      <c r="N65" s="2">
        <v>45771</v>
      </c>
      <c r="Q65" t="str">
        <f ca="1">IF(RAND()&lt;0.2,
    IF(RAND()&lt;0.5, LOWER(C65), UPPER(C65)),
    C65
)</f>
        <v>kochi</v>
      </c>
      <c r="R65">
        <f t="shared" ca="1" si="7"/>
        <v>14</v>
      </c>
      <c r="S65" t="str">
        <f t="shared" ca="1" si="8"/>
        <v>1000</v>
      </c>
      <c r="T65">
        <f t="shared" ca="1" si="9"/>
        <v>45058</v>
      </c>
      <c r="U65" s="2">
        <f t="shared" ca="1" si="10"/>
        <v>45771</v>
      </c>
    </row>
    <row r="66" spans="1:21">
      <c r="A66" t="str">
        <f t="shared" si="1"/>
        <v>MEM0065</v>
      </c>
      <c r="B66" t="str">
        <f ca="1">INDEX('Name pool'!A:A, RANDBETWEEN(2, COUNTA('Name pool'!A:A))) &amp; " " &amp; INDEX('Name pool'!B:B, RANDBETWEEN(2, COUNTA('Name pool'!B:B)))</f>
        <v>Fatima Varghese</v>
      </c>
      <c r="C66" t="s">
        <v>83</v>
      </c>
      <c r="D66" t="str">
        <f t="shared" ref="D66:D129" ca="1" si="16">CHOOSE(RANDBETWEEN(1,7),"BR01","BR02","BR03","BR04","BR05","BR06","BR07")</f>
        <v>BR01</v>
      </c>
      <c r="E66" t="str">
        <f t="shared" ca="1" si="11"/>
        <v>Basic</v>
      </c>
      <c r="F66" s="2">
        <v>45572</v>
      </c>
      <c r="G66" s="2">
        <v>45937</v>
      </c>
      <c r="H66">
        <v>1000</v>
      </c>
      <c r="I66">
        <f t="shared" ca="1" si="12"/>
        <v>9000</v>
      </c>
      <c r="J66">
        <v>14</v>
      </c>
      <c r="K66" t="str">
        <f t="shared" ca="1" si="13"/>
        <v>No</v>
      </c>
      <c r="L66" t="str">
        <f t="shared" ca="1" si="14"/>
        <v>Weight Loss</v>
      </c>
      <c r="M66" t="str">
        <f t="shared" ca="1" si="15"/>
        <v>Active</v>
      </c>
      <c r="N66" s="2">
        <v>45760</v>
      </c>
      <c r="Q66" t="str">
        <f ca="1">IF(RAND()&lt;0.2,
    IF(RAND()&lt;0.5, LOWER(C66), UPPER(C66)),
    C66
)</f>
        <v>trivandrum</v>
      </c>
      <c r="R66">
        <f t="shared" ca="1" si="7"/>
        <v>14</v>
      </c>
      <c r="S66">
        <f t="shared" ca="1" si="8"/>
        <v>1000</v>
      </c>
      <c r="T66">
        <f t="shared" ca="1" si="9"/>
        <v>45840</v>
      </c>
      <c r="U66" s="2">
        <f t="shared" ca="1" si="10"/>
        <v>45760</v>
      </c>
    </row>
    <row r="67" spans="1:21">
      <c r="A67" t="str">
        <f t="shared" ref="A67:A130" si="17">"MEM" &amp; TEXT(ROW()-1,"0000")</f>
        <v>MEM0066</v>
      </c>
      <c r="B67" t="str">
        <f ca="1">INDEX('Name pool'!A:A, RANDBETWEEN(2, COUNTA('Name pool'!A:A))) &amp; " " &amp; INDEX('Name pool'!B:B, RANDBETWEEN(2, COUNTA('Name pool'!B:B)))</f>
        <v>Meera Joshi</v>
      </c>
      <c r="C67" t="s">
        <v>83</v>
      </c>
      <c r="D67" t="str">
        <f t="shared" ca="1" si="16"/>
        <v>BR02</v>
      </c>
      <c r="E67" t="str">
        <f t="shared" ca="1" si="11"/>
        <v>Standard</v>
      </c>
      <c r="F67" s="2">
        <v>45021</v>
      </c>
      <c r="G67" s="2">
        <v>45111</v>
      </c>
      <c r="H67">
        <v>2000</v>
      </c>
      <c r="I67">
        <f t="shared" ca="1" si="12"/>
        <v>24000</v>
      </c>
      <c r="J67">
        <v>14</v>
      </c>
      <c r="K67" t="str">
        <f t="shared" ca="1" si="13"/>
        <v>Yes</v>
      </c>
      <c r="L67" t="str">
        <f t="shared" ca="1" si="14"/>
        <v>General Fitness</v>
      </c>
      <c r="M67" t="str">
        <f t="shared" ca="1" si="15"/>
        <v>Active</v>
      </c>
      <c r="N67" s="2">
        <v>45744</v>
      </c>
      <c r="Q67" t="str">
        <f ca="1">IF(RAND()&lt;0.2,
    IF(RAND()&lt;0.5, LOWER(C67), UPPER(C67)),
    C67
)</f>
        <v>Trivandrum</v>
      </c>
      <c r="R67">
        <f t="shared" ref="R67:R130" ca="1" si="18">IF(RAND()&lt;0.15,
    J67 &amp; " visits",
    J67
)</f>
        <v>14</v>
      </c>
      <c r="S67">
        <f t="shared" ref="S67:S130" ca="1" si="19">IF(RAND()&lt;0.1,
    TEXT(H67,"0"),
    H67
)</f>
        <v>2000</v>
      </c>
      <c r="T67">
        <f t="shared" ref="T67:T130" ca="1" si="20">RANDBETWEEN(DATE(2023,1,1), DATE(2026,1,31))</f>
        <v>45483</v>
      </c>
      <c r="U67" s="2">
        <f t="shared" ref="U67:U130" ca="1" si="21">IF(AND(M67="Cancelled", RAND()&lt;0.5),
    F67 + RANDBETWEEN(10,50),
    N67
)</f>
        <v>45744</v>
      </c>
    </row>
    <row r="68" spans="1:21">
      <c r="A68" t="str">
        <f t="shared" si="17"/>
        <v>MEM0067</v>
      </c>
      <c r="B68" t="str">
        <f ca="1">INDEX('Name pool'!A:A, RANDBETWEEN(2, COUNTA('Name pool'!A:A))) &amp; " " &amp; INDEX('Name pool'!B:B, RANDBETWEEN(2, COUNTA('Name pool'!B:B)))</f>
        <v>Karthik Yadav</v>
      </c>
      <c r="C68" t="s">
        <v>85</v>
      </c>
      <c r="D68" t="str">
        <f t="shared" ca="1" si="16"/>
        <v>BR04</v>
      </c>
      <c r="E68" t="str">
        <f t="shared" ca="1" si="11"/>
        <v>Basic</v>
      </c>
      <c r="F68" s="2">
        <v>45198</v>
      </c>
      <c r="G68" s="2">
        <v>45288</v>
      </c>
      <c r="H68">
        <v>1000</v>
      </c>
      <c r="I68">
        <f t="shared" ca="1" si="12"/>
        <v>10000</v>
      </c>
      <c r="J68">
        <v>7</v>
      </c>
      <c r="K68" t="str">
        <f t="shared" ca="1" si="13"/>
        <v>Yes</v>
      </c>
      <c r="L68" t="str">
        <f t="shared" ca="1" si="14"/>
        <v>General Fitness</v>
      </c>
      <c r="M68" t="str">
        <f t="shared" ca="1" si="15"/>
        <v>Active</v>
      </c>
      <c r="N68" s="2">
        <v>45636</v>
      </c>
      <c r="Q68" t="str">
        <f ca="1">IF(RAND()&lt;0.2,
    IF(RAND()&lt;0.5, LOWER(C68), UPPER(C68)),
    C68
)</f>
        <v>Calicut</v>
      </c>
      <c r="R68">
        <f t="shared" ca="1" si="18"/>
        <v>7</v>
      </c>
      <c r="S68">
        <f t="shared" ca="1" si="19"/>
        <v>1000</v>
      </c>
      <c r="T68">
        <f t="shared" ca="1" si="20"/>
        <v>45238</v>
      </c>
      <c r="U68" s="2">
        <f t="shared" ca="1" si="21"/>
        <v>45636</v>
      </c>
    </row>
    <row r="69" spans="1:21">
      <c r="A69" t="str">
        <f t="shared" si="17"/>
        <v>MEM0068</v>
      </c>
      <c r="B69" t="str">
        <f ca="1">INDEX('Name pool'!A:A, RANDBETWEEN(2, COUNTA('Name pool'!A:A))) &amp; " " &amp; INDEX('Name pool'!B:B, RANDBETWEEN(2, COUNTA('Name pool'!B:B)))</f>
        <v>Aditya Verma</v>
      </c>
      <c r="C69" t="s">
        <v>79</v>
      </c>
      <c r="D69" t="str">
        <f t="shared" ca="1" si="16"/>
        <v>BR02</v>
      </c>
      <c r="E69" t="str">
        <f t="shared" ca="1" si="11"/>
        <v>Standard</v>
      </c>
      <c r="F69" s="2">
        <v>45089</v>
      </c>
      <c r="G69" s="2">
        <v>45454</v>
      </c>
      <c r="H69">
        <v>3500</v>
      </c>
      <c r="I69">
        <f t="shared" ca="1" si="12"/>
        <v>7000</v>
      </c>
      <c r="J69">
        <v>19</v>
      </c>
      <c r="K69" t="str">
        <f t="shared" ca="1" si="13"/>
        <v>Yes</v>
      </c>
      <c r="L69" t="str">
        <f t="shared" ca="1" si="14"/>
        <v>General Fitness</v>
      </c>
      <c r="M69" t="str">
        <f t="shared" ca="1" si="15"/>
        <v>Active</v>
      </c>
      <c r="N69" s="2">
        <v>45914</v>
      </c>
      <c r="Q69" t="str">
        <f ca="1">IF(RAND()&lt;0.2,
    IF(RAND()&lt;0.5, LOWER(C69), UPPER(C69)),
    C69
)</f>
        <v>Hyderabad</v>
      </c>
      <c r="R69">
        <f t="shared" ca="1" si="18"/>
        <v>19</v>
      </c>
      <c r="S69">
        <f t="shared" ca="1" si="19"/>
        <v>3500</v>
      </c>
      <c r="T69">
        <f t="shared" ca="1" si="20"/>
        <v>44930</v>
      </c>
      <c r="U69" s="2">
        <f t="shared" ca="1" si="21"/>
        <v>45914</v>
      </c>
    </row>
    <row r="70" spans="1:21">
      <c r="A70" t="str">
        <f t="shared" si="17"/>
        <v>MEM0069</v>
      </c>
      <c r="B70" t="str">
        <f ca="1">INDEX('Name pool'!A:A, RANDBETWEEN(2, COUNTA('Name pool'!A:A))) &amp; " " &amp; INDEX('Name pool'!B:B, RANDBETWEEN(2, COUNTA('Name pool'!B:B)))</f>
        <v>Varun Joseph</v>
      </c>
      <c r="C70" t="s">
        <v>85</v>
      </c>
      <c r="D70" t="str">
        <f t="shared" ca="1" si="16"/>
        <v>BR01</v>
      </c>
      <c r="E70" t="str">
        <f t="shared" ca="1" si="11"/>
        <v>Premium</v>
      </c>
      <c r="F70" s="2">
        <v>45842</v>
      </c>
      <c r="G70" s="2">
        <v>46207</v>
      </c>
      <c r="H70">
        <v>3500</v>
      </c>
      <c r="I70">
        <f t="shared" ca="1" si="12"/>
        <v>24500</v>
      </c>
      <c r="J70">
        <v>19</v>
      </c>
      <c r="K70" t="str">
        <f t="shared" ca="1" si="13"/>
        <v>Yes</v>
      </c>
      <c r="L70" t="str">
        <f t="shared" ca="1" si="14"/>
        <v>General Fitness</v>
      </c>
      <c r="M70" t="str">
        <f t="shared" ca="1" si="15"/>
        <v>Active</v>
      </c>
      <c r="N70" s="2">
        <v>46048</v>
      </c>
      <c r="Q70" t="str">
        <f ca="1">IF(RAND()&lt;0.2,
    IF(RAND()&lt;0.5, LOWER(C70), UPPER(C70)),
    C70
)</f>
        <v>Calicut</v>
      </c>
      <c r="R70">
        <f t="shared" ca="1" si="18"/>
        <v>19</v>
      </c>
      <c r="S70">
        <f t="shared" ca="1" si="19"/>
        <v>3500</v>
      </c>
      <c r="T70">
        <f t="shared" ca="1" si="20"/>
        <v>45879</v>
      </c>
      <c r="U70" s="2">
        <f t="shared" ca="1" si="21"/>
        <v>46048</v>
      </c>
    </row>
    <row r="71" spans="1:21">
      <c r="A71" t="str">
        <f t="shared" si="17"/>
        <v>MEM0070</v>
      </c>
      <c r="B71" t="str">
        <f ca="1">INDEX('Name pool'!A:A, RANDBETWEEN(2, COUNTA('Name pool'!A:A))) &amp; " " &amp; INDEX('Name pool'!B:B, RANDBETWEEN(2, COUNTA('Name pool'!B:B)))</f>
        <v>Nikhil Thomas</v>
      </c>
      <c r="C71" t="s">
        <v>79</v>
      </c>
      <c r="D71" t="str">
        <f t="shared" ca="1" si="16"/>
        <v>BR01</v>
      </c>
      <c r="E71" t="str">
        <f t="shared" ca="1" si="11"/>
        <v>Premium</v>
      </c>
      <c r="F71" s="2">
        <v>45047</v>
      </c>
      <c r="G71" s="2">
        <v>45412</v>
      </c>
      <c r="H71">
        <v>1000</v>
      </c>
      <c r="I71">
        <f t="shared" ca="1" si="12"/>
        <v>5000</v>
      </c>
      <c r="J71">
        <v>17</v>
      </c>
      <c r="K71" t="str">
        <f t="shared" ca="1" si="13"/>
        <v>Yes</v>
      </c>
      <c r="L71" t="str">
        <f t="shared" ca="1" si="14"/>
        <v>Muscle Gain</v>
      </c>
      <c r="M71" t="str">
        <f t="shared" ca="1" si="15"/>
        <v>Active</v>
      </c>
      <c r="N71" s="2">
        <v>46030</v>
      </c>
      <c r="Q71" t="str">
        <f ca="1">IF(RAND()&lt;0.2,
    IF(RAND()&lt;0.5, LOWER(C71), UPPER(C71)),
    C71
)</f>
        <v>Hyderabad</v>
      </c>
      <c r="R71">
        <f t="shared" ca="1" si="18"/>
        <v>17</v>
      </c>
      <c r="S71">
        <f t="shared" ca="1" si="19"/>
        <v>1000</v>
      </c>
      <c r="T71">
        <f t="shared" ca="1" si="20"/>
        <v>45901</v>
      </c>
      <c r="U71" s="2">
        <f t="shared" ca="1" si="21"/>
        <v>46030</v>
      </c>
    </row>
    <row r="72" spans="1:21">
      <c r="A72" t="str">
        <f t="shared" si="17"/>
        <v>MEM0071</v>
      </c>
      <c r="B72" t="str">
        <f ca="1">INDEX('Name pool'!A:A, RANDBETWEEN(2, COUNTA('Name pool'!A:A))) &amp; " " &amp; INDEX('Name pool'!B:B, RANDBETWEEN(2, COUNTA('Name pool'!B:B)))</f>
        <v>Tanvi George</v>
      </c>
      <c r="C72" t="s">
        <v>79</v>
      </c>
      <c r="D72" t="str">
        <f t="shared" ca="1" si="16"/>
        <v>BR07</v>
      </c>
      <c r="E72" t="str">
        <f t="shared" ca="1" si="11"/>
        <v>Basic</v>
      </c>
      <c r="F72" s="2">
        <v>45628</v>
      </c>
      <c r="G72" s="2">
        <v>45658</v>
      </c>
      <c r="H72">
        <v>2000</v>
      </c>
      <c r="I72">
        <f t="shared" ca="1" si="12"/>
        <v>24000</v>
      </c>
      <c r="J72" t="s">
        <v>113</v>
      </c>
      <c r="K72" t="str">
        <f t="shared" ca="1" si="13"/>
        <v>Yes</v>
      </c>
      <c r="L72" t="str">
        <f t="shared" ca="1" si="14"/>
        <v>General Fitness</v>
      </c>
      <c r="M72" t="str">
        <f t="shared" ca="1" si="15"/>
        <v>Active</v>
      </c>
      <c r="N72" s="2">
        <v>45681</v>
      </c>
      <c r="Q72" t="str">
        <f ca="1">IF(RAND()&lt;0.2,
    IF(RAND()&lt;0.5, LOWER(C72), UPPER(C72)),
    C72
)</f>
        <v>Hyderabad</v>
      </c>
      <c r="R72" t="str">
        <f t="shared" ca="1" si="18"/>
        <v>17 visits</v>
      </c>
      <c r="S72">
        <f t="shared" ca="1" si="19"/>
        <v>2000</v>
      </c>
      <c r="T72">
        <f t="shared" ca="1" si="20"/>
        <v>46000</v>
      </c>
      <c r="U72" s="2">
        <f t="shared" ca="1" si="21"/>
        <v>45681</v>
      </c>
    </row>
    <row r="73" spans="1:21">
      <c r="A73" t="str">
        <f t="shared" si="17"/>
        <v>MEM0072</v>
      </c>
      <c r="B73" t="str">
        <f ca="1">INDEX('Name pool'!A:A, RANDBETWEEN(2, COUNTA('Name pool'!A:A))) &amp; " " &amp; INDEX('Name pool'!B:B, RANDBETWEEN(2, COUNTA('Name pool'!B:B)))</f>
        <v>Swathi Sharma</v>
      </c>
      <c r="C73" t="s">
        <v>81</v>
      </c>
      <c r="D73" t="str">
        <f t="shared" ca="1" si="16"/>
        <v>BR02</v>
      </c>
      <c r="E73" t="str">
        <f t="shared" ca="1" si="11"/>
        <v>Premium</v>
      </c>
      <c r="F73" s="2">
        <v>45859</v>
      </c>
      <c r="G73" s="2">
        <v>46224</v>
      </c>
      <c r="H73">
        <v>2000</v>
      </c>
      <c r="I73">
        <f t="shared" ca="1" si="12"/>
        <v>2000</v>
      </c>
      <c r="J73">
        <v>4</v>
      </c>
      <c r="K73" t="str">
        <f t="shared" ca="1" si="13"/>
        <v>No</v>
      </c>
      <c r="L73" t="str">
        <f t="shared" ca="1" si="14"/>
        <v>Weight Loss</v>
      </c>
      <c r="M73" t="str">
        <f t="shared" ca="1" si="15"/>
        <v>Cancelled</v>
      </c>
      <c r="N73" s="2">
        <v>45957</v>
      </c>
      <c r="Q73" t="str">
        <f ca="1">IF(RAND()&lt;0.2,
    IF(RAND()&lt;0.5, LOWER(C73), UPPER(C73)),
    C73
)</f>
        <v>Mumbai</v>
      </c>
      <c r="R73">
        <f t="shared" ca="1" si="18"/>
        <v>4</v>
      </c>
      <c r="S73">
        <f t="shared" ca="1" si="19"/>
        <v>2000</v>
      </c>
      <c r="T73">
        <f t="shared" ca="1" si="20"/>
        <v>45991</v>
      </c>
      <c r="U73" s="2">
        <f t="shared" ca="1" si="21"/>
        <v>45957</v>
      </c>
    </row>
    <row r="74" spans="1:21">
      <c r="A74" t="str">
        <f t="shared" si="17"/>
        <v>MEM0073</v>
      </c>
      <c r="B74" t="str">
        <f ca="1">INDEX('Name pool'!A:A, RANDBETWEEN(2, COUNTA('Name pool'!A:A))) &amp; " " &amp; INDEX('Name pool'!B:B, RANDBETWEEN(2, COUNTA('Name pool'!B:B)))</f>
        <v>Deepak Gupta</v>
      </c>
      <c r="C74" t="s">
        <v>75</v>
      </c>
      <c r="D74" t="str">
        <f t="shared" ca="1" si="16"/>
        <v>BR04</v>
      </c>
      <c r="E74" t="str">
        <f t="shared" ca="1" si="11"/>
        <v>Standard</v>
      </c>
      <c r="F74" s="2">
        <v>45687</v>
      </c>
      <c r="G74" s="2">
        <v>45717</v>
      </c>
      <c r="H74">
        <v>3500</v>
      </c>
      <c r="I74">
        <f t="shared" ca="1" si="12"/>
        <v>3500</v>
      </c>
      <c r="J74">
        <v>18</v>
      </c>
      <c r="K74" t="str">
        <f t="shared" ca="1" si="13"/>
        <v>Yes</v>
      </c>
      <c r="L74" t="str">
        <f t="shared" ca="1" si="14"/>
        <v>General Fitness</v>
      </c>
      <c r="M74" t="str">
        <f t="shared" ca="1" si="15"/>
        <v>Active</v>
      </c>
      <c r="N74" s="2">
        <v>45912</v>
      </c>
      <c r="Q74" t="str">
        <f ca="1">IF(RAND()&lt;0.2,
    IF(RAND()&lt;0.5, LOWER(C74), UPPER(C74)),
    C74
)</f>
        <v>Bangalore</v>
      </c>
      <c r="R74">
        <f t="shared" ca="1" si="18"/>
        <v>18</v>
      </c>
      <c r="S74">
        <f t="shared" ca="1" si="19"/>
        <v>3500</v>
      </c>
      <c r="T74">
        <f t="shared" ca="1" si="20"/>
        <v>45531</v>
      </c>
      <c r="U74" s="2">
        <f t="shared" ca="1" si="21"/>
        <v>45912</v>
      </c>
    </row>
    <row r="75" spans="1:21">
      <c r="A75" t="str">
        <f t="shared" si="17"/>
        <v>MEM0074</v>
      </c>
      <c r="B75" t="str">
        <f ca="1">INDEX('Name pool'!A:A, RANDBETWEEN(2, COUNTA('Name pool'!A:A))) &amp; " " &amp; INDEX('Name pool'!B:B, RANDBETWEEN(2, COUNTA('Name pool'!B:B)))</f>
        <v>Swathi Das</v>
      </c>
      <c r="C75" t="s">
        <v>119</v>
      </c>
      <c r="D75" t="str">
        <f t="shared" ca="1" si="16"/>
        <v>BR07</v>
      </c>
      <c r="E75" t="str">
        <f t="shared" ca="1" si="11"/>
        <v>Basic</v>
      </c>
      <c r="F75" s="2">
        <v>45243</v>
      </c>
      <c r="G75" s="2">
        <v>45608</v>
      </c>
      <c r="H75">
        <v>1000</v>
      </c>
      <c r="I75">
        <f t="shared" ca="1" si="12"/>
        <v>8000</v>
      </c>
      <c r="J75">
        <v>8</v>
      </c>
      <c r="K75" t="str">
        <f t="shared" ca="1" si="13"/>
        <v>Yes</v>
      </c>
      <c r="L75" t="str">
        <f t="shared" ca="1" si="14"/>
        <v>Muscle Gain</v>
      </c>
      <c r="M75" t="str">
        <f t="shared" ca="1" si="15"/>
        <v>Active</v>
      </c>
      <c r="N75" s="2">
        <v>45664</v>
      </c>
      <c r="Q75" t="str">
        <f ca="1">IF(RAND()&lt;0.2,
    IF(RAND()&lt;0.5, LOWER(C75), UPPER(C75)),
    C75
)</f>
        <v>bangalore</v>
      </c>
      <c r="R75">
        <f t="shared" ca="1" si="18"/>
        <v>8</v>
      </c>
      <c r="S75">
        <f t="shared" ca="1" si="19"/>
        <v>1000</v>
      </c>
      <c r="T75">
        <f t="shared" ca="1" si="20"/>
        <v>45128</v>
      </c>
      <c r="U75" s="2">
        <f t="shared" ca="1" si="21"/>
        <v>45664</v>
      </c>
    </row>
    <row r="76" spans="1:21">
      <c r="A76" t="str">
        <f t="shared" si="17"/>
        <v>MEM0075</v>
      </c>
      <c r="B76" t="str">
        <f ca="1">INDEX('Name pool'!A:A, RANDBETWEEN(2, COUNTA('Name pool'!A:A))) &amp; " " &amp; INDEX('Name pool'!B:B, RANDBETWEEN(2, COUNTA('Name pool'!B:B)))</f>
        <v>Divya Nambiar</v>
      </c>
      <c r="C76" t="s">
        <v>73</v>
      </c>
      <c r="D76" t="str">
        <f t="shared" ca="1" si="16"/>
        <v>BR01</v>
      </c>
      <c r="E76" t="str">
        <f t="shared" ca="1" si="11"/>
        <v>Premium</v>
      </c>
      <c r="F76" s="2">
        <v>45762</v>
      </c>
      <c r="G76" s="2">
        <v>45792</v>
      </c>
      <c r="H76">
        <v>2000</v>
      </c>
      <c r="I76">
        <f t="shared" ca="1" si="12"/>
        <v>14000</v>
      </c>
      <c r="J76">
        <v>8</v>
      </c>
      <c r="K76" t="str">
        <f t="shared" ca="1" si="13"/>
        <v>No</v>
      </c>
      <c r="L76" t="str">
        <f t="shared" ca="1" si="14"/>
        <v>Weight Loss</v>
      </c>
      <c r="M76" t="str">
        <f t="shared" ca="1" si="15"/>
        <v>Active</v>
      </c>
      <c r="N76" s="2">
        <v>46054</v>
      </c>
      <c r="Q76" t="str">
        <f ca="1">IF(RAND()&lt;0.2,
    IF(RAND()&lt;0.5, LOWER(C76), UPPER(C76)),
    C76
)</f>
        <v>Kochi</v>
      </c>
      <c r="R76">
        <f t="shared" ca="1" si="18"/>
        <v>8</v>
      </c>
      <c r="S76">
        <f t="shared" ca="1" si="19"/>
        <v>2000</v>
      </c>
      <c r="T76">
        <f t="shared" ca="1" si="20"/>
        <v>45633</v>
      </c>
      <c r="U76" s="2">
        <f t="shared" ca="1" si="21"/>
        <v>46054</v>
      </c>
    </row>
    <row r="77" spans="1:21">
      <c r="A77" t="str">
        <f t="shared" si="17"/>
        <v>MEM0076</v>
      </c>
      <c r="B77" t="str">
        <f ca="1">INDEX('Name pool'!A:A, RANDBETWEEN(2, COUNTA('Name pool'!A:A))) &amp; " " &amp; INDEX('Name pool'!B:B, RANDBETWEEN(2, COUNTA('Name pool'!B:B)))</f>
        <v>Priya Malhotra</v>
      </c>
      <c r="C77" t="s">
        <v>83</v>
      </c>
      <c r="D77" t="str">
        <f t="shared" ca="1" si="16"/>
        <v>BR07</v>
      </c>
      <c r="E77" t="str">
        <f t="shared" ca="1" si="11"/>
        <v>Premium</v>
      </c>
      <c r="F77" s="2">
        <v>45803</v>
      </c>
      <c r="G77" s="2">
        <v>46168</v>
      </c>
      <c r="H77">
        <v>1000</v>
      </c>
      <c r="I77">
        <f t="shared" ca="1" si="12"/>
        <v>1000</v>
      </c>
      <c r="J77">
        <v>0</v>
      </c>
      <c r="K77" t="str">
        <f t="shared" ca="1" si="13"/>
        <v>Yes</v>
      </c>
      <c r="L77" t="str">
        <f t="shared" ca="1" si="14"/>
        <v>Muscle Gain</v>
      </c>
      <c r="M77" t="str">
        <f t="shared" ca="1" si="15"/>
        <v>Cancelled</v>
      </c>
      <c r="N77" s="2">
        <v>46015</v>
      </c>
      <c r="Q77" t="str">
        <f ca="1">IF(RAND()&lt;0.2,
    IF(RAND()&lt;0.5, LOWER(C77), UPPER(C77)),
    C77
)</f>
        <v>Trivandrum</v>
      </c>
      <c r="R77" t="str">
        <f t="shared" ca="1" si="18"/>
        <v>0 visits</v>
      </c>
      <c r="S77">
        <f t="shared" ca="1" si="19"/>
        <v>1000</v>
      </c>
      <c r="T77">
        <f t="shared" ca="1" si="20"/>
        <v>45373</v>
      </c>
      <c r="U77" s="2">
        <f t="shared" ca="1" si="21"/>
        <v>45847</v>
      </c>
    </row>
    <row r="78" spans="1:21">
      <c r="A78" t="str">
        <f t="shared" si="17"/>
        <v>MEM0077</v>
      </c>
      <c r="B78" t="str">
        <f ca="1">INDEX('Name pool'!A:A, RANDBETWEEN(2, COUNTA('Name pool'!A:A))) &amp; " " &amp; INDEX('Name pool'!B:B, RANDBETWEEN(2, COUNTA('Name pool'!B:B)))</f>
        <v>Riya Pillai</v>
      </c>
      <c r="C78" t="s">
        <v>75</v>
      </c>
      <c r="D78" t="str">
        <f t="shared" ca="1" si="16"/>
        <v>BR05</v>
      </c>
      <c r="E78" t="str">
        <f t="shared" ca="1" si="11"/>
        <v>Standard</v>
      </c>
      <c r="F78" s="2">
        <v>45964</v>
      </c>
      <c r="G78" s="2">
        <v>45994</v>
      </c>
      <c r="H78">
        <v>1000</v>
      </c>
      <c r="I78">
        <f t="shared" ca="1" si="12"/>
        <v>1000</v>
      </c>
      <c r="J78">
        <v>14</v>
      </c>
      <c r="K78" t="str">
        <f t="shared" ca="1" si="13"/>
        <v>No</v>
      </c>
      <c r="L78" t="str">
        <f t="shared" ca="1" si="14"/>
        <v>Muscle Gain</v>
      </c>
      <c r="M78" t="str">
        <f t="shared" ca="1" si="15"/>
        <v>Active</v>
      </c>
      <c r="N78" s="2">
        <v>45971</v>
      </c>
      <c r="Q78" t="str">
        <f ca="1">IF(RAND()&lt;0.2,
    IF(RAND()&lt;0.5, LOWER(C78), UPPER(C78)),
    C78
)</f>
        <v>Bangalore</v>
      </c>
      <c r="R78">
        <f t="shared" ca="1" si="18"/>
        <v>14</v>
      </c>
      <c r="S78">
        <f t="shared" ca="1" si="19"/>
        <v>1000</v>
      </c>
      <c r="T78">
        <f t="shared" ca="1" si="20"/>
        <v>45612</v>
      </c>
      <c r="U78" s="2">
        <f t="shared" ca="1" si="21"/>
        <v>45971</v>
      </c>
    </row>
    <row r="79" spans="1:21">
      <c r="A79" t="str">
        <f t="shared" si="17"/>
        <v>MEM0078</v>
      </c>
      <c r="B79" t="str">
        <f ca="1">INDEX('Name pool'!A:A, RANDBETWEEN(2, COUNTA('Name pool'!A:A))) &amp; " " &amp; INDEX('Name pool'!B:B, RANDBETWEEN(2, COUNTA('Name pool'!B:B)))</f>
        <v>Anjali Desai</v>
      </c>
      <c r="C79" t="s">
        <v>75</v>
      </c>
      <c r="D79" t="str">
        <f t="shared" ca="1" si="16"/>
        <v>BR05</v>
      </c>
      <c r="E79" t="str">
        <f t="shared" ca="1" si="11"/>
        <v>Standard</v>
      </c>
      <c r="F79" s="2">
        <v>45124</v>
      </c>
      <c r="G79" s="2">
        <v>45489</v>
      </c>
      <c r="H79">
        <v>3500</v>
      </c>
      <c r="I79">
        <f t="shared" ca="1" si="12"/>
        <v>38500</v>
      </c>
      <c r="J79">
        <v>20</v>
      </c>
      <c r="K79" t="str">
        <f t="shared" ca="1" si="13"/>
        <v>Yes</v>
      </c>
      <c r="L79" t="str">
        <f t="shared" ca="1" si="14"/>
        <v>General Fitness</v>
      </c>
      <c r="M79" t="str">
        <f t="shared" ca="1" si="15"/>
        <v>Active</v>
      </c>
      <c r="N79" s="2">
        <v>45171</v>
      </c>
      <c r="Q79" t="str">
        <f ca="1">IF(RAND()&lt;0.2,
    IF(RAND()&lt;0.5, LOWER(C79), UPPER(C79)),
    C79
)</f>
        <v>Bangalore</v>
      </c>
      <c r="R79" t="str">
        <f t="shared" ca="1" si="18"/>
        <v>20 visits</v>
      </c>
      <c r="S79">
        <f t="shared" ca="1" si="19"/>
        <v>3500</v>
      </c>
      <c r="T79">
        <f t="shared" ca="1" si="20"/>
        <v>45051</v>
      </c>
      <c r="U79" s="2">
        <f t="shared" ca="1" si="21"/>
        <v>45171</v>
      </c>
    </row>
    <row r="80" spans="1:21">
      <c r="A80" t="str">
        <f t="shared" si="17"/>
        <v>MEM0079</v>
      </c>
      <c r="B80" t="str">
        <f ca="1">INDEX('Name pool'!A:A, RANDBETWEEN(2, COUNTA('Name pool'!A:A))) &amp; " " &amp; INDEX('Name pool'!B:B, RANDBETWEEN(2, COUNTA('Name pool'!B:B)))</f>
        <v>Akash George</v>
      </c>
      <c r="C80" t="s">
        <v>79</v>
      </c>
      <c r="D80" t="str">
        <f t="shared" ca="1" si="16"/>
        <v>BR02</v>
      </c>
      <c r="E80" t="str">
        <f t="shared" ca="1" si="11"/>
        <v>Standard</v>
      </c>
      <c r="F80" s="2">
        <v>45868</v>
      </c>
      <c r="G80" s="2">
        <v>45958</v>
      </c>
      <c r="H80">
        <v>3500</v>
      </c>
      <c r="I80">
        <f t="shared" ca="1" si="12"/>
        <v>21000</v>
      </c>
      <c r="J80">
        <v>4</v>
      </c>
      <c r="K80" t="str">
        <f t="shared" ca="1" si="13"/>
        <v>Yes</v>
      </c>
      <c r="L80" t="str">
        <f t="shared" ca="1" si="14"/>
        <v>Weight Loss</v>
      </c>
      <c r="M80" t="str">
        <f t="shared" ca="1" si="15"/>
        <v>Cancelled</v>
      </c>
      <c r="N80" s="2">
        <v>45949</v>
      </c>
      <c r="Q80" t="str">
        <f ca="1">IF(RAND()&lt;0.2,
    IF(RAND()&lt;0.5, LOWER(C80), UPPER(C80)),
    C80
)</f>
        <v>hyderabad</v>
      </c>
      <c r="R80">
        <f t="shared" ca="1" si="18"/>
        <v>4</v>
      </c>
      <c r="S80">
        <f t="shared" ca="1" si="19"/>
        <v>3500</v>
      </c>
      <c r="T80">
        <f t="shared" ca="1" si="20"/>
        <v>45653</v>
      </c>
      <c r="U80" s="2">
        <f t="shared" ca="1" si="21"/>
        <v>45949</v>
      </c>
    </row>
    <row r="81" spans="1:21">
      <c r="A81" t="str">
        <f t="shared" si="17"/>
        <v>MEM0080</v>
      </c>
      <c r="B81" t="str">
        <f ca="1">INDEX('Name pool'!A:A, RANDBETWEEN(2, COUNTA('Name pool'!A:A))) &amp; " " &amp; INDEX('Name pool'!B:B, RANDBETWEEN(2, COUNTA('Name pool'!B:B)))</f>
        <v>Sneha Patel</v>
      </c>
      <c r="C81" t="s">
        <v>115</v>
      </c>
      <c r="D81" t="str">
        <f t="shared" ca="1" si="16"/>
        <v>BR05</v>
      </c>
      <c r="E81" t="str">
        <f t="shared" ca="1" si="11"/>
        <v>Premium</v>
      </c>
      <c r="F81" s="2">
        <v>45000</v>
      </c>
      <c r="G81" s="2">
        <v>45365</v>
      </c>
      <c r="H81">
        <v>3500</v>
      </c>
      <c r="I81">
        <f t="shared" ca="1" si="12"/>
        <v>38500</v>
      </c>
      <c r="J81" t="s">
        <v>122</v>
      </c>
      <c r="K81" t="str">
        <f t="shared" ca="1" si="13"/>
        <v>Yes</v>
      </c>
      <c r="L81" t="str">
        <f t="shared" ca="1" si="14"/>
        <v>General Fitness</v>
      </c>
      <c r="M81" t="str">
        <f t="shared" ca="1" si="15"/>
        <v>Active</v>
      </c>
      <c r="N81" s="2">
        <v>45842</v>
      </c>
      <c r="Q81" t="str">
        <f ca="1">IF(RAND()&lt;0.2,
    IF(RAND()&lt;0.5, LOWER(C81), UPPER(C81)),
    C81
)</f>
        <v>CHENNAI</v>
      </c>
      <c r="R81" t="str">
        <f t="shared" ca="1" si="18"/>
        <v>25 visits</v>
      </c>
      <c r="S81">
        <f t="shared" ca="1" si="19"/>
        <v>3500</v>
      </c>
      <c r="T81">
        <f t="shared" ca="1" si="20"/>
        <v>44975</v>
      </c>
      <c r="U81" s="2">
        <f t="shared" ca="1" si="21"/>
        <v>45842</v>
      </c>
    </row>
    <row r="82" spans="1:21">
      <c r="A82" t="str">
        <f t="shared" si="17"/>
        <v>MEM0081</v>
      </c>
      <c r="B82" t="str">
        <f ca="1">INDEX('Name pool'!A:A, RANDBETWEEN(2, COUNTA('Name pool'!A:A))) &amp; " " &amp; INDEX('Name pool'!B:B, RANDBETWEEN(2, COUNTA('Name pool'!B:B)))</f>
        <v>Sanjay Patel</v>
      </c>
      <c r="C82" t="s">
        <v>123</v>
      </c>
      <c r="D82" t="str">
        <f t="shared" ca="1" si="16"/>
        <v>BR03</v>
      </c>
      <c r="E82" t="str">
        <f t="shared" ca="1" si="11"/>
        <v>Standard</v>
      </c>
      <c r="F82" s="2">
        <v>45204</v>
      </c>
      <c r="G82" s="2">
        <v>45234</v>
      </c>
      <c r="H82">
        <v>3500</v>
      </c>
      <c r="I82">
        <f t="shared" ca="1" si="12"/>
        <v>28000</v>
      </c>
      <c r="J82">
        <v>23</v>
      </c>
      <c r="K82" t="str">
        <f t="shared" ca="1" si="13"/>
        <v>No</v>
      </c>
      <c r="L82" t="str">
        <f t="shared" ca="1" si="14"/>
        <v>General Fitness</v>
      </c>
      <c r="M82" t="str">
        <f t="shared" ca="1" si="15"/>
        <v>Active</v>
      </c>
      <c r="N82" s="2">
        <v>46063</v>
      </c>
      <c r="Q82" t="str">
        <f ca="1">IF(RAND()&lt;0.2,
    IF(RAND()&lt;0.5, LOWER(C82), UPPER(C82)),
    C82
)</f>
        <v>KOCHI</v>
      </c>
      <c r="R82">
        <f t="shared" ca="1" si="18"/>
        <v>23</v>
      </c>
      <c r="S82">
        <f t="shared" ca="1" si="19"/>
        <v>3500</v>
      </c>
      <c r="T82">
        <f t="shared" ca="1" si="20"/>
        <v>45267</v>
      </c>
      <c r="U82" s="2">
        <f t="shared" ca="1" si="21"/>
        <v>46063</v>
      </c>
    </row>
    <row r="83" spans="1:21">
      <c r="A83" t="str">
        <f t="shared" si="17"/>
        <v>MEM0082</v>
      </c>
      <c r="B83" t="str">
        <f ca="1">INDEX('Name pool'!A:A, RANDBETWEEN(2, COUNTA('Name pool'!A:A))) &amp; " " &amp; INDEX('Name pool'!B:B, RANDBETWEEN(2, COUNTA('Name pool'!B:B)))</f>
        <v>Aditya Singh</v>
      </c>
      <c r="C83" t="s">
        <v>75</v>
      </c>
      <c r="D83" t="str">
        <f t="shared" ca="1" si="16"/>
        <v>BR03</v>
      </c>
      <c r="E83" t="str">
        <f t="shared" ca="1" si="11"/>
        <v>Standard</v>
      </c>
      <c r="F83" s="2">
        <v>45686</v>
      </c>
      <c r="G83" s="2">
        <v>45716</v>
      </c>
      <c r="H83" t="s">
        <v>105</v>
      </c>
      <c r="I83">
        <f t="shared" ca="1" si="12"/>
        <v>7000</v>
      </c>
      <c r="J83">
        <v>20</v>
      </c>
      <c r="K83" t="str">
        <f t="shared" ca="1" si="13"/>
        <v>Yes</v>
      </c>
      <c r="L83" t="str">
        <f t="shared" ca="1" si="14"/>
        <v>Muscle Gain</v>
      </c>
      <c r="M83" t="str">
        <f t="shared" ca="1" si="15"/>
        <v>Active</v>
      </c>
      <c r="N83" s="2">
        <v>45949</v>
      </c>
      <c r="Q83" t="str">
        <f ca="1">IF(RAND()&lt;0.2,
    IF(RAND()&lt;0.5, LOWER(C83), UPPER(C83)),
    C83
)</f>
        <v>Bangalore</v>
      </c>
      <c r="R83">
        <f t="shared" ca="1" si="18"/>
        <v>20</v>
      </c>
      <c r="S83" t="str">
        <f t="shared" ca="1" si="19"/>
        <v>3500</v>
      </c>
      <c r="T83">
        <f t="shared" ca="1" si="20"/>
        <v>45491</v>
      </c>
      <c r="U83" s="2">
        <f t="shared" ca="1" si="21"/>
        <v>45949</v>
      </c>
    </row>
    <row r="84" spans="1:21">
      <c r="A84" t="str">
        <f t="shared" si="17"/>
        <v>MEM0083</v>
      </c>
      <c r="B84" t="str">
        <f ca="1">INDEX('Name pool'!A:A, RANDBETWEEN(2, COUNTA('Name pool'!A:A))) &amp; " " &amp; INDEX('Name pool'!B:B, RANDBETWEEN(2, COUNTA('Name pool'!B:B)))</f>
        <v>Aditya Malhotra</v>
      </c>
      <c r="C84" t="s">
        <v>83</v>
      </c>
      <c r="D84" t="str">
        <f t="shared" ca="1" si="16"/>
        <v>BR06</v>
      </c>
      <c r="E84" t="str">
        <f t="shared" ca="1" si="11"/>
        <v>Premium</v>
      </c>
      <c r="F84" s="2">
        <v>45756</v>
      </c>
      <c r="G84" s="2">
        <v>46121</v>
      </c>
      <c r="H84">
        <v>1000</v>
      </c>
      <c r="I84">
        <f t="shared" ca="1" si="12"/>
        <v>9000</v>
      </c>
      <c r="J84">
        <v>13</v>
      </c>
      <c r="K84" t="str">
        <f t="shared" ca="1" si="13"/>
        <v>No</v>
      </c>
      <c r="L84" t="str">
        <f t="shared" ca="1" si="14"/>
        <v>General Fitness</v>
      </c>
      <c r="M84" t="str">
        <f t="shared" ca="1" si="15"/>
        <v>Active</v>
      </c>
      <c r="N84" s="2">
        <v>46055</v>
      </c>
      <c r="Q84" t="str">
        <f ca="1">IF(RAND()&lt;0.2,
    IF(RAND()&lt;0.5, LOWER(C84), UPPER(C84)),
    C84
)</f>
        <v>Trivandrum</v>
      </c>
      <c r="R84" t="str">
        <f t="shared" ca="1" si="18"/>
        <v>13 visits</v>
      </c>
      <c r="S84">
        <f t="shared" ca="1" si="19"/>
        <v>1000</v>
      </c>
      <c r="T84">
        <f t="shared" ca="1" si="20"/>
        <v>45030</v>
      </c>
      <c r="U84" s="2">
        <f t="shared" ca="1" si="21"/>
        <v>46055</v>
      </c>
    </row>
    <row r="85" spans="1:21">
      <c r="A85" t="str">
        <f t="shared" si="17"/>
        <v>MEM0084</v>
      </c>
      <c r="B85" t="str">
        <f ca="1">INDEX('Name pool'!A:A, RANDBETWEEN(2, COUNTA('Name pool'!A:A))) &amp; " " &amp; INDEX('Name pool'!B:B, RANDBETWEEN(2, COUNTA('Name pool'!B:B)))</f>
        <v>Sanjay George</v>
      </c>
      <c r="C85" t="s">
        <v>73</v>
      </c>
      <c r="D85" t="str">
        <f t="shared" ca="1" si="16"/>
        <v>BR02</v>
      </c>
      <c r="E85" t="str">
        <f t="shared" ca="1" si="11"/>
        <v>Basic</v>
      </c>
      <c r="F85" s="2">
        <v>45832</v>
      </c>
      <c r="G85" s="2">
        <v>45922</v>
      </c>
      <c r="H85">
        <v>2000</v>
      </c>
      <c r="I85">
        <f t="shared" ca="1" si="12"/>
        <v>8000</v>
      </c>
      <c r="J85">
        <v>7</v>
      </c>
      <c r="K85" t="str">
        <f t="shared" ca="1" si="13"/>
        <v>No</v>
      </c>
      <c r="L85" t="str">
        <f t="shared" ca="1" si="14"/>
        <v>Muscle Gain</v>
      </c>
      <c r="M85" t="str">
        <f t="shared" ca="1" si="15"/>
        <v>Active</v>
      </c>
      <c r="N85" s="2">
        <v>46003</v>
      </c>
      <c r="Q85" t="str">
        <f ca="1">IF(RAND()&lt;0.2,
    IF(RAND()&lt;0.5, LOWER(C85), UPPER(C85)),
    C85
)</f>
        <v>KOCHI</v>
      </c>
      <c r="R85">
        <f t="shared" ca="1" si="18"/>
        <v>7</v>
      </c>
      <c r="S85">
        <f t="shared" ca="1" si="19"/>
        <v>2000</v>
      </c>
      <c r="T85">
        <f t="shared" ca="1" si="20"/>
        <v>45045</v>
      </c>
      <c r="U85" s="2">
        <f t="shared" ca="1" si="21"/>
        <v>46003</v>
      </c>
    </row>
    <row r="86" spans="1:21">
      <c r="A86" t="str">
        <f t="shared" si="17"/>
        <v>MEM0085</v>
      </c>
      <c r="B86" t="str">
        <f ca="1">INDEX('Name pool'!A:A, RANDBETWEEN(2, COUNTA('Name pool'!A:A))) &amp; " " &amp; INDEX('Name pool'!B:B, RANDBETWEEN(2, COUNTA('Name pool'!B:B)))</f>
        <v>Shreya Banerjee</v>
      </c>
      <c r="C86" t="s">
        <v>85</v>
      </c>
      <c r="D86" t="str">
        <f t="shared" ca="1" si="16"/>
        <v>BR07</v>
      </c>
      <c r="E86" t="str">
        <f t="shared" ca="1" si="11"/>
        <v>Basic</v>
      </c>
      <c r="F86" s="2">
        <v>45764</v>
      </c>
      <c r="G86" s="2">
        <v>45854</v>
      </c>
      <c r="H86">
        <v>1000</v>
      </c>
      <c r="I86">
        <f t="shared" ca="1" si="12"/>
        <v>2000</v>
      </c>
      <c r="J86">
        <v>20</v>
      </c>
      <c r="K86" t="str">
        <f t="shared" ca="1" si="13"/>
        <v>Yes</v>
      </c>
      <c r="L86" t="str">
        <f t="shared" ca="1" si="14"/>
        <v>Weight Loss</v>
      </c>
      <c r="M86" t="str">
        <f t="shared" ca="1" si="15"/>
        <v>Active</v>
      </c>
      <c r="N86" s="2">
        <v>46029</v>
      </c>
      <c r="Q86" t="str">
        <f ca="1">IF(RAND()&lt;0.2,
    IF(RAND()&lt;0.5, LOWER(C86), UPPER(C86)),
    C86
)</f>
        <v>Calicut</v>
      </c>
      <c r="R86">
        <f t="shared" ca="1" si="18"/>
        <v>20</v>
      </c>
      <c r="S86">
        <f t="shared" ca="1" si="19"/>
        <v>1000</v>
      </c>
      <c r="T86">
        <f t="shared" ca="1" si="20"/>
        <v>46007</v>
      </c>
      <c r="U86" s="2">
        <f t="shared" ca="1" si="21"/>
        <v>46029</v>
      </c>
    </row>
    <row r="87" spans="1:21">
      <c r="A87" t="str">
        <f t="shared" si="17"/>
        <v>MEM0086</v>
      </c>
      <c r="B87" t="str">
        <f ca="1">INDEX('Name pool'!A:A, RANDBETWEEN(2, COUNTA('Name pool'!A:A))) &amp; " " &amp; INDEX('Name pool'!B:B, RANDBETWEEN(2, COUNTA('Name pool'!B:B)))</f>
        <v>Nisha Reddy</v>
      </c>
      <c r="C87" t="s">
        <v>81</v>
      </c>
      <c r="D87" t="str">
        <f t="shared" ca="1" si="16"/>
        <v>BR01</v>
      </c>
      <c r="E87" t="str">
        <f t="shared" ca="1" si="11"/>
        <v>Premium</v>
      </c>
      <c r="F87" s="2">
        <v>45938</v>
      </c>
      <c r="G87" s="2">
        <v>46028</v>
      </c>
      <c r="H87">
        <v>2000</v>
      </c>
      <c r="I87">
        <f t="shared" ca="1" si="12"/>
        <v>12000</v>
      </c>
      <c r="J87">
        <v>25</v>
      </c>
      <c r="K87" t="str">
        <f t="shared" ca="1" si="13"/>
        <v>No</v>
      </c>
      <c r="L87" t="str">
        <f t="shared" ca="1" si="14"/>
        <v>Muscle Gain</v>
      </c>
      <c r="M87" t="str">
        <f t="shared" ca="1" si="15"/>
        <v>Active</v>
      </c>
      <c r="N87" s="2">
        <v>45944</v>
      </c>
      <c r="Q87" t="str">
        <f ca="1">IF(RAND()&lt;0.2,
    IF(RAND()&lt;0.5, LOWER(C87), UPPER(C87)),
    C87
)</f>
        <v>Mumbai</v>
      </c>
      <c r="R87">
        <f t="shared" ca="1" si="18"/>
        <v>25</v>
      </c>
      <c r="S87">
        <f t="shared" ca="1" si="19"/>
        <v>2000</v>
      </c>
      <c r="T87">
        <f t="shared" ca="1" si="20"/>
        <v>45905</v>
      </c>
      <c r="U87" s="2">
        <f t="shared" ca="1" si="21"/>
        <v>45944</v>
      </c>
    </row>
    <row r="88" spans="1:21">
      <c r="A88" t="str">
        <f t="shared" si="17"/>
        <v>MEM0087</v>
      </c>
      <c r="B88" t="str">
        <f ca="1">INDEX('Name pool'!A:A, RANDBETWEEN(2, COUNTA('Name pool'!A:A))) &amp; " " &amp; INDEX('Name pool'!B:B, RANDBETWEEN(2, COUNTA('Name pool'!B:B)))</f>
        <v>Kavya Iyer</v>
      </c>
      <c r="C88" t="s">
        <v>124</v>
      </c>
      <c r="D88" t="str">
        <f t="shared" ca="1" si="16"/>
        <v>BR06</v>
      </c>
      <c r="E88" t="str">
        <f t="shared" ca="1" si="11"/>
        <v>Premium</v>
      </c>
      <c r="F88" s="2">
        <v>45087</v>
      </c>
      <c r="G88" s="2">
        <v>45117</v>
      </c>
      <c r="H88">
        <v>1000</v>
      </c>
      <c r="I88">
        <f t="shared" ca="1" si="12"/>
        <v>1000</v>
      </c>
      <c r="J88">
        <v>18</v>
      </c>
      <c r="K88" t="str">
        <f t="shared" ca="1" si="13"/>
        <v>Yes</v>
      </c>
      <c r="L88" t="str">
        <f t="shared" ca="1" si="14"/>
        <v>Weight Loss</v>
      </c>
      <c r="M88" t="str">
        <f t="shared" ca="1" si="15"/>
        <v>Active</v>
      </c>
      <c r="N88" s="2">
        <v>45655</v>
      </c>
      <c r="Q88" t="str">
        <f ca="1">IF(RAND()&lt;0.2,
    IF(RAND()&lt;0.5, LOWER(C88), UPPER(C88)),
    C88
)</f>
        <v>chennai</v>
      </c>
      <c r="R88">
        <f t="shared" ca="1" si="18"/>
        <v>18</v>
      </c>
      <c r="S88">
        <f t="shared" ca="1" si="19"/>
        <v>1000</v>
      </c>
      <c r="T88">
        <f t="shared" ca="1" si="20"/>
        <v>45489</v>
      </c>
      <c r="U88" s="2">
        <f t="shared" ca="1" si="21"/>
        <v>45655</v>
      </c>
    </row>
    <row r="89" spans="1:21">
      <c r="A89" t="str">
        <f t="shared" si="17"/>
        <v>MEM0088</v>
      </c>
      <c r="B89" t="str">
        <f ca="1">INDEX('Name pool'!A:A, RANDBETWEEN(2, COUNTA('Name pool'!A:A))) &amp; " " &amp; INDEX('Name pool'!B:B, RANDBETWEEN(2, COUNTA('Name pool'!B:B)))</f>
        <v>Anu Nambiar</v>
      </c>
      <c r="C89" t="s">
        <v>81</v>
      </c>
      <c r="D89" t="str">
        <f t="shared" ca="1" si="16"/>
        <v>BR02</v>
      </c>
      <c r="E89" t="str">
        <f t="shared" ca="1" si="11"/>
        <v>Premium</v>
      </c>
      <c r="F89" s="2">
        <v>45500</v>
      </c>
      <c r="G89" s="2">
        <v>45865</v>
      </c>
      <c r="H89">
        <v>2000</v>
      </c>
      <c r="I89">
        <f t="shared" ca="1" si="12"/>
        <v>18000</v>
      </c>
      <c r="J89">
        <v>4</v>
      </c>
      <c r="K89" t="str">
        <f t="shared" ca="1" si="13"/>
        <v>Yes</v>
      </c>
      <c r="L89" t="str">
        <f t="shared" ca="1" si="14"/>
        <v>Muscle Gain</v>
      </c>
      <c r="M89" t="str">
        <f t="shared" ca="1" si="15"/>
        <v>Cancelled</v>
      </c>
      <c r="N89" s="2">
        <v>45511</v>
      </c>
      <c r="Q89" t="str">
        <f ca="1">IF(RAND()&lt;0.2,
    IF(RAND()&lt;0.5, LOWER(C89), UPPER(C89)),
    C89
)</f>
        <v>Mumbai</v>
      </c>
      <c r="R89">
        <f t="shared" ca="1" si="18"/>
        <v>4</v>
      </c>
      <c r="S89">
        <f t="shared" ca="1" si="19"/>
        <v>2000</v>
      </c>
      <c r="T89">
        <f t="shared" ca="1" si="20"/>
        <v>45235</v>
      </c>
      <c r="U89" s="2">
        <f t="shared" ca="1" si="21"/>
        <v>45511</v>
      </c>
    </row>
    <row r="90" spans="1:21">
      <c r="A90" t="str">
        <f t="shared" si="17"/>
        <v>MEM0089</v>
      </c>
      <c r="B90" t="str">
        <f ca="1">INDEX('Name pool'!A:A, RANDBETWEEN(2, COUNTA('Name pool'!A:A))) &amp; " " &amp; INDEX('Name pool'!B:B, RANDBETWEEN(2, COUNTA('Name pool'!B:B)))</f>
        <v>Ishita Nair</v>
      </c>
      <c r="C90" t="s">
        <v>83</v>
      </c>
      <c r="D90" t="str">
        <f t="shared" ca="1" si="16"/>
        <v>BR03</v>
      </c>
      <c r="E90" t="str">
        <f t="shared" ca="1" si="11"/>
        <v>Premium</v>
      </c>
      <c r="F90" s="2">
        <v>45834</v>
      </c>
      <c r="G90" s="2">
        <v>46199</v>
      </c>
      <c r="H90">
        <v>2000</v>
      </c>
      <c r="I90">
        <f t="shared" ca="1" si="12"/>
        <v>4000</v>
      </c>
      <c r="J90">
        <v>18</v>
      </c>
      <c r="K90" t="str">
        <f t="shared" ca="1" si="13"/>
        <v>No</v>
      </c>
      <c r="L90" t="str">
        <f t="shared" ca="1" si="14"/>
        <v>Weight Loss</v>
      </c>
      <c r="M90" t="str">
        <f t="shared" ca="1" si="15"/>
        <v>Active</v>
      </c>
      <c r="N90" s="2">
        <v>46099</v>
      </c>
      <c r="Q90" t="str">
        <f ca="1">IF(RAND()&lt;0.2,
    IF(RAND()&lt;0.5, LOWER(C90), UPPER(C90)),
    C90
)</f>
        <v>Trivandrum</v>
      </c>
      <c r="R90" t="str">
        <f t="shared" ca="1" si="18"/>
        <v>18 visits</v>
      </c>
      <c r="S90">
        <f t="shared" ca="1" si="19"/>
        <v>2000</v>
      </c>
      <c r="T90">
        <f t="shared" ca="1" si="20"/>
        <v>45700</v>
      </c>
      <c r="U90" s="2">
        <f t="shared" ca="1" si="21"/>
        <v>46099</v>
      </c>
    </row>
    <row r="91" spans="1:21">
      <c r="A91" t="str">
        <f t="shared" si="17"/>
        <v>MEM0090</v>
      </c>
      <c r="B91" t="str">
        <f ca="1">INDEX('Name pool'!A:A, RANDBETWEEN(2, COUNTA('Name pool'!A:A))) &amp; " " &amp; INDEX('Name pool'!B:B, RANDBETWEEN(2, COUNTA('Name pool'!B:B)))</f>
        <v>Ankit Pillai</v>
      </c>
      <c r="C91" t="s">
        <v>83</v>
      </c>
      <c r="D91" t="str">
        <f t="shared" ca="1" si="16"/>
        <v>BR01</v>
      </c>
      <c r="E91" t="str">
        <f t="shared" ca="1" si="11"/>
        <v>Basic</v>
      </c>
      <c r="F91" s="2">
        <v>45862</v>
      </c>
      <c r="G91" s="2">
        <v>45952</v>
      </c>
      <c r="H91">
        <v>3500</v>
      </c>
      <c r="I91">
        <f t="shared" ca="1" si="12"/>
        <v>42000</v>
      </c>
      <c r="J91">
        <v>9</v>
      </c>
      <c r="K91" t="str">
        <f t="shared" ca="1" si="13"/>
        <v>Yes</v>
      </c>
      <c r="L91" t="str">
        <f t="shared" ca="1" si="14"/>
        <v>Muscle Gain</v>
      </c>
      <c r="M91" t="str">
        <f t="shared" ca="1" si="15"/>
        <v>Active</v>
      </c>
      <c r="N91" s="2">
        <v>45994</v>
      </c>
      <c r="Q91" t="str">
        <f ca="1">IF(RAND()&lt;0.2,
    IF(RAND()&lt;0.5, LOWER(C91), UPPER(C91)),
    C91
)</f>
        <v>Trivandrum</v>
      </c>
      <c r="R91" t="str">
        <f t="shared" ca="1" si="18"/>
        <v>9 visits</v>
      </c>
      <c r="S91" t="str">
        <f t="shared" ca="1" si="19"/>
        <v>3500</v>
      </c>
      <c r="T91">
        <f t="shared" ca="1" si="20"/>
        <v>45138</v>
      </c>
      <c r="U91" s="2">
        <f t="shared" ca="1" si="21"/>
        <v>45994</v>
      </c>
    </row>
    <row r="92" spans="1:21">
      <c r="A92" t="str">
        <f t="shared" si="17"/>
        <v>MEM0091</v>
      </c>
      <c r="B92" t="str">
        <f ca="1">INDEX('Name pool'!A:A, RANDBETWEEN(2, COUNTA('Name pool'!A:A))) &amp; " " &amp; INDEX('Name pool'!B:B, RANDBETWEEN(2, COUNTA('Name pool'!B:B)))</f>
        <v>Tanvi Singh</v>
      </c>
      <c r="C92" t="s">
        <v>73</v>
      </c>
      <c r="D92" t="str">
        <f t="shared" ca="1" si="16"/>
        <v>BR01</v>
      </c>
      <c r="E92" t="str">
        <f t="shared" ca="1" si="11"/>
        <v>Basic</v>
      </c>
      <c r="F92" s="2">
        <v>45869</v>
      </c>
      <c r="G92" s="2">
        <v>45959</v>
      </c>
      <c r="H92">
        <v>1000</v>
      </c>
      <c r="I92">
        <f t="shared" ca="1" si="12"/>
        <v>8000</v>
      </c>
      <c r="J92">
        <v>1</v>
      </c>
      <c r="K92" t="str">
        <f t="shared" ca="1" si="13"/>
        <v>Yes</v>
      </c>
      <c r="L92" t="str">
        <f t="shared" ca="1" si="14"/>
        <v>Weight Loss</v>
      </c>
      <c r="M92" t="str">
        <f t="shared" ca="1" si="15"/>
        <v>Cancelled</v>
      </c>
      <c r="N92" s="2">
        <v>45889</v>
      </c>
      <c r="Q92" t="str">
        <f ca="1">IF(RAND()&lt;0.2,
    IF(RAND()&lt;0.5, LOWER(C92), UPPER(C92)),
    C92
)</f>
        <v>Kochi</v>
      </c>
      <c r="R92">
        <f t="shared" ca="1" si="18"/>
        <v>1</v>
      </c>
      <c r="S92">
        <f t="shared" ca="1" si="19"/>
        <v>1000</v>
      </c>
      <c r="T92">
        <f t="shared" ca="1" si="20"/>
        <v>46051</v>
      </c>
      <c r="U92" s="2">
        <f t="shared" ca="1" si="21"/>
        <v>45889</v>
      </c>
    </row>
    <row r="93" spans="1:21">
      <c r="A93" t="str">
        <f t="shared" si="17"/>
        <v>MEM0092</v>
      </c>
      <c r="B93" t="str">
        <f ca="1">INDEX('Name pool'!A:A, RANDBETWEEN(2, COUNTA('Name pool'!A:A))) &amp; " " &amp; INDEX('Name pool'!B:B, RANDBETWEEN(2, COUNTA('Name pool'!B:B)))</f>
        <v>Ayesha Nambiar</v>
      </c>
      <c r="C93" t="s">
        <v>81</v>
      </c>
      <c r="D93" t="str">
        <f t="shared" ca="1" si="16"/>
        <v>BR02</v>
      </c>
      <c r="E93" t="str">
        <f t="shared" ca="1" si="11"/>
        <v>Premium</v>
      </c>
      <c r="F93" s="2">
        <v>45874</v>
      </c>
      <c r="G93" s="2">
        <v>45904</v>
      </c>
      <c r="H93">
        <v>3500</v>
      </c>
      <c r="I93">
        <f t="shared" ca="1" si="12"/>
        <v>17500</v>
      </c>
      <c r="J93">
        <v>3</v>
      </c>
      <c r="K93" t="str">
        <f t="shared" ca="1" si="13"/>
        <v>No</v>
      </c>
      <c r="L93" t="str">
        <f t="shared" ca="1" si="14"/>
        <v>Weight Loss</v>
      </c>
      <c r="M93" t="str">
        <f t="shared" ca="1" si="15"/>
        <v>Cancelled</v>
      </c>
      <c r="N93" s="2">
        <v>45910</v>
      </c>
      <c r="Q93" t="str">
        <f ca="1">IF(RAND()&lt;0.2,
    IF(RAND()&lt;0.5, LOWER(C93), UPPER(C93)),
    C93
)</f>
        <v>MUMBAI</v>
      </c>
      <c r="R93">
        <f t="shared" ca="1" si="18"/>
        <v>3</v>
      </c>
      <c r="S93">
        <f t="shared" ca="1" si="19"/>
        <v>3500</v>
      </c>
      <c r="T93">
        <f t="shared" ca="1" si="20"/>
        <v>45268</v>
      </c>
      <c r="U93" s="2">
        <f t="shared" ca="1" si="21"/>
        <v>45910</v>
      </c>
    </row>
    <row r="94" spans="1:21">
      <c r="A94" t="str">
        <f t="shared" si="17"/>
        <v>MEM0093</v>
      </c>
      <c r="B94" t="str">
        <f ca="1">INDEX('Name pool'!A:A, RANDBETWEEN(2, COUNTA('Name pool'!A:A))) &amp; " " &amp; INDEX('Name pool'!B:B, RANDBETWEEN(2, COUNTA('Name pool'!B:B)))</f>
        <v>Neha Shetty</v>
      </c>
      <c r="C94" t="s">
        <v>115</v>
      </c>
      <c r="D94" t="str">
        <f t="shared" ca="1" si="16"/>
        <v>BR06</v>
      </c>
      <c r="E94" t="str">
        <f t="shared" ca="1" si="11"/>
        <v>Standard</v>
      </c>
      <c r="F94" s="2">
        <v>45277</v>
      </c>
      <c r="G94" s="2">
        <v>45307</v>
      </c>
      <c r="H94">
        <v>3500</v>
      </c>
      <c r="I94">
        <f t="shared" ca="1" si="12"/>
        <v>38500</v>
      </c>
      <c r="J94">
        <v>15</v>
      </c>
      <c r="K94" t="str">
        <f t="shared" ca="1" si="13"/>
        <v>No</v>
      </c>
      <c r="L94" t="str">
        <f t="shared" ca="1" si="14"/>
        <v>General Fitness</v>
      </c>
      <c r="M94" t="str">
        <f t="shared" ca="1" si="15"/>
        <v>Active</v>
      </c>
      <c r="N94" s="2">
        <v>45927</v>
      </c>
      <c r="Q94" t="str">
        <f ca="1">IF(RAND()&lt;0.2,
    IF(RAND()&lt;0.5, LOWER(C94), UPPER(C94)),
    C94
)</f>
        <v>CHENNAI</v>
      </c>
      <c r="R94">
        <f t="shared" ca="1" si="18"/>
        <v>15</v>
      </c>
      <c r="S94" t="str">
        <f t="shared" ca="1" si="19"/>
        <v>3500</v>
      </c>
      <c r="T94">
        <f t="shared" ca="1" si="20"/>
        <v>45053</v>
      </c>
      <c r="U94" s="2">
        <f t="shared" ca="1" si="21"/>
        <v>45927</v>
      </c>
    </row>
    <row r="95" spans="1:21">
      <c r="A95" t="str">
        <f t="shared" si="17"/>
        <v>MEM0094</v>
      </c>
      <c r="B95" t="str">
        <f ca="1">INDEX('Name pool'!A:A, RANDBETWEEN(2, COUNTA('Name pool'!A:A))) &amp; " " &amp; INDEX('Name pool'!B:B, RANDBETWEEN(2, COUNTA('Name pool'!B:B)))</f>
        <v>Rohit Fernandes</v>
      </c>
      <c r="C95" t="s">
        <v>83</v>
      </c>
      <c r="D95" t="str">
        <f t="shared" ca="1" si="16"/>
        <v>BR02</v>
      </c>
      <c r="E95" t="str">
        <f t="shared" ca="1" si="11"/>
        <v>Basic</v>
      </c>
      <c r="F95" s="2">
        <v>45368</v>
      </c>
      <c r="G95" s="2">
        <v>45398</v>
      </c>
      <c r="H95">
        <v>2000</v>
      </c>
      <c r="I95">
        <f t="shared" ca="1" si="12"/>
        <v>12000</v>
      </c>
      <c r="J95">
        <v>8</v>
      </c>
      <c r="K95" t="str">
        <f t="shared" ca="1" si="13"/>
        <v>No</v>
      </c>
      <c r="L95" t="str">
        <f t="shared" ca="1" si="14"/>
        <v>Muscle Gain</v>
      </c>
      <c r="M95" t="str">
        <f t="shared" ca="1" si="15"/>
        <v>Active</v>
      </c>
      <c r="N95" s="2">
        <v>45935</v>
      </c>
      <c r="Q95" t="str">
        <f ca="1">IF(RAND()&lt;0.2,
    IF(RAND()&lt;0.5, LOWER(C95), UPPER(C95)),
    C95
)</f>
        <v>Trivandrum</v>
      </c>
      <c r="R95">
        <f t="shared" ca="1" si="18"/>
        <v>8</v>
      </c>
      <c r="S95">
        <f t="shared" ca="1" si="19"/>
        <v>2000</v>
      </c>
      <c r="T95">
        <f t="shared" ca="1" si="20"/>
        <v>45227</v>
      </c>
      <c r="U95" s="2">
        <f t="shared" ca="1" si="21"/>
        <v>45935</v>
      </c>
    </row>
    <row r="96" spans="1:21">
      <c r="A96" t="str">
        <f t="shared" si="17"/>
        <v>MEM0095</v>
      </c>
      <c r="B96" t="str">
        <f ca="1">INDEX('Name pool'!A:A, RANDBETWEEN(2, COUNTA('Name pool'!A:A))) &amp; " " &amp; INDEX('Name pool'!B:B, RANDBETWEEN(2, COUNTA('Name pool'!B:B)))</f>
        <v>Meera Nambiar</v>
      </c>
      <c r="C96" t="s">
        <v>115</v>
      </c>
      <c r="D96" t="str">
        <f t="shared" ca="1" si="16"/>
        <v>BR02</v>
      </c>
      <c r="E96" t="str">
        <f t="shared" ca="1" si="11"/>
        <v>Basic</v>
      </c>
      <c r="F96" s="2">
        <v>45366</v>
      </c>
      <c r="G96" s="2">
        <v>45396</v>
      </c>
      <c r="H96">
        <v>2000</v>
      </c>
      <c r="I96">
        <f t="shared" ca="1" si="12"/>
        <v>10000</v>
      </c>
      <c r="J96">
        <v>24</v>
      </c>
      <c r="K96" t="str">
        <f t="shared" ca="1" si="13"/>
        <v>No</v>
      </c>
      <c r="L96" t="str">
        <f t="shared" ca="1" si="14"/>
        <v>Muscle Gain</v>
      </c>
      <c r="M96" t="str">
        <f t="shared" ca="1" si="15"/>
        <v>Active</v>
      </c>
      <c r="N96" s="2">
        <v>45820</v>
      </c>
      <c r="Q96" t="str">
        <f ca="1">IF(RAND()&lt;0.2,
    IF(RAND()&lt;0.5, LOWER(C96), UPPER(C96)),
    C96
)</f>
        <v>CHENNAI</v>
      </c>
      <c r="R96">
        <f t="shared" ca="1" si="18"/>
        <v>24</v>
      </c>
      <c r="S96">
        <f t="shared" ca="1" si="19"/>
        <v>2000</v>
      </c>
      <c r="T96">
        <f t="shared" ca="1" si="20"/>
        <v>45204</v>
      </c>
      <c r="U96" s="2">
        <f t="shared" ca="1" si="21"/>
        <v>45820</v>
      </c>
    </row>
    <row r="97" spans="1:21">
      <c r="A97" t="str">
        <f t="shared" si="17"/>
        <v>MEM0096</v>
      </c>
      <c r="B97" t="str">
        <f ca="1">INDEX('Name pool'!A:A, RANDBETWEEN(2, COUNTA('Name pool'!A:A))) &amp; " " &amp; INDEX('Name pool'!B:B, RANDBETWEEN(2, COUNTA('Name pool'!B:B)))</f>
        <v>Nikhil Kulkarni</v>
      </c>
      <c r="C97" t="s">
        <v>81</v>
      </c>
      <c r="D97" t="str">
        <f t="shared" ca="1" si="16"/>
        <v>BR02</v>
      </c>
      <c r="E97" t="str">
        <f t="shared" ca="1" si="11"/>
        <v>Basic</v>
      </c>
      <c r="F97" s="2">
        <v>45780</v>
      </c>
      <c r="G97" s="2">
        <v>45810</v>
      </c>
      <c r="H97">
        <v>2000</v>
      </c>
      <c r="I97">
        <f t="shared" ca="1" si="12"/>
        <v>8000</v>
      </c>
      <c r="J97">
        <v>5</v>
      </c>
      <c r="K97" t="str">
        <f t="shared" ca="1" si="13"/>
        <v>Yes</v>
      </c>
      <c r="L97" t="str">
        <f t="shared" ca="1" si="14"/>
        <v>Weight Loss</v>
      </c>
      <c r="M97" t="str">
        <f t="shared" ca="1" si="15"/>
        <v>Active</v>
      </c>
      <c r="N97" s="2">
        <v>45909</v>
      </c>
      <c r="Q97" t="str">
        <f ca="1">IF(RAND()&lt;0.2,
    IF(RAND()&lt;0.5, LOWER(C97), UPPER(C97)),
    C97
)</f>
        <v>Mumbai</v>
      </c>
      <c r="R97" t="str">
        <f t="shared" ca="1" si="18"/>
        <v>5 visits</v>
      </c>
      <c r="S97">
        <f t="shared" ca="1" si="19"/>
        <v>2000</v>
      </c>
      <c r="T97">
        <f t="shared" ca="1" si="20"/>
        <v>45227</v>
      </c>
      <c r="U97" s="2">
        <f t="shared" ca="1" si="21"/>
        <v>45909</v>
      </c>
    </row>
    <row r="98" spans="1:21">
      <c r="A98" t="str">
        <f t="shared" si="17"/>
        <v>MEM0097</v>
      </c>
      <c r="B98" t="str">
        <f ca="1">INDEX('Name pool'!A:A, RANDBETWEEN(2, COUNTA('Name pool'!A:A))) &amp; " " &amp; INDEX('Name pool'!B:B, RANDBETWEEN(2, COUNTA('Name pool'!B:B)))</f>
        <v>Neha Iyer</v>
      </c>
      <c r="C98" t="s">
        <v>73</v>
      </c>
      <c r="D98" t="str">
        <f t="shared" ca="1" si="16"/>
        <v>BR07</v>
      </c>
      <c r="E98" t="str">
        <f t="shared" ref="E98:E161" ca="1" si="22">CHOOSE(RANDBETWEEN(1,3),"Basic","Standard","Premium")</f>
        <v>Standard</v>
      </c>
      <c r="F98" s="2">
        <v>45176</v>
      </c>
      <c r="G98" s="2">
        <v>45541</v>
      </c>
      <c r="H98">
        <v>1000</v>
      </c>
      <c r="I98">
        <f t="shared" ref="I98:I161" ca="1" si="23">H98 * RANDBETWEEN(1,12)</f>
        <v>4000</v>
      </c>
      <c r="J98">
        <v>3</v>
      </c>
      <c r="K98" t="str">
        <f t="shared" ref="K98:K161" ca="1" si="24">CHOOSE(RANDBETWEEN(1,2),"Yes","No")</f>
        <v>Yes</v>
      </c>
      <c r="L98" t="str">
        <f t="shared" ref="L98:L161" ca="1" si="25">CHOOSE(RANDBETWEEN(1,3),"Weight Loss","Muscle Gain","General Fitness")</f>
        <v>General Fitness</v>
      </c>
      <c r="M98" t="str">
        <f t="shared" ref="M98:M161" ca="1" si="26">IF(J98&lt;5,IF(RANDBETWEEN(1,100)&lt;70,"Cancelled","Active"),"Active")</f>
        <v>Cancelled</v>
      </c>
      <c r="N98" s="2">
        <v>45685</v>
      </c>
      <c r="Q98" t="str">
        <f ca="1">IF(RAND()&lt;0.2,
    IF(RAND()&lt;0.5, LOWER(C98), UPPER(C98)),
    C98
)</f>
        <v>Kochi</v>
      </c>
      <c r="R98">
        <f t="shared" ca="1" si="18"/>
        <v>3</v>
      </c>
      <c r="S98">
        <f t="shared" ca="1" si="19"/>
        <v>1000</v>
      </c>
      <c r="T98">
        <f t="shared" ca="1" si="20"/>
        <v>45975</v>
      </c>
      <c r="U98" s="2">
        <f t="shared" ca="1" si="21"/>
        <v>45685</v>
      </c>
    </row>
    <row r="99" spans="1:21">
      <c r="A99" t="str">
        <f t="shared" si="17"/>
        <v>MEM0098</v>
      </c>
      <c r="B99" t="str">
        <f ca="1">INDEX('Name pool'!A:A, RANDBETWEEN(2, COUNTA('Name pool'!A:A))) &amp; " " &amp; INDEX('Name pool'!B:B, RANDBETWEEN(2, COUNTA('Name pool'!B:B)))</f>
        <v>Sneha Kulkarni</v>
      </c>
      <c r="C99" t="s">
        <v>81</v>
      </c>
      <c r="D99" t="str">
        <f t="shared" ca="1" si="16"/>
        <v>BR05</v>
      </c>
      <c r="E99" t="str">
        <f t="shared" ca="1" si="22"/>
        <v>Basic</v>
      </c>
      <c r="F99" s="2">
        <v>45747</v>
      </c>
      <c r="G99" s="2">
        <v>45837</v>
      </c>
      <c r="H99" t="s">
        <v>108</v>
      </c>
      <c r="I99">
        <f t="shared" ca="1" si="23"/>
        <v>2000</v>
      </c>
      <c r="J99">
        <v>11</v>
      </c>
      <c r="K99" t="str">
        <f t="shared" ca="1" si="24"/>
        <v>No</v>
      </c>
      <c r="L99" t="str">
        <f t="shared" ca="1" si="25"/>
        <v>Weight Loss</v>
      </c>
      <c r="M99" t="str">
        <f t="shared" ca="1" si="26"/>
        <v>Active</v>
      </c>
      <c r="N99" s="2">
        <v>45942</v>
      </c>
      <c r="Q99" t="str">
        <f ca="1">IF(RAND()&lt;0.2,
    IF(RAND()&lt;0.5, LOWER(C99), UPPER(C99)),
    C99
)</f>
        <v>Mumbai</v>
      </c>
      <c r="R99">
        <f t="shared" ca="1" si="18"/>
        <v>11</v>
      </c>
      <c r="S99" t="str">
        <f t="shared" ca="1" si="19"/>
        <v>1000</v>
      </c>
      <c r="T99">
        <f t="shared" ca="1" si="20"/>
        <v>44933</v>
      </c>
      <c r="U99" s="2">
        <f t="shared" ca="1" si="21"/>
        <v>45942</v>
      </c>
    </row>
    <row r="100" spans="1:21">
      <c r="A100" t="str">
        <f t="shared" si="17"/>
        <v>MEM0099</v>
      </c>
      <c r="B100" t="str">
        <f ca="1">INDEX('Name pool'!A:A, RANDBETWEEN(2, COUNTA('Name pool'!A:A))) &amp; " " &amp; INDEX('Name pool'!B:B, RANDBETWEEN(2, COUNTA('Name pool'!B:B)))</f>
        <v>Priya Khan</v>
      </c>
      <c r="C100" t="s">
        <v>77</v>
      </c>
      <c r="D100" t="str">
        <f t="shared" ca="1" si="16"/>
        <v>BR06</v>
      </c>
      <c r="E100" t="str">
        <f t="shared" ca="1" si="22"/>
        <v>Premium</v>
      </c>
      <c r="F100" s="2">
        <v>45393</v>
      </c>
      <c r="G100" s="2">
        <v>45758</v>
      </c>
      <c r="H100">
        <v>3500</v>
      </c>
      <c r="I100">
        <f t="shared" ca="1" si="23"/>
        <v>38500</v>
      </c>
      <c r="J100">
        <v>2</v>
      </c>
      <c r="K100" t="str">
        <f t="shared" ca="1" si="24"/>
        <v>Yes</v>
      </c>
      <c r="L100" t="str">
        <f t="shared" ca="1" si="25"/>
        <v>Muscle Gain</v>
      </c>
      <c r="M100" t="str">
        <f t="shared" ca="1" si="26"/>
        <v>Active</v>
      </c>
      <c r="N100" s="2">
        <v>45429</v>
      </c>
      <c r="Q100" t="str">
        <f ca="1">IF(RAND()&lt;0.2,
    IF(RAND()&lt;0.5, LOWER(C100), UPPER(C100)),
    C100
)</f>
        <v>Chennai</v>
      </c>
      <c r="R100">
        <f t="shared" ca="1" si="18"/>
        <v>2</v>
      </c>
      <c r="S100">
        <f t="shared" ca="1" si="19"/>
        <v>3500</v>
      </c>
      <c r="T100">
        <f t="shared" ca="1" si="20"/>
        <v>45543</v>
      </c>
      <c r="U100" s="2">
        <f t="shared" ca="1" si="21"/>
        <v>45429</v>
      </c>
    </row>
    <row r="101" spans="1:21">
      <c r="A101" t="str">
        <f t="shared" si="17"/>
        <v>MEM0100</v>
      </c>
      <c r="B101" t="str">
        <f ca="1">INDEX('Name pool'!A:A, RANDBETWEEN(2, COUNTA('Name pool'!A:A))) &amp; " " &amp; INDEX('Name pool'!B:B, RANDBETWEEN(2, COUNTA('Name pool'!B:B)))</f>
        <v>Deepak Das</v>
      </c>
      <c r="C101" t="s">
        <v>81</v>
      </c>
      <c r="D101" t="str">
        <f t="shared" ca="1" si="16"/>
        <v>BR01</v>
      </c>
      <c r="E101" t="str">
        <f t="shared" ca="1" si="22"/>
        <v>Standard</v>
      </c>
      <c r="F101" s="2">
        <v>45387</v>
      </c>
      <c r="G101" s="2">
        <v>45417</v>
      </c>
      <c r="H101">
        <v>1000</v>
      </c>
      <c r="I101">
        <f t="shared" ca="1" si="23"/>
        <v>6000</v>
      </c>
      <c r="J101">
        <v>14</v>
      </c>
      <c r="K101" t="str">
        <f t="shared" ca="1" si="24"/>
        <v>No</v>
      </c>
      <c r="L101" t="str">
        <f t="shared" ca="1" si="25"/>
        <v>General Fitness</v>
      </c>
      <c r="M101" t="str">
        <f t="shared" ca="1" si="26"/>
        <v>Active</v>
      </c>
      <c r="N101" s="2">
        <v>45536</v>
      </c>
      <c r="Q101" t="str">
        <f ca="1">IF(RAND()&lt;0.2,
    IF(RAND()&lt;0.5, LOWER(C101), UPPER(C101)),
    C101
)</f>
        <v>MUMBAI</v>
      </c>
      <c r="R101">
        <f t="shared" ca="1" si="18"/>
        <v>14</v>
      </c>
      <c r="S101">
        <f t="shared" ca="1" si="19"/>
        <v>1000</v>
      </c>
      <c r="T101">
        <f t="shared" ca="1" si="20"/>
        <v>45253</v>
      </c>
      <c r="U101" s="2">
        <f t="shared" ca="1" si="21"/>
        <v>45536</v>
      </c>
    </row>
    <row r="102" spans="1:21">
      <c r="A102" t="str">
        <f t="shared" si="17"/>
        <v>MEM0101</v>
      </c>
      <c r="B102" t="str">
        <f ca="1">INDEX('Name pool'!A:A, RANDBETWEEN(2, COUNTA('Name pool'!A:A))) &amp; " " &amp; INDEX('Name pool'!B:B, RANDBETWEEN(2, COUNTA('Name pool'!B:B)))</f>
        <v>Zara Sharma</v>
      </c>
      <c r="C102" t="s">
        <v>77</v>
      </c>
      <c r="D102" t="str">
        <f t="shared" ca="1" si="16"/>
        <v>BR02</v>
      </c>
      <c r="E102" t="str">
        <f t="shared" ca="1" si="22"/>
        <v>Standard</v>
      </c>
      <c r="F102" s="2">
        <v>44938</v>
      </c>
      <c r="G102" s="2">
        <v>45303</v>
      </c>
      <c r="H102">
        <v>2000</v>
      </c>
      <c r="I102">
        <f t="shared" ca="1" si="23"/>
        <v>22000</v>
      </c>
      <c r="J102" t="s">
        <v>125</v>
      </c>
      <c r="K102" t="str">
        <f t="shared" ca="1" si="24"/>
        <v>No</v>
      </c>
      <c r="L102" t="str">
        <f t="shared" ca="1" si="25"/>
        <v>Muscle Gain</v>
      </c>
      <c r="M102" t="str">
        <f t="shared" ca="1" si="26"/>
        <v>Active</v>
      </c>
      <c r="N102" s="2">
        <v>45495</v>
      </c>
      <c r="Q102" t="str">
        <f ca="1">IF(RAND()&lt;0.2,
    IF(RAND()&lt;0.5, LOWER(C102), UPPER(C102)),
    C102
)</f>
        <v>Chennai</v>
      </c>
      <c r="R102" t="str">
        <f t="shared" ca="1" si="18"/>
        <v>21 visits</v>
      </c>
      <c r="S102">
        <f t="shared" ca="1" si="19"/>
        <v>2000</v>
      </c>
      <c r="T102">
        <f t="shared" ca="1" si="20"/>
        <v>45061</v>
      </c>
      <c r="U102" s="2">
        <f t="shared" ca="1" si="21"/>
        <v>45495</v>
      </c>
    </row>
    <row r="103" spans="1:21">
      <c r="A103" t="str">
        <f t="shared" si="17"/>
        <v>MEM0102</v>
      </c>
      <c r="B103" t="str">
        <f ca="1">INDEX('Name pool'!A:A, RANDBETWEEN(2, COUNTA('Name pool'!A:A))) &amp; " " &amp; INDEX('Name pool'!B:B, RANDBETWEEN(2, COUNTA('Name pool'!B:B)))</f>
        <v>Lakshmi Iyer</v>
      </c>
      <c r="C103" t="s">
        <v>107</v>
      </c>
      <c r="D103" t="str">
        <f t="shared" ca="1" si="16"/>
        <v>BR01</v>
      </c>
      <c r="E103" t="str">
        <f t="shared" ca="1" si="22"/>
        <v>Premium</v>
      </c>
      <c r="F103" s="2">
        <v>45278</v>
      </c>
      <c r="G103" s="2">
        <v>45308</v>
      </c>
      <c r="H103">
        <v>3500</v>
      </c>
      <c r="I103">
        <f t="shared" ca="1" si="23"/>
        <v>10500</v>
      </c>
      <c r="J103">
        <v>12</v>
      </c>
      <c r="K103" t="str">
        <f t="shared" ca="1" si="24"/>
        <v>No</v>
      </c>
      <c r="L103" t="str">
        <f t="shared" ca="1" si="25"/>
        <v>Weight Loss</v>
      </c>
      <c r="M103" t="str">
        <f t="shared" ca="1" si="26"/>
        <v>Active</v>
      </c>
      <c r="N103" s="2">
        <v>45289</v>
      </c>
      <c r="Q103" t="str">
        <f ca="1">IF(RAND()&lt;0.2,
    IF(RAND()&lt;0.5, LOWER(C103), UPPER(C103)),
    C103
)</f>
        <v>TRIVANDRUM</v>
      </c>
      <c r="R103">
        <f t="shared" ca="1" si="18"/>
        <v>12</v>
      </c>
      <c r="S103">
        <f t="shared" ca="1" si="19"/>
        <v>3500</v>
      </c>
      <c r="T103">
        <f t="shared" ca="1" si="20"/>
        <v>45945</v>
      </c>
      <c r="U103" s="2">
        <f t="shared" ca="1" si="21"/>
        <v>45289</v>
      </c>
    </row>
    <row r="104" spans="1:21">
      <c r="A104" t="str">
        <f t="shared" si="17"/>
        <v>MEM0103</v>
      </c>
      <c r="B104" t="str">
        <f ca="1">INDEX('Name pool'!A:A, RANDBETWEEN(2, COUNTA('Name pool'!A:A))) &amp; " " &amp; INDEX('Name pool'!B:B, RANDBETWEEN(2, COUNTA('Name pool'!B:B)))</f>
        <v>Karthik Malhotra</v>
      </c>
      <c r="C104" t="s">
        <v>81</v>
      </c>
      <c r="D104" t="str">
        <f t="shared" ca="1" si="16"/>
        <v>BR01</v>
      </c>
      <c r="E104" t="str">
        <f t="shared" ca="1" si="22"/>
        <v>Premium</v>
      </c>
      <c r="F104" s="2">
        <v>45778</v>
      </c>
      <c r="G104" s="2">
        <v>46143</v>
      </c>
      <c r="H104">
        <v>1000</v>
      </c>
      <c r="I104">
        <f t="shared" ca="1" si="23"/>
        <v>11000</v>
      </c>
      <c r="J104">
        <v>25</v>
      </c>
      <c r="K104" t="str">
        <f t="shared" ca="1" si="24"/>
        <v>No</v>
      </c>
      <c r="L104" t="str">
        <f t="shared" ca="1" si="25"/>
        <v>Muscle Gain</v>
      </c>
      <c r="M104" t="str">
        <f t="shared" ca="1" si="26"/>
        <v>Active</v>
      </c>
      <c r="N104" s="2">
        <v>45958</v>
      </c>
      <c r="Q104" t="str">
        <f ca="1">IF(RAND()&lt;0.2,
    IF(RAND()&lt;0.5, LOWER(C104), UPPER(C104)),
    C104
)</f>
        <v>Mumbai</v>
      </c>
      <c r="R104">
        <f t="shared" ca="1" si="18"/>
        <v>25</v>
      </c>
      <c r="S104">
        <f t="shared" ca="1" si="19"/>
        <v>1000</v>
      </c>
      <c r="T104">
        <f t="shared" ca="1" si="20"/>
        <v>45236</v>
      </c>
      <c r="U104" s="2">
        <f t="shared" ca="1" si="21"/>
        <v>45958</v>
      </c>
    </row>
    <row r="105" spans="1:21">
      <c r="A105" t="str">
        <f t="shared" si="17"/>
        <v>MEM0104</v>
      </c>
      <c r="B105" t="str">
        <f ca="1">INDEX('Name pool'!A:A, RANDBETWEEN(2, COUNTA('Name pool'!A:A))) &amp; " " &amp; INDEX('Name pool'!B:B, RANDBETWEEN(2, COUNTA('Name pool'!B:B)))</f>
        <v>Fatima Varghese</v>
      </c>
      <c r="C105" t="s">
        <v>73</v>
      </c>
      <c r="D105" t="str">
        <f t="shared" ca="1" si="16"/>
        <v>BR02</v>
      </c>
      <c r="E105" t="str">
        <f t="shared" ca="1" si="22"/>
        <v>Basic</v>
      </c>
      <c r="F105" s="2">
        <v>45459</v>
      </c>
      <c r="G105" s="2">
        <v>45824</v>
      </c>
      <c r="H105">
        <v>3500</v>
      </c>
      <c r="I105">
        <f t="shared" ca="1" si="23"/>
        <v>35000</v>
      </c>
      <c r="J105">
        <v>13</v>
      </c>
      <c r="K105" t="str">
        <f t="shared" ca="1" si="24"/>
        <v>No</v>
      </c>
      <c r="L105" t="str">
        <f t="shared" ca="1" si="25"/>
        <v>General Fitness</v>
      </c>
      <c r="M105" t="str">
        <f t="shared" ca="1" si="26"/>
        <v>Active</v>
      </c>
      <c r="N105" s="2">
        <v>45849</v>
      </c>
      <c r="Q105" t="str">
        <f ca="1">IF(RAND()&lt;0.2,
    IF(RAND()&lt;0.5, LOWER(C105), UPPER(C105)),
    C105
)</f>
        <v>kochi</v>
      </c>
      <c r="R105" t="str">
        <f t="shared" ca="1" si="18"/>
        <v>13 visits</v>
      </c>
      <c r="S105">
        <f t="shared" ca="1" si="19"/>
        <v>3500</v>
      </c>
      <c r="T105">
        <f t="shared" ca="1" si="20"/>
        <v>46012</v>
      </c>
      <c r="U105" s="2">
        <f t="shared" ca="1" si="21"/>
        <v>45849</v>
      </c>
    </row>
    <row r="106" spans="1:21">
      <c r="A106" t="str">
        <f t="shared" si="17"/>
        <v>MEM0105</v>
      </c>
      <c r="B106" t="str">
        <f ca="1">INDEX('Name pool'!A:A, RANDBETWEEN(2, COUNTA('Name pool'!A:A))) &amp; " " &amp; INDEX('Name pool'!B:B, RANDBETWEEN(2, COUNTA('Name pool'!B:B)))</f>
        <v>Arjun Gupta</v>
      </c>
      <c r="C106" t="s">
        <v>79</v>
      </c>
      <c r="D106" t="str">
        <f t="shared" ca="1" si="16"/>
        <v>BR02</v>
      </c>
      <c r="E106" t="str">
        <f t="shared" ca="1" si="22"/>
        <v>Basic</v>
      </c>
      <c r="F106" s="2">
        <v>44984</v>
      </c>
      <c r="G106" s="2">
        <v>45014</v>
      </c>
      <c r="H106" t="s">
        <v>120</v>
      </c>
      <c r="I106">
        <f t="shared" ca="1" si="23"/>
        <v>22000</v>
      </c>
      <c r="J106" t="s">
        <v>118</v>
      </c>
      <c r="K106" t="str">
        <f t="shared" ca="1" si="24"/>
        <v>Yes</v>
      </c>
      <c r="L106" t="str">
        <f t="shared" ca="1" si="25"/>
        <v>General Fitness</v>
      </c>
      <c r="M106" t="str">
        <f t="shared" ca="1" si="26"/>
        <v>Active</v>
      </c>
      <c r="N106" s="2">
        <v>45653</v>
      </c>
      <c r="Q106" t="str">
        <f ca="1">IF(RAND()&lt;0.2,
    IF(RAND()&lt;0.5, LOWER(C106), UPPER(C106)),
    C106
)</f>
        <v>hyderabad</v>
      </c>
      <c r="R106" t="str">
        <f t="shared" ca="1" si="18"/>
        <v>22 visits</v>
      </c>
      <c r="S106" t="str">
        <f t="shared" ca="1" si="19"/>
        <v>2000</v>
      </c>
      <c r="T106">
        <f t="shared" ca="1" si="20"/>
        <v>44982</v>
      </c>
      <c r="U106" s="2">
        <f t="shared" ca="1" si="21"/>
        <v>45653</v>
      </c>
    </row>
    <row r="107" spans="1:21">
      <c r="A107" t="str">
        <f t="shared" si="17"/>
        <v>MEM0106</v>
      </c>
      <c r="B107" t="str">
        <f ca="1">INDEX('Name pool'!A:A, RANDBETWEEN(2, COUNTA('Name pool'!A:A))) &amp; " " &amp; INDEX('Name pool'!B:B, RANDBETWEEN(2, COUNTA('Name pool'!B:B)))</f>
        <v>Anjali Patel</v>
      </c>
      <c r="C107" t="s">
        <v>81</v>
      </c>
      <c r="D107" t="str">
        <f t="shared" ca="1" si="16"/>
        <v>BR02</v>
      </c>
      <c r="E107" t="str">
        <f t="shared" ca="1" si="22"/>
        <v>Basic</v>
      </c>
      <c r="F107" s="2">
        <v>45369</v>
      </c>
      <c r="G107" s="2">
        <v>45734</v>
      </c>
      <c r="H107">
        <v>1000</v>
      </c>
      <c r="I107">
        <f t="shared" ca="1" si="23"/>
        <v>2000</v>
      </c>
      <c r="J107">
        <v>8</v>
      </c>
      <c r="K107" t="str">
        <f t="shared" ca="1" si="24"/>
        <v>Yes</v>
      </c>
      <c r="L107" t="str">
        <f t="shared" ca="1" si="25"/>
        <v>Muscle Gain</v>
      </c>
      <c r="M107" t="str">
        <f t="shared" ca="1" si="26"/>
        <v>Active</v>
      </c>
      <c r="N107" s="2">
        <v>45447</v>
      </c>
      <c r="Q107" t="str">
        <f ca="1">IF(RAND()&lt;0.2,
    IF(RAND()&lt;0.5, LOWER(C107), UPPER(C107)),
    C107
)</f>
        <v>Mumbai</v>
      </c>
      <c r="R107">
        <f t="shared" ca="1" si="18"/>
        <v>8</v>
      </c>
      <c r="S107">
        <f t="shared" ca="1" si="19"/>
        <v>1000</v>
      </c>
      <c r="T107">
        <f t="shared" ca="1" si="20"/>
        <v>45192</v>
      </c>
      <c r="U107" s="2">
        <f t="shared" ca="1" si="21"/>
        <v>45447</v>
      </c>
    </row>
    <row r="108" spans="1:21">
      <c r="A108" t="str">
        <f t="shared" si="17"/>
        <v>MEM0107</v>
      </c>
      <c r="B108" t="str">
        <f ca="1">INDEX('Name pool'!A:A, RANDBETWEEN(2, COUNTA('Name pool'!A:A))) &amp; " " &amp; INDEX('Name pool'!B:B, RANDBETWEEN(2, COUNTA('Name pool'!B:B)))</f>
        <v>Aditya Sharma</v>
      </c>
      <c r="C108" t="s">
        <v>75</v>
      </c>
      <c r="D108" t="str">
        <f t="shared" ca="1" si="16"/>
        <v>BR01</v>
      </c>
      <c r="E108" t="str">
        <f t="shared" ca="1" si="22"/>
        <v>Premium</v>
      </c>
      <c r="F108" s="2">
        <v>45453</v>
      </c>
      <c r="G108" s="2">
        <v>45818</v>
      </c>
      <c r="H108">
        <v>2000</v>
      </c>
      <c r="I108">
        <f t="shared" ca="1" si="23"/>
        <v>22000</v>
      </c>
      <c r="J108">
        <v>1</v>
      </c>
      <c r="K108" t="str">
        <f t="shared" ca="1" si="24"/>
        <v>No</v>
      </c>
      <c r="L108" t="str">
        <f t="shared" ca="1" si="25"/>
        <v>Muscle Gain</v>
      </c>
      <c r="M108" t="str">
        <f t="shared" ca="1" si="26"/>
        <v>Cancelled</v>
      </c>
      <c r="N108" s="2">
        <v>45466</v>
      </c>
      <c r="Q108" t="str">
        <f ca="1">IF(RAND()&lt;0.2,
    IF(RAND()&lt;0.5, LOWER(C108), UPPER(C108)),
    C108
)</f>
        <v>Bangalore</v>
      </c>
      <c r="R108">
        <f t="shared" ca="1" si="18"/>
        <v>1</v>
      </c>
      <c r="S108">
        <f t="shared" ca="1" si="19"/>
        <v>2000</v>
      </c>
      <c r="T108">
        <f t="shared" ca="1" si="20"/>
        <v>45157</v>
      </c>
      <c r="U108" s="2">
        <f t="shared" ca="1" si="21"/>
        <v>45485</v>
      </c>
    </row>
    <row r="109" spans="1:21">
      <c r="A109" t="str">
        <f t="shared" si="17"/>
        <v>MEM0108</v>
      </c>
      <c r="B109" t="str">
        <f ca="1">INDEX('Name pool'!A:A, RANDBETWEEN(2, COUNTA('Name pool'!A:A))) &amp; " " &amp; INDEX('Name pool'!B:B, RANDBETWEEN(2, COUNTA('Name pool'!B:B)))</f>
        <v>Arjun Bhat</v>
      </c>
      <c r="C109" t="s">
        <v>77</v>
      </c>
      <c r="D109" t="str">
        <f t="shared" ca="1" si="16"/>
        <v>BR07</v>
      </c>
      <c r="E109" t="str">
        <f t="shared" ca="1" si="22"/>
        <v>Basic</v>
      </c>
      <c r="F109" s="2">
        <v>45656</v>
      </c>
      <c r="G109" s="2">
        <v>46021</v>
      </c>
      <c r="H109" t="s">
        <v>108</v>
      </c>
      <c r="I109">
        <f t="shared" ca="1" si="23"/>
        <v>2000</v>
      </c>
      <c r="J109">
        <v>14</v>
      </c>
      <c r="K109" t="str">
        <f t="shared" ca="1" si="24"/>
        <v>Yes</v>
      </c>
      <c r="L109" t="str">
        <f t="shared" ca="1" si="25"/>
        <v>Muscle Gain</v>
      </c>
      <c r="M109" t="str">
        <f t="shared" ca="1" si="26"/>
        <v>Active</v>
      </c>
      <c r="N109" s="2">
        <v>45797</v>
      </c>
      <c r="Q109" t="str">
        <f ca="1">IF(RAND()&lt;0.2,
    IF(RAND()&lt;0.5, LOWER(C109), UPPER(C109)),
    C109
)</f>
        <v>chennai</v>
      </c>
      <c r="R109">
        <f t="shared" ca="1" si="18"/>
        <v>14</v>
      </c>
      <c r="S109" t="str">
        <f t="shared" ca="1" si="19"/>
        <v>1000</v>
      </c>
      <c r="T109">
        <f t="shared" ca="1" si="20"/>
        <v>45254</v>
      </c>
      <c r="U109" s="2">
        <f t="shared" ca="1" si="21"/>
        <v>45797</v>
      </c>
    </row>
    <row r="110" spans="1:21">
      <c r="A110" t="str">
        <f t="shared" si="17"/>
        <v>MEM0109</v>
      </c>
      <c r="B110" t="str">
        <f ca="1">INDEX('Name pool'!A:A, RANDBETWEEN(2, COUNTA('Name pool'!A:A))) &amp; " " &amp; INDEX('Name pool'!B:B, RANDBETWEEN(2, COUNTA('Name pool'!B:B)))</f>
        <v>Harish Joshi</v>
      </c>
      <c r="C110" t="s">
        <v>79</v>
      </c>
      <c r="D110" t="str">
        <f t="shared" ca="1" si="16"/>
        <v>BR01</v>
      </c>
      <c r="E110" t="str">
        <f t="shared" ca="1" si="22"/>
        <v>Standard</v>
      </c>
      <c r="F110" s="2">
        <v>45408</v>
      </c>
      <c r="G110" s="2">
        <v>45438</v>
      </c>
      <c r="H110">
        <v>3500</v>
      </c>
      <c r="I110">
        <f t="shared" ca="1" si="23"/>
        <v>28000</v>
      </c>
      <c r="J110">
        <v>4</v>
      </c>
      <c r="K110" t="str">
        <f t="shared" ca="1" si="24"/>
        <v>No</v>
      </c>
      <c r="L110" t="str">
        <f t="shared" ca="1" si="25"/>
        <v>General Fitness</v>
      </c>
      <c r="M110" t="str">
        <f t="shared" ca="1" si="26"/>
        <v>Cancelled</v>
      </c>
      <c r="N110" s="2">
        <v>45432</v>
      </c>
      <c r="Q110" t="str">
        <f ca="1">IF(RAND()&lt;0.2,
    IF(RAND()&lt;0.5, LOWER(C110), UPPER(C110)),
    C110
)</f>
        <v>Hyderabad</v>
      </c>
      <c r="R110">
        <f t="shared" ca="1" si="18"/>
        <v>4</v>
      </c>
      <c r="S110">
        <f t="shared" ca="1" si="19"/>
        <v>3500</v>
      </c>
      <c r="T110">
        <f t="shared" ca="1" si="20"/>
        <v>45988</v>
      </c>
      <c r="U110" s="2">
        <f t="shared" ca="1" si="21"/>
        <v>45432</v>
      </c>
    </row>
    <row r="111" spans="1:21">
      <c r="A111" t="str">
        <f t="shared" si="17"/>
        <v>MEM0110</v>
      </c>
      <c r="B111" t="str">
        <f ca="1">INDEX('Name pool'!A:A, RANDBETWEEN(2, COUNTA('Name pool'!A:A))) &amp; " " &amp; INDEX('Name pool'!B:B, RANDBETWEEN(2, COUNTA('Name pool'!B:B)))</f>
        <v>Arjun Joshi</v>
      </c>
      <c r="C111" t="s">
        <v>85</v>
      </c>
      <c r="D111" t="str">
        <f t="shared" ca="1" si="16"/>
        <v>BR06</v>
      </c>
      <c r="E111" t="str">
        <f t="shared" ca="1" si="22"/>
        <v>Standard</v>
      </c>
      <c r="F111" s="2">
        <v>45503</v>
      </c>
      <c r="G111" s="2">
        <v>45868</v>
      </c>
      <c r="H111">
        <v>3500</v>
      </c>
      <c r="I111">
        <f t="shared" ca="1" si="23"/>
        <v>42000</v>
      </c>
      <c r="J111" t="s">
        <v>126</v>
      </c>
      <c r="K111" t="str">
        <f t="shared" ca="1" si="24"/>
        <v>No</v>
      </c>
      <c r="L111" t="str">
        <f t="shared" ca="1" si="25"/>
        <v>Muscle Gain</v>
      </c>
      <c r="M111" t="str">
        <f t="shared" ca="1" si="26"/>
        <v>Active</v>
      </c>
      <c r="N111" s="2">
        <v>45861</v>
      </c>
      <c r="Q111" t="str">
        <f ca="1">IF(RAND()&lt;0.2,
    IF(RAND()&lt;0.5, LOWER(C111), UPPER(C111)),
    C111
)</f>
        <v>Calicut</v>
      </c>
      <c r="R111" t="str">
        <f t="shared" ca="1" si="18"/>
        <v>13 visits visits</v>
      </c>
      <c r="S111">
        <f t="shared" ca="1" si="19"/>
        <v>3500</v>
      </c>
      <c r="T111">
        <f t="shared" ca="1" si="20"/>
        <v>45468</v>
      </c>
      <c r="U111" s="2">
        <f t="shared" ca="1" si="21"/>
        <v>45861</v>
      </c>
    </row>
    <row r="112" spans="1:21">
      <c r="A112" t="str">
        <f t="shared" si="17"/>
        <v>MEM0111</v>
      </c>
      <c r="B112" t="str">
        <f ca="1">INDEX('Name pool'!A:A, RANDBETWEEN(2, COUNTA('Name pool'!A:A))) &amp; " " &amp; INDEX('Name pool'!B:B, RANDBETWEEN(2, COUNTA('Name pool'!B:B)))</f>
        <v>Zara Nair</v>
      </c>
      <c r="C112" t="s">
        <v>119</v>
      </c>
      <c r="D112" t="str">
        <f t="shared" ca="1" si="16"/>
        <v>BR01</v>
      </c>
      <c r="E112" t="str">
        <f t="shared" ca="1" si="22"/>
        <v>Basic</v>
      </c>
      <c r="F112" s="2">
        <v>45130</v>
      </c>
      <c r="G112" s="2">
        <v>45160</v>
      </c>
      <c r="H112">
        <v>1000</v>
      </c>
      <c r="I112">
        <f t="shared" ca="1" si="23"/>
        <v>3000</v>
      </c>
      <c r="J112">
        <v>10</v>
      </c>
      <c r="K112" t="str">
        <f t="shared" ca="1" si="24"/>
        <v>Yes</v>
      </c>
      <c r="L112" t="str">
        <f t="shared" ca="1" si="25"/>
        <v>General Fitness</v>
      </c>
      <c r="M112" t="str">
        <f t="shared" ca="1" si="26"/>
        <v>Active</v>
      </c>
      <c r="N112" s="2">
        <v>45188</v>
      </c>
      <c r="Q112" t="str">
        <f ca="1">IF(RAND()&lt;0.2,
    IF(RAND()&lt;0.5, LOWER(C112), UPPER(C112)),
    C112
)</f>
        <v>bangalore</v>
      </c>
      <c r="R112">
        <f t="shared" ca="1" si="18"/>
        <v>10</v>
      </c>
      <c r="S112">
        <f t="shared" ca="1" si="19"/>
        <v>1000</v>
      </c>
      <c r="T112">
        <f t="shared" ca="1" si="20"/>
        <v>45631</v>
      </c>
      <c r="U112" s="2">
        <f t="shared" ca="1" si="21"/>
        <v>45188</v>
      </c>
    </row>
    <row r="113" spans="1:21">
      <c r="A113" t="str">
        <f t="shared" si="17"/>
        <v>MEM0112</v>
      </c>
      <c r="B113" t="str">
        <f ca="1">INDEX('Name pool'!A:A, RANDBETWEEN(2, COUNTA('Name pool'!A:A))) &amp; " " &amp; INDEX('Name pool'!B:B, RANDBETWEEN(2, COUNTA('Name pool'!B:B)))</f>
        <v>Anu Iyer</v>
      </c>
      <c r="C113" t="s">
        <v>81</v>
      </c>
      <c r="D113" t="str">
        <f t="shared" ca="1" si="16"/>
        <v>BR04</v>
      </c>
      <c r="E113" t="str">
        <f t="shared" ca="1" si="22"/>
        <v>Standard</v>
      </c>
      <c r="F113" s="2">
        <v>45418</v>
      </c>
      <c r="G113" s="2">
        <v>45448</v>
      </c>
      <c r="H113">
        <v>2000</v>
      </c>
      <c r="I113">
        <f t="shared" ca="1" si="23"/>
        <v>8000</v>
      </c>
      <c r="J113">
        <v>19</v>
      </c>
      <c r="K113" t="str">
        <f t="shared" ca="1" si="24"/>
        <v>No</v>
      </c>
      <c r="L113" t="str">
        <f t="shared" ca="1" si="25"/>
        <v>Muscle Gain</v>
      </c>
      <c r="M113" t="str">
        <f t="shared" ca="1" si="26"/>
        <v>Active</v>
      </c>
      <c r="N113" s="2">
        <v>45870</v>
      </c>
      <c r="Q113" t="str">
        <f ca="1">IF(RAND()&lt;0.2,
    IF(RAND()&lt;0.5, LOWER(C113), UPPER(C113)),
    C113
)</f>
        <v>Mumbai</v>
      </c>
      <c r="R113">
        <f t="shared" ca="1" si="18"/>
        <v>19</v>
      </c>
      <c r="S113">
        <f t="shared" ca="1" si="19"/>
        <v>2000</v>
      </c>
      <c r="T113">
        <f t="shared" ca="1" si="20"/>
        <v>44963</v>
      </c>
      <c r="U113" s="2">
        <f t="shared" ca="1" si="21"/>
        <v>45870</v>
      </c>
    </row>
    <row r="114" spans="1:21">
      <c r="A114" t="str">
        <f t="shared" si="17"/>
        <v>MEM0113</v>
      </c>
      <c r="B114" t="str">
        <f ca="1">INDEX('Name pool'!A:A, RANDBETWEEN(2, COUNTA('Name pool'!A:A))) &amp; " " &amp; INDEX('Name pool'!B:B, RANDBETWEEN(2, COUNTA('Name pool'!B:B)))</f>
        <v>Karthik Banerjee</v>
      </c>
      <c r="C114" t="s">
        <v>124</v>
      </c>
      <c r="D114" t="str">
        <f t="shared" ca="1" si="16"/>
        <v>BR02</v>
      </c>
      <c r="E114" t="str">
        <f t="shared" ca="1" si="22"/>
        <v>Premium</v>
      </c>
      <c r="F114" s="2">
        <v>45720</v>
      </c>
      <c r="G114" s="2">
        <v>45810</v>
      </c>
      <c r="H114">
        <v>1000</v>
      </c>
      <c r="I114">
        <f t="shared" ca="1" si="23"/>
        <v>8000</v>
      </c>
      <c r="J114">
        <v>10</v>
      </c>
      <c r="K114" t="str">
        <f t="shared" ca="1" si="24"/>
        <v>Yes</v>
      </c>
      <c r="L114" t="str">
        <f t="shared" ca="1" si="25"/>
        <v>General Fitness</v>
      </c>
      <c r="M114" t="str">
        <f t="shared" ca="1" si="26"/>
        <v>Active</v>
      </c>
      <c r="N114" s="2">
        <v>45817</v>
      </c>
      <c r="Q114" t="str">
        <f ca="1">IF(RAND()&lt;0.2,
    IF(RAND()&lt;0.5, LOWER(C114), UPPER(C114)),
    C114
)</f>
        <v>chennai</v>
      </c>
      <c r="R114">
        <f t="shared" ca="1" si="18"/>
        <v>10</v>
      </c>
      <c r="S114">
        <f t="shared" ca="1" si="19"/>
        <v>1000</v>
      </c>
      <c r="T114">
        <f t="shared" ca="1" si="20"/>
        <v>45477</v>
      </c>
      <c r="U114" s="2">
        <f t="shared" ca="1" si="21"/>
        <v>45817</v>
      </c>
    </row>
    <row r="115" spans="1:21">
      <c r="A115" t="str">
        <f t="shared" si="17"/>
        <v>MEM0114</v>
      </c>
      <c r="B115" t="str">
        <f ca="1">INDEX('Name pool'!A:A, RANDBETWEEN(2, COUNTA('Name pool'!A:A))) &amp; " " &amp; INDEX('Name pool'!B:B, RANDBETWEEN(2, COUNTA('Name pool'!B:B)))</f>
        <v>Swathi Shaikh</v>
      </c>
      <c r="C115" t="s">
        <v>73</v>
      </c>
      <c r="D115" t="str">
        <f t="shared" ca="1" si="16"/>
        <v>BR06</v>
      </c>
      <c r="E115" t="str">
        <f t="shared" ca="1" si="22"/>
        <v>Basic</v>
      </c>
      <c r="F115" s="2">
        <v>45312</v>
      </c>
      <c r="G115" s="2">
        <v>45402</v>
      </c>
      <c r="H115">
        <v>1000</v>
      </c>
      <c r="I115">
        <f t="shared" ca="1" si="23"/>
        <v>4000</v>
      </c>
      <c r="J115">
        <v>13</v>
      </c>
      <c r="K115" t="str">
        <f t="shared" ca="1" si="24"/>
        <v>Yes</v>
      </c>
      <c r="L115" t="str">
        <f t="shared" ca="1" si="25"/>
        <v>Muscle Gain</v>
      </c>
      <c r="M115" t="str">
        <f t="shared" ca="1" si="26"/>
        <v>Active</v>
      </c>
      <c r="N115" s="2">
        <v>45451</v>
      </c>
      <c r="Q115" t="str">
        <f ca="1">IF(RAND()&lt;0.2,
    IF(RAND()&lt;0.5, LOWER(C115), UPPER(C115)),
    C115
)</f>
        <v>Kochi</v>
      </c>
      <c r="R115">
        <f t="shared" ca="1" si="18"/>
        <v>13</v>
      </c>
      <c r="S115">
        <f t="shared" ca="1" si="19"/>
        <v>1000</v>
      </c>
      <c r="T115">
        <f t="shared" ca="1" si="20"/>
        <v>45014</v>
      </c>
      <c r="U115" s="2">
        <f t="shared" ca="1" si="21"/>
        <v>45451</v>
      </c>
    </row>
    <row r="116" spans="1:21">
      <c r="A116" t="str">
        <f t="shared" si="17"/>
        <v>MEM0115</v>
      </c>
      <c r="B116" t="str">
        <f ca="1">INDEX('Name pool'!A:A, RANDBETWEEN(2, COUNTA('Name pool'!A:A))) &amp; " " &amp; INDEX('Name pool'!B:B, RANDBETWEEN(2, COUNTA('Name pool'!B:B)))</f>
        <v>Anu Agarwal</v>
      </c>
      <c r="C116" t="s">
        <v>83</v>
      </c>
      <c r="D116" t="str">
        <f t="shared" ca="1" si="16"/>
        <v>BR07</v>
      </c>
      <c r="E116" t="str">
        <f t="shared" ca="1" si="22"/>
        <v>Premium</v>
      </c>
      <c r="F116" s="2">
        <v>45622</v>
      </c>
      <c r="G116" s="2">
        <v>45652</v>
      </c>
      <c r="H116">
        <v>3500</v>
      </c>
      <c r="I116">
        <f t="shared" ca="1" si="23"/>
        <v>35000</v>
      </c>
      <c r="J116">
        <v>19</v>
      </c>
      <c r="K116" t="str">
        <f t="shared" ca="1" si="24"/>
        <v>Yes</v>
      </c>
      <c r="L116" t="str">
        <f t="shared" ca="1" si="25"/>
        <v>Weight Loss</v>
      </c>
      <c r="M116" t="str">
        <f t="shared" ca="1" si="26"/>
        <v>Active</v>
      </c>
      <c r="N116" s="2">
        <v>45632</v>
      </c>
      <c r="Q116" t="str">
        <f ca="1">IF(RAND()&lt;0.2,
    IF(RAND()&lt;0.5, LOWER(C116), UPPER(C116)),
    C116
)</f>
        <v>Trivandrum</v>
      </c>
      <c r="R116" t="str">
        <f t="shared" ca="1" si="18"/>
        <v>19 visits</v>
      </c>
      <c r="S116">
        <f t="shared" ca="1" si="19"/>
        <v>3500</v>
      </c>
      <c r="T116">
        <f t="shared" ca="1" si="20"/>
        <v>45428</v>
      </c>
      <c r="U116" s="2">
        <f t="shared" ca="1" si="21"/>
        <v>45632</v>
      </c>
    </row>
    <row r="117" spans="1:21">
      <c r="A117" t="str">
        <f t="shared" si="17"/>
        <v>MEM0116</v>
      </c>
      <c r="B117" t="str">
        <f ca="1">INDEX('Name pool'!A:A, RANDBETWEEN(2, COUNTA('Name pool'!A:A))) &amp; " " &amp; INDEX('Name pool'!B:B, RANDBETWEEN(2, COUNTA('Name pool'!B:B)))</f>
        <v>Sneha Chatterjee</v>
      </c>
      <c r="C117" t="s">
        <v>75</v>
      </c>
      <c r="D117" t="str">
        <f t="shared" ca="1" si="16"/>
        <v>BR05</v>
      </c>
      <c r="E117" t="str">
        <f t="shared" ca="1" si="22"/>
        <v>Basic</v>
      </c>
      <c r="F117" s="2">
        <v>45476</v>
      </c>
      <c r="G117" s="2">
        <v>45841</v>
      </c>
      <c r="H117" t="s">
        <v>105</v>
      </c>
      <c r="I117">
        <f t="shared" ca="1" si="23"/>
        <v>42000</v>
      </c>
      <c r="J117">
        <v>0</v>
      </c>
      <c r="K117" t="str">
        <f t="shared" ca="1" si="24"/>
        <v>Yes</v>
      </c>
      <c r="L117" t="str">
        <f t="shared" ca="1" si="25"/>
        <v>General Fitness</v>
      </c>
      <c r="M117" t="str">
        <f t="shared" ca="1" si="26"/>
        <v>Cancelled</v>
      </c>
      <c r="N117" s="2">
        <v>45542</v>
      </c>
      <c r="Q117" t="str">
        <f ca="1">IF(RAND()&lt;0.2,
    IF(RAND()&lt;0.5, LOWER(C117), UPPER(C117)),
    C117
)</f>
        <v>Bangalore</v>
      </c>
      <c r="R117">
        <f t="shared" ca="1" si="18"/>
        <v>0</v>
      </c>
      <c r="S117" t="str">
        <f t="shared" ca="1" si="19"/>
        <v>3500</v>
      </c>
      <c r="T117">
        <f t="shared" ca="1" si="20"/>
        <v>45796</v>
      </c>
      <c r="U117" s="2">
        <f t="shared" ca="1" si="21"/>
        <v>45522</v>
      </c>
    </row>
    <row r="118" spans="1:21">
      <c r="A118" t="str">
        <f t="shared" si="17"/>
        <v>MEM0117</v>
      </c>
      <c r="B118" t="str">
        <f ca="1">INDEX('Name pool'!A:A, RANDBETWEEN(2, COUNTA('Name pool'!A:A))) &amp; " " &amp; INDEX('Name pool'!B:B, RANDBETWEEN(2, COUNTA('Name pool'!B:B)))</f>
        <v>Zara Verma</v>
      </c>
      <c r="C118" t="s">
        <v>77</v>
      </c>
      <c r="D118" t="str">
        <f t="shared" ca="1" si="16"/>
        <v>BR01</v>
      </c>
      <c r="E118" t="str">
        <f t="shared" ca="1" si="22"/>
        <v>Standard</v>
      </c>
      <c r="F118" s="2">
        <v>45830</v>
      </c>
      <c r="G118" s="2">
        <v>45920</v>
      </c>
      <c r="H118">
        <v>3500</v>
      </c>
      <c r="I118">
        <f t="shared" ca="1" si="23"/>
        <v>17500</v>
      </c>
      <c r="J118">
        <v>24</v>
      </c>
      <c r="K118" t="str">
        <f t="shared" ca="1" si="24"/>
        <v>No</v>
      </c>
      <c r="L118" t="str">
        <f t="shared" ca="1" si="25"/>
        <v>Weight Loss</v>
      </c>
      <c r="M118" t="str">
        <f t="shared" ca="1" si="26"/>
        <v>Active</v>
      </c>
      <c r="N118" s="2">
        <v>45870</v>
      </c>
      <c r="Q118" t="str">
        <f ca="1">IF(RAND()&lt;0.2,
    IF(RAND()&lt;0.5, LOWER(C118), UPPER(C118)),
    C118
)</f>
        <v>Chennai</v>
      </c>
      <c r="R118">
        <f t="shared" ca="1" si="18"/>
        <v>24</v>
      </c>
      <c r="S118">
        <f t="shared" ca="1" si="19"/>
        <v>3500</v>
      </c>
      <c r="T118">
        <f t="shared" ca="1" si="20"/>
        <v>45025</v>
      </c>
      <c r="U118" s="2">
        <f t="shared" ca="1" si="21"/>
        <v>45870</v>
      </c>
    </row>
    <row r="119" spans="1:21">
      <c r="A119" t="str">
        <f t="shared" si="17"/>
        <v>MEM0118</v>
      </c>
      <c r="B119" t="str">
        <f ca="1">INDEX('Name pool'!A:A, RANDBETWEEN(2, COUNTA('Name pool'!A:A))) &amp; " " &amp; INDEX('Name pool'!B:B, RANDBETWEEN(2, COUNTA('Name pool'!B:B)))</f>
        <v>Anu Shaikh</v>
      </c>
      <c r="C119" t="s">
        <v>81</v>
      </c>
      <c r="D119" t="str">
        <f t="shared" ca="1" si="16"/>
        <v>BR02</v>
      </c>
      <c r="E119" t="str">
        <f t="shared" ca="1" si="22"/>
        <v>Premium</v>
      </c>
      <c r="F119" s="2">
        <v>45245</v>
      </c>
      <c r="G119" s="2">
        <v>45335</v>
      </c>
      <c r="H119">
        <v>2000</v>
      </c>
      <c r="I119">
        <f t="shared" ca="1" si="23"/>
        <v>18000</v>
      </c>
      <c r="J119" t="s">
        <v>127</v>
      </c>
      <c r="K119" t="str">
        <f t="shared" ca="1" si="24"/>
        <v>Yes</v>
      </c>
      <c r="L119" t="str">
        <f t="shared" ca="1" si="25"/>
        <v>Muscle Gain</v>
      </c>
      <c r="M119" t="str">
        <f t="shared" ca="1" si="26"/>
        <v>Active</v>
      </c>
      <c r="N119" s="2">
        <v>45263</v>
      </c>
      <c r="Q119" t="str">
        <f ca="1">IF(RAND()&lt;0.2,
    IF(RAND()&lt;0.5, LOWER(C119), UPPER(C119)),
    C119
)</f>
        <v>Mumbai</v>
      </c>
      <c r="R119" t="str">
        <f t="shared" ca="1" si="18"/>
        <v>19 visits</v>
      </c>
      <c r="S119">
        <f t="shared" ca="1" si="19"/>
        <v>2000</v>
      </c>
      <c r="T119">
        <f t="shared" ca="1" si="20"/>
        <v>45162</v>
      </c>
      <c r="U119" s="2">
        <f t="shared" ca="1" si="21"/>
        <v>45263</v>
      </c>
    </row>
    <row r="120" spans="1:21">
      <c r="A120" t="str">
        <f t="shared" si="17"/>
        <v>MEM0119</v>
      </c>
      <c r="B120" t="str">
        <f ca="1">INDEX('Name pool'!A:A, RANDBETWEEN(2, COUNTA('Name pool'!A:A))) &amp; " " &amp; INDEX('Name pool'!B:B, RANDBETWEEN(2, COUNTA('Name pool'!B:B)))</f>
        <v>Rohit Bhat</v>
      </c>
      <c r="C120" t="s">
        <v>81</v>
      </c>
      <c r="D120" t="str">
        <f t="shared" ca="1" si="16"/>
        <v>BR04</v>
      </c>
      <c r="E120" t="str">
        <f t="shared" ca="1" si="22"/>
        <v>Premium</v>
      </c>
      <c r="F120" s="2">
        <v>46021</v>
      </c>
      <c r="G120" s="2">
        <v>46111</v>
      </c>
      <c r="H120" t="s">
        <v>105</v>
      </c>
      <c r="I120">
        <f t="shared" ca="1" si="23"/>
        <v>35000</v>
      </c>
      <c r="J120">
        <v>12</v>
      </c>
      <c r="K120" t="str">
        <f t="shared" ca="1" si="24"/>
        <v>No</v>
      </c>
      <c r="L120" t="str">
        <f t="shared" ca="1" si="25"/>
        <v>General Fitness</v>
      </c>
      <c r="M120" t="str">
        <f t="shared" ca="1" si="26"/>
        <v>Active</v>
      </c>
      <c r="N120" s="2">
        <v>46096</v>
      </c>
      <c r="Q120" t="str">
        <f ca="1">IF(RAND()&lt;0.2,
    IF(RAND()&lt;0.5, LOWER(C120), UPPER(C120)),
    C120
)</f>
        <v>Mumbai</v>
      </c>
      <c r="R120">
        <f t="shared" ca="1" si="18"/>
        <v>12</v>
      </c>
      <c r="S120" t="str">
        <f t="shared" ca="1" si="19"/>
        <v>3500</v>
      </c>
      <c r="T120">
        <f t="shared" ca="1" si="20"/>
        <v>44962</v>
      </c>
      <c r="U120" s="2">
        <f t="shared" ca="1" si="21"/>
        <v>46096</v>
      </c>
    </row>
    <row r="121" spans="1:21">
      <c r="A121" t="str">
        <f t="shared" si="17"/>
        <v>MEM0120</v>
      </c>
      <c r="B121" t="str">
        <f ca="1">INDEX('Name pool'!A:A, RANDBETWEEN(2, COUNTA('Name pool'!A:A))) &amp; " " &amp; INDEX('Name pool'!B:B, RANDBETWEEN(2, COUNTA('Name pool'!B:B)))</f>
        <v>Fatima Agarwal</v>
      </c>
      <c r="C121" t="s">
        <v>114</v>
      </c>
      <c r="D121" t="str">
        <f t="shared" ca="1" si="16"/>
        <v>BR04</v>
      </c>
      <c r="E121" t="str">
        <f t="shared" ca="1" si="22"/>
        <v>Premium</v>
      </c>
      <c r="F121" s="2">
        <v>45681</v>
      </c>
      <c r="G121" s="2">
        <v>45771</v>
      </c>
      <c r="H121">
        <v>2000</v>
      </c>
      <c r="I121">
        <f t="shared" ca="1" si="23"/>
        <v>24000</v>
      </c>
      <c r="J121">
        <v>16</v>
      </c>
      <c r="K121" t="str">
        <f t="shared" ca="1" si="24"/>
        <v>Yes</v>
      </c>
      <c r="L121" t="str">
        <f t="shared" ca="1" si="25"/>
        <v>General Fitness</v>
      </c>
      <c r="M121" t="str">
        <f t="shared" ca="1" si="26"/>
        <v>Active</v>
      </c>
      <c r="N121" s="2">
        <v>46085</v>
      </c>
      <c r="Q121" t="str">
        <f ca="1">IF(RAND()&lt;0.2,
    IF(RAND()&lt;0.5, LOWER(C121), UPPER(C121)),
    C121
)</f>
        <v>trivandrum</v>
      </c>
      <c r="R121">
        <f t="shared" ca="1" si="18"/>
        <v>16</v>
      </c>
      <c r="S121">
        <f t="shared" ca="1" si="19"/>
        <v>2000</v>
      </c>
      <c r="T121">
        <f t="shared" ca="1" si="20"/>
        <v>45889</v>
      </c>
      <c r="U121" s="2">
        <f t="shared" ca="1" si="21"/>
        <v>46085</v>
      </c>
    </row>
    <row r="122" spans="1:21">
      <c r="A122" t="str">
        <f t="shared" si="17"/>
        <v>MEM0121</v>
      </c>
      <c r="B122" t="str">
        <f ca="1">INDEX('Name pool'!A:A, RANDBETWEEN(2, COUNTA('Name pool'!A:A))) &amp; " " &amp; INDEX('Name pool'!B:B, RANDBETWEEN(2, COUNTA('Name pool'!B:B)))</f>
        <v>Karthik Banerjee</v>
      </c>
      <c r="C122" t="s">
        <v>85</v>
      </c>
      <c r="D122" t="str">
        <f t="shared" ca="1" si="16"/>
        <v>BR04</v>
      </c>
      <c r="E122" t="str">
        <f t="shared" ca="1" si="22"/>
        <v>Standard</v>
      </c>
      <c r="F122" s="2">
        <v>44971</v>
      </c>
      <c r="G122" s="2">
        <v>45061</v>
      </c>
      <c r="H122">
        <v>2000</v>
      </c>
      <c r="I122">
        <f t="shared" ca="1" si="23"/>
        <v>2000</v>
      </c>
      <c r="J122">
        <v>22</v>
      </c>
      <c r="K122" t="str">
        <f t="shared" ca="1" si="24"/>
        <v>Yes</v>
      </c>
      <c r="L122" t="str">
        <f t="shared" ca="1" si="25"/>
        <v>General Fitness</v>
      </c>
      <c r="M122" t="str">
        <f t="shared" ca="1" si="26"/>
        <v>Active</v>
      </c>
      <c r="N122" s="2">
        <v>45883</v>
      </c>
      <c r="Q122" t="str">
        <f ca="1">IF(RAND()&lt;0.2,
    IF(RAND()&lt;0.5, LOWER(C122), UPPER(C122)),
    C122
)</f>
        <v>Calicut</v>
      </c>
      <c r="R122">
        <f t="shared" ca="1" si="18"/>
        <v>22</v>
      </c>
      <c r="S122">
        <f t="shared" ca="1" si="19"/>
        <v>2000</v>
      </c>
      <c r="T122">
        <f t="shared" ca="1" si="20"/>
        <v>46037</v>
      </c>
      <c r="U122" s="2">
        <f t="shared" ca="1" si="21"/>
        <v>45883</v>
      </c>
    </row>
    <row r="123" spans="1:21">
      <c r="A123" t="str">
        <f t="shared" si="17"/>
        <v>MEM0122</v>
      </c>
      <c r="B123" t="str">
        <f ca="1">INDEX('Name pool'!A:A, RANDBETWEEN(2, COUNTA('Name pool'!A:A))) &amp; " " &amp; INDEX('Name pool'!B:B, RANDBETWEEN(2, COUNTA('Name pool'!B:B)))</f>
        <v>Nisha Chatterjee</v>
      </c>
      <c r="C123" t="s">
        <v>81</v>
      </c>
      <c r="D123" t="str">
        <f t="shared" ca="1" si="16"/>
        <v>BR07</v>
      </c>
      <c r="E123" t="str">
        <f t="shared" ca="1" si="22"/>
        <v>Premium</v>
      </c>
      <c r="F123" s="2">
        <v>45791</v>
      </c>
      <c r="G123" s="2">
        <v>45881</v>
      </c>
      <c r="H123">
        <v>1000</v>
      </c>
      <c r="I123">
        <f t="shared" ca="1" si="23"/>
        <v>6000</v>
      </c>
      <c r="J123">
        <v>11</v>
      </c>
      <c r="K123" t="str">
        <f t="shared" ca="1" si="24"/>
        <v>No</v>
      </c>
      <c r="L123" t="str">
        <f t="shared" ca="1" si="25"/>
        <v>Weight Loss</v>
      </c>
      <c r="M123" t="str">
        <f t="shared" ca="1" si="26"/>
        <v>Active</v>
      </c>
      <c r="N123" s="2">
        <v>45935</v>
      </c>
      <c r="Q123" t="str">
        <f ca="1">IF(RAND()&lt;0.2,
    IF(RAND()&lt;0.5, LOWER(C123), UPPER(C123)),
    C123
)</f>
        <v>Mumbai</v>
      </c>
      <c r="R123">
        <f t="shared" ca="1" si="18"/>
        <v>11</v>
      </c>
      <c r="S123">
        <f t="shared" ca="1" si="19"/>
        <v>1000</v>
      </c>
      <c r="T123">
        <f t="shared" ca="1" si="20"/>
        <v>45891</v>
      </c>
      <c r="U123" s="2">
        <f t="shared" ca="1" si="21"/>
        <v>45935</v>
      </c>
    </row>
    <row r="124" spans="1:21">
      <c r="A124" t="str">
        <f t="shared" si="17"/>
        <v>MEM0123</v>
      </c>
      <c r="B124" t="str">
        <f ca="1">INDEX('Name pool'!A:A, RANDBETWEEN(2, COUNTA('Name pool'!A:A))) &amp; " " &amp; INDEX('Name pool'!B:B, RANDBETWEEN(2, COUNTA('Name pool'!B:B)))</f>
        <v>Anjali Shaikh</v>
      </c>
      <c r="C124" t="s">
        <v>107</v>
      </c>
      <c r="D124" t="str">
        <f t="shared" ca="1" si="16"/>
        <v>BR06</v>
      </c>
      <c r="E124" t="str">
        <f t="shared" ca="1" si="22"/>
        <v>Standard</v>
      </c>
      <c r="F124" s="2">
        <v>45724</v>
      </c>
      <c r="G124" s="2">
        <v>46089</v>
      </c>
      <c r="H124">
        <v>3500</v>
      </c>
      <c r="I124">
        <f t="shared" ca="1" si="23"/>
        <v>7000</v>
      </c>
      <c r="J124">
        <v>21</v>
      </c>
      <c r="K124" t="str">
        <f t="shared" ca="1" si="24"/>
        <v>Yes</v>
      </c>
      <c r="L124" t="str">
        <f t="shared" ca="1" si="25"/>
        <v>Muscle Gain</v>
      </c>
      <c r="M124" t="str">
        <f t="shared" ca="1" si="26"/>
        <v>Active</v>
      </c>
      <c r="N124" s="2">
        <v>46046</v>
      </c>
      <c r="Q124" t="str">
        <f ca="1">IF(RAND()&lt;0.2,
    IF(RAND()&lt;0.5, LOWER(C124), UPPER(C124)),
    C124
)</f>
        <v>TRIVANDRUM</v>
      </c>
      <c r="R124">
        <f t="shared" ca="1" si="18"/>
        <v>21</v>
      </c>
      <c r="S124">
        <f t="shared" ca="1" si="19"/>
        <v>3500</v>
      </c>
      <c r="T124">
        <f t="shared" ca="1" si="20"/>
        <v>45186</v>
      </c>
      <c r="U124" s="2">
        <f t="shared" ca="1" si="21"/>
        <v>46046</v>
      </c>
    </row>
    <row r="125" spans="1:21">
      <c r="A125" t="str">
        <f t="shared" si="17"/>
        <v>MEM0124</v>
      </c>
      <c r="B125" t="str">
        <f ca="1">INDEX('Name pool'!A:A, RANDBETWEEN(2, COUNTA('Name pool'!A:A))) &amp; " " &amp; INDEX('Name pool'!B:B, RANDBETWEEN(2, COUNTA('Name pool'!B:B)))</f>
        <v>Kavya Nair</v>
      </c>
      <c r="C125" t="s">
        <v>121</v>
      </c>
      <c r="D125" t="str">
        <f t="shared" ca="1" si="16"/>
        <v>BR06</v>
      </c>
      <c r="E125" t="str">
        <f t="shared" ca="1" si="22"/>
        <v>Premium</v>
      </c>
      <c r="F125" s="2">
        <v>45815</v>
      </c>
      <c r="G125" s="2">
        <v>45845</v>
      </c>
      <c r="H125">
        <v>1000</v>
      </c>
      <c r="I125">
        <f t="shared" ca="1" si="23"/>
        <v>7000</v>
      </c>
      <c r="J125" t="s">
        <v>128</v>
      </c>
      <c r="K125" t="str">
        <f t="shared" ca="1" si="24"/>
        <v>Yes</v>
      </c>
      <c r="L125" t="str">
        <f t="shared" ca="1" si="25"/>
        <v>Muscle Gain</v>
      </c>
      <c r="M125" t="str">
        <f t="shared" ca="1" si="26"/>
        <v>Active</v>
      </c>
      <c r="N125" s="2">
        <v>45963</v>
      </c>
      <c r="Q125" t="str">
        <f ca="1">IF(RAND()&lt;0.2,
    IF(RAND()&lt;0.5, LOWER(C125), UPPER(C125)),
    C125
)</f>
        <v>MUMBAI</v>
      </c>
      <c r="R125" t="str">
        <f t="shared" ca="1" si="18"/>
        <v>11 visits</v>
      </c>
      <c r="S125">
        <f t="shared" ca="1" si="19"/>
        <v>1000</v>
      </c>
      <c r="T125">
        <f t="shared" ca="1" si="20"/>
        <v>45032</v>
      </c>
      <c r="U125" s="2">
        <f t="shared" ca="1" si="21"/>
        <v>45963</v>
      </c>
    </row>
    <row r="126" spans="1:21">
      <c r="A126" t="str">
        <f t="shared" si="17"/>
        <v>MEM0125</v>
      </c>
      <c r="B126" t="str">
        <f ca="1">INDEX('Name pool'!A:A, RANDBETWEEN(2, COUNTA('Name pool'!A:A))) &amp; " " &amp; INDEX('Name pool'!B:B, RANDBETWEEN(2, COUNTA('Name pool'!B:B)))</f>
        <v>Rohit Kapoor</v>
      </c>
      <c r="C126" t="s">
        <v>129</v>
      </c>
      <c r="D126" t="str">
        <f t="shared" ca="1" si="16"/>
        <v>BR02</v>
      </c>
      <c r="E126" t="str">
        <f t="shared" ca="1" si="22"/>
        <v>Premium</v>
      </c>
      <c r="F126" s="2">
        <v>45895</v>
      </c>
      <c r="G126" s="2">
        <v>45925</v>
      </c>
      <c r="H126">
        <v>2000</v>
      </c>
      <c r="I126">
        <f t="shared" ca="1" si="23"/>
        <v>10000</v>
      </c>
      <c r="J126">
        <v>16</v>
      </c>
      <c r="K126" t="str">
        <f t="shared" ca="1" si="24"/>
        <v>Yes</v>
      </c>
      <c r="L126" t="str">
        <f t="shared" ca="1" si="25"/>
        <v>Muscle Gain</v>
      </c>
      <c r="M126" t="str">
        <f t="shared" ca="1" si="26"/>
        <v>Active</v>
      </c>
      <c r="N126" s="2">
        <v>45994</v>
      </c>
      <c r="Q126" t="str">
        <f ca="1">IF(RAND()&lt;0.2,
    IF(RAND()&lt;0.5, LOWER(C126), UPPER(C126)),
    C126
)</f>
        <v>hyderabad</v>
      </c>
      <c r="R126">
        <f t="shared" ca="1" si="18"/>
        <v>16</v>
      </c>
      <c r="S126" t="str">
        <f t="shared" ca="1" si="19"/>
        <v>2000</v>
      </c>
      <c r="T126">
        <f t="shared" ca="1" si="20"/>
        <v>45523</v>
      </c>
      <c r="U126" s="2">
        <f t="shared" ca="1" si="21"/>
        <v>45994</v>
      </c>
    </row>
    <row r="127" spans="1:21">
      <c r="A127" t="str">
        <f t="shared" si="17"/>
        <v>MEM0126</v>
      </c>
      <c r="B127" t="str">
        <f ca="1">INDEX('Name pool'!A:A, RANDBETWEEN(2, COUNTA('Name pool'!A:A))) &amp; " " &amp; INDEX('Name pool'!B:B, RANDBETWEEN(2, COUNTA('Name pool'!B:B)))</f>
        <v>Pooja Das</v>
      </c>
      <c r="C127" t="s">
        <v>85</v>
      </c>
      <c r="D127" t="str">
        <f t="shared" ca="1" si="16"/>
        <v>BR04</v>
      </c>
      <c r="E127" t="str">
        <f t="shared" ca="1" si="22"/>
        <v>Basic</v>
      </c>
      <c r="F127" s="2">
        <v>45191</v>
      </c>
      <c r="G127" s="2">
        <v>45281</v>
      </c>
      <c r="H127">
        <v>1000</v>
      </c>
      <c r="I127">
        <f t="shared" ca="1" si="23"/>
        <v>9000</v>
      </c>
      <c r="J127">
        <v>15</v>
      </c>
      <c r="K127" t="str">
        <f t="shared" ca="1" si="24"/>
        <v>Yes</v>
      </c>
      <c r="L127" t="str">
        <f t="shared" ca="1" si="25"/>
        <v>General Fitness</v>
      </c>
      <c r="M127" t="str">
        <f t="shared" ca="1" si="26"/>
        <v>Active</v>
      </c>
      <c r="N127" s="2">
        <v>45591</v>
      </c>
      <c r="Q127" t="str">
        <f ca="1">IF(RAND()&lt;0.2,
    IF(RAND()&lt;0.5, LOWER(C127), UPPER(C127)),
    C127
)</f>
        <v>Calicut</v>
      </c>
      <c r="R127">
        <f t="shared" ca="1" si="18"/>
        <v>15</v>
      </c>
      <c r="S127" t="str">
        <f t="shared" ca="1" si="19"/>
        <v>1000</v>
      </c>
      <c r="T127">
        <f t="shared" ca="1" si="20"/>
        <v>45086</v>
      </c>
      <c r="U127" s="2">
        <f t="shared" ca="1" si="21"/>
        <v>45591</v>
      </c>
    </row>
    <row r="128" spans="1:21">
      <c r="A128" t="str">
        <f t="shared" si="17"/>
        <v>MEM0127</v>
      </c>
      <c r="B128" t="str">
        <f ca="1">INDEX('Name pool'!A:A, RANDBETWEEN(2, COUNTA('Name pool'!A:A))) &amp; " " &amp; INDEX('Name pool'!B:B, RANDBETWEEN(2, COUNTA('Name pool'!B:B)))</f>
        <v>Lakshmi Shaikh</v>
      </c>
      <c r="C128" t="s">
        <v>77</v>
      </c>
      <c r="D128" t="str">
        <f t="shared" ca="1" si="16"/>
        <v>BR01</v>
      </c>
      <c r="E128" t="str">
        <f t="shared" ca="1" si="22"/>
        <v>Premium</v>
      </c>
      <c r="F128" s="2">
        <v>45500</v>
      </c>
      <c r="G128" s="2">
        <v>45530</v>
      </c>
      <c r="H128">
        <v>3500</v>
      </c>
      <c r="I128">
        <f t="shared" ca="1" si="23"/>
        <v>31500</v>
      </c>
      <c r="J128" t="s">
        <v>130</v>
      </c>
      <c r="K128" t="str">
        <f t="shared" ca="1" si="24"/>
        <v>Yes</v>
      </c>
      <c r="L128" t="str">
        <f t="shared" ca="1" si="25"/>
        <v>Muscle Gain</v>
      </c>
      <c r="M128" t="str">
        <f t="shared" ca="1" si="26"/>
        <v>Active</v>
      </c>
      <c r="N128" s="2">
        <v>46019</v>
      </c>
      <c r="Q128" t="str">
        <f ca="1">IF(RAND()&lt;0.2,
    IF(RAND()&lt;0.5, LOWER(C128), UPPER(C128)),
    C128
)</f>
        <v>Chennai</v>
      </c>
      <c r="R128" t="str">
        <f t="shared" ca="1" si="18"/>
        <v>6 visits</v>
      </c>
      <c r="S128">
        <f t="shared" ca="1" si="19"/>
        <v>3500</v>
      </c>
      <c r="T128">
        <f t="shared" ca="1" si="20"/>
        <v>45937</v>
      </c>
      <c r="U128" s="2">
        <f t="shared" ca="1" si="21"/>
        <v>46019</v>
      </c>
    </row>
    <row r="129" spans="1:21">
      <c r="A129" t="str">
        <f t="shared" si="17"/>
        <v>MEM0128</v>
      </c>
      <c r="B129" t="str">
        <f ca="1">INDEX('Name pool'!A:A, RANDBETWEEN(2, COUNTA('Name pool'!A:A))) &amp; " " &amp; INDEX('Name pool'!B:B, RANDBETWEEN(2, COUNTA('Name pool'!B:B)))</f>
        <v>Kavya Yadav</v>
      </c>
      <c r="C129" t="s">
        <v>131</v>
      </c>
      <c r="D129" t="str">
        <f t="shared" ca="1" si="16"/>
        <v>BR03</v>
      </c>
      <c r="E129" t="str">
        <f t="shared" ca="1" si="22"/>
        <v>Standard</v>
      </c>
      <c r="F129" s="2">
        <v>44998</v>
      </c>
      <c r="G129" s="2">
        <v>45088</v>
      </c>
      <c r="H129">
        <v>2000</v>
      </c>
      <c r="I129">
        <f t="shared" ca="1" si="23"/>
        <v>6000</v>
      </c>
      <c r="J129">
        <v>11</v>
      </c>
      <c r="K129" t="str">
        <f t="shared" ca="1" si="24"/>
        <v>Yes</v>
      </c>
      <c r="L129" t="str">
        <f t="shared" ca="1" si="25"/>
        <v>Weight Loss</v>
      </c>
      <c r="M129" t="str">
        <f t="shared" ca="1" si="26"/>
        <v>Active</v>
      </c>
      <c r="N129" s="2">
        <v>45377</v>
      </c>
      <c r="Q129" t="str">
        <f ca="1">IF(RAND()&lt;0.2,
    IF(RAND()&lt;0.5, LOWER(C129), UPPER(C129)),
    C129
)</f>
        <v>BANGALORE</v>
      </c>
      <c r="R129" t="str">
        <f t="shared" ca="1" si="18"/>
        <v>11 visits</v>
      </c>
      <c r="S129">
        <f t="shared" ca="1" si="19"/>
        <v>2000</v>
      </c>
      <c r="T129">
        <f t="shared" ca="1" si="20"/>
        <v>45759</v>
      </c>
      <c r="U129" s="2">
        <f t="shared" ca="1" si="21"/>
        <v>45377</v>
      </c>
    </row>
    <row r="130" spans="1:21">
      <c r="A130" t="str">
        <f t="shared" si="17"/>
        <v>MEM0129</v>
      </c>
      <c r="B130" t="str">
        <f ca="1">INDEX('Name pool'!A:A, RANDBETWEEN(2, COUNTA('Name pool'!A:A))) &amp; " " &amp; INDEX('Name pool'!B:B, RANDBETWEEN(2, COUNTA('Name pool'!B:B)))</f>
        <v>Vivek Kapoor</v>
      </c>
      <c r="C130" t="s">
        <v>132</v>
      </c>
      <c r="D130" t="str">
        <f t="shared" ref="D130:D193" ca="1" si="27">CHOOSE(RANDBETWEEN(1,7),"BR01","BR02","BR03","BR04","BR05","BR06","BR07")</f>
        <v>BR07</v>
      </c>
      <c r="E130" t="str">
        <f t="shared" ca="1" si="22"/>
        <v>Premium</v>
      </c>
      <c r="F130" s="2">
        <v>45556</v>
      </c>
      <c r="G130" s="2">
        <v>45921</v>
      </c>
      <c r="H130">
        <v>2000</v>
      </c>
      <c r="I130">
        <f t="shared" ca="1" si="23"/>
        <v>18000</v>
      </c>
      <c r="J130">
        <v>18</v>
      </c>
      <c r="K130" t="str">
        <f t="shared" ca="1" si="24"/>
        <v>No</v>
      </c>
      <c r="L130" t="str">
        <f t="shared" ca="1" si="25"/>
        <v>Muscle Gain</v>
      </c>
      <c r="M130" t="str">
        <f t="shared" ca="1" si="26"/>
        <v>Active</v>
      </c>
      <c r="N130" s="2">
        <v>46114</v>
      </c>
      <c r="Q130" t="str">
        <f ca="1">IF(RAND()&lt;0.2,
    IF(RAND()&lt;0.5, LOWER(C130), UPPER(C130)),
    C130
)</f>
        <v>calicut</v>
      </c>
      <c r="R130">
        <f t="shared" ca="1" si="18"/>
        <v>18</v>
      </c>
      <c r="S130">
        <f t="shared" ca="1" si="19"/>
        <v>2000</v>
      </c>
      <c r="T130">
        <f t="shared" ca="1" si="20"/>
        <v>45596</v>
      </c>
      <c r="U130" s="2">
        <f t="shared" ca="1" si="21"/>
        <v>46114</v>
      </c>
    </row>
    <row r="131" spans="1:21">
      <c r="A131" t="str">
        <f t="shared" ref="A131:A194" si="28">"MEM" &amp; TEXT(ROW()-1,"0000")</f>
        <v>MEM0130</v>
      </c>
      <c r="B131" t="str">
        <f ca="1">INDEX('Name pool'!A:A, RANDBETWEEN(2, COUNTA('Name pool'!A:A))) &amp; " " &amp; INDEX('Name pool'!B:B, RANDBETWEEN(2, COUNTA('Name pool'!B:B)))</f>
        <v>Vivek Naidu</v>
      </c>
      <c r="C131" t="s">
        <v>75</v>
      </c>
      <c r="D131" t="str">
        <f t="shared" ca="1" si="27"/>
        <v>BR02</v>
      </c>
      <c r="E131" t="str">
        <f t="shared" ca="1" si="22"/>
        <v>Premium</v>
      </c>
      <c r="F131" s="2">
        <v>45625</v>
      </c>
      <c r="G131" s="2">
        <v>45990</v>
      </c>
      <c r="H131">
        <v>1000</v>
      </c>
      <c r="I131">
        <f t="shared" ca="1" si="23"/>
        <v>12000</v>
      </c>
      <c r="J131" t="s">
        <v>133</v>
      </c>
      <c r="K131" t="str">
        <f t="shared" ca="1" si="24"/>
        <v>No</v>
      </c>
      <c r="L131" t="str">
        <f t="shared" ca="1" si="25"/>
        <v>Muscle Gain</v>
      </c>
      <c r="M131" t="str">
        <f t="shared" ca="1" si="26"/>
        <v>Active</v>
      </c>
      <c r="N131" s="2">
        <v>45637</v>
      </c>
      <c r="Q131" t="str">
        <f ca="1">IF(RAND()&lt;0.2,
    IF(RAND()&lt;0.5, LOWER(C131), UPPER(C131)),
    C131
)</f>
        <v>Bangalore</v>
      </c>
      <c r="R131" t="str">
        <f t="shared" ref="R131:R194" ca="1" si="29">IF(RAND()&lt;0.15,
    J131 &amp; " visits",
    J131
)</f>
        <v>5 visits</v>
      </c>
      <c r="S131">
        <f t="shared" ref="S131:S194" ca="1" si="30">IF(RAND()&lt;0.1,
    TEXT(H131,"0"),
    H131
)</f>
        <v>1000</v>
      </c>
      <c r="T131">
        <f t="shared" ref="T131:T194" ca="1" si="31">RANDBETWEEN(DATE(2023,1,1), DATE(2026,1,31))</f>
        <v>45793</v>
      </c>
      <c r="U131" s="2">
        <f t="shared" ref="U131:U194" ca="1" si="32">IF(AND(M131="Cancelled", RAND()&lt;0.5),
    F131 + RANDBETWEEN(10,50),
    N131
)</f>
        <v>45637</v>
      </c>
    </row>
    <row r="132" spans="1:21">
      <c r="A132" t="str">
        <f t="shared" si="28"/>
        <v>MEM0131</v>
      </c>
      <c r="B132" t="str">
        <f ca="1">INDEX('Name pool'!A:A, RANDBETWEEN(2, COUNTA('Name pool'!A:A))) &amp; " " &amp; INDEX('Name pool'!B:B, RANDBETWEEN(2, COUNTA('Name pool'!B:B)))</f>
        <v>Rohit Joseph</v>
      </c>
      <c r="C132" t="s">
        <v>115</v>
      </c>
      <c r="D132" t="str">
        <f t="shared" ca="1" si="27"/>
        <v>BR02</v>
      </c>
      <c r="E132" t="str">
        <f t="shared" ca="1" si="22"/>
        <v>Standard</v>
      </c>
      <c r="F132" s="2">
        <v>45057</v>
      </c>
      <c r="G132" s="2">
        <v>45087</v>
      </c>
      <c r="H132">
        <v>1000</v>
      </c>
      <c r="I132">
        <f t="shared" ca="1" si="23"/>
        <v>5000</v>
      </c>
      <c r="J132">
        <v>19</v>
      </c>
      <c r="K132" t="str">
        <f t="shared" ca="1" si="24"/>
        <v>Yes</v>
      </c>
      <c r="L132" t="str">
        <f t="shared" ca="1" si="25"/>
        <v>Muscle Gain</v>
      </c>
      <c r="M132" t="str">
        <f t="shared" ca="1" si="26"/>
        <v>Active</v>
      </c>
      <c r="N132" s="2">
        <v>46062</v>
      </c>
      <c r="Q132" t="str">
        <f ca="1">IF(RAND()&lt;0.2,
    IF(RAND()&lt;0.5, LOWER(C132), UPPER(C132)),
    C132
)</f>
        <v>CHENNAI</v>
      </c>
      <c r="R132" t="str">
        <f t="shared" ca="1" si="29"/>
        <v>19 visits</v>
      </c>
      <c r="S132">
        <f t="shared" ca="1" si="30"/>
        <v>1000</v>
      </c>
      <c r="T132">
        <f t="shared" ca="1" si="31"/>
        <v>46003</v>
      </c>
      <c r="U132" s="2">
        <f t="shared" ca="1" si="32"/>
        <v>46062</v>
      </c>
    </row>
    <row r="133" spans="1:21">
      <c r="A133" t="str">
        <f t="shared" si="28"/>
        <v>MEM0132</v>
      </c>
      <c r="B133" t="str">
        <f ca="1">INDEX('Name pool'!A:A, RANDBETWEEN(2, COUNTA('Name pool'!A:A))) &amp; " " &amp; INDEX('Name pool'!B:B, RANDBETWEEN(2, COUNTA('Name pool'!B:B)))</f>
        <v>Vivek Sharma</v>
      </c>
      <c r="C133" t="s">
        <v>129</v>
      </c>
      <c r="D133" t="str">
        <f t="shared" ca="1" si="27"/>
        <v>BR02</v>
      </c>
      <c r="E133" t="str">
        <f t="shared" ca="1" si="22"/>
        <v>Premium</v>
      </c>
      <c r="F133" s="2">
        <v>45708</v>
      </c>
      <c r="G133" s="2">
        <v>46073</v>
      </c>
      <c r="H133">
        <v>3500</v>
      </c>
      <c r="I133">
        <f t="shared" ca="1" si="23"/>
        <v>28000</v>
      </c>
      <c r="J133">
        <v>18</v>
      </c>
      <c r="K133" t="str">
        <f t="shared" ca="1" si="24"/>
        <v>No</v>
      </c>
      <c r="L133" t="str">
        <f t="shared" ca="1" si="25"/>
        <v>Weight Loss</v>
      </c>
      <c r="M133" t="str">
        <f t="shared" ca="1" si="26"/>
        <v>Active</v>
      </c>
      <c r="N133" s="2">
        <v>45842</v>
      </c>
      <c r="Q133" t="str">
        <f ca="1">IF(RAND()&lt;0.2,
    IF(RAND()&lt;0.5, LOWER(C133), UPPER(C133)),
    C133
)</f>
        <v>hyderabad</v>
      </c>
      <c r="R133">
        <f t="shared" ca="1" si="29"/>
        <v>18</v>
      </c>
      <c r="S133">
        <f t="shared" ca="1" si="30"/>
        <v>3500</v>
      </c>
      <c r="T133">
        <f t="shared" ca="1" si="31"/>
        <v>45609</v>
      </c>
      <c r="U133" s="2">
        <f t="shared" ca="1" si="32"/>
        <v>45842</v>
      </c>
    </row>
    <row r="134" spans="1:21">
      <c r="A134" t="str">
        <f t="shared" si="28"/>
        <v>MEM0133</v>
      </c>
      <c r="B134" t="str">
        <f ca="1">INDEX('Name pool'!A:A, RANDBETWEEN(2, COUNTA('Name pool'!A:A))) &amp; " " &amp; INDEX('Name pool'!B:B, RANDBETWEEN(2, COUNTA('Name pool'!B:B)))</f>
        <v>Nikhil Verma</v>
      </c>
      <c r="C134" t="s">
        <v>81</v>
      </c>
      <c r="D134" t="str">
        <f t="shared" ca="1" si="27"/>
        <v>BR05</v>
      </c>
      <c r="E134" t="str">
        <f t="shared" ca="1" si="22"/>
        <v>Standard</v>
      </c>
      <c r="F134" s="2">
        <v>46018</v>
      </c>
      <c r="G134" s="2">
        <v>46383</v>
      </c>
      <c r="H134">
        <v>3500</v>
      </c>
      <c r="I134">
        <f t="shared" ca="1" si="23"/>
        <v>3500</v>
      </c>
      <c r="J134">
        <v>15</v>
      </c>
      <c r="K134" t="str">
        <f t="shared" ca="1" si="24"/>
        <v>Yes</v>
      </c>
      <c r="L134" t="str">
        <f t="shared" ca="1" si="25"/>
        <v>Muscle Gain</v>
      </c>
      <c r="M134" t="str">
        <f t="shared" ca="1" si="26"/>
        <v>Active</v>
      </c>
      <c r="N134" s="2">
        <v>46099</v>
      </c>
      <c r="Q134" t="str">
        <f ca="1">IF(RAND()&lt;0.2,
    IF(RAND()&lt;0.5, LOWER(C134), UPPER(C134)),
    C134
)</f>
        <v>Mumbai</v>
      </c>
      <c r="R134">
        <f t="shared" ca="1" si="29"/>
        <v>15</v>
      </c>
      <c r="S134">
        <f t="shared" ca="1" si="30"/>
        <v>3500</v>
      </c>
      <c r="T134">
        <f t="shared" ca="1" si="31"/>
        <v>45296</v>
      </c>
      <c r="U134" s="2">
        <f t="shared" ca="1" si="32"/>
        <v>46099</v>
      </c>
    </row>
    <row r="135" spans="1:21">
      <c r="A135" t="str">
        <f t="shared" si="28"/>
        <v>MEM0134</v>
      </c>
      <c r="B135" t="str">
        <f ca="1">INDEX('Name pool'!A:A, RANDBETWEEN(2, COUNTA('Name pool'!A:A))) &amp; " " &amp; INDEX('Name pool'!B:B, RANDBETWEEN(2, COUNTA('Name pool'!B:B)))</f>
        <v>Neha Das</v>
      </c>
      <c r="C135" t="s">
        <v>77</v>
      </c>
      <c r="D135" t="str">
        <f t="shared" ca="1" si="27"/>
        <v>BR07</v>
      </c>
      <c r="E135" t="str">
        <f t="shared" ca="1" si="22"/>
        <v>Standard</v>
      </c>
      <c r="F135" s="2">
        <v>44987</v>
      </c>
      <c r="G135" s="2">
        <v>45017</v>
      </c>
      <c r="H135">
        <v>2000</v>
      </c>
      <c r="I135">
        <f t="shared" ca="1" si="23"/>
        <v>16000</v>
      </c>
      <c r="J135">
        <v>20</v>
      </c>
      <c r="K135" t="str">
        <f t="shared" ca="1" si="24"/>
        <v>Yes</v>
      </c>
      <c r="L135" t="str">
        <f t="shared" ca="1" si="25"/>
        <v>General Fitness</v>
      </c>
      <c r="M135" t="str">
        <f t="shared" ca="1" si="26"/>
        <v>Active</v>
      </c>
      <c r="N135" s="2">
        <v>45565</v>
      </c>
      <c r="Q135" t="str">
        <f ca="1">IF(RAND()&lt;0.2,
    IF(RAND()&lt;0.5, LOWER(C135), UPPER(C135)),
    C135
)</f>
        <v>Chennai</v>
      </c>
      <c r="R135">
        <f t="shared" ca="1" si="29"/>
        <v>20</v>
      </c>
      <c r="S135">
        <f t="shared" ca="1" si="30"/>
        <v>2000</v>
      </c>
      <c r="T135">
        <f t="shared" ca="1" si="31"/>
        <v>45542</v>
      </c>
      <c r="U135" s="2">
        <f t="shared" ca="1" si="32"/>
        <v>45565</v>
      </c>
    </row>
    <row r="136" spans="1:21">
      <c r="A136" t="str">
        <f t="shared" si="28"/>
        <v>MEM0135</v>
      </c>
      <c r="B136" t="str">
        <f ca="1">INDEX('Name pool'!A:A, RANDBETWEEN(2, COUNTA('Name pool'!A:A))) &amp; " " &amp; INDEX('Name pool'!B:B, RANDBETWEEN(2, COUNTA('Name pool'!B:B)))</f>
        <v>Zara Lewis</v>
      </c>
      <c r="C136" t="s">
        <v>77</v>
      </c>
      <c r="D136" t="str">
        <f t="shared" ca="1" si="27"/>
        <v>BR06</v>
      </c>
      <c r="E136" t="str">
        <f t="shared" ca="1" si="22"/>
        <v>Standard</v>
      </c>
      <c r="F136" s="2">
        <v>45434</v>
      </c>
      <c r="G136" s="2">
        <v>45524</v>
      </c>
      <c r="H136" t="s">
        <v>120</v>
      </c>
      <c r="I136">
        <f t="shared" ca="1" si="23"/>
        <v>10000</v>
      </c>
      <c r="J136">
        <v>4</v>
      </c>
      <c r="K136" t="str">
        <f t="shared" ca="1" si="24"/>
        <v>No</v>
      </c>
      <c r="L136" t="str">
        <f t="shared" ca="1" si="25"/>
        <v>Weight Loss</v>
      </c>
      <c r="M136" t="str">
        <f t="shared" ca="1" si="26"/>
        <v>Active</v>
      </c>
      <c r="N136" s="2">
        <v>45607</v>
      </c>
      <c r="Q136" t="str">
        <f ca="1">IF(RAND()&lt;0.2,
    IF(RAND()&lt;0.5, LOWER(C136), UPPER(C136)),
    C136
)</f>
        <v>Chennai</v>
      </c>
      <c r="R136" t="str">
        <f t="shared" ca="1" si="29"/>
        <v>4 visits</v>
      </c>
      <c r="S136" t="str">
        <f t="shared" ca="1" si="30"/>
        <v>2000</v>
      </c>
      <c r="T136">
        <f t="shared" ca="1" si="31"/>
        <v>45744</v>
      </c>
      <c r="U136" s="2">
        <f t="shared" ca="1" si="32"/>
        <v>45607</v>
      </c>
    </row>
    <row r="137" spans="1:21">
      <c r="A137" t="str">
        <f t="shared" si="28"/>
        <v>MEM0136</v>
      </c>
      <c r="B137" t="str">
        <f ca="1">INDEX('Name pool'!A:A, RANDBETWEEN(2, COUNTA('Name pool'!A:A))) &amp; " " &amp; INDEX('Name pool'!B:B, RANDBETWEEN(2, COUNTA('Name pool'!B:B)))</f>
        <v>Ayesha George</v>
      </c>
      <c r="C137" t="s">
        <v>77</v>
      </c>
      <c r="D137" t="str">
        <f t="shared" ca="1" si="27"/>
        <v>BR05</v>
      </c>
      <c r="E137" t="str">
        <f t="shared" ca="1" si="22"/>
        <v>Standard</v>
      </c>
      <c r="F137" s="2">
        <v>45356</v>
      </c>
      <c r="G137" s="2">
        <v>45446</v>
      </c>
      <c r="H137">
        <v>3500</v>
      </c>
      <c r="I137">
        <f t="shared" ca="1" si="23"/>
        <v>14000</v>
      </c>
      <c r="J137">
        <v>8</v>
      </c>
      <c r="K137" t="str">
        <f t="shared" ca="1" si="24"/>
        <v>No</v>
      </c>
      <c r="L137" t="str">
        <f t="shared" ca="1" si="25"/>
        <v>Weight Loss</v>
      </c>
      <c r="M137" t="str">
        <f t="shared" ca="1" si="26"/>
        <v>Active</v>
      </c>
      <c r="N137" s="2">
        <v>45369</v>
      </c>
      <c r="Q137" t="str">
        <f ca="1">IF(RAND()&lt;0.2,
    IF(RAND()&lt;0.5, LOWER(C137), UPPER(C137)),
    C137
)</f>
        <v>CHENNAI</v>
      </c>
      <c r="R137" t="str">
        <f t="shared" ca="1" si="29"/>
        <v>8 visits</v>
      </c>
      <c r="S137">
        <f t="shared" ca="1" si="30"/>
        <v>3500</v>
      </c>
      <c r="T137">
        <f t="shared" ca="1" si="31"/>
        <v>45502</v>
      </c>
      <c r="U137" s="2">
        <f t="shared" ca="1" si="32"/>
        <v>45369</v>
      </c>
    </row>
    <row r="138" spans="1:21">
      <c r="A138" t="str">
        <f t="shared" si="28"/>
        <v>MEM0137</v>
      </c>
      <c r="B138" t="str">
        <f ca="1">INDEX('Name pool'!A:A, RANDBETWEEN(2, COUNTA('Name pool'!A:A))) &amp; " " &amp; INDEX('Name pool'!B:B, RANDBETWEEN(2, COUNTA('Name pool'!B:B)))</f>
        <v>Sanjay Malhotra</v>
      </c>
      <c r="C138" t="s">
        <v>83</v>
      </c>
      <c r="D138" t="str">
        <f t="shared" ca="1" si="27"/>
        <v>BR03</v>
      </c>
      <c r="E138" t="str">
        <f t="shared" ca="1" si="22"/>
        <v>Standard</v>
      </c>
      <c r="F138" s="2">
        <v>45437</v>
      </c>
      <c r="G138" s="2">
        <v>45467</v>
      </c>
      <c r="H138">
        <v>3500</v>
      </c>
      <c r="I138">
        <f t="shared" ca="1" si="23"/>
        <v>21000</v>
      </c>
      <c r="J138" t="s">
        <v>134</v>
      </c>
      <c r="K138" t="str">
        <f t="shared" ca="1" si="24"/>
        <v>No</v>
      </c>
      <c r="L138" t="str">
        <f t="shared" ca="1" si="25"/>
        <v>General Fitness</v>
      </c>
      <c r="M138" t="str">
        <f t="shared" ca="1" si="26"/>
        <v>Active</v>
      </c>
      <c r="N138" s="2">
        <v>45853</v>
      </c>
      <c r="Q138" t="str">
        <f ca="1">IF(RAND()&lt;0.2,
    IF(RAND()&lt;0.5, LOWER(C138), UPPER(C138)),
    C138
)</f>
        <v>Trivandrum</v>
      </c>
      <c r="R138" t="str">
        <f t="shared" ca="1" si="29"/>
        <v>4 visits</v>
      </c>
      <c r="S138">
        <f t="shared" ca="1" si="30"/>
        <v>3500</v>
      </c>
      <c r="T138">
        <f t="shared" ca="1" si="31"/>
        <v>45340</v>
      </c>
      <c r="U138" s="2">
        <f t="shared" ca="1" si="32"/>
        <v>45853</v>
      </c>
    </row>
    <row r="139" spans="1:21">
      <c r="A139" t="str">
        <f t="shared" si="28"/>
        <v>MEM0138</v>
      </c>
      <c r="B139" t="str">
        <f ca="1">INDEX('Name pool'!A:A, RANDBETWEEN(2, COUNTA('Name pool'!A:A))) &amp; " " &amp; INDEX('Name pool'!B:B, RANDBETWEEN(2, COUNTA('Name pool'!B:B)))</f>
        <v>Rohit Verma</v>
      </c>
      <c r="C139" t="s">
        <v>77</v>
      </c>
      <c r="D139" t="str">
        <f t="shared" ca="1" si="27"/>
        <v>BR04</v>
      </c>
      <c r="E139" t="str">
        <f t="shared" ca="1" si="22"/>
        <v>Standard</v>
      </c>
      <c r="F139" s="2">
        <v>44992</v>
      </c>
      <c r="G139" s="2">
        <v>45082</v>
      </c>
      <c r="H139">
        <v>2000</v>
      </c>
      <c r="I139">
        <f t="shared" ca="1" si="23"/>
        <v>16000</v>
      </c>
      <c r="J139">
        <v>21</v>
      </c>
      <c r="K139" t="str">
        <f t="shared" ca="1" si="24"/>
        <v>No</v>
      </c>
      <c r="L139" t="str">
        <f t="shared" ca="1" si="25"/>
        <v>Muscle Gain</v>
      </c>
      <c r="M139" t="str">
        <f t="shared" ca="1" si="26"/>
        <v>Active</v>
      </c>
      <c r="N139" s="2">
        <v>45841</v>
      </c>
      <c r="Q139" t="str">
        <f ca="1">IF(RAND()&lt;0.2,
    IF(RAND()&lt;0.5, LOWER(C139), UPPER(C139)),
    C139
)</f>
        <v>Chennai</v>
      </c>
      <c r="R139">
        <f t="shared" ca="1" si="29"/>
        <v>21</v>
      </c>
      <c r="S139">
        <f t="shared" ca="1" si="30"/>
        <v>2000</v>
      </c>
      <c r="T139">
        <f t="shared" ca="1" si="31"/>
        <v>45577</v>
      </c>
      <c r="U139" s="2">
        <f t="shared" ca="1" si="32"/>
        <v>45841</v>
      </c>
    </row>
    <row r="140" spans="1:21">
      <c r="A140" t="str">
        <f t="shared" si="28"/>
        <v>MEM0139</v>
      </c>
      <c r="B140" t="str">
        <f ca="1">INDEX('Name pool'!A:A, RANDBETWEEN(2, COUNTA('Name pool'!A:A))) &amp; " " &amp; INDEX('Name pool'!B:B, RANDBETWEEN(2, COUNTA('Name pool'!B:B)))</f>
        <v>Priya D’Souza</v>
      </c>
      <c r="C140" t="s">
        <v>81</v>
      </c>
      <c r="D140" t="str">
        <f t="shared" ca="1" si="27"/>
        <v>BR02</v>
      </c>
      <c r="E140" t="str">
        <f t="shared" ca="1" si="22"/>
        <v>Basic</v>
      </c>
      <c r="F140" s="2">
        <v>45180</v>
      </c>
      <c r="G140" s="2">
        <v>45210</v>
      </c>
      <c r="H140" t="s">
        <v>105</v>
      </c>
      <c r="I140">
        <f t="shared" ca="1" si="23"/>
        <v>38500</v>
      </c>
      <c r="J140">
        <v>10</v>
      </c>
      <c r="K140" t="str">
        <f t="shared" ca="1" si="24"/>
        <v>Yes</v>
      </c>
      <c r="L140" t="str">
        <f t="shared" ca="1" si="25"/>
        <v>Muscle Gain</v>
      </c>
      <c r="M140" t="str">
        <f t="shared" ca="1" si="26"/>
        <v>Active</v>
      </c>
      <c r="N140" s="2">
        <v>46107</v>
      </c>
      <c r="Q140" t="str">
        <f ca="1">IF(RAND()&lt;0.2,
    IF(RAND()&lt;0.5, LOWER(C140), UPPER(C140)),
    C140
)</f>
        <v>mumbai</v>
      </c>
      <c r="R140">
        <f t="shared" ca="1" si="29"/>
        <v>10</v>
      </c>
      <c r="S140" t="str">
        <f t="shared" ca="1" si="30"/>
        <v>3500</v>
      </c>
      <c r="T140">
        <f t="shared" ca="1" si="31"/>
        <v>45570</v>
      </c>
      <c r="U140" s="2">
        <f t="shared" ca="1" si="32"/>
        <v>46107</v>
      </c>
    </row>
    <row r="141" spans="1:21">
      <c r="A141" t="str">
        <f t="shared" si="28"/>
        <v>MEM0140</v>
      </c>
      <c r="B141" t="str">
        <f ca="1">INDEX('Name pool'!A:A, RANDBETWEEN(2, COUNTA('Name pool'!A:A))) &amp; " " &amp; INDEX('Name pool'!B:B, RANDBETWEEN(2, COUNTA('Name pool'!B:B)))</f>
        <v>Sneha Das</v>
      </c>
      <c r="C141" t="s">
        <v>112</v>
      </c>
      <c r="D141" t="str">
        <f t="shared" ca="1" si="27"/>
        <v>BR04</v>
      </c>
      <c r="E141" t="str">
        <f t="shared" ca="1" si="22"/>
        <v>Basic</v>
      </c>
      <c r="F141" s="2">
        <v>44993</v>
      </c>
      <c r="G141" s="2">
        <v>45083</v>
      </c>
      <c r="H141">
        <v>1000</v>
      </c>
      <c r="I141">
        <f t="shared" ca="1" si="23"/>
        <v>11000</v>
      </c>
      <c r="J141">
        <v>4</v>
      </c>
      <c r="K141" t="str">
        <f t="shared" ca="1" si="24"/>
        <v>No</v>
      </c>
      <c r="L141" t="str">
        <f t="shared" ca="1" si="25"/>
        <v>Weight Loss</v>
      </c>
      <c r="M141" t="str">
        <f t="shared" ca="1" si="26"/>
        <v>Cancelled</v>
      </c>
      <c r="N141" s="2">
        <v>46115</v>
      </c>
      <c r="Q141" t="str">
        <f ca="1">IF(RAND()&lt;0.2,
    IF(RAND()&lt;0.5, LOWER(C141), UPPER(C141)),
    C141
)</f>
        <v>HYDERABAD</v>
      </c>
      <c r="R141">
        <f t="shared" ca="1" si="29"/>
        <v>4</v>
      </c>
      <c r="S141">
        <f t="shared" ca="1" si="30"/>
        <v>1000</v>
      </c>
      <c r="T141">
        <f t="shared" ca="1" si="31"/>
        <v>45721</v>
      </c>
      <c r="U141" s="2">
        <f t="shared" ca="1" si="32"/>
        <v>45012</v>
      </c>
    </row>
    <row r="142" spans="1:21">
      <c r="A142" t="str">
        <f t="shared" si="28"/>
        <v>MEM0141</v>
      </c>
      <c r="B142" t="str">
        <f ca="1">INDEX('Name pool'!A:A, RANDBETWEEN(2, COUNTA('Name pool'!A:A))) &amp; " " &amp; INDEX('Name pool'!B:B, RANDBETWEEN(2, COUNTA('Name pool'!B:B)))</f>
        <v>Anjali Bhat</v>
      </c>
      <c r="C142" t="s">
        <v>81</v>
      </c>
      <c r="D142" t="str">
        <f t="shared" ca="1" si="27"/>
        <v>BR06</v>
      </c>
      <c r="E142" t="str">
        <f t="shared" ca="1" si="22"/>
        <v>Basic</v>
      </c>
      <c r="F142" s="2">
        <v>45193</v>
      </c>
      <c r="G142" s="2">
        <v>45283</v>
      </c>
      <c r="H142" t="s">
        <v>105</v>
      </c>
      <c r="I142">
        <f t="shared" ca="1" si="23"/>
        <v>10500</v>
      </c>
      <c r="J142">
        <v>1</v>
      </c>
      <c r="K142" t="str">
        <f t="shared" ca="1" si="24"/>
        <v>Yes</v>
      </c>
      <c r="L142" t="str">
        <f t="shared" ca="1" si="25"/>
        <v>Muscle Gain</v>
      </c>
      <c r="M142" t="str">
        <f t="shared" ca="1" si="26"/>
        <v>Cancelled</v>
      </c>
      <c r="N142" s="2">
        <v>45252</v>
      </c>
      <c r="Q142" t="str">
        <f ca="1">IF(RAND()&lt;0.2,
    IF(RAND()&lt;0.5, LOWER(C142), UPPER(C142)),
    C142
)</f>
        <v>Mumbai</v>
      </c>
      <c r="R142">
        <f t="shared" ca="1" si="29"/>
        <v>1</v>
      </c>
      <c r="S142" t="str">
        <f t="shared" ca="1" si="30"/>
        <v>3500</v>
      </c>
      <c r="T142">
        <f t="shared" ca="1" si="31"/>
        <v>46044</v>
      </c>
      <c r="U142" s="2">
        <f t="shared" ca="1" si="32"/>
        <v>45252</v>
      </c>
    </row>
    <row r="143" spans="1:21">
      <c r="A143" t="str">
        <f t="shared" si="28"/>
        <v>MEM0142</v>
      </c>
      <c r="B143" t="str">
        <f ca="1">INDEX('Name pool'!A:A, RANDBETWEEN(2, COUNTA('Name pool'!A:A))) &amp; " " &amp; INDEX('Name pool'!B:B, RANDBETWEEN(2, COUNTA('Name pool'!B:B)))</f>
        <v>Nikhil Shaikh</v>
      </c>
      <c r="C143" t="s">
        <v>85</v>
      </c>
      <c r="D143" t="str">
        <f t="shared" ca="1" si="27"/>
        <v>BR02</v>
      </c>
      <c r="E143" t="str">
        <f t="shared" ca="1" si="22"/>
        <v>Basic</v>
      </c>
      <c r="F143" s="2">
        <v>45396</v>
      </c>
      <c r="G143" s="2">
        <v>45426</v>
      </c>
      <c r="H143">
        <v>3500</v>
      </c>
      <c r="I143">
        <f t="shared" ca="1" si="23"/>
        <v>42000</v>
      </c>
      <c r="J143">
        <v>9</v>
      </c>
      <c r="K143" t="str">
        <f t="shared" ca="1" si="24"/>
        <v>Yes</v>
      </c>
      <c r="L143" t="str">
        <f t="shared" ca="1" si="25"/>
        <v>Muscle Gain</v>
      </c>
      <c r="M143" t="str">
        <f t="shared" ca="1" si="26"/>
        <v>Active</v>
      </c>
      <c r="N143" s="2">
        <v>45716</v>
      </c>
      <c r="Q143" t="str">
        <f ca="1">IF(RAND()&lt;0.2,
    IF(RAND()&lt;0.5, LOWER(C143), UPPER(C143)),
    C143
)</f>
        <v>Calicut</v>
      </c>
      <c r="R143">
        <f t="shared" ca="1" si="29"/>
        <v>9</v>
      </c>
      <c r="S143">
        <f t="shared" ca="1" si="30"/>
        <v>3500</v>
      </c>
      <c r="T143">
        <f t="shared" ca="1" si="31"/>
        <v>45288</v>
      </c>
      <c r="U143" s="2">
        <f t="shared" ca="1" si="32"/>
        <v>45716</v>
      </c>
    </row>
    <row r="144" spans="1:21">
      <c r="A144" t="str">
        <f t="shared" si="28"/>
        <v>MEM0143</v>
      </c>
      <c r="B144" t="str">
        <f ca="1">INDEX('Name pool'!A:A, RANDBETWEEN(2, COUNTA('Name pool'!A:A))) &amp; " " &amp; INDEX('Name pool'!B:B, RANDBETWEEN(2, COUNTA('Name pool'!B:B)))</f>
        <v>Aditya Joshi</v>
      </c>
      <c r="C144" t="s">
        <v>132</v>
      </c>
      <c r="D144" t="str">
        <f t="shared" ca="1" si="27"/>
        <v>BR05</v>
      </c>
      <c r="E144" t="str">
        <f t="shared" ca="1" si="22"/>
        <v>Premium</v>
      </c>
      <c r="F144" s="2">
        <v>45977</v>
      </c>
      <c r="G144" s="2">
        <v>46007</v>
      </c>
      <c r="H144" t="s">
        <v>105</v>
      </c>
      <c r="I144">
        <f t="shared" ca="1" si="23"/>
        <v>38500</v>
      </c>
      <c r="J144">
        <v>21</v>
      </c>
      <c r="K144" t="str">
        <f t="shared" ca="1" si="24"/>
        <v>Yes</v>
      </c>
      <c r="L144" t="str">
        <f t="shared" ca="1" si="25"/>
        <v>Weight Loss</v>
      </c>
      <c r="M144" t="str">
        <f t="shared" ca="1" si="26"/>
        <v>Active</v>
      </c>
      <c r="N144" s="2">
        <v>46071</v>
      </c>
      <c r="Q144" t="str">
        <f ca="1">IF(RAND()&lt;0.2,
    IF(RAND()&lt;0.5, LOWER(C144), UPPER(C144)),
    C144
)</f>
        <v>calicut</v>
      </c>
      <c r="R144">
        <f t="shared" ca="1" si="29"/>
        <v>21</v>
      </c>
      <c r="S144" t="str">
        <f t="shared" ca="1" si="30"/>
        <v>3500</v>
      </c>
      <c r="T144">
        <f t="shared" ca="1" si="31"/>
        <v>45835</v>
      </c>
      <c r="U144" s="2">
        <f t="shared" ca="1" si="32"/>
        <v>46071</v>
      </c>
    </row>
    <row r="145" spans="1:21">
      <c r="A145" t="str">
        <f t="shared" si="28"/>
        <v>MEM0144</v>
      </c>
      <c r="B145" t="str">
        <f ca="1">INDEX('Name pool'!A:A, RANDBETWEEN(2, COUNTA('Name pool'!A:A))) &amp; " " &amp; INDEX('Name pool'!B:B, RANDBETWEEN(2, COUNTA('Name pool'!B:B)))</f>
        <v>Varun Naidu</v>
      </c>
      <c r="C145" t="s">
        <v>73</v>
      </c>
      <c r="D145" t="str">
        <f t="shared" ca="1" si="27"/>
        <v>BR03</v>
      </c>
      <c r="E145" t="str">
        <f t="shared" ca="1" si="22"/>
        <v>Basic</v>
      </c>
      <c r="F145" s="2">
        <v>45722</v>
      </c>
      <c r="G145" s="2">
        <v>45812</v>
      </c>
      <c r="H145">
        <v>2000</v>
      </c>
      <c r="I145">
        <f t="shared" ca="1" si="23"/>
        <v>4000</v>
      </c>
      <c r="J145">
        <v>15</v>
      </c>
      <c r="K145" t="str">
        <f t="shared" ca="1" si="24"/>
        <v>No</v>
      </c>
      <c r="L145" t="str">
        <f t="shared" ca="1" si="25"/>
        <v>Muscle Gain</v>
      </c>
      <c r="M145" t="str">
        <f t="shared" ca="1" si="26"/>
        <v>Active</v>
      </c>
      <c r="N145" s="2">
        <v>45954</v>
      </c>
      <c r="Q145" t="str">
        <f ca="1">IF(RAND()&lt;0.2,
    IF(RAND()&lt;0.5, LOWER(C145), UPPER(C145)),
    C145
)</f>
        <v>Kochi</v>
      </c>
      <c r="R145">
        <f t="shared" ca="1" si="29"/>
        <v>15</v>
      </c>
      <c r="S145">
        <f t="shared" ca="1" si="30"/>
        <v>2000</v>
      </c>
      <c r="T145">
        <f t="shared" ca="1" si="31"/>
        <v>45128</v>
      </c>
      <c r="U145" s="2">
        <f t="shared" ca="1" si="32"/>
        <v>45954</v>
      </c>
    </row>
    <row r="146" spans="1:21">
      <c r="A146" t="str">
        <f t="shared" si="28"/>
        <v>MEM0145</v>
      </c>
      <c r="B146" t="str">
        <f ca="1">INDEX('Name pool'!A:A, RANDBETWEEN(2, COUNTA('Name pool'!A:A))) &amp; " " &amp; INDEX('Name pool'!B:B, RANDBETWEEN(2, COUNTA('Name pool'!B:B)))</f>
        <v>Ishita Pillai</v>
      </c>
      <c r="C146" t="s">
        <v>83</v>
      </c>
      <c r="D146" t="str">
        <f t="shared" ca="1" si="27"/>
        <v>BR01</v>
      </c>
      <c r="E146" t="str">
        <f t="shared" ca="1" si="22"/>
        <v>Basic</v>
      </c>
      <c r="F146" s="2">
        <v>45285</v>
      </c>
      <c r="G146" s="2">
        <v>45650</v>
      </c>
      <c r="H146">
        <v>2000</v>
      </c>
      <c r="I146">
        <f t="shared" ca="1" si="23"/>
        <v>6000</v>
      </c>
      <c r="J146" t="s">
        <v>135</v>
      </c>
      <c r="K146" t="str">
        <f t="shared" ca="1" si="24"/>
        <v>Yes</v>
      </c>
      <c r="L146" t="str">
        <f t="shared" ca="1" si="25"/>
        <v>Weight Loss</v>
      </c>
      <c r="M146" t="str">
        <f t="shared" ca="1" si="26"/>
        <v>Active</v>
      </c>
      <c r="N146" s="2">
        <v>45728</v>
      </c>
      <c r="Q146" t="str">
        <f ca="1">IF(RAND()&lt;0.2,
    IF(RAND()&lt;0.5, LOWER(C146), UPPER(C146)),
    C146
)</f>
        <v>Trivandrum</v>
      </c>
      <c r="R146" t="str">
        <f t="shared" ca="1" si="29"/>
        <v>16 visits</v>
      </c>
      <c r="S146">
        <f t="shared" ca="1" si="30"/>
        <v>2000</v>
      </c>
      <c r="T146">
        <f t="shared" ca="1" si="31"/>
        <v>45447</v>
      </c>
      <c r="U146" s="2">
        <f t="shared" ca="1" si="32"/>
        <v>45728</v>
      </c>
    </row>
    <row r="147" spans="1:21">
      <c r="A147" t="str">
        <f t="shared" si="28"/>
        <v>MEM0146</v>
      </c>
      <c r="B147" t="str">
        <f ca="1">INDEX('Name pool'!A:A, RANDBETWEEN(2, COUNTA('Name pool'!A:A))) &amp; " " &amp; INDEX('Name pool'!B:B, RANDBETWEEN(2, COUNTA('Name pool'!B:B)))</f>
        <v>Rahul Agarwal</v>
      </c>
      <c r="C147" t="s">
        <v>79</v>
      </c>
      <c r="D147" t="str">
        <f t="shared" ca="1" si="27"/>
        <v>BR07</v>
      </c>
      <c r="E147" t="str">
        <f t="shared" ca="1" si="22"/>
        <v>Standard</v>
      </c>
      <c r="F147" s="2">
        <v>45543</v>
      </c>
      <c r="G147" s="2">
        <v>45633</v>
      </c>
      <c r="H147">
        <v>1000</v>
      </c>
      <c r="I147">
        <f t="shared" ca="1" si="23"/>
        <v>6000</v>
      </c>
      <c r="J147" t="s">
        <v>122</v>
      </c>
      <c r="K147" t="str">
        <f t="shared" ca="1" si="24"/>
        <v>Yes</v>
      </c>
      <c r="L147" t="str">
        <f t="shared" ca="1" si="25"/>
        <v>General Fitness</v>
      </c>
      <c r="M147" t="str">
        <f t="shared" ca="1" si="26"/>
        <v>Active</v>
      </c>
      <c r="N147" s="2">
        <v>46074</v>
      </c>
      <c r="Q147" t="str">
        <f ca="1">IF(RAND()&lt;0.2,
    IF(RAND()&lt;0.5, LOWER(C147), UPPER(C147)),
    C147
)</f>
        <v>Hyderabad</v>
      </c>
      <c r="R147" t="str">
        <f t="shared" ca="1" si="29"/>
        <v>25 visits</v>
      </c>
      <c r="S147">
        <f t="shared" ca="1" si="30"/>
        <v>1000</v>
      </c>
      <c r="T147">
        <f t="shared" ca="1" si="31"/>
        <v>45694</v>
      </c>
      <c r="U147" s="2">
        <f t="shared" ca="1" si="32"/>
        <v>46074</v>
      </c>
    </row>
    <row r="148" spans="1:21">
      <c r="A148" t="str">
        <f t="shared" si="28"/>
        <v>MEM0147</v>
      </c>
      <c r="B148" t="str">
        <f ca="1">INDEX('Name pool'!A:A, RANDBETWEEN(2, COUNTA('Name pool'!A:A))) &amp; " " &amp; INDEX('Name pool'!B:B, RANDBETWEEN(2, COUNTA('Name pool'!B:B)))</f>
        <v>Anjali Das</v>
      </c>
      <c r="C148" t="s">
        <v>75</v>
      </c>
      <c r="D148" t="str">
        <f t="shared" ca="1" si="27"/>
        <v>BR06</v>
      </c>
      <c r="E148" t="str">
        <f t="shared" ca="1" si="22"/>
        <v>Premium</v>
      </c>
      <c r="F148" s="2">
        <v>45986</v>
      </c>
      <c r="G148" s="2">
        <v>46016</v>
      </c>
      <c r="H148">
        <v>2000</v>
      </c>
      <c r="I148">
        <f t="shared" ca="1" si="23"/>
        <v>2000</v>
      </c>
      <c r="J148">
        <v>10</v>
      </c>
      <c r="K148" t="str">
        <f t="shared" ca="1" si="24"/>
        <v>Yes</v>
      </c>
      <c r="L148" t="str">
        <f t="shared" ca="1" si="25"/>
        <v>Weight Loss</v>
      </c>
      <c r="M148" t="str">
        <f t="shared" ca="1" si="26"/>
        <v>Active</v>
      </c>
      <c r="N148" s="2">
        <v>46000</v>
      </c>
      <c r="Q148" t="str">
        <f ca="1">IF(RAND()&lt;0.2,
    IF(RAND()&lt;0.5, LOWER(C148), UPPER(C148)),
    C148
)</f>
        <v>Bangalore</v>
      </c>
      <c r="R148">
        <f t="shared" ca="1" si="29"/>
        <v>10</v>
      </c>
      <c r="S148">
        <f t="shared" ca="1" si="30"/>
        <v>2000</v>
      </c>
      <c r="T148">
        <f t="shared" ca="1" si="31"/>
        <v>45241</v>
      </c>
      <c r="U148" s="2">
        <f t="shared" ca="1" si="32"/>
        <v>46000</v>
      </c>
    </row>
    <row r="149" spans="1:21">
      <c r="A149" t="str">
        <f t="shared" si="28"/>
        <v>MEM0148</v>
      </c>
      <c r="B149" t="str">
        <f ca="1">INDEX('Name pool'!A:A, RANDBETWEEN(2, COUNTA('Name pool'!A:A))) &amp; " " &amp; INDEX('Name pool'!B:B, RANDBETWEEN(2, COUNTA('Name pool'!B:B)))</f>
        <v>Divya Patel</v>
      </c>
      <c r="C149" t="s">
        <v>75</v>
      </c>
      <c r="D149" t="str">
        <f t="shared" ca="1" si="27"/>
        <v>BR07</v>
      </c>
      <c r="E149" t="str">
        <f t="shared" ca="1" si="22"/>
        <v>Basic</v>
      </c>
      <c r="F149" s="2">
        <v>45483</v>
      </c>
      <c r="G149" s="2">
        <v>45573</v>
      </c>
      <c r="H149">
        <v>3500</v>
      </c>
      <c r="I149">
        <f t="shared" ca="1" si="23"/>
        <v>35000</v>
      </c>
      <c r="J149" t="s">
        <v>127</v>
      </c>
      <c r="K149" t="str">
        <f t="shared" ca="1" si="24"/>
        <v>No</v>
      </c>
      <c r="L149" t="str">
        <f t="shared" ca="1" si="25"/>
        <v>Weight Loss</v>
      </c>
      <c r="M149" t="str">
        <f t="shared" ca="1" si="26"/>
        <v>Active</v>
      </c>
      <c r="N149" s="2">
        <v>45838</v>
      </c>
      <c r="Q149" t="str">
        <f ca="1">IF(RAND()&lt;0.2,
    IF(RAND()&lt;0.5, LOWER(C149), UPPER(C149)),
    C149
)</f>
        <v>bangalore</v>
      </c>
      <c r="R149" t="str">
        <f t="shared" ca="1" si="29"/>
        <v>19 visits</v>
      </c>
      <c r="S149">
        <f t="shared" ca="1" si="30"/>
        <v>3500</v>
      </c>
      <c r="T149">
        <f t="shared" ca="1" si="31"/>
        <v>45979</v>
      </c>
      <c r="U149" s="2">
        <f t="shared" ca="1" si="32"/>
        <v>45838</v>
      </c>
    </row>
    <row r="150" spans="1:21">
      <c r="A150" t="str">
        <f t="shared" si="28"/>
        <v>MEM0149</v>
      </c>
      <c r="B150" t="str">
        <f ca="1">INDEX('Name pool'!A:A, RANDBETWEEN(2, COUNTA('Name pool'!A:A))) &amp; " " &amp; INDEX('Name pool'!B:B, RANDBETWEEN(2, COUNTA('Name pool'!B:B)))</f>
        <v>Divya Reddy</v>
      </c>
      <c r="C150" t="s">
        <v>83</v>
      </c>
      <c r="D150" t="str">
        <f t="shared" ca="1" si="27"/>
        <v>BR05</v>
      </c>
      <c r="E150" t="str">
        <f t="shared" ca="1" si="22"/>
        <v>Premium</v>
      </c>
      <c r="F150" s="2">
        <v>45337</v>
      </c>
      <c r="G150" s="2">
        <v>45427</v>
      </c>
      <c r="H150" t="s">
        <v>105</v>
      </c>
      <c r="I150">
        <f t="shared" ca="1" si="23"/>
        <v>31500</v>
      </c>
      <c r="J150">
        <v>17</v>
      </c>
      <c r="K150" t="str">
        <f t="shared" ca="1" si="24"/>
        <v>Yes</v>
      </c>
      <c r="L150" t="str">
        <f t="shared" ca="1" si="25"/>
        <v>Weight Loss</v>
      </c>
      <c r="M150" t="str">
        <f t="shared" ca="1" si="26"/>
        <v>Active</v>
      </c>
      <c r="N150" s="2">
        <v>45586</v>
      </c>
      <c r="Q150" t="str">
        <f ca="1">IF(RAND()&lt;0.2,
    IF(RAND()&lt;0.5, LOWER(C150), UPPER(C150)),
    C150
)</f>
        <v>trivandrum</v>
      </c>
      <c r="R150">
        <f t="shared" ca="1" si="29"/>
        <v>17</v>
      </c>
      <c r="S150" t="str">
        <f t="shared" ca="1" si="30"/>
        <v>3500</v>
      </c>
      <c r="T150">
        <f t="shared" ca="1" si="31"/>
        <v>44931</v>
      </c>
      <c r="U150" s="2">
        <f t="shared" ca="1" si="32"/>
        <v>45586</v>
      </c>
    </row>
    <row r="151" spans="1:21">
      <c r="A151" t="str">
        <f t="shared" si="28"/>
        <v>MEM0150</v>
      </c>
      <c r="B151" t="str">
        <f ca="1">INDEX('Name pool'!A:A, RANDBETWEEN(2, COUNTA('Name pool'!A:A))) &amp; " " &amp; INDEX('Name pool'!B:B, RANDBETWEEN(2, COUNTA('Name pool'!B:B)))</f>
        <v>Priya Chatterjee</v>
      </c>
      <c r="C151" t="s">
        <v>81</v>
      </c>
      <c r="D151" t="str">
        <f t="shared" ca="1" si="27"/>
        <v>BR04</v>
      </c>
      <c r="E151" t="str">
        <f t="shared" ca="1" si="22"/>
        <v>Premium</v>
      </c>
      <c r="F151" s="2">
        <v>45354</v>
      </c>
      <c r="G151" s="2">
        <v>45384</v>
      </c>
      <c r="H151">
        <v>3500</v>
      </c>
      <c r="I151">
        <f t="shared" ca="1" si="23"/>
        <v>7000</v>
      </c>
      <c r="J151">
        <v>11</v>
      </c>
      <c r="K151" t="str">
        <f t="shared" ca="1" si="24"/>
        <v>Yes</v>
      </c>
      <c r="L151" t="str">
        <f t="shared" ca="1" si="25"/>
        <v>Muscle Gain</v>
      </c>
      <c r="M151" t="str">
        <f t="shared" ca="1" si="26"/>
        <v>Active</v>
      </c>
      <c r="N151" s="2">
        <v>45378</v>
      </c>
      <c r="Q151" t="str">
        <f ca="1">IF(RAND()&lt;0.2,
    IF(RAND()&lt;0.5, LOWER(C151), UPPER(C151)),
    C151
)</f>
        <v>Mumbai</v>
      </c>
      <c r="R151">
        <f t="shared" ca="1" si="29"/>
        <v>11</v>
      </c>
      <c r="S151">
        <f t="shared" ca="1" si="30"/>
        <v>3500</v>
      </c>
      <c r="T151">
        <f t="shared" ca="1" si="31"/>
        <v>45758</v>
      </c>
      <c r="U151" s="2">
        <f t="shared" ca="1" si="32"/>
        <v>45378</v>
      </c>
    </row>
    <row r="152" spans="1:21">
      <c r="A152" t="str">
        <f t="shared" si="28"/>
        <v>MEM0151</v>
      </c>
      <c r="B152" t="str">
        <f ca="1">INDEX('Name pool'!A:A, RANDBETWEEN(2, COUNTA('Name pool'!A:A))) &amp; " " &amp; INDEX('Name pool'!B:B, RANDBETWEEN(2, COUNTA('Name pool'!B:B)))</f>
        <v>Sneha Chatterjee</v>
      </c>
      <c r="C152" t="s">
        <v>85</v>
      </c>
      <c r="D152" t="str">
        <f t="shared" ca="1" si="27"/>
        <v>BR07</v>
      </c>
      <c r="E152" t="str">
        <f t="shared" ca="1" si="22"/>
        <v>Premium</v>
      </c>
      <c r="F152" s="2">
        <v>45763</v>
      </c>
      <c r="G152" s="2">
        <v>46128</v>
      </c>
      <c r="H152">
        <v>3500</v>
      </c>
      <c r="I152">
        <f t="shared" ca="1" si="23"/>
        <v>38500</v>
      </c>
      <c r="J152">
        <v>3</v>
      </c>
      <c r="K152" t="str">
        <f t="shared" ca="1" si="24"/>
        <v>No</v>
      </c>
      <c r="L152" t="str">
        <f t="shared" ca="1" si="25"/>
        <v>General Fitness</v>
      </c>
      <c r="M152" t="str">
        <f t="shared" ca="1" si="26"/>
        <v>Cancelled</v>
      </c>
      <c r="N152" s="2">
        <v>45779</v>
      </c>
      <c r="Q152" t="str">
        <f ca="1">IF(RAND()&lt;0.2,
    IF(RAND()&lt;0.5, LOWER(C152), UPPER(C152)),
    C152
)</f>
        <v>Calicut</v>
      </c>
      <c r="R152">
        <f t="shared" ca="1" si="29"/>
        <v>3</v>
      </c>
      <c r="S152">
        <f t="shared" ca="1" si="30"/>
        <v>3500</v>
      </c>
      <c r="T152">
        <f t="shared" ca="1" si="31"/>
        <v>45793</v>
      </c>
      <c r="U152" s="2">
        <f t="shared" ca="1" si="32"/>
        <v>45779</v>
      </c>
    </row>
    <row r="153" spans="1:21">
      <c r="A153" t="str">
        <f t="shared" si="28"/>
        <v>MEM0152</v>
      </c>
      <c r="B153" t="str">
        <f ca="1">INDEX('Name pool'!A:A, RANDBETWEEN(2, COUNTA('Name pool'!A:A))) &amp; " " &amp; INDEX('Name pool'!B:B, RANDBETWEEN(2, COUNTA('Name pool'!B:B)))</f>
        <v>Nisha Menon</v>
      </c>
      <c r="C153" t="s">
        <v>115</v>
      </c>
      <c r="D153" t="str">
        <f t="shared" ca="1" si="27"/>
        <v>BR02</v>
      </c>
      <c r="E153" t="str">
        <f t="shared" ca="1" si="22"/>
        <v>Premium</v>
      </c>
      <c r="F153" s="2">
        <v>45768</v>
      </c>
      <c r="G153" s="2">
        <v>45798</v>
      </c>
      <c r="H153" t="s">
        <v>108</v>
      </c>
      <c r="I153">
        <f t="shared" ca="1" si="23"/>
        <v>5000</v>
      </c>
      <c r="J153">
        <v>16</v>
      </c>
      <c r="K153" t="str">
        <f t="shared" ca="1" si="24"/>
        <v>No</v>
      </c>
      <c r="L153" t="str">
        <f t="shared" ca="1" si="25"/>
        <v>Weight Loss</v>
      </c>
      <c r="M153" t="str">
        <f t="shared" ca="1" si="26"/>
        <v>Active</v>
      </c>
      <c r="N153" s="2">
        <v>46085</v>
      </c>
      <c r="Q153" t="str">
        <f ca="1">IF(RAND()&lt;0.2,
    IF(RAND()&lt;0.5, LOWER(C153), UPPER(C153)),
    C153
)</f>
        <v>CHENNAI</v>
      </c>
      <c r="R153">
        <f t="shared" ca="1" si="29"/>
        <v>16</v>
      </c>
      <c r="S153" t="str">
        <f t="shared" ca="1" si="30"/>
        <v>1000</v>
      </c>
      <c r="T153">
        <f t="shared" ca="1" si="31"/>
        <v>45829</v>
      </c>
      <c r="U153" s="2">
        <f t="shared" ca="1" si="32"/>
        <v>46085</v>
      </c>
    </row>
    <row r="154" spans="1:21">
      <c r="A154" t="str">
        <f t="shared" si="28"/>
        <v>MEM0153</v>
      </c>
      <c r="B154" t="str">
        <f ca="1">INDEX('Name pool'!A:A, RANDBETWEEN(2, COUNTA('Name pool'!A:A))) &amp; " " &amp; INDEX('Name pool'!B:B, RANDBETWEEN(2, COUNTA('Name pool'!B:B)))</f>
        <v>Neha Naidu</v>
      </c>
      <c r="C154" t="s">
        <v>85</v>
      </c>
      <c r="D154" t="str">
        <f t="shared" ca="1" si="27"/>
        <v>BR03</v>
      </c>
      <c r="E154" t="str">
        <f t="shared" ca="1" si="22"/>
        <v>Premium</v>
      </c>
      <c r="F154" s="2">
        <v>46044</v>
      </c>
      <c r="G154" s="2">
        <v>46134</v>
      </c>
      <c r="H154">
        <v>1000</v>
      </c>
      <c r="I154">
        <f t="shared" ca="1" si="23"/>
        <v>9000</v>
      </c>
      <c r="J154">
        <v>21</v>
      </c>
      <c r="K154" t="str">
        <f t="shared" ca="1" si="24"/>
        <v>Yes</v>
      </c>
      <c r="L154" t="str">
        <f t="shared" ca="1" si="25"/>
        <v>Muscle Gain</v>
      </c>
      <c r="M154" t="str">
        <f t="shared" ca="1" si="26"/>
        <v>Active</v>
      </c>
      <c r="N154" s="2">
        <v>46076</v>
      </c>
      <c r="Q154" t="str">
        <f ca="1">IF(RAND()&lt;0.2,
    IF(RAND()&lt;0.5, LOWER(C154), UPPER(C154)),
    C154
)</f>
        <v>Calicut</v>
      </c>
      <c r="R154">
        <f t="shared" ca="1" si="29"/>
        <v>21</v>
      </c>
      <c r="S154">
        <f t="shared" ca="1" si="30"/>
        <v>1000</v>
      </c>
      <c r="T154">
        <f t="shared" ca="1" si="31"/>
        <v>45340</v>
      </c>
      <c r="U154" s="2">
        <f t="shared" ca="1" si="32"/>
        <v>46076</v>
      </c>
    </row>
    <row r="155" spans="1:21">
      <c r="A155" t="str">
        <f t="shared" si="28"/>
        <v>MEM0154</v>
      </c>
      <c r="B155" t="str">
        <f ca="1">INDEX('Name pool'!A:A, RANDBETWEEN(2, COUNTA('Name pool'!A:A))) &amp; " " &amp; INDEX('Name pool'!B:B, RANDBETWEEN(2, COUNTA('Name pool'!B:B)))</f>
        <v>Shreya Agarwal</v>
      </c>
      <c r="C155" t="s">
        <v>75</v>
      </c>
      <c r="D155" t="str">
        <f t="shared" ca="1" si="27"/>
        <v>BR01</v>
      </c>
      <c r="E155" t="str">
        <f t="shared" ca="1" si="22"/>
        <v>Premium</v>
      </c>
      <c r="F155" s="2">
        <v>45375</v>
      </c>
      <c r="G155" s="2">
        <v>45740</v>
      </c>
      <c r="H155">
        <v>2000</v>
      </c>
      <c r="I155">
        <f t="shared" ca="1" si="23"/>
        <v>8000</v>
      </c>
      <c r="J155">
        <v>9</v>
      </c>
      <c r="K155" t="str">
        <f t="shared" ca="1" si="24"/>
        <v>Yes</v>
      </c>
      <c r="L155" t="str">
        <f t="shared" ca="1" si="25"/>
        <v>General Fitness</v>
      </c>
      <c r="M155" t="str">
        <f t="shared" ca="1" si="26"/>
        <v>Active</v>
      </c>
      <c r="N155" s="2">
        <v>45956</v>
      </c>
      <c r="Q155" t="str">
        <f ca="1">IF(RAND()&lt;0.2,
    IF(RAND()&lt;0.5, LOWER(C155), UPPER(C155)),
    C155
)</f>
        <v>BANGALORE</v>
      </c>
      <c r="R155">
        <f t="shared" ca="1" si="29"/>
        <v>9</v>
      </c>
      <c r="S155">
        <f t="shared" ca="1" si="30"/>
        <v>2000</v>
      </c>
      <c r="T155">
        <f t="shared" ca="1" si="31"/>
        <v>44964</v>
      </c>
      <c r="U155" s="2">
        <f t="shared" ca="1" si="32"/>
        <v>45956</v>
      </c>
    </row>
    <row r="156" spans="1:21">
      <c r="A156" t="str">
        <f t="shared" si="28"/>
        <v>MEM0155</v>
      </c>
      <c r="B156" t="str">
        <f ca="1">INDEX('Name pool'!A:A, RANDBETWEEN(2, COUNTA('Name pool'!A:A))) &amp; " " &amp; INDEX('Name pool'!B:B, RANDBETWEEN(2, COUNTA('Name pool'!B:B)))</f>
        <v>Akash Sharma</v>
      </c>
      <c r="C156" t="s">
        <v>132</v>
      </c>
      <c r="D156" t="str">
        <f t="shared" ca="1" si="27"/>
        <v>BR05</v>
      </c>
      <c r="E156" t="str">
        <f t="shared" ca="1" si="22"/>
        <v>Standard</v>
      </c>
      <c r="F156" s="2">
        <v>45751</v>
      </c>
      <c r="G156" s="2">
        <v>45841</v>
      </c>
      <c r="H156" t="s">
        <v>105</v>
      </c>
      <c r="I156">
        <f t="shared" ca="1" si="23"/>
        <v>10500</v>
      </c>
      <c r="J156" t="s">
        <v>125</v>
      </c>
      <c r="K156" t="str">
        <f t="shared" ca="1" si="24"/>
        <v>Yes</v>
      </c>
      <c r="L156" t="str">
        <f t="shared" ca="1" si="25"/>
        <v>Weight Loss</v>
      </c>
      <c r="M156" t="str">
        <f t="shared" ca="1" si="26"/>
        <v>Active</v>
      </c>
      <c r="N156" s="2">
        <v>46082</v>
      </c>
      <c r="Q156" t="str">
        <f ca="1">IF(RAND()&lt;0.2,
    IF(RAND()&lt;0.5, LOWER(C156), UPPER(C156)),
    C156
)</f>
        <v>calicut</v>
      </c>
      <c r="R156" t="str">
        <f t="shared" ca="1" si="29"/>
        <v>21 visits</v>
      </c>
      <c r="S156" t="str">
        <f t="shared" ca="1" si="30"/>
        <v>3500</v>
      </c>
      <c r="T156">
        <f t="shared" ca="1" si="31"/>
        <v>45183</v>
      </c>
      <c r="U156" s="2">
        <f t="shared" ca="1" si="32"/>
        <v>46082</v>
      </c>
    </row>
    <row r="157" spans="1:21">
      <c r="A157" t="str">
        <f t="shared" si="28"/>
        <v>MEM0156</v>
      </c>
      <c r="B157" t="str">
        <f ca="1">INDEX('Name pool'!A:A, RANDBETWEEN(2, COUNTA('Name pool'!A:A))) &amp; " " &amp; INDEX('Name pool'!B:B, RANDBETWEEN(2, COUNTA('Name pool'!B:B)))</f>
        <v>Swathi Kulkarni</v>
      </c>
      <c r="C157" t="s">
        <v>116</v>
      </c>
      <c r="D157" t="str">
        <f t="shared" ca="1" si="27"/>
        <v>BR01</v>
      </c>
      <c r="E157" t="str">
        <f t="shared" ca="1" si="22"/>
        <v>Basic</v>
      </c>
      <c r="F157" s="2">
        <v>45664</v>
      </c>
      <c r="G157" s="2">
        <v>46029</v>
      </c>
      <c r="H157">
        <v>1000</v>
      </c>
      <c r="I157">
        <f t="shared" ca="1" si="23"/>
        <v>3000</v>
      </c>
      <c r="J157">
        <v>6</v>
      </c>
      <c r="K157" t="str">
        <f t="shared" ca="1" si="24"/>
        <v>Yes</v>
      </c>
      <c r="L157" t="str">
        <f t="shared" ca="1" si="25"/>
        <v>Muscle Gain</v>
      </c>
      <c r="M157" t="str">
        <f t="shared" ca="1" si="26"/>
        <v>Active</v>
      </c>
      <c r="N157" s="2">
        <v>45932</v>
      </c>
      <c r="Q157" t="str">
        <f ca="1">IF(RAND()&lt;0.2,
    IF(RAND()&lt;0.5, LOWER(C157), UPPER(C157)),
    C157
)</f>
        <v>kochi</v>
      </c>
      <c r="R157">
        <f t="shared" ca="1" si="29"/>
        <v>6</v>
      </c>
      <c r="S157">
        <f t="shared" ca="1" si="30"/>
        <v>1000</v>
      </c>
      <c r="T157">
        <f t="shared" ca="1" si="31"/>
        <v>46048</v>
      </c>
      <c r="U157" s="2">
        <f t="shared" ca="1" si="32"/>
        <v>45932</v>
      </c>
    </row>
    <row r="158" spans="1:21">
      <c r="A158" t="str">
        <f t="shared" si="28"/>
        <v>MEM0157</v>
      </c>
      <c r="B158" t="str">
        <f ca="1">INDEX('Name pool'!A:A, RANDBETWEEN(2, COUNTA('Name pool'!A:A))) &amp; " " &amp; INDEX('Name pool'!B:B, RANDBETWEEN(2, COUNTA('Name pool'!B:B)))</f>
        <v>Divya Fernandes</v>
      </c>
      <c r="C158" t="s">
        <v>117</v>
      </c>
      <c r="D158" t="str">
        <f t="shared" ca="1" si="27"/>
        <v>BR03</v>
      </c>
      <c r="E158" t="str">
        <f t="shared" ca="1" si="22"/>
        <v>Standard</v>
      </c>
      <c r="F158" s="2">
        <v>45380</v>
      </c>
      <c r="G158" s="2">
        <v>45410</v>
      </c>
      <c r="H158">
        <v>2000</v>
      </c>
      <c r="I158">
        <f t="shared" ca="1" si="23"/>
        <v>22000</v>
      </c>
      <c r="J158">
        <v>24</v>
      </c>
      <c r="K158" t="str">
        <f t="shared" ca="1" si="24"/>
        <v>No</v>
      </c>
      <c r="L158" t="str">
        <f t="shared" ca="1" si="25"/>
        <v>Muscle Gain</v>
      </c>
      <c r="M158" t="str">
        <f t="shared" ca="1" si="26"/>
        <v>Active</v>
      </c>
      <c r="N158" s="2">
        <v>45932</v>
      </c>
      <c r="Q158" t="str">
        <f ca="1">IF(RAND()&lt;0.2,
    IF(RAND()&lt;0.5, LOWER(C158), UPPER(C158)),
    C158
)</f>
        <v>MUMBAI</v>
      </c>
      <c r="R158">
        <f t="shared" ca="1" si="29"/>
        <v>24</v>
      </c>
      <c r="S158" t="str">
        <f t="shared" ca="1" si="30"/>
        <v>2000</v>
      </c>
      <c r="T158">
        <f t="shared" ca="1" si="31"/>
        <v>45446</v>
      </c>
      <c r="U158" s="2">
        <f t="shared" ca="1" si="32"/>
        <v>45932</v>
      </c>
    </row>
    <row r="159" spans="1:21">
      <c r="A159" t="str">
        <f t="shared" si="28"/>
        <v>MEM0158</v>
      </c>
      <c r="B159" t="str">
        <f ca="1">INDEX('Name pool'!A:A, RANDBETWEEN(2, COUNTA('Name pool'!A:A))) &amp; " " &amp; INDEX('Name pool'!B:B, RANDBETWEEN(2, COUNTA('Name pool'!B:B)))</f>
        <v>Zara Reddy</v>
      </c>
      <c r="C159" t="s">
        <v>81</v>
      </c>
      <c r="D159" t="str">
        <f t="shared" ca="1" si="27"/>
        <v>BR04</v>
      </c>
      <c r="E159" t="str">
        <f t="shared" ca="1" si="22"/>
        <v>Basic</v>
      </c>
      <c r="F159" s="2">
        <v>45968</v>
      </c>
      <c r="G159" s="2">
        <v>46333</v>
      </c>
      <c r="H159" t="s">
        <v>105</v>
      </c>
      <c r="I159">
        <f t="shared" ca="1" si="23"/>
        <v>10500</v>
      </c>
      <c r="J159">
        <v>12</v>
      </c>
      <c r="K159" t="str">
        <f t="shared" ca="1" si="24"/>
        <v>No</v>
      </c>
      <c r="L159" t="str">
        <f t="shared" ca="1" si="25"/>
        <v>Weight Loss</v>
      </c>
      <c r="M159" t="str">
        <f t="shared" ca="1" si="26"/>
        <v>Active</v>
      </c>
      <c r="N159" s="2">
        <v>45999</v>
      </c>
      <c r="Q159" t="str">
        <f ca="1">IF(RAND()&lt;0.2,
    IF(RAND()&lt;0.5, LOWER(C159), UPPER(C159)),
    C159
)</f>
        <v>Mumbai</v>
      </c>
      <c r="R159" t="str">
        <f t="shared" ca="1" si="29"/>
        <v>12 visits</v>
      </c>
      <c r="S159" t="str">
        <f t="shared" ca="1" si="30"/>
        <v>3500</v>
      </c>
      <c r="T159">
        <f t="shared" ca="1" si="31"/>
        <v>46004</v>
      </c>
      <c r="U159" s="2">
        <f t="shared" ca="1" si="32"/>
        <v>45999</v>
      </c>
    </row>
    <row r="160" spans="1:21">
      <c r="A160" t="str">
        <f t="shared" si="28"/>
        <v>MEM0159</v>
      </c>
      <c r="B160" t="str">
        <f ca="1">INDEX('Name pool'!A:A, RANDBETWEEN(2, COUNTA('Name pool'!A:A))) &amp; " " &amp; INDEX('Name pool'!B:B, RANDBETWEEN(2, COUNTA('Name pool'!B:B)))</f>
        <v>Aditya Nair</v>
      </c>
      <c r="C160" t="s">
        <v>85</v>
      </c>
      <c r="D160" t="str">
        <f t="shared" ca="1" si="27"/>
        <v>BR07</v>
      </c>
      <c r="E160" t="str">
        <f t="shared" ca="1" si="22"/>
        <v>Premium</v>
      </c>
      <c r="F160" s="2">
        <v>45841</v>
      </c>
      <c r="G160" s="2">
        <v>46206</v>
      </c>
      <c r="H160">
        <v>1000</v>
      </c>
      <c r="I160">
        <f t="shared" ca="1" si="23"/>
        <v>4000</v>
      </c>
      <c r="J160">
        <v>20</v>
      </c>
      <c r="K160" t="str">
        <f t="shared" ca="1" si="24"/>
        <v>No</v>
      </c>
      <c r="L160" t="str">
        <f t="shared" ca="1" si="25"/>
        <v>Muscle Gain</v>
      </c>
      <c r="M160" t="str">
        <f t="shared" ca="1" si="26"/>
        <v>Active</v>
      </c>
      <c r="N160" s="2">
        <v>45851</v>
      </c>
      <c r="Q160" t="str">
        <f ca="1">IF(RAND()&lt;0.2,
    IF(RAND()&lt;0.5, LOWER(C160), UPPER(C160)),
    C160
)</f>
        <v>CALICUT</v>
      </c>
      <c r="R160">
        <f t="shared" ca="1" si="29"/>
        <v>20</v>
      </c>
      <c r="S160">
        <f t="shared" ca="1" si="30"/>
        <v>1000</v>
      </c>
      <c r="T160">
        <f t="shared" ca="1" si="31"/>
        <v>45270</v>
      </c>
      <c r="U160" s="2">
        <f t="shared" ca="1" si="32"/>
        <v>45851</v>
      </c>
    </row>
    <row r="161" spans="1:21">
      <c r="A161" t="str">
        <f t="shared" si="28"/>
        <v>MEM0160</v>
      </c>
      <c r="B161" t="str">
        <f ca="1">INDEX('Name pool'!A:A, RANDBETWEEN(2, COUNTA('Name pool'!A:A))) &amp; " " &amp; INDEX('Name pool'!B:B, RANDBETWEEN(2, COUNTA('Name pool'!B:B)))</f>
        <v>Varun Kulkarni</v>
      </c>
      <c r="C161" t="s">
        <v>83</v>
      </c>
      <c r="D161" t="str">
        <f t="shared" ca="1" si="27"/>
        <v>BR05</v>
      </c>
      <c r="E161" t="str">
        <f t="shared" ca="1" si="22"/>
        <v>Premium</v>
      </c>
      <c r="F161" s="2">
        <v>45886</v>
      </c>
      <c r="G161" s="2">
        <v>45976</v>
      </c>
      <c r="H161">
        <v>1000</v>
      </c>
      <c r="I161">
        <f t="shared" ca="1" si="23"/>
        <v>3000</v>
      </c>
      <c r="J161">
        <v>17</v>
      </c>
      <c r="K161" t="str">
        <f t="shared" ca="1" si="24"/>
        <v>No</v>
      </c>
      <c r="L161" t="str">
        <f t="shared" ca="1" si="25"/>
        <v>General Fitness</v>
      </c>
      <c r="M161" t="str">
        <f t="shared" ca="1" si="26"/>
        <v>Active</v>
      </c>
      <c r="N161" s="2">
        <v>45996</v>
      </c>
      <c r="Q161" t="str">
        <f ca="1">IF(RAND()&lt;0.2,
    IF(RAND()&lt;0.5, LOWER(C161), UPPER(C161)),
    C161
)</f>
        <v>Trivandrum</v>
      </c>
      <c r="R161">
        <f t="shared" ca="1" si="29"/>
        <v>17</v>
      </c>
      <c r="S161">
        <f t="shared" ca="1" si="30"/>
        <v>1000</v>
      </c>
      <c r="T161">
        <f t="shared" ca="1" si="31"/>
        <v>46023</v>
      </c>
      <c r="U161" s="2">
        <f t="shared" ca="1" si="32"/>
        <v>45996</v>
      </c>
    </row>
    <row r="162" spans="1:21">
      <c r="A162" t="str">
        <f t="shared" si="28"/>
        <v>MEM0161</v>
      </c>
      <c r="B162" t="str">
        <f ca="1">INDEX('Name pool'!A:A, RANDBETWEEN(2, COUNTA('Name pool'!A:A))) &amp; " " &amp; INDEX('Name pool'!B:B, RANDBETWEEN(2, COUNTA('Name pool'!B:B)))</f>
        <v>Akash Nair</v>
      </c>
      <c r="C162" t="s">
        <v>77</v>
      </c>
      <c r="D162" t="str">
        <f t="shared" ca="1" si="27"/>
        <v>BR03</v>
      </c>
      <c r="E162" t="str">
        <f t="shared" ref="E162:E225" ca="1" si="33">CHOOSE(RANDBETWEEN(1,3),"Basic","Standard","Premium")</f>
        <v>Premium</v>
      </c>
      <c r="F162" s="2">
        <v>45377</v>
      </c>
      <c r="G162" s="2">
        <v>45467</v>
      </c>
      <c r="H162">
        <v>3500</v>
      </c>
      <c r="I162">
        <f t="shared" ref="I162:I225" ca="1" si="34">H162 * RANDBETWEEN(1,12)</f>
        <v>35000</v>
      </c>
      <c r="J162">
        <v>3</v>
      </c>
      <c r="K162" t="str">
        <f t="shared" ref="K162:K225" ca="1" si="35">CHOOSE(RANDBETWEEN(1,2),"Yes","No")</f>
        <v>No</v>
      </c>
      <c r="L162" t="str">
        <f t="shared" ref="L162:L225" ca="1" si="36">CHOOSE(RANDBETWEEN(1,3),"Weight Loss","Muscle Gain","General Fitness")</f>
        <v>General Fitness</v>
      </c>
      <c r="M162" t="str">
        <f t="shared" ref="M162:M225" ca="1" si="37">IF(J162&lt;5,IF(RANDBETWEEN(1,100)&lt;70,"Cancelled","Active"),"Active")</f>
        <v>Cancelled</v>
      </c>
      <c r="N162" s="2">
        <v>45408</v>
      </c>
      <c r="Q162" t="str">
        <f ca="1">IF(RAND()&lt;0.2,
    IF(RAND()&lt;0.5, LOWER(C162), UPPER(C162)),
    C162
)</f>
        <v>CHENNAI</v>
      </c>
      <c r="R162">
        <f t="shared" ca="1" si="29"/>
        <v>3</v>
      </c>
      <c r="S162">
        <f t="shared" ca="1" si="30"/>
        <v>3500</v>
      </c>
      <c r="T162">
        <f t="shared" ca="1" si="31"/>
        <v>45117</v>
      </c>
      <c r="U162" s="2">
        <f t="shared" ca="1" si="32"/>
        <v>45408</v>
      </c>
    </row>
    <row r="163" spans="1:21">
      <c r="A163" t="str">
        <f t="shared" si="28"/>
        <v>MEM0162</v>
      </c>
      <c r="B163" t="str">
        <f ca="1">INDEX('Name pool'!A:A, RANDBETWEEN(2, COUNTA('Name pool'!A:A))) &amp; " " &amp; INDEX('Name pool'!B:B, RANDBETWEEN(2, COUNTA('Name pool'!B:B)))</f>
        <v>Anjali Nambiar</v>
      </c>
      <c r="C163" t="s">
        <v>77</v>
      </c>
      <c r="D163" t="str">
        <f t="shared" ca="1" si="27"/>
        <v>BR03</v>
      </c>
      <c r="E163" t="str">
        <f t="shared" ca="1" si="33"/>
        <v>Standard</v>
      </c>
      <c r="F163" s="2">
        <v>45342</v>
      </c>
      <c r="G163" s="2">
        <v>45707</v>
      </c>
      <c r="H163">
        <v>1000</v>
      </c>
      <c r="I163">
        <f t="shared" ca="1" si="34"/>
        <v>11000</v>
      </c>
      <c r="J163">
        <v>7</v>
      </c>
      <c r="K163" t="str">
        <f t="shared" ca="1" si="35"/>
        <v>Yes</v>
      </c>
      <c r="L163" t="str">
        <f t="shared" ca="1" si="36"/>
        <v>Muscle Gain</v>
      </c>
      <c r="M163" t="str">
        <f t="shared" ca="1" si="37"/>
        <v>Active</v>
      </c>
      <c r="N163" s="2">
        <v>45532</v>
      </c>
      <c r="Q163" t="str">
        <f ca="1">IF(RAND()&lt;0.2,
    IF(RAND()&lt;0.5, LOWER(C163), UPPER(C163)),
    C163
)</f>
        <v>Chennai</v>
      </c>
      <c r="R163">
        <f t="shared" ca="1" si="29"/>
        <v>7</v>
      </c>
      <c r="S163">
        <f t="shared" ca="1" si="30"/>
        <v>1000</v>
      </c>
      <c r="T163">
        <f t="shared" ca="1" si="31"/>
        <v>45283</v>
      </c>
      <c r="U163" s="2">
        <f t="shared" ca="1" si="32"/>
        <v>45532</v>
      </c>
    </row>
    <row r="164" spans="1:21">
      <c r="A164" t="str">
        <f t="shared" si="28"/>
        <v>MEM0163</v>
      </c>
      <c r="B164" t="str">
        <f ca="1">INDEX('Name pool'!A:A, RANDBETWEEN(2, COUNTA('Name pool'!A:A))) &amp; " " &amp; INDEX('Name pool'!B:B, RANDBETWEEN(2, COUNTA('Name pool'!B:B)))</f>
        <v>Arjun Reddy</v>
      </c>
      <c r="C164" t="s">
        <v>81</v>
      </c>
      <c r="D164" t="str">
        <f t="shared" ca="1" si="27"/>
        <v>BR05</v>
      </c>
      <c r="E164" t="str">
        <f t="shared" ca="1" si="33"/>
        <v>Premium</v>
      </c>
      <c r="F164" s="2">
        <v>45391</v>
      </c>
      <c r="G164" s="2">
        <v>45756</v>
      </c>
      <c r="H164">
        <v>2000</v>
      </c>
      <c r="I164">
        <f t="shared" ca="1" si="34"/>
        <v>10000</v>
      </c>
      <c r="J164">
        <v>23</v>
      </c>
      <c r="K164" t="str">
        <f t="shared" ca="1" si="35"/>
        <v>No</v>
      </c>
      <c r="L164" t="str">
        <f t="shared" ca="1" si="36"/>
        <v>Weight Loss</v>
      </c>
      <c r="M164" t="str">
        <f t="shared" ca="1" si="37"/>
        <v>Active</v>
      </c>
      <c r="N164" s="2">
        <v>45746</v>
      </c>
      <c r="Q164" t="str">
        <f ca="1">IF(RAND()&lt;0.2,
    IF(RAND()&lt;0.5, LOWER(C164), UPPER(C164)),
    C164
)</f>
        <v>Mumbai</v>
      </c>
      <c r="R164">
        <f t="shared" ca="1" si="29"/>
        <v>23</v>
      </c>
      <c r="S164">
        <f t="shared" ca="1" si="30"/>
        <v>2000</v>
      </c>
      <c r="T164">
        <f t="shared" ca="1" si="31"/>
        <v>45102</v>
      </c>
      <c r="U164" s="2">
        <f t="shared" ca="1" si="32"/>
        <v>45746</v>
      </c>
    </row>
    <row r="165" spans="1:21">
      <c r="A165" t="str">
        <f t="shared" si="28"/>
        <v>MEM0164</v>
      </c>
      <c r="B165" t="str">
        <f ca="1">INDEX('Name pool'!A:A, RANDBETWEEN(2, COUNTA('Name pool'!A:A))) &amp; " " &amp; INDEX('Name pool'!B:B, RANDBETWEEN(2, COUNTA('Name pool'!B:B)))</f>
        <v>Swathi Naidu</v>
      </c>
      <c r="C165" t="s">
        <v>79</v>
      </c>
      <c r="D165" t="str">
        <f t="shared" ca="1" si="27"/>
        <v>BR07</v>
      </c>
      <c r="E165" t="str">
        <f t="shared" ca="1" si="33"/>
        <v>Standard</v>
      </c>
      <c r="F165" s="2">
        <v>45923</v>
      </c>
      <c r="G165" s="2">
        <v>46013</v>
      </c>
      <c r="H165">
        <v>1000</v>
      </c>
      <c r="I165">
        <f t="shared" ca="1" si="34"/>
        <v>8000</v>
      </c>
      <c r="J165">
        <v>14</v>
      </c>
      <c r="K165" t="str">
        <f t="shared" ca="1" si="35"/>
        <v>No</v>
      </c>
      <c r="L165" t="str">
        <f t="shared" ca="1" si="36"/>
        <v>Weight Loss</v>
      </c>
      <c r="M165" t="str">
        <f t="shared" ca="1" si="37"/>
        <v>Active</v>
      </c>
      <c r="N165" s="2">
        <v>46001</v>
      </c>
      <c r="Q165" t="str">
        <f ca="1">IF(RAND()&lt;0.2,
    IF(RAND()&lt;0.5, LOWER(C165), UPPER(C165)),
    C165
)</f>
        <v>Hyderabad</v>
      </c>
      <c r="R165" t="str">
        <f t="shared" ca="1" si="29"/>
        <v>14 visits</v>
      </c>
      <c r="S165">
        <f t="shared" ca="1" si="30"/>
        <v>1000</v>
      </c>
      <c r="T165">
        <f t="shared" ca="1" si="31"/>
        <v>45192</v>
      </c>
      <c r="U165" s="2">
        <f t="shared" ca="1" si="32"/>
        <v>46001</v>
      </c>
    </row>
    <row r="166" spans="1:21">
      <c r="A166" t="str">
        <f t="shared" si="28"/>
        <v>MEM0165</v>
      </c>
      <c r="B166" t="str">
        <f ca="1">INDEX('Name pool'!A:A, RANDBETWEEN(2, COUNTA('Name pool'!A:A))) &amp; " " &amp; INDEX('Name pool'!B:B, RANDBETWEEN(2, COUNTA('Name pool'!B:B)))</f>
        <v>Aditya Joseph</v>
      </c>
      <c r="C166" t="s">
        <v>81</v>
      </c>
      <c r="D166" t="str">
        <f t="shared" ca="1" si="27"/>
        <v>BR05</v>
      </c>
      <c r="E166" t="str">
        <f t="shared" ca="1" si="33"/>
        <v>Basic</v>
      </c>
      <c r="F166" s="2">
        <v>45382</v>
      </c>
      <c r="G166" s="2">
        <v>45472</v>
      </c>
      <c r="H166">
        <v>3500</v>
      </c>
      <c r="I166">
        <f t="shared" ca="1" si="34"/>
        <v>31500</v>
      </c>
      <c r="J166">
        <v>23</v>
      </c>
      <c r="K166" t="str">
        <f t="shared" ca="1" si="35"/>
        <v>Yes</v>
      </c>
      <c r="L166" t="str">
        <f t="shared" ca="1" si="36"/>
        <v>General Fitness</v>
      </c>
      <c r="M166" t="str">
        <f t="shared" ca="1" si="37"/>
        <v>Active</v>
      </c>
      <c r="N166" s="2">
        <v>46031</v>
      </c>
      <c r="Q166" t="str">
        <f ca="1">IF(RAND()&lt;0.2,
    IF(RAND()&lt;0.5, LOWER(C166), UPPER(C166)),
    C166
)</f>
        <v>Mumbai</v>
      </c>
      <c r="R166">
        <f t="shared" ca="1" si="29"/>
        <v>23</v>
      </c>
      <c r="S166">
        <f t="shared" ca="1" si="30"/>
        <v>3500</v>
      </c>
      <c r="T166">
        <f t="shared" ca="1" si="31"/>
        <v>45621</v>
      </c>
      <c r="U166" s="2">
        <f t="shared" ca="1" si="32"/>
        <v>46031</v>
      </c>
    </row>
    <row r="167" spans="1:21">
      <c r="A167" t="str">
        <f t="shared" si="28"/>
        <v>MEM0166</v>
      </c>
      <c r="B167" t="str">
        <f ca="1">INDEX('Name pool'!A:A, RANDBETWEEN(2, COUNTA('Name pool'!A:A))) &amp; " " &amp; INDEX('Name pool'!B:B, RANDBETWEEN(2, COUNTA('Name pool'!B:B)))</f>
        <v>Rohit Fernandes</v>
      </c>
      <c r="C167" t="s">
        <v>85</v>
      </c>
      <c r="D167" t="str">
        <f t="shared" ca="1" si="27"/>
        <v>BR04</v>
      </c>
      <c r="E167" t="str">
        <f t="shared" ca="1" si="33"/>
        <v>Basic</v>
      </c>
      <c r="F167" s="2">
        <v>45686</v>
      </c>
      <c r="G167" s="2">
        <v>45776</v>
      </c>
      <c r="H167" t="s">
        <v>120</v>
      </c>
      <c r="I167">
        <f t="shared" ca="1" si="34"/>
        <v>18000</v>
      </c>
      <c r="J167">
        <v>3</v>
      </c>
      <c r="K167" t="str">
        <f t="shared" ca="1" si="35"/>
        <v>No</v>
      </c>
      <c r="L167" t="str">
        <f t="shared" ca="1" si="36"/>
        <v>Muscle Gain</v>
      </c>
      <c r="M167" t="str">
        <f t="shared" ca="1" si="37"/>
        <v>Cancelled</v>
      </c>
      <c r="N167" s="2">
        <v>45700</v>
      </c>
      <c r="Q167" t="str">
        <f ca="1">IF(RAND()&lt;0.2,
    IF(RAND()&lt;0.5, LOWER(C167), UPPER(C167)),
    C167
)</f>
        <v>Calicut</v>
      </c>
      <c r="R167">
        <f t="shared" ca="1" si="29"/>
        <v>3</v>
      </c>
      <c r="S167" t="str">
        <f t="shared" ca="1" si="30"/>
        <v>2000</v>
      </c>
      <c r="T167">
        <f t="shared" ca="1" si="31"/>
        <v>45736</v>
      </c>
      <c r="U167" s="2">
        <f t="shared" ca="1" si="32"/>
        <v>45700</v>
      </c>
    </row>
    <row r="168" spans="1:21">
      <c r="A168" t="str">
        <f t="shared" si="28"/>
        <v>MEM0167</v>
      </c>
      <c r="B168" t="str">
        <f ca="1">INDEX('Name pool'!A:A, RANDBETWEEN(2, COUNTA('Name pool'!A:A))) &amp; " " &amp; INDEX('Name pool'!B:B, RANDBETWEEN(2, COUNTA('Name pool'!B:B)))</f>
        <v>Ishita Thomas</v>
      </c>
      <c r="C168" t="s">
        <v>81</v>
      </c>
      <c r="D168" t="str">
        <f t="shared" ca="1" si="27"/>
        <v>BR01</v>
      </c>
      <c r="E168" t="str">
        <f t="shared" ca="1" si="33"/>
        <v>Basic</v>
      </c>
      <c r="F168" s="2">
        <v>45806</v>
      </c>
      <c r="G168" s="2">
        <v>45836</v>
      </c>
      <c r="H168">
        <v>1000</v>
      </c>
      <c r="I168">
        <f t="shared" ca="1" si="34"/>
        <v>11000</v>
      </c>
      <c r="J168">
        <v>20</v>
      </c>
      <c r="K168" t="str">
        <f t="shared" ca="1" si="35"/>
        <v>Yes</v>
      </c>
      <c r="L168" t="str">
        <f t="shared" ca="1" si="36"/>
        <v>Muscle Gain</v>
      </c>
      <c r="M168" t="str">
        <f t="shared" ca="1" si="37"/>
        <v>Active</v>
      </c>
      <c r="N168" s="2">
        <v>45820</v>
      </c>
      <c r="Q168" t="str">
        <f ca="1">IF(RAND()&lt;0.2,
    IF(RAND()&lt;0.5, LOWER(C168), UPPER(C168)),
    C168
)</f>
        <v>Mumbai</v>
      </c>
      <c r="R168">
        <f t="shared" ca="1" si="29"/>
        <v>20</v>
      </c>
      <c r="S168">
        <f t="shared" ca="1" si="30"/>
        <v>1000</v>
      </c>
      <c r="T168">
        <f t="shared" ca="1" si="31"/>
        <v>45423</v>
      </c>
      <c r="U168" s="2">
        <f t="shared" ca="1" si="32"/>
        <v>45820</v>
      </c>
    </row>
    <row r="169" spans="1:21">
      <c r="A169" t="str">
        <f t="shared" si="28"/>
        <v>MEM0168</v>
      </c>
      <c r="B169" t="str">
        <f ca="1">INDEX('Name pool'!A:A, RANDBETWEEN(2, COUNTA('Name pool'!A:A))) &amp; " " &amp; INDEX('Name pool'!B:B, RANDBETWEEN(2, COUNTA('Name pool'!B:B)))</f>
        <v>Swathi D’Souza</v>
      </c>
      <c r="C169" t="s">
        <v>75</v>
      </c>
      <c r="D169" t="str">
        <f t="shared" ca="1" si="27"/>
        <v>BR05</v>
      </c>
      <c r="E169" t="str">
        <f t="shared" ca="1" si="33"/>
        <v>Standard</v>
      </c>
      <c r="F169" s="2">
        <v>45940</v>
      </c>
      <c r="G169" s="2">
        <v>45970</v>
      </c>
      <c r="H169">
        <v>1000</v>
      </c>
      <c r="I169">
        <f t="shared" ca="1" si="34"/>
        <v>8000</v>
      </c>
      <c r="J169">
        <v>22</v>
      </c>
      <c r="K169" t="str">
        <f t="shared" ca="1" si="35"/>
        <v>No</v>
      </c>
      <c r="L169" t="str">
        <f t="shared" ca="1" si="36"/>
        <v>General Fitness</v>
      </c>
      <c r="M169" t="str">
        <f t="shared" ca="1" si="37"/>
        <v>Active</v>
      </c>
      <c r="N169" s="2">
        <v>45950</v>
      </c>
      <c r="Q169" t="str">
        <f ca="1">IF(RAND()&lt;0.2,
    IF(RAND()&lt;0.5, LOWER(C169), UPPER(C169)),
    C169
)</f>
        <v>Bangalore</v>
      </c>
      <c r="R169" t="str">
        <f t="shared" ca="1" si="29"/>
        <v>22 visits</v>
      </c>
      <c r="S169">
        <f t="shared" ca="1" si="30"/>
        <v>1000</v>
      </c>
      <c r="T169">
        <f t="shared" ca="1" si="31"/>
        <v>46038</v>
      </c>
      <c r="U169" s="2">
        <f t="shared" ca="1" si="32"/>
        <v>45950</v>
      </c>
    </row>
    <row r="170" spans="1:21">
      <c r="A170" t="str">
        <f t="shared" si="28"/>
        <v>MEM0169</v>
      </c>
      <c r="B170" t="str">
        <f ca="1">INDEX('Name pool'!A:A, RANDBETWEEN(2, COUNTA('Name pool'!A:A))) &amp; " " &amp; INDEX('Name pool'!B:B, RANDBETWEEN(2, COUNTA('Name pool'!B:B)))</f>
        <v>Riya Pillai</v>
      </c>
      <c r="C170" t="s">
        <v>77</v>
      </c>
      <c r="D170" t="str">
        <f t="shared" ca="1" si="27"/>
        <v>BR04</v>
      </c>
      <c r="E170" t="str">
        <f t="shared" ca="1" si="33"/>
        <v>Basic</v>
      </c>
      <c r="F170" s="2">
        <v>45061</v>
      </c>
      <c r="G170" s="2">
        <v>45091</v>
      </c>
      <c r="H170">
        <v>1000</v>
      </c>
      <c r="I170">
        <f t="shared" ca="1" si="34"/>
        <v>5000</v>
      </c>
      <c r="J170">
        <v>4</v>
      </c>
      <c r="K170" t="str">
        <f t="shared" ca="1" si="35"/>
        <v>Yes</v>
      </c>
      <c r="L170" t="str">
        <f t="shared" ca="1" si="36"/>
        <v>General Fitness</v>
      </c>
      <c r="M170" t="str">
        <f t="shared" ca="1" si="37"/>
        <v>Cancelled</v>
      </c>
      <c r="N170" s="2">
        <v>45191</v>
      </c>
      <c r="Q170" t="str">
        <f ca="1">IF(RAND()&lt;0.2,
    IF(RAND()&lt;0.5, LOWER(C170), UPPER(C170)),
    C170
)</f>
        <v>Chennai</v>
      </c>
      <c r="R170" t="str">
        <f t="shared" ca="1" si="29"/>
        <v>4 visits</v>
      </c>
      <c r="S170">
        <f t="shared" ca="1" si="30"/>
        <v>1000</v>
      </c>
      <c r="T170">
        <f t="shared" ca="1" si="31"/>
        <v>45857</v>
      </c>
      <c r="U170" s="2">
        <f t="shared" ca="1" si="32"/>
        <v>45081</v>
      </c>
    </row>
    <row r="171" spans="1:21">
      <c r="A171" t="str">
        <f t="shared" si="28"/>
        <v>MEM0170</v>
      </c>
      <c r="B171" t="str">
        <f ca="1">INDEX('Name pool'!A:A, RANDBETWEEN(2, COUNTA('Name pool'!A:A))) &amp; " " &amp; INDEX('Name pool'!B:B, RANDBETWEEN(2, COUNTA('Name pool'!B:B)))</f>
        <v>Lakshmi Nair</v>
      </c>
      <c r="C171" t="s">
        <v>73</v>
      </c>
      <c r="D171" t="str">
        <f t="shared" ca="1" si="27"/>
        <v>BR03</v>
      </c>
      <c r="E171" t="str">
        <f t="shared" ca="1" si="33"/>
        <v>Basic</v>
      </c>
      <c r="F171" s="2">
        <v>45369</v>
      </c>
      <c r="G171" s="2">
        <v>45734</v>
      </c>
      <c r="H171">
        <v>2000</v>
      </c>
      <c r="I171">
        <f t="shared" ca="1" si="34"/>
        <v>8000</v>
      </c>
      <c r="J171">
        <v>14</v>
      </c>
      <c r="K171" t="str">
        <f t="shared" ca="1" si="35"/>
        <v>Yes</v>
      </c>
      <c r="L171" t="str">
        <f t="shared" ca="1" si="36"/>
        <v>General Fitness</v>
      </c>
      <c r="M171" t="str">
        <f t="shared" ca="1" si="37"/>
        <v>Active</v>
      </c>
      <c r="N171" s="2">
        <v>45539</v>
      </c>
      <c r="Q171" t="str">
        <f ca="1">IF(RAND()&lt;0.2,
    IF(RAND()&lt;0.5, LOWER(C171), UPPER(C171)),
    C171
)</f>
        <v>kochi</v>
      </c>
      <c r="R171">
        <f t="shared" ca="1" si="29"/>
        <v>14</v>
      </c>
      <c r="S171">
        <f t="shared" ca="1" si="30"/>
        <v>2000</v>
      </c>
      <c r="T171">
        <f t="shared" ca="1" si="31"/>
        <v>45225</v>
      </c>
      <c r="U171" s="2">
        <f t="shared" ca="1" si="32"/>
        <v>45539</v>
      </c>
    </row>
    <row r="172" spans="1:21">
      <c r="A172" t="str">
        <f t="shared" si="28"/>
        <v>MEM0171</v>
      </c>
      <c r="B172" t="str">
        <f ca="1">INDEX('Name pool'!A:A, RANDBETWEEN(2, COUNTA('Name pool'!A:A))) &amp; " " &amp; INDEX('Name pool'!B:B, RANDBETWEEN(2, COUNTA('Name pool'!B:B)))</f>
        <v>Karthik Shaikh</v>
      </c>
      <c r="C172" t="s">
        <v>83</v>
      </c>
      <c r="D172" t="str">
        <f t="shared" ca="1" si="27"/>
        <v>BR06</v>
      </c>
      <c r="E172" t="str">
        <f t="shared" ca="1" si="33"/>
        <v>Basic</v>
      </c>
      <c r="F172" s="2">
        <v>45189</v>
      </c>
      <c r="G172" s="2">
        <v>45279</v>
      </c>
      <c r="H172" t="s">
        <v>108</v>
      </c>
      <c r="I172">
        <f t="shared" ca="1" si="34"/>
        <v>10000</v>
      </c>
      <c r="J172">
        <v>15</v>
      </c>
      <c r="K172" t="str">
        <f t="shared" ca="1" si="35"/>
        <v>Yes</v>
      </c>
      <c r="L172" t="str">
        <f t="shared" ca="1" si="36"/>
        <v>General Fitness</v>
      </c>
      <c r="M172" t="str">
        <f t="shared" ca="1" si="37"/>
        <v>Active</v>
      </c>
      <c r="N172" s="2">
        <v>45732</v>
      </c>
      <c r="Q172" t="str">
        <f ca="1">IF(RAND()&lt;0.2,
    IF(RAND()&lt;0.5, LOWER(C172), UPPER(C172)),
    C172
)</f>
        <v>TRIVANDRUM</v>
      </c>
      <c r="R172">
        <f t="shared" ca="1" si="29"/>
        <v>15</v>
      </c>
      <c r="S172" t="str">
        <f t="shared" ca="1" si="30"/>
        <v>1000</v>
      </c>
      <c r="T172">
        <f t="shared" ca="1" si="31"/>
        <v>45406</v>
      </c>
      <c r="U172" s="2">
        <f t="shared" ca="1" si="32"/>
        <v>45732</v>
      </c>
    </row>
    <row r="173" spans="1:21">
      <c r="A173" t="str">
        <f t="shared" si="28"/>
        <v>MEM0172</v>
      </c>
      <c r="B173" t="str">
        <f ca="1">INDEX('Name pool'!A:A, RANDBETWEEN(2, COUNTA('Name pool'!A:A))) &amp; " " &amp; INDEX('Name pool'!B:B, RANDBETWEEN(2, COUNTA('Name pool'!B:B)))</f>
        <v>Nisha Reddy</v>
      </c>
      <c r="C173" t="s">
        <v>83</v>
      </c>
      <c r="D173" t="str">
        <f t="shared" ca="1" si="27"/>
        <v>BR03</v>
      </c>
      <c r="E173" t="str">
        <f t="shared" ca="1" si="33"/>
        <v>Standard</v>
      </c>
      <c r="F173" s="2">
        <v>45968</v>
      </c>
      <c r="G173" s="2">
        <v>45998</v>
      </c>
      <c r="H173">
        <v>1000</v>
      </c>
      <c r="I173">
        <f t="shared" ca="1" si="34"/>
        <v>12000</v>
      </c>
      <c r="J173">
        <v>4</v>
      </c>
      <c r="K173" t="str">
        <f t="shared" ca="1" si="35"/>
        <v>Yes</v>
      </c>
      <c r="L173" t="str">
        <f t="shared" ca="1" si="36"/>
        <v>Weight Loss</v>
      </c>
      <c r="M173" t="str">
        <f t="shared" ca="1" si="37"/>
        <v>Cancelled</v>
      </c>
      <c r="N173" s="2">
        <v>45995</v>
      </c>
      <c r="Q173" t="str">
        <f ca="1">IF(RAND()&lt;0.2,
    IF(RAND()&lt;0.5, LOWER(C173), UPPER(C173)),
    C173
)</f>
        <v>TRIVANDRUM</v>
      </c>
      <c r="R173" t="str">
        <f t="shared" ca="1" si="29"/>
        <v>4 visits</v>
      </c>
      <c r="S173">
        <f t="shared" ca="1" si="30"/>
        <v>1000</v>
      </c>
      <c r="T173">
        <f t="shared" ca="1" si="31"/>
        <v>45243</v>
      </c>
      <c r="U173" s="2">
        <f t="shared" ca="1" si="32"/>
        <v>45995</v>
      </c>
    </row>
    <row r="174" spans="1:21">
      <c r="A174" t="str">
        <f t="shared" si="28"/>
        <v>MEM0173</v>
      </c>
      <c r="B174" t="str">
        <f ca="1">INDEX('Name pool'!A:A, RANDBETWEEN(2, COUNTA('Name pool'!A:A))) &amp; " " &amp; INDEX('Name pool'!B:B, RANDBETWEEN(2, COUNTA('Name pool'!B:B)))</f>
        <v>Shreya Khan</v>
      </c>
      <c r="C174" t="s">
        <v>83</v>
      </c>
      <c r="D174" t="str">
        <f t="shared" ca="1" si="27"/>
        <v>BR01</v>
      </c>
      <c r="E174" t="str">
        <f t="shared" ca="1" si="33"/>
        <v>Basic</v>
      </c>
      <c r="F174" s="2">
        <v>45158</v>
      </c>
      <c r="G174" s="2">
        <v>45248</v>
      </c>
      <c r="H174">
        <v>1000</v>
      </c>
      <c r="I174">
        <f t="shared" ca="1" si="34"/>
        <v>2000</v>
      </c>
      <c r="J174">
        <v>19</v>
      </c>
      <c r="K174" t="str">
        <f t="shared" ca="1" si="35"/>
        <v>No</v>
      </c>
      <c r="L174" t="str">
        <f t="shared" ca="1" si="36"/>
        <v>General Fitness</v>
      </c>
      <c r="M174" t="str">
        <f t="shared" ca="1" si="37"/>
        <v>Active</v>
      </c>
      <c r="N174" s="2">
        <v>45230</v>
      </c>
      <c r="Q174" t="str">
        <f ca="1">IF(RAND()&lt;0.2,
    IF(RAND()&lt;0.5, LOWER(C174), UPPER(C174)),
    C174
)</f>
        <v>Trivandrum</v>
      </c>
      <c r="R174">
        <f t="shared" ca="1" si="29"/>
        <v>19</v>
      </c>
      <c r="S174">
        <f t="shared" ca="1" si="30"/>
        <v>1000</v>
      </c>
      <c r="T174">
        <f t="shared" ca="1" si="31"/>
        <v>46048</v>
      </c>
      <c r="U174" s="2">
        <f t="shared" ca="1" si="32"/>
        <v>45230</v>
      </c>
    </row>
    <row r="175" spans="1:21">
      <c r="A175" t="str">
        <f t="shared" si="28"/>
        <v>MEM0174</v>
      </c>
      <c r="B175" t="str">
        <f ca="1">INDEX('Name pool'!A:A, RANDBETWEEN(2, COUNTA('Name pool'!A:A))) &amp; " " &amp; INDEX('Name pool'!B:B, RANDBETWEEN(2, COUNTA('Name pool'!B:B)))</f>
        <v>Neha Nambiar</v>
      </c>
      <c r="C175" t="s">
        <v>115</v>
      </c>
      <c r="D175" t="str">
        <f t="shared" ca="1" si="27"/>
        <v>BR07</v>
      </c>
      <c r="E175" t="str">
        <f t="shared" ca="1" si="33"/>
        <v>Premium</v>
      </c>
      <c r="F175" s="2">
        <v>45398</v>
      </c>
      <c r="G175" s="2">
        <v>45763</v>
      </c>
      <c r="H175">
        <v>2000</v>
      </c>
      <c r="I175">
        <f t="shared" ca="1" si="34"/>
        <v>24000</v>
      </c>
      <c r="J175">
        <v>23</v>
      </c>
      <c r="K175" t="str">
        <f t="shared" ca="1" si="35"/>
        <v>Yes</v>
      </c>
      <c r="L175" t="str">
        <f t="shared" ca="1" si="36"/>
        <v>Muscle Gain</v>
      </c>
      <c r="M175" t="str">
        <f t="shared" ca="1" si="37"/>
        <v>Active</v>
      </c>
      <c r="N175" s="2">
        <v>45994</v>
      </c>
      <c r="Q175" t="str">
        <f ca="1">IF(RAND()&lt;0.2,
    IF(RAND()&lt;0.5, LOWER(C175), UPPER(C175)),
    C175
)</f>
        <v>CHENNAI</v>
      </c>
      <c r="R175">
        <f t="shared" ca="1" si="29"/>
        <v>23</v>
      </c>
      <c r="S175">
        <f t="shared" ca="1" si="30"/>
        <v>2000</v>
      </c>
      <c r="T175">
        <f t="shared" ca="1" si="31"/>
        <v>45120</v>
      </c>
      <c r="U175" s="2">
        <f t="shared" ca="1" si="32"/>
        <v>45994</v>
      </c>
    </row>
    <row r="176" spans="1:21">
      <c r="A176" t="str">
        <f t="shared" si="28"/>
        <v>MEM0175</v>
      </c>
      <c r="B176" t="str">
        <f ca="1">INDEX('Name pool'!A:A, RANDBETWEEN(2, COUNTA('Name pool'!A:A))) &amp; " " &amp; INDEX('Name pool'!B:B, RANDBETWEEN(2, COUNTA('Name pool'!B:B)))</f>
        <v>Zara D’Souza</v>
      </c>
      <c r="C176" t="s">
        <v>81</v>
      </c>
      <c r="D176" t="str">
        <f t="shared" ca="1" si="27"/>
        <v>BR07</v>
      </c>
      <c r="E176" t="str">
        <f t="shared" ca="1" si="33"/>
        <v>Standard</v>
      </c>
      <c r="F176" s="2">
        <v>45470</v>
      </c>
      <c r="G176" s="2">
        <v>45560</v>
      </c>
      <c r="H176">
        <v>1000</v>
      </c>
      <c r="I176">
        <f t="shared" ca="1" si="34"/>
        <v>10000</v>
      </c>
      <c r="J176">
        <v>16</v>
      </c>
      <c r="K176" t="str">
        <f t="shared" ca="1" si="35"/>
        <v>Yes</v>
      </c>
      <c r="L176" t="str">
        <f t="shared" ca="1" si="36"/>
        <v>Weight Loss</v>
      </c>
      <c r="M176" t="str">
        <f t="shared" ca="1" si="37"/>
        <v>Active</v>
      </c>
      <c r="N176" s="2">
        <v>46034</v>
      </c>
      <c r="Q176" t="str">
        <f ca="1">IF(RAND()&lt;0.2,
    IF(RAND()&lt;0.5, LOWER(C176), UPPER(C176)),
    C176
)</f>
        <v>MUMBAI</v>
      </c>
      <c r="R176" t="str">
        <f t="shared" ca="1" si="29"/>
        <v>16 visits</v>
      </c>
      <c r="S176" t="str">
        <f t="shared" ca="1" si="30"/>
        <v>1000</v>
      </c>
      <c r="T176">
        <f t="shared" ca="1" si="31"/>
        <v>46006</v>
      </c>
      <c r="U176" s="2">
        <f t="shared" ca="1" si="32"/>
        <v>46034</v>
      </c>
    </row>
    <row r="177" spans="1:21">
      <c r="A177" t="str">
        <f t="shared" si="28"/>
        <v>MEM0176</v>
      </c>
      <c r="B177" t="str">
        <f ca="1">INDEX('Name pool'!A:A, RANDBETWEEN(2, COUNTA('Name pool'!A:A))) &amp; " " &amp; INDEX('Name pool'!B:B, RANDBETWEEN(2, COUNTA('Name pool'!B:B)))</f>
        <v>Pooja Chatterjee</v>
      </c>
      <c r="C177" t="s">
        <v>83</v>
      </c>
      <c r="D177" t="str">
        <f t="shared" ca="1" si="27"/>
        <v>BR05</v>
      </c>
      <c r="E177" t="str">
        <f t="shared" ca="1" si="33"/>
        <v>Premium</v>
      </c>
      <c r="F177" s="2">
        <v>45507</v>
      </c>
      <c r="G177" s="2">
        <v>45872</v>
      </c>
      <c r="H177" t="s">
        <v>108</v>
      </c>
      <c r="I177">
        <f t="shared" ca="1" si="34"/>
        <v>9000</v>
      </c>
      <c r="J177">
        <v>21</v>
      </c>
      <c r="K177" t="str">
        <f t="shared" ca="1" si="35"/>
        <v>Yes</v>
      </c>
      <c r="L177" t="str">
        <f t="shared" ca="1" si="36"/>
        <v>Weight Loss</v>
      </c>
      <c r="M177" t="str">
        <f t="shared" ca="1" si="37"/>
        <v>Active</v>
      </c>
      <c r="N177" s="2">
        <v>45537</v>
      </c>
      <c r="Q177" t="str">
        <f ca="1">IF(RAND()&lt;0.2,
    IF(RAND()&lt;0.5, LOWER(C177), UPPER(C177)),
    C177
)</f>
        <v>Trivandrum</v>
      </c>
      <c r="R177" t="str">
        <f t="shared" ca="1" si="29"/>
        <v>21 visits</v>
      </c>
      <c r="S177" t="str">
        <f t="shared" ca="1" si="30"/>
        <v>1000</v>
      </c>
      <c r="T177">
        <f t="shared" ca="1" si="31"/>
        <v>44965</v>
      </c>
      <c r="U177" s="2">
        <f t="shared" ca="1" si="32"/>
        <v>45537</v>
      </c>
    </row>
    <row r="178" spans="1:21">
      <c r="A178" t="str">
        <f t="shared" si="28"/>
        <v>MEM0177</v>
      </c>
      <c r="B178" t="str">
        <f ca="1">INDEX('Name pool'!A:A, RANDBETWEEN(2, COUNTA('Name pool'!A:A))) &amp; " " &amp; INDEX('Name pool'!B:B, RANDBETWEEN(2, COUNTA('Name pool'!B:B)))</f>
        <v>Tanvi Patel</v>
      </c>
      <c r="C178" t="s">
        <v>79</v>
      </c>
      <c r="D178" t="str">
        <f t="shared" ca="1" si="27"/>
        <v>BR07</v>
      </c>
      <c r="E178" t="str">
        <f t="shared" ca="1" si="33"/>
        <v>Premium</v>
      </c>
      <c r="F178" s="2">
        <v>45274</v>
      </c>
      <c r="G178" s="2">
        <v>45639</v>
      </c>
      <c r="H178">
        <v>1000</v>
      </c>
      <c r="I178">
        <f t="shared" ca="1" si="34"/>
        <v>9000</v>
      </c>
      <c r="J178">
        <v>8</v>
      </c>
      <c r="K178" t="str">
        <f t="shared" ca="1" si="35"/>
        <v>No</v>
      </c>
      <c r="L178" t="str">
        <f t="shared" ca="1" si="36"/>
        <v>Muscle Gain</v>
      </c>
      <c r="M178" t="str">
        <f t="shared" ca="1" si="37"/>
        <v>Active</v>
      </c>
      <c r="N178" s="2">
        <v>45868</v>
      </c>
      <c r="Q178" t="str">
        <f ca="1">IF(RAND()&lt;0.2,
    IF(RAND()&lt;0.5, LOWER(C178), UPPER(C178)),
    C178
)</f>
        <v>hyderabad</v>
      </c>
      <c r="R178">
        <f t="shared" ca="1" si="29"/>
        <v>8</v>
      </c>
      <c r="S178">
        <f t="shared" ca="1" si="30"/>
        <v>1000</v>
      </c>
      <c r="T178">
        <f t="shared" ca="1" si="31"/>
        <v>45960</v>
      </c>
      <c r="U178" s="2">
        <f t="shared" ca="1" si="32"/>
        <v>45868</v>
      </c>
    </row>
    <row r="179" spans="1:21">
      <c r="A179" t="str">
        <f t="shared" si="28"/>
        <v>MEM0178</v>
      </c>
      <c r="B179" t="str">
        <f ca="1">INDEX('Name pool'!A:A, RANDBETWEEN(2, COUNTA('Name pool'!A:A))) &amp; " " &amp; INDEX('Name pool'!B:B, RANDBETWEEN(2, COUNTA('Name pool'!B:B)))</f>
        <v>Siddharth Mathew</v>
      </c>
      <c r="C179" t="s">
        <v>75</v>
      </c>
      <c r="D179" t="str">
        <f t="shared" ca="1" si="27"/>
        <v>BR01</v>
      </c>
      <c r="E179" t="str">
        <f t="shared" ca="1" si="33"/>
        <v>Basic</v>
      </c>
      <c r="F179" s="2">
        <v>45545</v>
      </c>
      <c r="G179" s="2">
        <v>45575</v>
      </c>
      <c r="H179">
        <v>1000</v>
      </c>
      <c r="I179">
        <f t="shared" ca="1" si="34"/>
        <v>3000</v>
      </c>
      <c r="J179">
        <v>12</v>
      </c>
      <c r="K179" t="str">
        <f t="shared" ca="1" si="35"/>
        <v>Yes</v>
      </c>
      <c r="L179" t="str">
        <f t="shared" ca="1" si="36"/>
        <v>Weight Loss</v>
      </c>
      <c r="M179" t="str">
        <f t="shared" ca="1" si="37"/>
        <v>Active</v>
      </c>
      <c r="N179" s="2">
        <v>45770</v>
      </c>
      <c r="Q179" t="str">
        <f ca="1">IF(RAND()&lt;0.2,
    IF(RAND()&lt;0.5, LOWER(C179), UPPER(C179)),
    C179
)</f>
        <v>Bangalore</v>
      </c>
      <c r="R179">
        <f t="shared" ca="1" si="29"/>
        <v>12</v>
      </c>
      <c r="S179">
        <f t="shared" ca="1" si="30"/>
        <v>1000</v>
      </c>
      <c r="T179">
        <f t="shared" ca="1" si="31"/>
        <v>45770</v>
      </c>
      <c r="U179" s="2">
        <f t="shared" ca="1" si="32"/>
        <v>45770</v>
      </c>
    </row>
    <row r="180" spans="1:21">
      <c r="A180" t="str">
        <f t="shared" si="28"/>
        <v>MEM0179</v>
      </c>
      <c r="B180" t="str">
        <f ca="1">INDEX('Name pool'!A:A, RANDBETWEEN(2, COUNTA('Name pool'!A:A))) &amp; " " &amp; INDEX('Name pool'!B:B, RANDBETWEEN(2, COUNTA('Name pool'!B:B)))</f>
        <v>Divya Fernandes</v>
      </c>
      <c r="C180" t="s">
        <v>107</v>
      </c>
      <c r="D180" t="str">
        <f t="shared" ca="1" si="27"/>
        <v>BR01</v>
      </c>
      <c r="E180" t="str">
        <f t="shared" ca="1" si="33"/>
        <v>Premium</v>
      </c>
      <c r="F180" s="2">
        <v>45016</v>
      </c>
      <c r="G180" s="2">
        <v>45046</v>
      </c>
      <c r="H180">
        <v>2000</v>
      </c>
      <c r="I180">
        <f t="shared" ca="1" si="34"/>
        <v>18000</v>
      </c>
      <c r="J180" t="s">
        <v>113</v>
      </c>
      <c r="K180" t="str">
        <f t="shared" ca="1" si="35"/>
        <v>Yes</v>
      </c>
      <c r="L180" t="str">
        <f t="shared" ca="1" si="36"/>
        <v>Weight Loss</v>
      </c>
      <c r="M180" t="str">
        <f t="shared" ca="1" si="37"/>
        <v>Active</v>
      </c>
      <c r="N180" s="2">
        <v>45571</v>
      </c>
      <c r="Q180" t="str">
        <f ca="1">IF(RAND()&lt;0.2,
    IF(RAND()&lt;0.5, LOWER(C180), UPPER(C180)),
    C180
)</f>
        <v>TRIVANDRUM</v>
      </c>
      <c r="R180" t="str">
        <f t="shared" ca="1" si="29"/>
        <v>17 visits</v>
      </c>
      <c r="S180">
        <f t="shared" ca="1" si="30"/>
        <v>2000</v>
      </c>
      <c r="T180">
        <f t="shared" ca="1" si="31"/>
        <v>45393</v>
      </c>
      <c r="U180" s="2">
        <f t="shared" ca="1" si="32"/>
        <v>45571</v>
      </c>
    </row>
    <row r="181" spans="1:21">
      <c r="A181" t="str">
        <f t="shared" si="28"/>
        <v>MEM0180</v>
      </c>
      <c r="B181" t="str">
        <f ca="1">INDEX('Name pool'!A:A, RANDBETWEEN(2, COUNTA('Name pool'!A:A))) &amp; " " &amp; INDEX('Name pool'!B:B, RANDBETWEEN(2, COUNTA('Name pool'!B:B)))</f>
        <v>Riya Kapoor</v>
      </c>
      <c r="C181" t="s">
        <v>77</v>
      </c>
      <c r="D181" t="str">
        <f t="shared" ca="1" si="27"/>
        <v>BR07</v>
      </c>
      <c r="E181" t="str">
        <f t="shared" ca="1" si="33"/>
        <v>Premium</v>
      </c>
      <c r="F181" s="2">
        <v>45666</v>
      </c>
      <c r="G181" s="2">
        <v>45696</v>
      </c>
      <c r="H181">
        <v>1000</v>
      </c>
      <c r="I181">
        <f t="shared" ca="1" si="34"/>
        <v>3000</v>
      </c>
      <c r="J181">
        <v>1</v>
      </c>
      <c r="K181" t="str">
        <f t="shared" ca="1" si="35"/>
        <v>Yes</v>
      </c>
      <c r="L181" t="str">
        <f t="shared" ca="1" si="36"/>
        <v>Muscle Gain</v>
      </c>
      <c r="M181" t="str">
        <f t="shared" ca="1" si="37"/>
        <v>Cancelled</v>
      </c>
      <c r="N181" s="2">
        <v>45688</v>
      </c>
      <c r="Q181" t="str">
        <f ca="1">IF(RAND()&lt;0.2,
    IF(RAND()&lt;0.5, LOWER(C181), UPPER(C181)),
    C181
)</f>
        <v>Chennai</v>
      </c>
      <c r="R181">
        <f t="shared" ca="1" si="29"/>
        <v>1</v>
      </c>
      <c r="S181">
        <f t="shared" ca="1" si="30"/>
        <v>1000</v>
      </c>
      <c r="T181">
        <f t="shared" ca="1" si="31"/>
        <v>45882</v>
      </c>
      <c r="U181" s="2">
        <f t="shared" ca="1" si="32"/>
        <v>45688</v>
      </c>
    </row>
    <row r="182" spans="1:21">
      <c r="A182" t="str">
        <f t="shared" si="28"/>
        <v>MEM0181</v>
      </c>
      <c r="B182" t="str">
        <f ca="1">INDEX('Name pool'!A:A, RANDBETWEEN(2, COUNTA('Name pool'!A:A))) &amp; " " &amp; INDEX('Name pool'!B:B, RANDBETWEEN(2, COUNTA('Name pool'!B:B)))</f>
        <v>Rahul Shaikh</v>
      </c>
      <c r="C182" t="s">
        <v>81</v>
      </c>
      <c r="D182" t="str">
        <f t="shared" ca="1" si="27"/>
        <v>BR05</v>
      </c>
      <c r="E182" t="str">
        <f t="shared" ca="1" si="33"/>
        <v>Standard</v>
      </c>
      <c r="F182" s="2">
        <v>45958</v>
      </c>
      <c r="G182" s="2">
        <v>45988</v>
      </c>
      <c r="H182">
        <v>3500</v>
      </c>
      <c r="I182">
        <f t="shared" ca="1" si="34"/>
        <v>10500</v>
      </c>
      <c r="J182">
        <v>4</v>
      </c>
      <c r="K182" t="str">
        <f t="shared" ca="1" si="35"/>
        <v>No</v>
      </c>
      <c r="L182" t="str">
        <f t="shared" ca="1" si="36"/>
        <v>Weight Loss</v>
      </c>
      <c r="M182" t="str">
        <f t="shared" ca="1" si="37"/>
        <v>Cancelled</v>
      </c>
      <c r="N182" s="2">
        <v>46211</v>
      </c>
      <c r="Q182" t="str">
        <f ca="1">IF(RAND()&lt;0.2,
    IF(RAND()&lt;0.5, LOWER(C182), UPPER(C182)),
    C182
)</f>
        <v>Mumbai</v>
      </c>
      <c r="R182">
        <f t="shared" ca="1" si="29"/>
        <v>4</v>
      </c>
      <c r="S182">
        <f t="shared" ca="1" si="30"/>
        <v>3500</v>
      </c>
      <c r="T182">
        <f t="shared" ca="1" si="31"/>
        <v>45120</v>
      </c>
      <c r="U182" s="2">
        <f t="shared" ca="1" si="32"/>
        <v>46211</v>
      </c>
    </row>
    <row r="183" spans="1:21">
      <c r="A183" t="str">
        <f t="shared" si="28"/>
        <v>MEM0182</v>
      </c>
      <c r="B183" t="str">
        <f ca="1">INDEX('Name pool'!A:A, RANDBETWEEN(2, COUNTA('Name pool'!A:A))) &amp; " " &amp; INDEX('Name pool'!B:B, RANDBETWEEN(2, COUNTA('Name pool'!B:B)))</f>
        <v>Neha D’Souza</v>
      </c>
      <c r="C183" t="s">
        <v>83</v>
      </c>
      <c r="D183" t="str">
        <f t="shared" ca="1" si="27"/>
        <v>BR04</v>
      </c>
      <c r="E183" t="str">
        <f t="shared" ca="1" si="33"/>
        <v>Standard</v>
      </c>
      <c r="F183" s="2">
        <v>45108</v>
      </c>
      <c r="G183" s="2">
        <v>45138</v>
      </c>
      <c r="H183">
        <v>1000</v>
      </c>
      <c r="I183">
        <f t="shared" ca="1" si="34"/>
        <v>8000</v>
      </c>
      <c r="J183">
        <v>3</v>
      </c>
      <c r="K183" t="str">
        <f t="shared" ca="1" si="35"/>
        <v>No</v>
      </c>
      <c r="L183" t="str">
        <f t="shared" ca="1" si="36"/>
        <v>Weight Loss</v>
      </c>
      <c r="M183" t="str">
        <f t="shared" ca="1" si="37"/>
        <v>Cancelled</v>
      </c>
      <c r="N183" s="2">
        <v>45129</v>
      </c>
      <c r="Q183" t="str">
        <f ca="1">IF(RAND()&lt;0.2,
    IF(RAND()&lt;0.5, LOWER(C183), UPPER(C183)),
    C183
)</f>
        <v>Trivandrum</v>
      </c>
      <c r="R183">
        <f t="shared" ca="1" si="29"/>
        <v>3</v>
      </c>
      <c r="S183">
        <f t="shared" ca="1" si="30"/>
        <v>1000</v>
      </c>
      <c r="T183">
        <f t="shared" ca="1" si="31"/>
        <v>44963</v>
      </c>
      <c r="U183" s="2">
        <f t="shared" ca="1" si="32"/>
        <v>45135</v>
      </c>
    </row>
    <row r="184" spans="1:21">
      <c r="A184" t="str">
        <f t="shared" si="28"/>
        <v>MEM0183</v>
      </c>
      <c r="B184" t="str">
        <f ca="1">INDEX('Name pool'!A:A, RANDBETWEEN(2, COUNTA('Name pool'!A:A))) &amp; " " &amp; INDEX('Name pool'!B:B, RANDBETWEEN(2, COUNTA('Name pool'!B:B)))</f>
        <v>Divya Khan</v>
      </c>
      <c r="C184" t="s">
        <v>131</v>
      </c>
      <c r="D184" t="str">
        <f t="shared" ca="1" si="27"/>
        <v>BR07</v>
      </c>
      <c r="E184" t="str">
        <f t="shared" ca="1" si="33"/>
        <v>Premium</v>
      </c>
      <c r="F184" s="2">
        <v>45529</v>
      </c>
      <c r="G184" s="2">
        <v>45894</v>
      </c>
      <c r="H184">
        <v>3500</v>
      </c>
      <c r="I184">
        <f t="shared" ca="1" si="34"/>
        <v>31500</v>
      </c>
      <c r="J184">
        <v>15</v>
      </c>
      <c r="K184" t="str">
        <f t="shared" ca="1" si="35"/>
        <v>No</v>
      </c>
      <c r="L184" t="str">
        <f t="shared" ca="1" si="36"/>
        <v>General Fitness</v>
      </c>
      <c r="M184" t="str">
        <f t="shared" ca="1" si="37"/>
        <v>Active</v>
      </c>
      <c r="N184" s="2">
        <v>45907</v>
      </c>
      <c r="Q184" t="str">
        <f ca="1">IF(RAND()&lt;0.2,
    IF(RAND()&lt;0.5, LOWER(C184), UPPER(C184)),
    C184
)</f>
        <v>BANGALORE</v>
      </c>
      <c r="R184">
        <f t="shared" ca="1" si="29"/>
        <v>15</v>
      </c>
      <c r="S184">
        <f t="shared" ca="1" si="30"/>
        <v>3500</v>
      </c>
      <c r="T184">
        <f t="shared" ca="1" si="31"/>
        <v>45876</v>
      </c>
      <c r="U184" s="2">
        <f t="shared" ca="1" si="32"/>
        <v>45907</v>
      </c>
    </row>
    <row r="185" spans="1:21">
      <c r="A185" t="str">
        <f t="shared" si="28"/>
        <v>MEM0184</v>
      </c>
      <c r="B185" t="str">
        <f ca="1">INDEX('Name pool'!A:A, RANDBETWEEN(2, COUNTA('Name pool'!A:A))) &amp; " " &amp; INDEX('Name pool'!B:B, RANDBETWEEN(2, COUNTA('Name pool'!B:B)))</f>
        <v>Ishita Menon</v>
      </c>
      <c r="C185" t="s">
        <v>85</v>
      </c>
      <c r="D185" t="str">
        <f t="shared" ca="1" si="27"/>
        <v>BR02</v>
      </c>
      <c r="E185" t="str">
        <f t="shared" ca="1" si="33"/>
        <v>Basic</v>
      </c>
      <c r="F185" s="2">
        <v>46035</v>
      </c>
      <c r="G185" s="2">
        <v>46065</v>
      </c>
      <c r="H185">
        <v>2000</v>
      </c>
      <c r="I185">
        <f t="shared" ca="1" si="34"/>
        <v>14000</v>
      </c>
      <c r="J185">
        <v>2</v>
      </c>
      <c r="K185" t="str">
        <f t="shared" ca="1" si="35"/>
        <v>Yes</v>
      </c>
      <c r="L185" t="str">
        <f t="shared" ca="1" si="36"/>
        <v>General Fitness</v>
      </c>
      <c r="M185" t="str">
        <f t="shared" ca="1" si="37"/>
        <v>Cancelled</v>
      </c>
      <c r="N185" s="2">
        <v>46055</v>
      </c>
      <c r="Q185" t="str">
        <f ca="1">IF(RAND()&lt;0.2,
    IF(RAND()&lt;0.5, LOWER(C185), UPPER(C185)),
    C185
)</f>
        <v>Calicut</v>
      </c>
      <c r="R185">
        <f t="shared" ca="1" si="29"/>
        <v>2</v>
      </c>
      <c r="S185">
        <f t="shared" ca="1" si="30"/>
        <v>2000</v>
      </c>
      <c r="T185">
        <f t="shared" ca="1" si="31"/>
        <v>45434</v>
      </c>
      <c r="U185" s="2">
        <f t="shared" ca="1" si="32"/>
        <v>46055</v>
      </c>
    </row>
    <row r="186" spans="1:21">
      <c r="A186" t="str">
        <f t="shared" si="28"/>
        <v>MEM0185</v>
      </c>
      <c r="B186" t="str">
        <f ca="1">INDEX('Name pool'!A:A, RANDBETWEEN(2, COUNTA('Name pool'!A:A))) &amp; " " &amp; INDEX('Name pool'!B:B, RANDBETWEEN(2, COUNTA('Name pool'!B:B)))</f>
        <v>Lakshmi Reddy</v>
      </c>
      <c r="C186" t="s">
        <v>77</v>
      </c>
      <c r="D186" t="str">
        <f t="shared" ca="1" si="27"/>
        <v>BR05</v>
      </c>
      <c r="E186" t="str">
        <f t="shared" ca="1" si="33"/>
        <v>Premium</v>
      </c>
      <c r="F186" s="2">
        <v>45911</v>
      </c>
      <c r="G186" s="2">
        <v>45941</v>
      </c>
      <c r="H186">
        <v>3500</v>
      </c>
      <c r="I186">
        <f t="shared" ca="1" si="34"/>
        <v>21000</v>
      </c>
      <c r="J186">
        <v>8</v>
      </c>
      <c r="K186" t="str">
        <f t="shared" ca="1" si="35"/>
        <v>Yes</v>
      </c>
      <c r="L186" t="str">
        <f t="shared" ca="1" si="36"/>
        <v>General Fitness</v>
      </c>
      <c r="M186" t="str">
        <f t="shared" ca="1" si="37"/>
        <v>Active</v>
      </c>
      <c r="N186" s="2">
        <v>46115</v>
      </c>
      <c r="Q186" t="str">
        <f ca="1">IF(RAND()&lt;0.2,
    IF(RAND()&lt;0.5, LOWER(C186), UPPER(C186)),
    C186
)</f>
        <v>Chennai</v>
      </c>
      <c r="R186" t="str">
        <f t="shared" ca="1" si="29"/>
        <v>8 visits</v>
      </c>
      <c r="S186" t="str">
        <f t="shared" ca="1" si="30"/>
        <v>3500</v>
      </c>
      <c r="T186">
        <f t="shared" ca="1" si="31"/>
        <v>45811</v>
      </c>
      <c r="U186" s="2">
        <f t="shared" ca="1" si="32"/>
        <v>46115</v>
      </c>
    </row>
    <row r="187" spans="1:21">
      <c r="A187" t="str">
        <f t="shared" si="28"/>
        <v>MEM0186</v>
      </c>
      <c r="B187" t="str">
        <f ca="1">INDEX('Name pool'!A:A, RANDBETWEEN(2, COUNTA('Name pool'!A:A))) &amp; " " &amp; INDEX('Name pool'!B:B, RANDBETWEEN(2, COUNTA('Name pool'!B:B)))</f>
        <v>Varun Shetty</v>
      </c>
      <c r="C187" t="s">
        <v>119</v>
      </c>
      <c r="D187" t="str">
        <f t="shared" ca="1" si="27"/>
        <v>BR05</v>
      </c>
      <c r="E187" t="str">
        <f t="shared" ca="1" si="33"/>
        <v>Premium</v>
      </c>
      <c r="F187" s="2">
        <v>45367</v>
      </c>
      <c r="G187" s="2">
        <v>45732</v>
      </c>
      <c r="H187">
        <v>1000</v>
      </c>
      <c r="I187">
        <f t="shared" ca="1" si="34"/>
        <v>8000</v>
      </c>
      <c r="J187">
        <v>10</v>
      </c>
      <c r="K187" t="str">
        <f t="shared" ca="1" si="35"/>
        <v>Yes</v>
      </c>
      <c r="L187" t="str">
        <f t="shared" ca="1" si="36"/>
        <v>Weight Loss</v>
      </c>
      <c r="M187" t="str">
        <f t="shared" ca="1" si="37"/>
        <v>Active</v>
      </c>
      <c r="N187" s="2">
        <v>46092</v>
      </c>
      <c r="Q187" t="str">
        <f ca="1">IF(RAND()&lt;0.2,
    IF(RAND()&lt;0.5, LOWER(C187), UPPER(C187)),
    C187
)</f>
        <v>bangalore</v>
      </c>
      <c r="R187">
        <f t="shared" ca="1" si="29"/>
        <v>10</v>
      </c>
      <c r="S187">
        <f t="shared" ca="1" si="30"/>
        <v>1000</v>
      </c>
      <c r="T187">
        <f t="shared" ca="1" si="31"/>
        <v>44994</v>
      </c>
      <c r="U187" s="2">
        <f t="shared" ca="1" si="32"/>
        <v>46092</v>
      </c>
    </row>
    <row r="188" spans="1:21">
      <c r="A188" t="str">
        <f t="shared" si="28"/>
        <v>MEM0187</v>
      </c>
      <c r="B188" t="str">
        <f ca="1">INDEX('Name pool'!A:A, RANDBETWEEN(2, COUNTA('Name pool'!A:A))) &amp; " " &amp; INDEX('Name pool'!B:B, RANDBETWEEN(2, COUNTA('Name pool'!B:B)))</f>
        <v>Ishita Thomas</v>
      </c>
      <c r="C188" t="s">
        <v>75</v>
      </c>
      <c r="D188" t="str">
        <f t="shared" ca="1" si="27"/>
        <v>BR06</v>
      </c>
      <c r="E188" t="str">
        <f t="shared" ca="1" si="33"/>
        <v>Standard</v>
      </c>
      <c r="F188" s="2">
        <v>44927</v>
      </c>
      <c r="G188" s="2">
        <v>44957</v>
      </c>
      <c r="H188">
        <v>2000</v>
      </c>
      <c r="I188">
        <f t="shared" ca="1" si="34"/>
        <v>12000</v>
      </c>
      <c r="J188">
        <v>6</v>
      </c>
      <c r="K188" t="str">
        <f t="shared" ca="1" si="35"/>
        <v>Yes</v>
      </c>
      <c r="L188" t="str">
        <f t="shared" ca="1" si="36"/>
        <v>General Fitness</v>
      </c>
      <c r="M188" t="str">
        <f t="shared" ca="1" si="37"/>
        <v>Active</v>
      </c>
      <c r="N188" s="2">
        <v>45192</v>
      </c>
      <c r="Q188" t="str">
        <f ca="1">IF(RAND()&lt;0.2,
    IF(RAND()&lt;0.5, LOWER(C188), UPPER(C188)),
    C188
)</f>
        <v>Bangalore</v>
      </c>
      <c r="R188">
        <f t="shared" ca="1" si="29"/>
        <v>6</v>
      </c>
      <c r="S188">
        <f t="shared" ca="1" si="30"/>
        <v>2000</v>
      </c>
      <c r="T188">
        <f t="shared" ca="1" si="31"/>
        <v>45120</v>
      </c>
      <c r="U188" s="2">
        <f t="shared" ca="1" si="32"/>
        <v>45192</v>
      </c>
    </row>
    <row r="189" spans="1:21">
      <c r="A189" t="str">
        <f t="shared" si="28"/>
        <v>MEM0188</v>
      </c>
      <c r="B189" t="str">
        <f ca="1">INDEX('Name pool'!A:A, RANDBETWEEN(2, COUNTA('Name pool'!A:A))) &amp; " " &amp; INDEX('Name pool'!B:B, RANDBETWEEN(2, COUNTA('Name pool'!B:B)))</f>
        <v>Kavya Yadav</v>
      </c>
      <c r="C189" t="s">
        <v>85</v>
      </c>
      <c r="D189" t="str">
        <f t="shared" ca="1" si="27"/>
        <v>BR03</v>
      </c>
      <c r="E189" t="str">
        <f t="shared" ca="1" si="33"/>
        <v>Basic</v>
      </c>
      <c r="F189" s="2">
        <v>46003</v>
      </c>
      <c r="G189" s="2">
        <v>46368</v>
      </c>
      <c r="H189">
        <v>1000</v>
      </c>
      <c r="I189">
        <f t="shared" ca="1" si="34"/>
        <v>5000</v>
      </c>
      <c r="J189">
        <v>17</v>
      </c>
      <c r="K189" t="str">
        <f t="shared" ca="1" si="35"/>
        <v>No</v>
      </c>
      <c r="L189" t="str">
        <f t="shared" ca="1" si="36"/>
        <v>General Fitness</v>
      </c>
      <c r="M189" t="str">
        <f t="shared" ca="1" si="37"/>
        <v>Active</v>
      </c>
      <c r="N189" s="2">
        <v>46111</v>
      </c>
      <c r="Q189" t="str">
        <f ca="1">IF(RAND()&lt;0.2,
    IF(RAND()&lt;0.5, LOWER(C189), UPPER(C189)),
    C189
)</f>
        <v>Calicut</v>
      </c>
      <c r="R189">
        <f t="shared" ca="1" si="29"/>
        <v>17</v>
      </c>
      <c r="S189">
        <f t="shared" ca="1" si="30"/>
        <v>1000</v>
      </c>
      <c r="T189">
        <f t="shared" ca="1" si="31"/>
        <v>45393</v>
      </c>
      <c r="U189" s="2">
        <f t="shared" ca="1" si="32"/>
        <v>46111</v>
      </c>
    </row>
    <row r="190" spans="1:21">
      <c r="A190" t="str">
        <f t="shared" si="28"/>
        <v>MEM0189</v>
      </c>
      <c r="B190" t="str">
        <f ca="1">INDEX('Name pool'!A:A, RANDBETWEEN(2, COUNTA('Name pool'!A:A))) &amp; " " &amp; INDEX('Name pool'!B:B, RANDBETWEEN(2, COUNTA('Name pool'!B:B)))</f>
        <v>Ishita Joseph</v>
      </c>
      <c r="C190" t="s">
        <v>85</v>
      </c>
      <c r="D190" t="str">
        <f t="shared" ca="1" si="27"/>
        <v>BR07</v>
      </c>
      <c r="E190" t="str">
        <f t="shared" ca="1" si="33"/>
        <v>Premium</v>
      </c>
      <c r="F190" s="2">
        <v>45519</v>
      </c>
      <c r="G190" s="2">
        <v>45549</v>
      </c>
      <c r="H190" t="s">
        <v>105</v>
      </c>
      <c r="I190">
        <f t="shared" ca="1" si="34"/>
        <v>24500</v>
      </c>
      <c r="J190">
        <v>4</v>
      </c>
      <c r="K190" t="str">
        <f t="shared" ca="1" si="35"/>
        <v>Yes</v>
      </c>
      <c r="L190" t="str">
        <f t="shared" ca="1" si="36"/>
        <v>Muscle Gain</v>
      </c>
      <c r="M190" t="str">
        <f t="shared" ca="1" si="37"/>
        <v>Active</v>
      </c>
      <c r="N190" s="2">
        <v>45531</v>
      </c>
      <c r="Q190" t="str">
        <f ca="1">IF(RAND()&lt;0.2,
    IF(RAND()&lt;0.5, LOWER(C190), UPPER(C190)),
    C190
)</f>
        <v>Calicut</v>
      </c>
      <c r="R190">
        <f t="shared" ca="1" si="29"/>
        <v>4</v>
      </c>
      <c r="S190" t="str">
        <f t="shared" ca="1" si="30"/>
        <v>3500</v>
      </c>
      <c r="T190">
        <f t="shared" ca="1" si="31"/>
        <v>45219</v>
      </c>
      <c r="U190" s="2">
        <f t="shared" ca="1" si="32"/>
        <v>45531</v>
      </c>
    </row>
    <row r="191" spans="1:21">
      <c r="A191" t="str">
        <f t="shared" si="28"/>
        <v>MEM0190</v>
      </c>
      <c r="B191" t="str">
        <f ca="1">INDEX('Name pool'!A:A, RANDBETWEEN(2, COUNTA('Name pool'!A:A))) &amp; " " &amp; INDEX('Name pool'!B:B, RANDBETWEEN(2, COUNTA('Name pool'!B:B)))</f>
        <v>Tanvi Shetty</v>
      </c>
      <c r="C191" t="s">
        <v>83</v>
      </c>
      <c r="D191" t="str">
        <f t="shared" ca="1" si="27"/>
        <v>BR07</v>
      </c>
      <c r="E191" t="str">
        <f t="shared" ca="1" si="33"/>
        <v>Basic</v>
      </c>
      <c r="F191" s="2">
        <v>45371</v>
      </c>
      <c r="G191" s="2">
        <v>45401</v>
      </c>
      <c r="H191">
        <v>2000</v>
      </c>
      <c r="I191">
        <f t="shared" ca="1" si="34"/>
        <v>24000</v>
      </c>
      <c r="J191" t="s">
        <v>136</v>
      </c>
      <c r="K191" t="str">
        <f t="shared" ca="1" si="35"/>
        <v>Yes</v>
      </c>
      <c r="L191" t="str">
        <f t="shared" ca="1" si="36"/>
        <v>Weight Loss</v>
      </c>
      <c r="M191" t="str">
        <f t="shared" ca="1" si="37"/>
        <v>Active</v>
      </c>
      <c r="N191" s="2">
        <v>45865</v>
      </c>
      <c r="Q191" t="str">
        <f ca="1">IF(RAND()&lt;0.2,
    IF(RAND()&lt;0.5, LOWER(C191), UPPER(C191)),
    C191
)</f>
        <v>Trivandrum</v>
      </c>
      <c r="R191" t="str">
        <f t="shared" ca="1" si="29"/>
        <v>12 visits</v>
      </c>
      <c r="S191" t="str">
        <f t="shared" ca="1" si="30"/>
        <v>2000</v>
      </c>
      <c r="T191">
        <f t="shared" ca="1" si="31"/>
        <v>45448</v>
      </c>
      <c r="U191" s="2">
        <f t="shared" ca="1" si="32"/>
        <v>45865</v>
      </c>
    </row>
    <row r="192" spans="1:21">
      <c r="A192" t="str">
        <f t="shared" si="28"/>
        <v>MEM0191</v>
      </c>
      <c r="B192" t="str">
        <f ca="1">INDEX('Name pool'!A:A, RANDBETWEEN(2, COUNTA('Name pool'!A:A))) &amp; " " &amp; INDEX('Name pool'!B:B, RANDBETWEEN(2, COUNTA('Name pool'!B:B)))</f>
        <v>Priya Khan</v>
      </c>
      <c r="C192" t="s">
        <v>75</v>
      </c>
      <c r="D192" t="str">
        <f t="shared" ca="1" si="27"/>
        <v>BR01</v>
      </c>
      <c r="E192" t="str">
        <f t="shared" ca="1" si="33"/>
        <v>Standard</v>
      </c>
      <c r="F192" s="2">
        <v>45584</v>
      </c>
      <c r="G192" s="2">
        <v>45949</v>
      </c>
      <c r="H192" t="s">
        <v>108</v>
      </c>
      <c r="I192">
        <f t="shared" ca="1" si="34"/>
        <v>4000</v>
      </c>
      <c r="J192">
        <v>23</v>
      </c>
      <c r="K192" t="str">
        <f t="shared" ca="1" si="35"/>
        <v>No</v>
      </c>
      <c r="L192" t="str">
        <f t="shared" ca="1" si="36"/>
        <v>Muscle Gain</v>
      </c>
      <c r="M192" t="str">
        <f t="shared" ca="1" si="37"/>
        <v>Active</v>
      </c>
      <c r="N192" s="2">
        <v>45678</v>
      </c>
      <c r="Q192" t="str">
        <f ca="1">IF(RAND()&lt;0.2,
    IF(RAND()&lt;0.5, LOWER(C192), UPPER(C192)),
    C192
)</f>
        <v>Bangalore</v>
      </c>
      <c r="R192">
        <f t="shared" ca="1" si="29"/>
        <v>23</v>
      </c>
      <c r="S192" t="str">
        <f t="shared" ca="1" si="30"/>
        <v>1000</v>
      </c>
      <c r="T192">
        <f t="shared" ca="1" si="31"/>
        <v>45495</v>
      </c>
      <c r="U192" s="2">
        <f t="shared" ca="1" si="32"/>
        <v>45678</v>
      </c>
    </row>
    <row r="193" spans="1:21">
      <c r="A193" t="str">
        <f t="shared" si="28"/>
        <v>MEM0192</v>
      </c>
      <c r="B193" t="str">
        <f ca="1">INDEX('Name pool'!A:A, RANDBETWEEN(2, COUNTA('Name pool'!A:A))) &amp; " " &amp; INDEX('Name pool'!B:B, RANDBETWEEN(2, COUNTA('Name pool'!B:B)))</f>
        <v>Ankit Das</v>
      </c>
      <c r="C193" t="s">
        <v>137</v>
      </c>
      <c r="D193" t="str">
        <f t="shared" ca="1" si="27"/>
        <v>BR04</v>
      </c>
      <c r="E193" t="str">
        <f t="shared" ca="1" si="33"/>
        <v>Basic</v>
      </c>
      <c r="F193" s="2">
        <v>45212</v>
      </c>
      <c r="G193" s="2">
        <v>45577</v>
      </c>
      <c r="H193">
        <v>1000</v>
      </c>
      <c r="I193">
        <f t="shared" ca="1" si="34"/>
        <v>12000</v>
      </c>
      <c r="J193">
        <v>12</v>
      </c>
      <c r="K193" t="str">
        <f t="shared" ca="1" si="35"/>
        <v>No</v>
      </c>
      <c r="L193" t="str">
        <f t="shared" ca="1" si="36"/>
        <v>General Fitness</v>
      </c>
      <c r="M193" t="str">
        <f t="shared" ca="1" si="37"/>
        <v>Active</v>
      </c>
      <c r="N193" s="2">
        <v>46044</v>
      </c>
      <c r="Q193" t="str">
        <f ca="1">IF(RAND()&lt;0.2,
    IF(RAND()&lt;0.5, LOWER(C193), UPPER(C193)),
    C193
)</f>
        <v>CALICUT</v>
      </c>
      <c r="R193">
        <f t="shared" ca="1" si="29"/>
        <v>12</v>
      </c>
      <c r="S193">
        <f t="shared" ca="1" si="30"/>
        <v>1000</v>
      </c>
      <c r="T193">
        <f t="shared" ca="1" si="31"/>
        <v>45364</v>
      </c>
      <c r="U193" s="2">
        <f t="shared" ca="1" si="32"/>
        <v>46044</v>
      </c>
    </row>
    <row r="194" spans="1:21">
      <c r="A194" t="str">
        <f t="shared" si="28"/>
        <v>MEM0193</v>
      </c>
      <c r="B194" t="str">
        <f ca="1">INDEX('Name pool'!A:A, RANDBETWEEN(2, COUNTA('Name pool'!A:A))) &amp; " " &amp; INDEX('Name pool'!B:B, RANDBETWEEN(2, COUNTA('Name pool'!B:B)))</f>
        <v>Fatima Mathew</v>
      </c>
      <c r="C194" t="s">
        <v>75</v>
      </c>
      <c r="D194" t="str">
        <f t="shared" ref="D194:D257" ca="1" si="38">CHOOSE(RANDBETWEEN(1,7),"BR01","BR02","BR03","BR04","BR05","BR06","BR07")</f>
        <v>BR03</v>
      </c>
      <c r="E194" t="str">
        <f t="shared" ca="1" si="33"/>
        <v>Standard</v>
      </c>
      <c r="F194" s="2">
        <v>45162</v>
      </c>
      <c r="G194" s="2">
        <v>45252</v>
      </c>
      <c r="H194">
        <v>3500</v>
      </c>
      <c r="I194">
        <f t="shared" ca="1" si="34"/>
        <v>31500</v>
      </c>
      <c r="J194">
        <v>16</v>
      </c>
      <c r="K194" t="str">
        <f t="shared" ca="1" si="35"/>
        <v>No</v>
      </c>
      <c r="L194" t="str">
        <f t="shared" ca="1" si="36"/>
        <v>General Fitness</v>
      </c>
      <c r="M194" t="str">
        <f t="shared" ca="1" si="37"/>
        <v>Active</v>
      </c>
      <c r="N194" s="2">
        <v>45372</v>
      </c>
      <c r="Q194" t="str">
        <f ca="1">IF(RAND()&lt;0.2,
    IF(RAND()&lt;0.5, LOWER(C194), UPPER(C194)),
    C194
)</f>
        <v>Bangalore</v>
      </c>
      <c r="R194" t="str">
        <f t="shared" ca="1" si="29"/>
        <v>16 visits</v>
      </c>
      <c r="S194">
        <f t="shared" ca="1" si="30"/>
        <v>3500</v>
      </c>
      <c r="T194">
        <f t="shared" ca="1" si="31"/>
        <v>45461</v>
      </c>
      <c r="U194" s="2">
        <f t="shared" ca="1" si="32"/>
        <v>45372</v>
      </c>
    </row>
    <row r="195" spans="1:21">
      <c r="A195" t="str">
        <f t="shared" ref="A195:A258" si="39">"MEM" &amp; TEXT(ROW()-1,"0000")</f>
        <v>MEM0194</v>
      </c>
      <c r="B195" t="str">
        <f ca="1">INDEX('Name pool'!A:A, RANDBETWEEN(2, COUNTA('Name pool'!A:A))) &amp; " " &amp; INDEX('Name pool'!B:B, RANDBETWEEN(2, COUNTA('Name pool'!B:B)))</f>
        <v>Vivek Shetty</v>
      </c>
      <c r="C195" t="s">
        <v>85</v>
      </c>
      <c r="D195" t="str">
        <f t="shared" ca="1" si="38"/>
        <v>BR03</v>
      </c>
      <c r="E195" t="str">
        <f t="shared" ca="1" si="33"/>
        <v>Premium</v>
      </c>
      <c r="F195" s="2">
        <v>45521</v>
      </c>
      <c r="G195" s="2">
        <v>45886</v>
      </c>
      <c r="H195">
        <v>1000</v>
      </c>
      <c r="I195">
        <f t="shared" ca="1" si="34"/>
        <v>6000</v>
      </c>
      <c r="J195" t="s">
        <v>118</v>
      </c>
      <c r="K195" t="str">
        <f t="shared" ca="1" si="35"/>
        <v>No</v>
      </c>
      <c r="L195" t="str">
        <f t="shared" ca="1" si="36"/>
        <v>Weight Loss</v>
      </c>
      <c r="M195" t="str">
        <f t="shared" ca="1" si="37"/>
        <v>Active</v>
      </c>
      <c r="N195" s="2">
        <v>45814</v>
      </c>
      <c r="Q195" t="str">
        <f ca="1">IF(RAND()&lt;0.2,
    IF(RAND()&lt;0.5, LOWER(C195), UPPER(C195)),
    C195
)</f>
        <v>Calicut</v>
      </c>
      <c r="R195" t="str">
        <f t="shared" ref="R195:R258" ca="1" si="40">IF(RAND()&lt;0.15,
    J195 &amp; " visits",
    J195
)</f>
        <v>22 visits</v>
      </c>
      <c r="S195">
        <f t="shared" ref="S195:S258" ca="1" si="41">IF(RAND()&lt;0.1,
    TEXT(H195,"0"),
    H195
)</f>
        <v>1000</v>
      </c>
      <c r="T195">
        <f t="shared" ref="T195:T258" ca="1" si="42">RANDBETWEEN(DATE(2023,1,1), DATE(2026,1,31))</f>
        <v>45860</v>
      </c>
      <c r="U195" s="2">
        <f t="shared" ref="U195:U258" ca="1" si="43">IF(AND(M195="Cancelled", RAND()&lt;0.5),
    F195 + RANDBETWEEN(10,50),
    N195
)</f>
        <v>45814</v>
      </c>
    </row>
    <row r="196" spans="1:21">
      <c r="A196" t="str">
        <f t="shared" si="39"/>
        <v>MEM0195</v>
      </c>
      <c r="B196" t="str">
        <f ca="1">INDEX('Name pool'!A:A, RANDBETWEEN(2, COUNTA('Name pool'!A:A))) &amp; " " &amp; INDEX('Name pool'!B:B, RANDBETWEEN(2, COUNTA('Name pool'!B:B)))</f>
        <v>Lakshmi Banerjee</v>
      </c>
      <c r="C196" t="s">
        <v>81</v>
      </c>
      <c r="D196" t="str">
        <f t="shared" ca="1" si="38"/>
        <v>BR03</v>
      </c>
      <c r="E196" t="str">
        <f t="shared" ca="1" si="33"/>
        <v>Basic</v>
      </c>
      <c r="F196" s="2">
        <v>45187</v>
      </c>
      <c r="G196" s="2">
        <v>45552</v>
      </c>
      <c r="H196">
        <v>1000</v>
      </c>
      <c r="I196">
        <f t="shared" ca="1" si="34"/>
        <v>5000</v>
      </c>
      <c r="J196">
        <v>0</v>
      </c>
      <c r="K196" t="str">
        <f t="shared" ca="1" si="35"/>
        <v>No</v>
      </c>
      <c r="L196" t="str">
        <f t="shared" ca="1" si="36"/>
        <v>Weight Loss</v>
      </c>
      <c r="M196" t="str">
        <f t="shared" ca="1" si="37"/>
        <v>Cancelled</v>
      </c>
      <c r="N196" s="2">
        <v>45203</v>
      </c>
      <c r="Q196" t="str">
        <f ca="1">IF(RAND()&lt;0.2,
    IF(RAND()&lt;0.5, LOWER(C196), UPPER(C196)),
    C196
)</f>
        <v>Mumbai</v>
      </c>
      <c r="R196">
        <f t="shared" ca="1" si="40"/>
        <v>0</v>
      </c>
      <c r="S196" t="str">
        <f t="shared" ca="1" si="41"/>
        <v>1000</v>
      </c>
      <c r="T196">
        <f t="shared" ca="1" si="42"/>
        <v>45323</v>
      </c>
      <c r="U196" s="2">
        <f t="shared" ca="1" si="43"/>
        <v>45202</v>
      </c>
    </row>
    <row r="197" spans="1:21">
      <c r="A197" t="str">
        <f t="shared" si="39"/>
        <v>MEM0196</v>
      </c>
      <c r="B197" t="str">
        <f ca="1">INDEX('Name pool'!A:A, RANDBETWEEN(2, COUNTA('Name pool'!A:A))) &amp; " " &amp; INDEX('Name pool'!B:B, RANDBETWEEN(2, COUNTA('Name pool'!B:B)))</f>
        <v>Ankit Thomas</v>
      </c>
      <c r="C197" t="s">
        <v>114</v>
      </c>
      <c r="D197" t="str">
        <f t="shared" ca="1" si="38"/>
        <v>BR05</v>
      </c>
      <c r="E197" t="str">
        <f t="shared" ca="1" si="33"/>
        <v>Standard</v>
      </c>
      <c r="F197" s="2">
        <v>44940</v>
      </c>
      <c r="G197" s="2">
        <v>45030</v>
      </c>
      <c r="H197">
        <v>2000</v>
      </c>
      <c r="I197">
        <f t="shared" ca="1" si="34"/>
        <v>6000</v>
      </c>
      <c r="J197" t="s">
        <v>128</v>
      </c>
      <c r="K197" t="str">
        <f t="shared" ca="1" si="35"/>
        <v>Yes</v>
      </c>
      <c r="L197" t="str">
        <f t="shared" ca="1" si="36"/>
        <v>Weight Loss</v>
      </c>
      <c r="M197" t="str">
        <f t="shared" ca="1" si="37"/>
        <v>Active</v>
      </c>
      <c r="N197" s="2">
        <v>45879</v>
      </c>
      <c r="Q197" t="str">
        <f ca="1">IF(RAND()&lt;0.2,
    IF(RAND()&lt;0.5, LOWER(C197), UPPER(C197)),
    C197
)</f>
        <v>trivandrum</v>
      </c>
      <c r="R197" t="str">
        <f t="shared" ca="1" si="40"/>
        <v>11 visits</v>
      </c>
      <c r="S197">
        <f t="shared" ca="1" si="41"/>
        <v>2000</v>
      </c>
      <c r="T197">
        <f t="shared" ca="1" si="42"/>
        <v>45230</v>
      </c>
      <c r="U197" s="2">
        <f t="shared" ca="1" si="43"/>
        <v>45879</v>
      </c>
    </row>
    <row r="198" spans="1:21">
      <c r="A198" t="str">
        <f t="shared" si="39"/>
        <v>MEM0197</v>
      </c>
      <c r="B198" t="str">
        <f ca="1">INDEX('Name pool'!A:A, RANDBETWEEN(2, COUNTA('Name pool'!A:A))) &amp; " " &amp; INDEX('Name pool'!B:B, RANDBETWEEN(2, COUNTA('Name pool'!B:B)))</f>
        <v>Siddharth Desai</v>
      </c>
      <c r="C198" t="s">
        <v>77</v>
      </c>
      <c r="D198" t="str">
        <f t="shared" ca="1" si="38"/>
        <v>BR03</v>
      </c>
      <c r="E198" t="str">
        <f t="shared" ca="1" si="33"/>
        <v>Basic</v>
      </c>
      <c r="F198" s="2">
        <v>45764</v>
      </c>
      <c r="G198" s="2">
        <v>45794</v>
      </c>
      <c r="H198">
        <v>1000</v>
      </c>
      <c r="I198">
        <f t="shared" ca="1" si="34"/>
        <v>6000</v>
      </c>
      <c r="J198">
        <v>16</v>
      </c>
      <c r="K198" t="str">
        <f t="shared" ca="1" si="35"/>
        <v>Yes</v>
      </c>
      <c r="L198" t="str">
        <f t="shared" ca="1" si="36"/>
        <v>General Fitness</v>
      </c>
      <c r="M198" t="str">
        <f t="shared" ca="1" si="37"/>
        <v>Active</v>
      </c>
      <c r="N198" s="2">
        <v>45989</v>
      </c>
      <c r="Q198" t="str">
        <f ca="1">IF(RAND()&lt;0.2,
    IF(RAND()&lt;0.5, LOWER(C198), UPPER(C198)),
    C198
)</f>
        <v>Chennai</v>
      </c>
      <c r="R198">
        <f t="shared" ca="1" si="40"/>
        <v>16</v>
      </c>
      <c r="S198">
        <f t="shared" ca="1" si="41"/>
        <v>1000</v>
      </c>
      <c r="T198">
        <f t="shared" ca="1" si="42"/>
        <v>45984</v>
      </c>
      <c r="U198" s="2">
        <f t="shared" ca="1" si="43"/>
        <v>45989</v>
      </c>
    </row>
    <row r="199" spans="1:21">
      <c r="A199" t="str">
        <f t="shared" si="39"/>
        <v>MEM0198</v>
      </c>
      <c r="B199" t="str">
        <f ca="1">INDEX('Name pool'!A:A, RANDBETWEEN(2, COUNTA('Name pool'!A:A))) &amp; " " &amp; INDEX('Name pool'!B:B, RANDBETWEEN(2, COUNTA('Name pool'!B:B)))</f>
        <v>Arjun D’Souza</v>
      </c>
      <c r="C199" t="s">
        <v>73</v>
      </c>
      <c r="D199" t="str">
        <f t="shared" ca="1" si="38"/>
        <v>BR04</v>
      </c>
      <c r="E199" t="str">
        <f t="shared" ca="1" si="33"/>
        <v>Basic</v>
      </c>
      <c r="F199" s="2">
        <v>45574</v>
      </c>
      <c r="G199" s="2">
        <v>45939</v>
      </c>
      <c r="H199">
        <v>3500</v>
      </c>
      <c r="I199">
        <f t="shared" ca="1" si="34"/>
        <v>7000</v>
      </c>
      <c r="J199">
        <v>19</v>
      </c>
      <c r="K199" t="str">
        <f t="shared" ca="1" si="35"/>
        <v>No</v>
      </c>
      <c r="L199" t="str">
        <f t="shared" ca="1" si="36"/>
        <v>Muscle Gain</v>
      </c>
      <c r="M199" t="str">
        <f t="shared" ca="1" si="37"/>
        <v>Active</v>
      </c>
      <c r="N199" s="2">
        <v>46011</v>
      </c>
      <c r="Q199" t="str">
        <f ca="1">IF(RAND()&lt;0.2,
    IF(RAND()&lt;0.5, LOWER(C199), UPPER(C199)),
    C199
)</f>
        <v>KOCHI</v>
      </c>
      <c r="R199">
        <f t="shared" ca="1" si="40"/>
        <v>19</v>
      </c>
      <c r="S199">
        <f t="shared" ca="1" si="41"/>
        <v>3500</v>
      </c>
      <c r="T199">
        <f t="shared" ca="1" si="42"/>
        <v>45383</v>
      </c>
      <c r="U199" s="2">
        <f t="shared" ca="1" si="43"/>
        <v>46011</v>
      </c>
    </row>
    <row r="200" spans="1:21">
      <c r="A200" t="str">
        <f t="shared" si="39"/>
        <v>MEM0199</v>
      </c>
      <c r="B200" t="str">
        <f ca="1">INDEX('Name pool'!A:A, RANDBETWEEN(2, COUNTA('Name pool'!A:A))) &amp; " " &amp; INDEX('Name pool'!B:B, RANDBETWEEN(2, COUNTA('Name pool'!B:B)))</f>
        <v>Sanjay Fernandes</v>
      </c>
      <c r="C200" t="s">
        <v>81</v>
      </c>
      <c r="D200" t="str">
        <f t="shared" ca="1" si="38"/>
        <v>BR07</v>
      </c>
      <c r="E200" t="str">
        <f t="shared" ca="1" si="33"/>
        <v>Basic</v>
      </c>
      <c r="F200" s="2">
        <v>45403</v>
      </c>
      <c r="G200" s="2">
        <v>45433</v>
      </c>
      <c r="H200">
        <v>1000</v>
      </c>
      <c r="I200">
        <f t="shared" ca="1" si="34"/>
        <v>1000</v>
      </c>
      <c r="J200">
        <v>23</v>
      </c>
      <c r="K200" t="str">
        <f t="shared" ca="1" si="35"/>
        <v>No</v>
      </c>
      <c r="L200" t="str">
        <f t="shared" ca="1" si="36"/>
        <v>Muscle Gain</v>
      </c>
      <c r="M200" t="str">
        <f t="shared" ca="1" si="37"/>
        <v>Active</v>
      </c>
      <c r="N200" s="2">
        <v>45469</v>
      </c>
      <c r="Q200" t="str">
        <f ca="1">IF(RAND()&lt;0.2,
    IF(RAND()&lt;0.5, LOWER(C200), UPPER(C200)),
    C200
)</f>
        <v>Mumbai</v>
      </c>
      <c r="R200">
        <f t="shared" ca="1" si="40"/>
        <v>23</v>
      </c>
      <c r="S200">
        <f t="shared" ca="1" si="41"/>
        <v>1000</v>
      </c>
      <c r="T200">
        <f t="shared" ca="1" si="42"/>
        <v>45570</v>
      </c>
      <c r="U200" s="2">
        <f t="shared" ca="1" si="43"/>
        <v>45469</v>
      </c>
    </row>
    <row r="201" spans="1:21">
      <c r="A201" t="str">
        <f t="shared" si="39"/>
        <v>MEM0200</v>
      </c>
      <c r="B201" t="str">
        <f ca="1">INDEX('Name pool'!A:A, RANDBETWEEN(2, COUNTA('Name pool'!A:A))) &amp; " " &amp; INDEX('Name pool'!B:B, RANDBETWEEN(2, COUNTA('Name pool'!B:B)))</f>
        <v>Arjun Nambiar</v>
      </c>
      <c r="C201" t="s">
        <v>77</v>
      </c>
      <c r="D201" t="str">
        <f t="shared" ca="1" si="38"/>
        <v>BR07</v>
      </c>
      <c r="E201" t="str">
        <f t="shared" ca="1" si="33"/>
        <v>Standard</v>
      </c>
      <c r="F201" s="2">
        <v>45157</v>
      </c>
      <c r="G201" s="2">
        <v>45187</v>
      </c>
      <c r="H201" t="s">
        <v>120</v>
      </c>
      <c r="I201">
        <f t="shared" ca="1" si="34"/>
        <v>14000</v>
      </c>
      <c r="J201">
        <v>12</v>
      </c>
      <c r="K201" t="str">
        <f t="shared" ca="1" si="35"/>
        <v>Yes</v>
      </c>
      <c r="L201" t="str">
        <f t="shared" ca="1" si="36"/>
        <v>Muscle Gain</v>
      </c>
      <c r="M201" t="str">
        <f t="shared" ca="1" si="37"/>
        <v>Active</v>
      </c>
      <c r="N201" s="2">
        <v>45608</v>
      </c>
      <c r="Q201" t="str">
        <f ca="1">IF(RAND()&lt;0.2,
    IF(RAND()&lt;0.5, LOWER(C201), UPPER(C201)),
    C201
)</f>
        <v>Chennai</v>
      </c>
      <c r="R201">
        <f t="shared" ca="1" si="40"/>
        <v>12</v>
      </c>
      <c r="S201" t="str">
        <f t="shared" ca="1" si="41"/>
        <v>2000</v>
      </c>
      <c r="T201">
        <f t="shared" ca="1" si="42"/>
        <v>45687</v>
      </c>
      <c r="U201" s="2">
        <f t="shared" ca="1" si="43"/>
        <v>45608</v>
      </c>
    </row>
    <row r="202" spans="1:21">
      <c r="A202" t="str">
        <f t="shared" si="39"/>
        <v>MEM0201</v>
      </c>
      <c r="B202" t="str">
        <f ca="1">INDEX('Name pool'!A:A, RANDBETWEEN(2, COUNTA('Name pool'!A:A))) &amp; " " &amp; INDEX('Name pool'!B:B, RANDBETWEEN(2, COUNTA('Name pool'!B:B)))</f>
        <v>Priya George</v>
      </c>
      <c r="C202" t="s">
        <v>77</v>
      </c>
      <c r="D202" t="str">
        <f t="shared" ca="1" si="38"/>
        <v>BR07</v>
      </c>
      <c r="E202" t="str">
        <f t="shared" ca="1" si="33"/>
        <v>Basic</v>
      </c>
      <c r="F202" s="2">
        <v>45316</v>
      </c>
      <c r="G202" s="2">
        <v>45346</v>
      </c>
      <c r="H202">
        <v>1000</v>
      </c>
      <c r="I202">
        <f t="shared" ca="1" si="34"/>
        <v>11000</v>
      </c>
      <c r="J202">
        <v>3</v>
      </c>
      <c r="K202" t="str">
        <f t="shared" ca="1" si="35"/>
        <v>No</v>
      </c>
      <c r="L202" t="str">
        <f t="shared" ca="1" si="36"/>
        <v>Muscle Gain</v>
      </c>
      <c r="M202" t="str">
        <f t="shared" ca="1" si="37"/>
        <v>Cancelled</v>
      </c>
      <c r="N202" s="2">
        <v>45574</v>
      </c>
      <c r="Q202" t="str">
        <f ca="1">IF(RAND()&lt;0.2,
    IF(RAND()&lt;0.5, LOWER(C202), UPPER(C202)),
    C202
)</f>
        <v>Chennai</v>
      </c>
      <c r="R202" t="str">
        <f t="shared" ca="1" si="40"/>
        <v>3 visits</v>
      </c>
      <c r="S202">
        <f t="shared" ca="1" si="41"/>
        <v>1000</v>
      </c>
      <c r="T202">
        <f t="shared" ca="1" si="42"/>
        <v>45836</v>
      </c>
      <c r="U202" s="2">
        <f t="shared" ca="1" si="43"/>
        <v>45332</v>
      </c>
    </row>
    <row r="203" spans="1:21">
      <c r="A203" t="str">
        <f t="shared" si="39"/>
        <v>MEM0202</v>
      </c>
      <c r="B203" t="str">
        <f ca="1">INDEX('Name pool'!A:A, RANDBETWEEN(2, COUNTA('Name pool'!A:A))) &amp; " " &amp; INDEX('Name pool'!B:B, RANDBETWEEN(2, COUNTA('Name pool'!B:B)))</f>
        <v>Neha Varghese</v>
      </c>
      <c r="C203" t="s">
        <v>124</v>
      </c>
      <c r="D203" t="str">
        <f t="shared" ca="1" si="38"/>
        <v>BR06</v>
      </c>
      <c r="E203" t="str">
        <f t="shared" ca="1" si="33"/>
        <v>Standard</v>
      </c>
      <c r="F203" s="2">
        <v>44964</v>
      </c>
      <c r="G203" s="2">
        <v>45329</v>
      </c>
      <c r="H203">
        <v>1000</v>
      </c>
      <c r="I203">
        <f t="shared" ca="1" si="34"/>
        <v>12000</v>
      </c>
      <c r="J203">
        <v>21</v>
      </c>
      <c r="K203" t="str">
        <f t="shared" ca="1" si="35"/>
        <v>No</v>
      </c>
      <c r="L203" t="str">
        <f t="shared" ca="1" si="36"/>
        <v>Muscle Gain</v>
      </c>
      <c r="M203" t="str">
        <f t="shared" ca="1" si="37"/>
        <v>Active</v>
      </c>
      <c r="N203" s="2">
        <v>45736</v>
      </c>
      <c r="Q203" t="str">
        <f ca="1">IF(RAND()&lt;0.2,
    IF(RAND()&lt;0.5, LOWER(C203), UPPER(C203)),
    C203
)</f>
        <v>chennai</v>
      </c>
      <c r="R203">
        <f t="shared" ca="1" si="40"/>
        <v>21</v>
      </c>
      <c r="S203">
        <f t="shared" ca="1" si="41"/>
        <v>1000</v>
      </c>
      <c r="T203">
        <f t="shared" ca="1" si="42"/>
        <v>45454</v>
      </c>
      <c r="U203" s="2">
        <f t="shared" ca="1" si="43"/>
        <v>45736</v>
      </c>
    </row>
    <row r="204" spans="1:21">
      <c r="A204" t="str">
        <f t="shared" si="39"/>
        <v>MEM0203</v>
      </c>
      <c r="B204" t="str">
        <f ca="1">INDEX('Name pool'!A:A, RANDBETWEEN(2, COUNTA('Name pool'!A:A))) &amp; " " &amp; INDEX('Name pool'!B:B, RANDBETWEEN(2, COUNTA('Name pool'!B:B)))</f>
        <v>Meera D’Souza</v>
      </c>
      <c r="C204" t="s">
        <v>81</v>
      </c>
      <c r="D204" t="str">
        <f t="shared" ca="1" si="38"/>
        <v>BR04</v>
      </c>
      <c r="E204" t="str">
        <f t="shared" ca="1" si="33"/>
        <v>Standard</v>
      </c>
      <c r="F204" s="2">
        <v>45941</v>
      </c>
      <c r="G204" s="2">
        <v>46031</v>
      </c>
      <c r="H204">
        <v>3500</v>
      </c>
      <c r="I204">
        <f t="shared" ca="1" si="34"/>
        <v>3500</v>
      </c>
      <c r="J204">
        <v>19</v>
      </c>
      <c r="K204" t="str">
        <f t="shared" ca="1" si="35"/>
        <v>No</v>
      </c>
      <c r="L204" t="str">
        <f t="shared" ca="1" si="36"/>
        <v>Weight Loss</v>
      </c>
      <c r="M204" t="str">
        <f t="shared" ca="1" si="37"/>
        <v>Active</v>
      </c>
      <c r="N204" s="2">
        <v>45953</v>
      </c>
      <c r="Q204" t="str">
        <f ca="1">IF(RAND()&lt;0.2,
    IF(RAND()&lt;0.5, LOWER(C204), UPPER(C204)),
    C204
)</f>
        <v>Mumbai</v>
      </c>
      <c r="R204">
        <f t="shared" ca="1" si="40"/>
        <v>19</v>
      </c>
      <c r="S204">
        <f t="shared" ca="1" si="41"/>
        <v>3500</v>
      </c>
      <c r="T204">
        <f t="shared" ca="1" si="42"/>
        <v>45463</v>
      </c>
      <c r="U204" s="2">
        <f t="shared" ca="1" si="43"/>
        <v>45953</v>
      </c>
    </row>
    <row r="205" spans="1:21">
      <c r="A205" t="str">
        <f t="shared" si="39"/>
        <v>MEM0204</v>
      </c>
      <c r="B205" t="str">
        <f ca="1">INDEX('Name pool'!A:A, RANDBETWEEN(2, COUNTA('Name pool'!A:A))) &amp; " " &amp; INDEX('Name pool'!B:B, RANDBETWEEN(2, COUNTA('Name pool'!B:B)))</f>
        <v>Siddharth Menon</v>
      </c>
      <c r="C205" t="s">
        <v>119</v>
      </c>
      <c r="D205" t="str">
        <f t="shared" ca="1" si="38"/>
        <v>BR03</v>
      </c>
      <c r="E205" t="str">
        <f t="shared" ca="1" si="33"/>
        <v>Premium</v>
      </c>
      <c r="F205" s="2">
        <v>45776</v>
      </c>
      <c r="G205" s="2">
        <v>45806</v>
      </c>
      <c r="H205">
        <v>2000</v>
      </c>
      <c r="I205">
        <f t="shared" ca="1" si="34"/>
        <v>20000</v>
      </c>
      <c r="J205">
        <v>11</v>
      </c>
      <c r="K205" t="str">
        <f t="shared" ca="1" si="35"/>
        <v>Yes</v>
      </c>
      <c r="L205" t="str">
        <f t="shared" ca="1" si="36"/>
        <v>Muscle Gain</v>
      </c>
      <c r="M205" t="str">
        <f t="shared" ca="1" si="37"/>
        <v>Active</v>
      </c>
      <c r="N205" s="2">
        <v>46020</v>
      </c>
      <c r="Q205" t="str">
        <f ca="1">IF(RAND()&lt;0.2,
    IF(RAND()&lt;0.5, LOWER(C205), UPPER(C205)),
    C205
)</f>
        <v>bangalore</v>
      </c>
      <c r="R205">
        <f t="shared" ca="1" si="40"/>
        <v>11</v>
      </c>
      <c r="S205">
        <f t="shared" ca="1" si="41"/>
        <v>2000</v>
      </c>
      <c r="T205">
        <f t="shared" ca="1" si="42"/>
        <v>45616</v>
      </c>
      <c r="U205" s="2">
        <f t="shared" ca="1" si="43"/>
        <v>46020</v>
      </c>
    </row>
    <row r="206" spans="1:21">
      <c r="A206" t="str">
        <f t="shared" si="39"/>
        <v>MEM0205</v>
      </c>
      <c r="B206" t="str">
        <f ca="1">INDEX('Name pool'!A:A, RANDBETWEEN(2, COUNTA('Name pool'!A:A))) &amp; " " &amp; INDEX('Name pool'!B:B, RANDBETWEEN(2, COUNTA('Name pool'!B:B)))</f>
        <v>Nisha Kulkarni</v>
      </c>
      <c r="C206" t="s">
        <v>121</v>
      </c>
      <c r="D206" t="str">
        <f t="shared" ca="1" si="38"/>
        <v>BR07</v>
      </c>
      <c r="E206" t="str">
        <f t="shared" ca="1" si="33"/>
        <v>Basic</v>
      </c>
      <c r="F206" s="2">
        <v>45703</v>
      </c>
      <c r="G206" s="2">
        <v>45793</v>
      </c>
      <c r="H206">
        <v>1000</v>
      </c>
      <c r="I206">
        <f t="shared" ca="1" si="34"/>
        <v>3000</v>
      </c>
      <c r="J206">
        <v>20</v>
      </c>
      <c r="K206" t="str">
        <f t="shared" ca="1" si="35"/>
        <v>Yes</v>
      </c>
      <c r="L206" t="str">
        <f t="shared" ca="1" si="36"/>
        <v>Muscle Gain</v>
      </c>
      <c r="M206" t="str">
        <f t="shared" ca="1" si="37"/>
        <v>Active</v>
      </c>
      <c r="N206" s="2">
        <v>46110</v>
      </c>
      <c r="Q206" t="str">
        <f ca="1">IF(RAND()&lt;0.2,
    IF(RAND()&lt;0.5, LOWER(C206), UPPER(C206)),
    C206
)</f>
        <v>MUMBAI</v>
      </c>
      <c r="R206">
        <f t="shared" ca="1" si="40"/>
        <v>20</v>
      </c>
      <c r="S206">
        <f t="shared" ca="1" si="41"/>
        <v>1000</v>
      </c>
      <c r="T206">
        <f t="shared" ca="1" si="42"/>
        <v>45133</v>
      </c>
      <c r="U206" s="2">
        <f t="shared" ca="1" si="43"/>
        <v>46110</v>
      </c>
    </row>
    <row r="207" spans="1:21">
      <c r="A207" t="str">
        <f t="shared" si="39"/>
        <v>MEM0206</v>
      </c>
      <c r="B207" t="str">
        <f ca="1">INDEX('Name pool'!A:A, RANDBETWEEN(2, COUNTA('Name pool'!A:A))) &amp; " " &amp; INDEX('Name pool'!B:B, RANDBETWEEN(2, COUNTA('Name pool'!B:B)))</f>
        <v>Neha Gupta</v>
      </c>
      <c r="C207" t="s">
        <v>81</v>
      </c>
      <c r="D207" t="str">
        <f t="shared" ca="1" si="38"/>
        <v>BR04</v>
      </c>
      <c r="E207" t="str">
        <f t="shared" ca="1" si="33"/>
        <v>Basic</v>
      </c>
      <c r="F207" s="2">
        <v>45229</v>
      </c>
      <c r="G207" s="2">
        <v>45319</v>
      </c>
      <c r="H207">
        <v>1000</v>
      </c>
      <c r="I207">
        <f t="shared" ca="1" si="34"/>
        <v>8000</v>
      </c>
      <c r="J207">
        <v>13</v>
      </c>
      <c r="K207" t="str">
        <f t="shared" ca="1" si="35"/>
        <v>No</v>
      </c>
      <c r="L207" t="str">
        <f t="shared" ca="1" si="36"/>
        <v>Muscle Gain</v>
      </c>
      <c r="M207" t="str">
        <f t="shared" ca="1" si="37"/>
        <v>Active</v>
      </c>
      <c r="N207" s="2">
        <v>45897</v>
      </c>
      <c r="Q207" t="str">
        <f ca="1">IF(RAND()&lt;0.2,
    IF(RAND()&lt;0.5, LOWER(C207), UPPER(C207)),
    C207
)</f>
        <v>Mumbai</v>
      </c>
      <c r="R207" t="str">
        <f t="shared" ca="1" si="40"/>
        <v>13 visits</v>
      </c>
      <c r="S207" t="str">
        <f t="shared" ca="1" si="41"/>
        <v>1000</v>
      </c>
      <c r="T207">
        <f t="shared" ca="1" si="42"/>
        <v>45616</v>
      </c>
      <c r="U207" s="2">
        <f t="shared" ca="1" si="43"/>
        <v>45897</v>
      </c>
    </row>
    <row r="208" spans="1:21">
      <c r="A208" t="str">
        <f t="shared" si="39"/>
        <v>MEM0207</v>
      </c>
      <c r="B208" t="str">
        <f ca="1">INDEX('Name pool'!A:A, RANDBETWEEN(2, COUNTA('Name pool'!A:A))) &amp; " " &amp; INDEX('Name pool'!B:B, RANDBETWEEN(2, COUNTA('Name pool'!B:B)))</f>
        <v>Manoj Shaikh</v>
      </c>
      <c r="C208" t="s">
        <v>124</v>
      </c>
      <c r="D208" t="str">
        <f t="shared" ca="1" si="38"/>
        <v>BR01</v>
      </c>
      <c r="E208" t="str">
        <f t="shared" ca="1" si="33"/>
        <v>Basic</v>
      </c>
      <c r="F208" s="2">
        <v>45552</v>
      </c>
      <c r="G208" s="2">
        <v>45582</v>
      </c>
      <c r="H208">
        <v>1000</v>
      </c>
      <c r="I208">
        <f t="shared" ca="1" si="34"/>
        <v>9000</v>
      </c>
      <c r="J208" t="s">
        <v>133</v>
      </c>
      <c r="K208" t="str">
        <f t="shared" ca="1" si="35"/>
        <v>Yes</v>
      </c>
      <c r="L208" t="str">
        <f t="shared" ca="1" si="36"/>
        <v>Weight Loss</v>
      </c>
      <c r="M208" t="str">
        <f t="shared" ca="1" si="37"/>
        <v>Active</v>
      </c>
      <c r="N208" s="2">
        <v>45700</v>
      </c>
      <c r="Q208" t="str">
        <f ca="1">IF(RAND()&lt;0.2,
    IF(RAND()&lt;0.5, LOWER(C208), UPPER(C208)),
    C208
)</f>
        <v>chennai</v>
      </c>
      <c r="R208" t="str">
        <f t="shared" ca="1" si="40"/>
        <v>5 visits</v>
      </c>
      <c r="S208">
        <f t="shared" ca="1" si="41"/>
        <v>1000</v>
      </c>
      <c r="T208">
        <f t="shared" ca="1" si="42"/>
        <v>45934</v>
      </c>
      <c r="U208" s="2">
        <f t="shared" ca="1" si="43"/>
        <v>45700</v>
      </c>
    </row>
    <row r="209" spans="1:21">
      <c r="A209" t="str">
        <f t="shared" si="39"/>
        <v>MEM0208</v>
      </c>
      <c r="B209" t="str">
        <f ca="1">INDEX('Name pool'!A:A, RANDBETWEEN(2, COUNTA('Name pool'!A:A))) &amp; " " &amp; INDEX('Name pool'!B:B, RANDBETWEEN(2, COUNTA('Name pool'!B:B)))</f>
        <v>Neha Reddy</v>
      </c>
      <c r="C209" t="s">
        <v>77</v>
      </c>
      <c r="D209" t="str">
        <f t="shared" ca="1" si="38"/>
        <v>BR05</v>
      </c>
      <c r="E209" t="str">
        <f t="shared" ca="1" si="33"/>
        <v>Premium</v>
      </c>
      <c r="F209" s="2">
        <v>45566</v>
      </c>
      <c r="G209" s="2">
        <v>45656</v>
      </c>
      <c r="H209">
        <v>3500</v>
      </c>
      <c r="I209">
        <f t="shared" ca="1" si="34"/>
        <v>38500</v>
      </c>
      <c r="J209">
        <v>4</v>
      </c>
      <c r="K209" t="str">
        <f t="shared" ca="1" si="35"/>
        <v>Yes</v>
      </c>
      <c r="L209" t="str">
        <f t="shared" ca="1" si="36"/>
        <v>General Fitness</v>
      </c>
      <c r="M209" t="str">
        <f t="shared" ca="1" si="37"/>
        <v>Active</v>
      </c>
      <c r="N209" s="2">
        <v>45580</v>
      </c>
      <c r="Q209" t="str">
        <f ca="1">IF(RAND()&lt;0.2,
    IF(RAND()&lt;0.5, LOWER(C209), UPPER(C209)),
    C209
)</f>
        <v>Chennai</v>
      </c>
      <c r="R209" t="str">
        <f t="shared" ca="1" si="40"/>
        <v>4 visits</v>
      </c>
      <c r="S209">
        <f t="shared" ca="1" si="41"/>
        <v>3500</v>
      </c>
      <c r="T209">
        <f t="shared" ca="1" si="42"/>
        <v>45976</v>
      </c>
      <c r="U209" s="2">
        <f t="shared" ca="1" si="43"/>
        <v>45580</v>
      </c>
    </row>
    <row r="210" spans="1:21">
      <c r="A210" t="str">
        <f t="shared" si="39"/>
        <v>MEM0209</v>
      </c>
      <c r="B210" t="str">
        <f ca="1">INDEX('Name pool'!A:A, RANDBETWEEN(2, COUNTA('Name pool'!A:A))) &amp; " " &amp; INDEX('Name pool'!B:B, RANDBETWEEN(2, COUNTA('Name pool'!B:B)))</f>
        <v>Aditya Varghese</v>
      </c>
      <c r="C210" t="s">
        <v>77</v>
      </c>
      <c r="D210" t="str">
        <f t="shared" ca="1" si="38"/>
        <v>BR05</v>
      </c>
      <c r="E210" t="str">
        <f t="shared" ca="1" si="33"/>
        <v>Basic</v>
      </c>
      <c r="F210" s="2">
        <v>45322</v>
      </c>
      <c r="G210" s="2">
        <v>45352</v>
      </c>
      <c r="H210">
        <v>3500</v>
      </c>
      <c r="I210">
        <f t="shared" ca="1" si="34"/>
        <v>28000</v>
      </c>
      <c r="J210">
        <v>19</v>
      </c>
      <c r="K210" t="str">
        <f t="shared" ca="1" si="35"/>
        <v>Yes</v>
      </c>
      <c r="L210" t="str">
        <f t="shared" ca="1" si="36"/>
        <v>Weight Loss</v>
      </c>
      <c r="M210" t="str">
        <f t="shared" ca="1" si="37"/>
        <v>Active</v>
      </c>
      <c r="N210" s="2">
        <v>45505</v>
      </c>
      <c r="Q210" t="str">
        <f ca="1">IF(RAND()&lt;0.2,
    IF(RAND()&lt;0.5, LOWER(C210), UPPER(C210)),
    C210
)</f>
        <v>Chennai</v>
      </c>
      <c r="R210">
        <f t="shared" ca="1" si="40"/>
        <v>19</v>
      </c>
      <c r="S210">
        <f t="shared" ca="1" si="41"/>
        <v>3500</v>
      </c>
      <c r="T210">
        <f t="shared" ca="1" si="42"/>
        <v>45032</v>
      </c>
      <c r="U210" s="2">
        <f t="shared" ca="1" si="43"/>
        <v>45505</v>
      </c>
    </row>
    <row r="211" spans="1:21">
      <c r="A211" t="str">
        <f t="shared" si="39"/>
        <v>MEM0210</v>
      </c>
      <c r="B211" t="str">
        <f ca="1">INDEX('Name pool'!A:A, RANDBETWEEN(2, COUNTA('Name pool'!A:A))) &amp; " " &amp; INDEX('Name pool'!B:B, RANDBETWEEN(2, COUNTA('Name pool'!B:B)))</f>
        <v>Akash Kulkarni</v>
      </c>
      <c r="C211" t="s">
        <v>83</v>
      </c>
      <c r="D211" t="str">
        <f t="shared" ca="1" si="38"/>
        <v>BR06</v>
      </c>
      <c r="E211" t="str">
        <f t="shared" ca="1" si="33"/>
        <v>Premium</v>
      </c>
      <c r="F211" s="2">
        <v>45335</v>
      </c>
      <c r="G211" s="2">
        <v>45700</v>
      </c>
      <c r="H211">
        <v>3500</v>
      </c>
      <c r="I211">
        <f t="shared" ca="1" si="34"/>
        <v>35000</v>
      </c>
      <c r="J211">
        <v>21</v>
      </c>
      <c r="K211" t="str">
        <f t="shared" ca="1" si="35"/>
        <v>Yes</v>
      </c>
      <c r="L211" t="str">
        <f t="shared" ca="1" si="36"/>
        <v>General Fitness</v>
      </c>
      <c r="M211" t="str">
        <f t="shared" ca="1" si="37"/>
        <v>Active</v>
      </c>
      <c r="N211" s="2">
        <v>46042</v>
      </c>
      <c r="Q211" t="str">
        <f ca="1">IF(RAND()&lt;0.2,
    IF(RAND()&lt;0.5, LOWER(C211), UPPER(C211)),
    C211
)</f>
        <v>Trivandrum</v>
      </c>
      <c r="R211">
        <f t="shared" ca="1" si="40"/>
        <v>21</v>
      </c>
      <c r="S211">
        <f t="shared" ca="1" si="41"/>
        <v>3500</v>
      </c>
      <c r="T211">
        <f t="shared" ca="1" si="42"/>
        <v>45936</v>
      </c>
      <c r="U211" s="2">
        <f t="shared" ca="1" si="43"/>
        <v>46042</v>
      </c>
    </row>
    <row r="212" spans="1:21">
      <c r="A212" t="str">
        <f t="shared" si="39"/>
        <v>MEM0211</v>
      </c>
      <c r="B212" t="str">
        <f ca="1">INDEX('Name pool'!A:A, RANDBETWEEN(2, COUNTA('Name pool'!A:A))) &amp; " " &amp; INDEX('Name pool'!B:B, RANDBETWEEN(2, COUNTA('Name pool'!B:B)))</f>
        <v>Siddharth Shetty</v>
      </c>
      <c r="C212" t="s">
        <v>107</v>
      </c>
      <c r="D212" t="str">
        <f t="shared" ca="1" si="38"/>
        <v>BR03</v>
      </c>
      <c r="E212" t="str">
        <f t="shared" ca="1" si="33"/>
        <v>Standard</v>
      </c>
      <c r="F212" s="2">
        <v>45984</v>
      </c>
      <c r="G212" s="2">
        <v>46014</v>
      </c>
      <c r="H212">
        <v>3500</v>
      </c>
      <c r="I212">
        <f t="shared" ca="1" si="34"/>
        <v>38500</v>
      </c>
      <c r="J212">
        <v>5</v>
      </c>
      <c r="K212" t="str">
        <f t="shared" ca="1" si="35"/>
        <v>Yes</v>
      </c>
      <c r="L212" t="str">
        <f t="shared" ca="1" si="36"/>
        <v>General Fitness</v>
      </c>
      <c r="M212" t="str">
        <f t="shared" ca="1" si="37"/>
        <v>Active</v>
      </c>
      <c r="N212" s="2">
        <v>46055</v>
      </c>
      <c r="Q212" t="str">
        <f ca="1">IF(RAND()&lt;0.2,
    IF(RAND()&lt;0.5, LOWER(C212), UPPER(C212)),
    C212
)</f>
        <v>TRIVANDRUM</v>
      </c>
      <c r="R212">
        <f t="shared" ca="1" si="40"/>
        <v>5</v>
      </c>
      <c r="S212">
        <f t="shared" ca="1" si="41"/>
        <v>3500</v>
      </c>
      <c r="T212">
        <f t="shared" ca="1" si="42"/>
        <v>45581</v>
      </c>
      <c r="U212" s="2">
        <f t="shared" ca="1" si="43"/>
        <v>46055</v>
      </c>
    </row>
    <row r="213" spans="1:21">
      <c r="A213" t="str">
        <f t="shared" si="39"/>
        <v>MEM0212</v>
      </c>
      <c r="B213" t="str">
        <f ca="1">INDEX('Name pool'!A:A, RANDBETWEEN(2, COUNTA('Name pool'!A:A))) &amp; " " &amp; INDEX('Name pool'!B:B, RANDBETWEEN(2, COUNTA('Name pool'!B:B)))</f>
        <v>Manoj D’Souza</v>
      </c>
      <c r="C213" t="s">
        <v>115</v>
      </c>
      <c r="D213" t="str">
        <f t="shared" ca="1" si="38"/>
        <v>BR05</v>
      </c>
      <c r="E213" t="str">
        <f t="shared" ca="1" si="33"/>
        <v>Basic</v>
      </c>
      <c r="F213" s="2">
        <v>45439</v>
      </c>
      <c r="G213" s="2">
        <v>45469</v>
      </c>
      <c r="H213">
        <v>1000</v>
      </c>
      <c r="I213">
        <f t="shared" ca="1" si="34"/>
        <v>11000</v>
      </c>
      <c r="J213">
        <v>15</v>
      </c>
      <c r="K213" t="str">
        <f t="shared" ca="1" si="35"/>
        <v>No</v>
      </c>
      <c r="L213" t="str">
        <f t="shared" ca="1" si="36"/>
        <v>General Fitness</v>
      </c>
      <c r="M213" t="str">
        <f t="shared" ca="1" si="37"/>
        <v>Active</v>
      </c>
      <c r="N213" s="2">
        <v>45702</v>
      </c>
      <c r="Q213" t="str">
        <f ca="1">IF(RAND()&lt;0.2,
    IF(RAND()&lt;0.5, LOWER(C213), UPPER(C213)),
    C213
)</f>
        <v>chennai</v>
      </c>
      <c r="R213" t="str">
        <f t="shared" ca="1" si="40"/>
        <v>15 visits</v>
      </c>
      <c r="S213">
        <f t="shared" ca="1" si="41"/>
        <v>1000</v>
      </c>
      <c r="T213">
        <f t="shared" ca="1" si="42"/>
        <v>45252</v>
      </c>
      <c r="U213" s="2">
        <f t="shared" ca="1" si="43"/>
        <v>45702</v>
      </c>
    </row>
    <row r="214" spans="1:21">
      <c r="A214" t="str">
        <f t="shared" si="39"/>
        <v>MEM0213</v>
      </c>
      <c r="B214" t="str">
        <f ca="1">INDEX('Name pool'!A:A, RANDBETWEEN(2, COUNTA('Name pool'!A:A))) &amp; " " &amp; INDEX('Name pool'!B:B, RANDBETWEEN(2, COUNTA('Name pool'!B:B)))</f>
        <v>Meera Agarwal</v>
      </c>
      <c r="C214" t="s">
        <v>77</v>
      </c>
      <c r="D214" t="str">
        <f t="shared" ca="1" si="38"/>
        <v>BR07</v>
      </c>
      <c r="E214" t="str">
        <f t="shared" ca="1" si="33"/>
        <v>Basic</v>
      </c>
      <c r="F214" s="2">
        <v>45690</v>
      </c>
      <c r="G214" s="2">
        <v>46055</v>
      </c>
      <c r="H214">
        <v>3500</v>
      </c>
      <c r="I214">
        <f t="shared" ca="1" si="34"/>
        <v>7000</v>
      </c>
      <c r="J214">
        <v>13</v>
      </c>
      <c r="K214" t="str">
        <f t="shared" ca="1" si="35"/>
        <v>Yes</v>
      </c>
      <c r="L214" t="str">
        <f t="shared" ca="1" si="36"/>
        <v>Muscle Gain</v>
      </c>
      <c r="M214" t="str">
        <f t="shared" ca="1" si="37"/>
        <v>Active</v>
      </c>
      <c r="N214" s="2">
        <v>45764</v>
      </c>
      <c r="Q214" t="str">
        <f ca="1">IF(RAND()&lt;0.2,
    IF(RAND()&lt;0.5, LOWER(C214), UPPER(C214)),
    C214
)</f>
        <v>Chennai</v>
      </c>
      <c r="R214" t="str">
        <f t="shared" ca="1" si="40"/>
        <v>13 visits</v>
      </c>
      <c r="S214">
        <f t="shared" ca="1" si="41"/>
        <v>3500</v>
      </c>
      <c r="T214">
        <f t="shared" ca="1" si="42"/>
        <v>44953</v>
      </c>
      <c r="U214" s="2">
        <f t="shared" ca="1" si="43"/>
        <v>45764</v>
      </c>
    </row>
    <row r="215" spans="1:21">
      <c r="A215" t="str">
        <f t="shared" si="39"/>
        <v>MEM0214</v>
      </c>
      <c r="B215" t="str">
        <f ca="1">INDEX('Name pool'!A:A, RANDBETWEEN(2, COUNTA('Name pool'!A:A))) &amp; " " &amp; INDEX('Name pool'!B:B, RANDBETWEEN(2, COUNTA('Name pool'!B:B)))</f>
        <v>Zara Iyer</v>
      </c>
      <c r="C215" t="s">
        <v>75</v>
      </c>
      <c r="D215" t="str">
        <f t="shared" ca="1" si="38"/>
        <v>BR04</v>
      </c>
      <c r="E215" t="str">
        <f t="shared" ca="1" si="33"/>
        <v>Premium</v>
      </c>
      <c r="F215" s="2">
        <v>45986</v>
      </c>
      <c r="G215" s="2">
        <v>46076</v>
      </c>
      <c r="H215">
        <v>3500</v>
      </c>
      <c r="I215">
        <f t="shared" ca="1" si="34"/>
        <v>24500</v>
      </c>
      <c r="J215">
        <v>13</v>
      </c>
      <c r="K215" t="str">
        <f t="shared" ca="1" si="35"/>
        <v>Yes</v>
      </c>
      <c r="L215" t="str">
        <f t="shared" ca="1" si="36"/>
        <v>General Fitness</v>
      </c>
      <c r="M215" t="str">
        <f t="shared" ca="1" si="37"/>
        <v>Active</v>
      </c>
      <c r="N215" s="2">
        <v>46089</v>
      </c>
      <c r="Q215" t="str">
        <f ca="1">IF(RAND()&lt;0.2,
    IF(RAND()&lt;0.5, LOWER(C215), UPPER(C215)),
    C215
)</f>
        <v>Bangalore</v>
      </c>
      <c r="R215">
        <f t="shared" ca="1" si="40"/>
        <v>13</v>
      </c>
      <c r="S215" t="str">
        <f t="shared" ca="1" si="41"/>
        <v>3500</v>
      </c>
      <c r="T215">
        <f t="shared" ca="1" si="42"/>
        <v>45385</v>
      </c>
      <c r="U215" s="2">
        <f t="shared" ca="1" si="43"/>
        <v>46089</v>
      </c>
    </row>
    <row r="216" spans="1:21">
      <c r="A216" t="str">
        <f t="shared" si="39"/>
        <v>MEM0215</v>
      </c>
      <c r="B216" t="str">
        <f ca="1">INDEX('Name pool'!A:A, RANDBETWEEN(2, COUNTA('Name pool'!A:A))) &amp; " " &amp; INDEX('Name pool'!B:B, RANDBETWEEN(2, COUNTA('Name pool'!B:B)))</f>
        <v>Rohit Shetty</v>
      </c>
      <c r="C216" t="s">
        <v>75</v>
      </c>
      <c r="D216" t="str">
        <f t="shared" ca="1" si="38"/>
        <v>BR02</v>
      </c>
      <c r="E216" t="str">
        <f t="shared" ca="1" si="33"/>
        <v>Premium</v>
      </c>
      <c r="F216" s="2">
        <v>45013</v>
      </c>
      <c r="G216" s="2">
        <v>45043</v>
      </c>
      <c r="H216">
        <v>3500</v>
      </c>
      <c r="I216">
        <f t="shared" ca="1" si="34"/>
        <v>14000</v>
      </c>
      <c r="J216" t="s">
        <v>138</v>
      </c>
      <c r="K216" t="str">
        <f t="shared" ca="1" si="35"/>
        <v>Yes</v>
      </c>
      <c r="L216" t="str">
        <f t="shared" ca="1" si="36"/>
        <v>Muscle Gain</v>
      </c>
      <c r="M216" t="str">
        <f t="shared" ca="1" si="37"/>
        <v>Active</v>
      </c>
      <c r="N216" s="2">
        <v>45980</v>
      </c>
      <c r="Q216" t="str">
        <f ca="1">IF(RAND()&lt;0.2,
    IF(RAND()&lt;0.5, LOWER(C216), UPPER(C216)),
    C216
)</f>
        <v>Bangalore</v>
      </c>
      <c r="R216" t="str">
        <f t="shared" ca="1" si="40"/>
        <v>1 visits visits</v>
      </c>
      <c r="S216">
        <f t="shared" ca="1" si="41"/>
        <v>3500</v>
      </c>
      <c r="T216">
        <f t="shared" ca="1" si="42"/>
        <v>45388</v>
      </c>
      <c r="U216" s="2">
        <f t="shared" ca="1" si="43"/>
        <v>45980</v>
      </c>
    </row>
    <row r="217" spans="1:21">
      <c r="A217" t="str">
        <f t="shared" si="39"/>
        <v>MEM0216</v>
      </c>
      <c r="B217" t="str">
        <f ca="1">INDEX('Name pool'!A:A, RANDBETWEEN(2, COUNTA('Name pool'!A:A))) &amp; " " &amp; INDEX('Name pool'!B:B, RANDBETWEEN(2, COUNTA('Name pool'!B:B)))</f>
        <v>Ishita Banerjee</v>
      </c>
      <c r="C217" t="s">
        <v>117</v>
      </c>
      <c r="D217" t="str">
        <f t="shared" ca="1" si="38"/>
        <v>BR01</v>
      </c>
      <c r="E217" t="str">
        <f t="shared" ca="1" si="33"/>
        <v>Premium</v>
      </c>
      <c r="F217" s="2">
        <v>45107</v>
      </c>
      <c r="G217" s="2">
        <v>45472</v>
      </c>
      <c r="H217">
        <v>1000</v>
      </c>
      <c r="I217">
        <f t="shared" ca="1" si="34"/>
        <v>6000</v>
      </c>
      <c r="J217">
        <v>21</v>
      </c>
      <c r="K217" t="str">
        <f t="shared" ca="1" si="35"/>
        <v>No</v>
      </c>
      <c r="L217" t="str">
        <f t="shared" ca="1" si="36"/>
        <v>Weight Loss</v>
      </c>
      <c r="M217" t="str">
        <f t="shared" ca="1" si="37"/>
        <v>Active</v>
      </c>
      <c r="N217" s="2">
        <v>45990</v>
      </c>
      <c r="Q217" t="str">
        <f ca="1">IF(RAND()&lt;0.2,
    IF(RAND()&lt;0.5, LOWER(C217), UPPER(C217)),
    C217
)</f>
        <v>mumbai</v>
      </c>
      <c r="R217">
        <f t="shared" ca="1" si="40"/>
        <v>21</v>
      </c>
      <c r="S217">
        <f t="shared" ca="1" si="41"/>
        <v>1000</v>
      </c>
      <c r="T217">
        <f t="shared" ca="1" si="42"/>
        <v>45129</v>
      </c>
      <c r="U217" s="2">
        <f t="shared" ca="1" si="43"/>
        <v>45990</v>
      </c>
    </row>
    <row r="218" spans="1:21">
      <c r="A218" t="str">
        <f t="shared" si="39"/>
        <v>MEM0217</v>
      </c>
      <c r="B218" t="str">
        <f ca="1">INDEX('Name pool'!A:A, RANDBETWEEN(2, COUNTA('Name pool'!A:A))) &amp; " " &amp; INDEX('Name pool'!B:B, RANDBETWEEN(2, COUNTA('Name pool'!B:B)))</f>
        <v>Aditya Joshi</v>
      </c>
      <c r="C218" t="s">
        <v>81</v>
      </c>
      <c r="D218" t="str">
        <f t="shared" ca="1" si="38"/>
        <v>BR07</v>
      </c>
      <c r="E218" t="str">
        <f t="shared" ca="1" si="33"/>
        <v>Basic</v>
      </c>
      <c r="F218" s="2">
        <v>45547</v>
      </c>
      <c r="G218" s="2">
        <v>45637</v>
      </c>
      <c r="H218">
        <v>3500</v>
      </c>
      <c r="I218">
        <f t="shared" ca="1" si="34"/>
        <v>10500</v>
      </c>
      <c r="J218">
        <v>13</v>
      </c>
      <c r="K218" t="str">
        <f t="shared" ca="1" si="35"/>
        <v>Yes</v>
      </c>
      <c r="L218" t="str">
        <f t="shared" ca="1" si="36"/>
        <v>General Fitness</v>
      </c>
      <c r="M218" t="str">
        <f t="shared" ca="1" si="37"/>
        <v>Active</v>
      </c>
      <c r="N218" s="2">
        <v>46105</v>
      </c>
      <c r="Q218" t="str">
        <f ca="1">IF(RAND()&lt;0.2,
    IF(RAND()&lt;0.5, LOWER(C218), UPPER(C218)),
    C218
)</f>
        <v>Mumbai</v>
      </c>
      <c r="R218">
        <f t="shared" ca="1" si="40"/>
        <v>13</v>
      </c>
      <c r="S218">
        <f t="shared" ca="1" si="41"/>
        <v>3500</v>
      </c>
      <c r="T218">
        <f t="shared" ca="1" si="42"/>
        <v>46018</v>
      </c>
      <c r="U218" s="2">
        <f t="shared" ca="1" si="43"/>
        <v>46105</v>
      </c>
    </row>
    <row r="219" spans="1:21">
      <c r="A219" t="str">
        <f t="shared" si="39"/>
        <v>MEM0218</v>
      </c>
      <c r="B219" t="str">
        <f ca="1">INDEX('Name pool'!A:A, RANDBETWEEN(2, COUNTA('Name pool'!A:A))) &amp; " " &amp; INDEX('Name pool'!B:B, RANDBETWEEN(2, COUNTA('Name pool'!B:B)))</f>
        <v>Riya Joshi</v>
      </c>
      <c r="C219" t="s">
        <v>73</v>
      </c>
      <c r="D219" t="str">
        <f t="shared" ca="1" si="38"/>
        <v>BR07</v>
      </c>
      <c r="E219" t="str">
        <f t="shared" ca="1" si="33"/>
        <v>Basic</v>
      </c>
      <c r="F219" s="2">
        <v>45387</v>
      </c>
      <c r="G219" s="2">
        <v>45417</v>
      </c>
      <c r="H219">
        <v>3500</v>
      </c>
      <c r="I219">
        <f t="shared" ca="1" si="34"/>
        <v>42000</v>
      </c>
      <c r="J219">
        <v>5</v>
      </c>
      <c r="K219" t="str">
        <f t="shared" ca="1" si="35"/>
        <v>No</v>
      </c>
      <c r="L219" t="str">
        <f t="shared" ca="1" si="36"/>
        <v>Weight Loss</v>
      </c>
      <c r="M219" t="str">
        <f t="shared" ca="1" si="37"/>
        <v>Active</v>
      </c>
      <c r="N219" s="2">
        <v>45455</v>
      </c>
      <c r="Q219" t="str">
        <f ca="1">IF(RAND()&lt;0.2,
    IF(RAND()&lt;0.5, LOWER(C219), UPPER(C219)),
    C219
)</f>
        <v>kochi</v>
      </c>
      <c r="R219">
        <f t="shared" ca="1" si="40"/>
        <v>5</v>
      </c>
      <c r="S219">
        <f t="shared" ca="1" si="41"/>
        <v>3500</v>
      </c>
      <c r="T219">
        <f t="shared" ca="1" si="42"/>
        <v>45569</v>
      </c>
      <c r="U219" s="2">
        <f t="shared" ca="1" si="43"/>
        <v>45455</v>
      </c>
    </row>
    <row r="220" spans="1:21">
      <c r="A220" t="str">
        <f t="shared" si="39"/>
        <v>MEM0219</v>
      </c>
      <c r="B220" t="str">
        <f ca="1">INDEX('Name pool'!A:A, RANDBETWEEN(2, COUNTA('Name pool'!A:A))) &amp; " " &amp; INDEX('Name pool'!B:B, RANDBETWEEN(2, COUNTA('Name pool'!B:B)))</f>
        <v>Manoj Mathew</v>
      </c>
      <c r="C220" t="s">
        <v>75</v>
      </c>
      <c r="D220" t="str">
        <f t="shared" ca="1" si="38"/>
        <v>BR06</v>
      </c>
      <c r="E220" t="str">
        <f t="shared" ca="1" si="33"/>
        <v>Premium</v>
      </c>
      <c r="F220" s="2">
        <v>45987</v>
      </c>
      <c r="G220" s="2">
        <v>46352</v>
      </c>
      <c r="H220">
        <v>2000</v>
      </c>
      <c r="I220">
        <f t="shared" ca="1" si="34"/>
        <v>10000</v>
      </c>
      <c r="J220">
        <v>25</v>
      </c>
      <c r="K220" t="str">
        <f t="shared" ca="1" si="35"/>
        <v>Yes</v>
      </c>
      <c r="L220" t="str">
        <f t="shared" ca="1" si="36"/>
        <v>Muscle Gain</v>
      </c>
      <c r="M220" t="str">
        <f t="shared" ca="1" si="37"/>
        <v>Active</v>
      </c>
      <c r="N220" s="2">
        <v>46025</v>
      </c>
      <c r="Q220" t="str">
        <f ca="1">IF(RAND()&lt;0.2,
    IF(RAND()&lt;0.5, LOWER(C220), UPPER(C220)),
    C220
)</f>
        <v>Bangalore</v>
      </c>
      <c r="R220">
        <f t="shared" ca="1" si="40"/>
        <v>25</v>
      </c>
      <c r="S220">
        <f t="shared" ca="1" si="41"/>
        <v>2000</v>
      </c>
      <c r="T220">
        <f t="shared" ca="1" si="42"/>
        <v>45208</v>
      </c>
      <c r="U220" s="2">
        <f t="shared" ca="1" si="43"/>
        <v>46025</v>
      </c>
    </row>
    <row r="221" spans="1:21">
      <c r="A221" t="str">
        <f t="shared" si="39"/>
        <v>MEM0220</v>
      </c>
      <c r="B221" t="str">
        <f ca="1">INDEX('Name pool'!A:A, RANDBETWEEN(2, COUNTA('Name pool'!A:A))) &amp; " " &amp; INDEX('Name pool'!B:B, RANDBETWEEN(2, COUNTA('Name pool'!B:B)))</f>
        <v>Shreya Yadav</v>
      </c>
      <c r="C221" t="s">
        <v>121</v>
      </c>
      <c r="D221" t="str">
        <f t="shared" ca="1" si="38"/>
        <v>BR05</v>
      </c>
      <c r="E221" t="str">
        <f t="shared" ca="1" si="33"/>
        <v>Basic</v>
      </c>
      <c r="F221" s="2">
        <v>45527</v>
      </c>
      <c r="G221" s="2">
        <v>45557</v>
      </c>
      <c r="H221">
        <v>2000</v>
      </c>
      <c r="I221">
        <f t="shared" ca="1" si="34"/>
        <v>10000</v>
      </c>
      <c r="J221" t="s">
        <v>128</v>
      </c>
      <c r="K221" t="str">
        <f t="shared" ca="1" si="35"/>
        <v>Yes</v>
      </c>
      <c r="L221" t="str">
        <f t="shared" ca="1" si="36"/>
        <v>Muscle Gain</v>
      </c>
      <c r="M221" t="str">
        <f t="shared" ca="1" si="37"/>
        <v>Active</v>
      </c>
      <c r="N221" s="2">
        <v>45987</v>
      </c>
      <c r="Q221" t="str">
        <f ca="1">IF(RAND()&lt;0.2,
    IF(RAND()&lt;0.5, LOWER(C221), UPPER(C221)),
    C221
)</f>
        <v>MUMBAI</v>
      </c>
      <c r="R221" t="str">
        <f t="shared" ca="1" si="40"/>
        <v>11 visits</v>
      </c>
      <c r="S221">
        <f t="shared" ca="1" si="41"/>
        <v>2000</v>
      </c>
      <c r="T221">
        <f t="shared" ca="1" si="42"/>
        <v>45390</v>
      </c>
      <c r="U221" s="2">
        <f t="shared" ca="1" si="43"/>
        <v>45987</v>
      </c>
    </row>
    <row r="222" spans="1:21">
      <c r="A222" t="str">
        <f t="shared" si="39"/>
        <v>MEM0221</v>
      </c>
      <c r="B222" t="str">
        <f ca="1">INDEX('Name pool'!A:A, RANDBETWEEN(2, COUNTA('Name pool'!A:A))) &amp; " " &amp; INDEX('Name pool'!B:B, RANDBETWEEN(2, COUNTA('Name pool'!B:B)))</f>
        <v>Zara Joshi</v>
      </c>
      <c r="C222" t="s">
        <v>132</v>
      </c>
      <c r="D222" t="str">
        <f t="shared" ca="1" si="38"/>
        <v>BR02</v>
      </c>
      <c r="E222" t="str">
        <f t="shared" ca="1" si="33"/>
        <v>Premium</v>
      </c>
      <c r="F222" s="2">
        <v>45623</v>
      </c>
      <c r="G222" s="2">
        <v>45988</v>
      </c>
      <c r="H222">
        <v>3500</v>
      </c>
      <c r="I222">
        <f t="shared" ca="1" si="34"/>
        <v>42000</v>
      </c>
      <c r="J222">
        <v>11</v>
      </c>
      <c r="K222" t="str">
        <f t="shared" ca="1" si="35"/>
        <v>No</v>
      </c>
      <c r="L222" t="str">
        <f t="shared" ca="1" si="36"/>
        <v>Muscle Gain</v>
      </c>
      <c r="M222" t="str">
        <f t="shared" ca="1" si="37"/>
        <v>Active</v>
      </c>
      <c r="N222" s="2">
        <v>45656</v>
      </c>
      <c r="Q222" t="str">
        <f ca="1">IF(RAND()&lt;0.2,
    IF(RAND()&lt;0.5, LOWER(C222), UPPER(C222)),
    C222
)</f>
        <v>calicut</v>
      </c>
      <c r="R222">
        <f t="shared" ca="1" si="40"/>
        <v>11</v>
      </c>
      <c r="S222">
        <f t="shared" ca="1" si="41"/>
        <v>3500</v>
      </c>
      <c r="T222">
        <f t="shared" ca="1" si="42"/>
        <v>45534</v>
      </c>
      <c r="U222" s="2">
        <f t="shared" ca="1" si="43"/>
        <v>45656</v>
      </c>
    </row>
    <row r="223" spans="1:21">
      <c r="A223" t="str">
        <f t="shared" si="39"/>
        <v>MEM0222</v>
      </c>
      <c r="B223" t="str">
        <f ca="1">INDEX('Name pool'!A:A, RANDBETWEEN(2, COUNTA('Name pool'!A:A))) &amp; " " &amp; INDEX('Name pool'!B:B, RANDBETWEEN(2, COUNTA('Name pool'!B:B)))</f>
        <v>Meera Desai</v>
      </c>
      <c r="C223" t="s">
        <v>85</v>
      </c>
      <c r="D223" t="str">
        <f t="shared" ca="1" si="38"/>
        <v>BR01</v>
      </c>
      <c r="E223" t="str">
        <f t="shared" ca="1" si="33"/>
        <v>Basic</v>
      </c>
      <c r="F223" s="2">
        <v>45360</v>
      </c>
      <c r="G223" s="2">
        <v>45390</v>
      </c>
      <c r="H223">
        <v>1000</v>
      </c>
      <c r="I223">
        <f t="shared" ca="1" si="34"/>
        <v>2000</v>
      </c>
      <c r="J223">
        <v>12</v>
      </c>
      <c r="K223" t="str">
        <f t="shared" ca="1" si="35"/>
        <v>Yes</v>
      </c>
      <c r="L223" t="str">
        <f t="shared" ca="1" si="36"/>
        <v>Weight Loss</v>
      </c>
      <c r="M223" t="str">
        <f t="shared" ca="1" si="37"/>
        <v>Active</v>
      </c>
      <c r="N223" s="2">
        <v>45472</v>
      </c>
      <c r="Q223" t="str">
        <f ca="1">IF(RAND()&lt;0.2,
    IF(RAND()&lt;0.5, LOWER(C223), UPPER(C223)),
    C223
)</f>
        <v>CALICUT</v>
      </c>
      <c r="R223">
        <f t="shared" ca="1" si="40"/>
        <v>12</v>
      </c>
      <c r="S223">
        <f t="shared" ca="1" si="41"/>
        <v>1000</v>
      </c>
      <c r="T223">
        <f t="shared" ca="1" si="42"/>
        <v>45796</v>
      </c>
      <c r="U223" s="2">
        <f t="shared" ca="1" si="43"/>
        <v>45472</v>
      </c>
    </row>
    <row r="224" spans="1:21">
      <c r="A224" t="str">
        <f t="shared" si="39"/>
        <v>MEM0223</v>
      </c>
      <c r="B224" t="str">
        <f ca="1">INDEX('Name pool'!A:A, RANDBETWEEN(2, COUNTA('Name pool'!A:A))) &amp; " " &amp; INDEX('Name pool'!B:B, RANDBETWEEN(2, COUNTA('Name pool'!B:B)))</f>
        <v>Sneha Joseph</v>
      </c>
      <c r="C224" t="s">
        <v>77</v>
      </c>
      <c r="D224" t="str">
        <f t="shared" ca="1" si="38"/>
        <v>BR03</v>
      </c>
      <c r="E224" t="str">
        <f t="shared" ca="1" si="33"/>
        <v>Standard</v>
      </c>
      <c r="F224" s="2">
        <v>45341</v>
      </c>
      <c r="G224" s="2">
        <v>45706</v>
      </c>
      <c r="H224">
        <v>1000</v>
      </c>
      <c r="I224">
        <f t="shared" ca="1" si="34"/>
        <v>5000</v>
      </c>
      <c r="J224">
        <v>21</v>
      </c>
      <c r="K224" t="str">
        <f t="shared" ca="1" si="35"/>
        <v>Yes</v>
      </c>
      <c r="L224" t="str">
        <f t="shared" ca="1" si="36"/>
        <v>General Fitness</v>
      </c>
      <c r="M224" t="str">
        <f t="shared" ca="1" si="37"/>
        <v>Active</v>
      </c>
      <c r="N224" s="2">
        <v>45607</v>
      </c>
      <c r="Q224" t="str">
        <f ca="1">IF(RAND()&lt;0.2,
    IF(RAND()&lt;0.5, LOWER(C224), UPPER(C224)),
    C224
)</f>
        <v>Chennai</v>
      </c>
      <c r="R224" t="str">
        <f t="shared" ca="1" si="40"/>
        <v>21 visits</v>
      </c>
      <c r="S224">
        <f t="shared" ca="1" si="41"/>
        <v>1000</v>
      </c>
      <c r="T224">
        <f t="shared" ca="1" si="42"/>
        <v>45071</v>
      </c>
      <c r="U224" s="2">
        <f t="shared" ca="1" si="43"/>
        <v>45607</v>
      </c>
    </row>
    <row r="225" spans="1:21">
      <c r="A225" t="str">
        <f t="shared" si="39"/>
        <v>MEM0224</v>
      </c>
      <c r="B225" t="str">
        <f ca="1">INDEX('Name pool'!A:A, RANDBETWEEN(2, COUNTA('Name pool'!A:A))) &amp; " " &amp; INDEX('Name pool'!B:B, RANDBETWEEN(2, COUNTA('Name pool'!B:B)))</f>
        <v>Nikhil Joshi</v>
      </c>
      <c r="C225" t="s">
        <v>85</v>
      </c>
      <c r="D225" t="str">
        <f t="shared" ca="1" si="38"/>
        <v>BR02</v>
      </c>
      <c r="E225" t="str">
        <f t="shared" ca="1" si="33"/>
        <v>Standard</v>
      </c>
      <c r="F225" s="2">
        <v>45538</v>
      </c>
      <c r="G225" s="2">
        <v>45568</v>
      </c>
      <c r="H225">
        <v>3500</v>
      </c>
      <c r="I225">
        <f t="shared" ca="1" si="34"/>
        <v>17500</v>
      </c>
      <c r="J225">
        <v>3</v>
      </c>
      <c r="K225" t="str">
        <f t="shared" ca="1" si="35"/>
        <v>Yes</v>
      </c>
      <c r="L225" t="str">
        <f t="shared" ca="1" si="36"/>
        <v>General Fitness</v>
      </c>
      <c r="M225" t="str">
        <f t="shared" ca="1" si="37"/>
        <v>Cancelled</v>
      </c>
      <c r="N225" s="2">
        <v>45559</v>
      </c>
      <c r="Q225" t="str">
        <f ca="1">IF(RAND()&lt;0.2,
    IF(RAND()&lt;0.5, LOWER(C225), UPPER(C225)),
    C225
)</f>
        <v>Calicut</v>
      </c>
      <c r="R225" t="str">
        <f t="shared" ca="1" si="40"/>
        <v>3 visits</v>
      </c>
      <c r="S225">
        <f t="shared" ca="1" si="41"/>
        <v>3500</v>
      </c>
      <c r="T225">
        <f t="shared" ca="1" si="42"/>
        <v>45674</v>
      </c>
      <c r="U225" s="2">
        <f t="shared" ca="1" si="43"/>
        <v>45566</v>
      </c>
    </row>
    <row r="226" spans="1:21">
      <c r="A226" t="str">
        <f t="shared" si="39"/>
        <v>MEM0225</v>
      </c>
      <c r="B226" t="str">
        <f ca="1">INDEX('Name pool'!A:A, RANDBETWEEN(2, COUNTA('Name pool'!A:A))) &amp; " " &amp; INDEX('Name pool'!B:B, RANDBETWEEN(2, COUNTA('Name pool'!B:B)))</f>
        <v>Shreya Mathew</v>
      </c>
      <c r="C226" t="s">
        <v>81</v>
      </c>
      <c r="D226" t="str">
        <f t="shared" ca="1" si="38"/>
        <v>BR03</v>
      </c>
      <c r="E226" t="str">
        <f t="shared" ref="E226:E289" ca="1" si="44">CHOOSE(RANDBETWEEN(1,3),"Basic","Standard","Premium")</f>
        <v>Premium</v>
      </c>
      <c r="F226" s="2">
        <v>45074</v>
      </c>
      <c r="G226" s="2">
        <v>45104</v>
      </c>
      <c r="H226">
        <v>3500</v>
      </c>
      <c r="I226">
        <f t="shared" ref="I226:I289" ca="1" si="45">H226 * RANDBETWEEN(1,12)</f>
        <v>7000</v>
      </c>
      <c r="J226">
        <v>24</v>
      </c>
      <c r="K226" t="str">
        <f t="shared" ref="K226:K289" ca="1" si="46">CHOOSE(RANDBETWEEN(1,2),"Yes","No")</f>
        <v>Yes</v>
      </c>
      <c r="L226" t="str">
        <f t="shared" ref="L226:L289" ca="1" si="47">CHOOSE(RANDBETWEEN(1,3),"Weight Loss","Muscle Gain","General Fitness")</f>
        <v>Weight Loss</v>
      </c>
      <c r="M226" t="str">
        <f t="shared" ref="M226:M289" ca="1" si="48">IF(J226&lt;5,IF(RANDBETWEEN(1,100)&lt;70,"Cancelled","Active"),"Active")</f>
        <v>Active</v>
      </c>
      <c r="N226" s="2">
        <v>45724</v>
      </c>
      <c r="Q226" t="str">
        <f ca="1">IF(RAND()&lt;0.2,
    IF(RAND()&lt;0.5, LOWER(C226), UPPER(C226)),
    C226
)</f>
        <v>Mumbai</v>
      </c>
      <c r="R226">
        <f t="shared" ca="1" si="40"/>
        <v>24</v>
      </c>
      <c r="S226">
        <f t="shared" ca="1" si="41"/>
        <v>3500</v>
      </c>
      <c r="T226">
        <f t="shared" ca="1" si="42"/>
        <v>45359</v>
      </c>
      <c r="U226" s="2">
        <f t="shared" ca="1" si="43"/>
        <v>45724</v>
      </c>
    </row>
    <row r="227" spans="1:21">
      <c r="A227" t="str">
        <f t="shared" si="39"/>
        <v>MEM0226</v>
      </c>
      <c r="B227" t="str">
        <f ca="1">INDEX('Name pool'!A:A, RANDBETWEEN(2, COUNTA('Name pool'!A:A))) &amp; " " &amp; INDEX('Name pool'!B:B, RANDBETWEEN(2, COUNTA('Name pool'!B:B)))</f>
        <v>Nisha Patel</v>
      </c>
      <c r="C227" t="s">
        <v>77</v>
      </c>
      <c r="D227" t="str">
        <f t="shared" ca="1" si="38"/>
        <v>BR02</v>
      </c>
      <c r="E227" t="str">
        <f t="shared" ca="1" si="44"/>
        <v>Basic</v>
      </c>
      <c r="F227" s="2">
        <v>45850</v>
      </c>
      <c r="G227" s="2">
        <v>45880</v>
      </c>
      <c r="H227">
        <v>3500</v>
      </c>
      <c r="I227">
        <f t="shared" ca="1" si="45"/>
        <v>21000</v>
      </c>
      <c r="J227">
        <v>22</v>
      </c>
      <c r="K227" t="str">
        <f t="shared" ca="1" si="46"/>
        <v>Yes</v>
      </c>
      <c r="L227" t="str">
        <f t="shared" ca="1" si="47"/>
        <v>Weight Loss</v>
      </c>
      <c r="M227" t="str">
        <f t="shared" ca="1" si="48"/>
        <v>Active</v>
      </c>
      <c r="N227" s="2">
        <v>46090</v>
      </c>
      <c r="Q227" t="str">
        <f ca="1">IF(RAND()&lt;0.2,
    IF(RAND()&lt;0.5, LOWER(C227), UPPER(C227)),
    C227
)</f>
        <v>Chennai</v>
      </c>
      <c r="R227">
        <f t="shared" ca="1" si="40"/>
        <v>22</v>
      </c>
      <c r="S227">
        <f t="shared" ca="1" si="41"/>
        <v>3500</v>
      </c>
      <c r="T227">
        <f t="shared" ca="1" si="42"/>
        <v>45344</v>
      </c>
      <c r="U227" s="2">
        <f t="shared" ca="1" si="43"/>
        <v>46090</v>
      </c>
    </row>
    <row r="228" spans="1:21">
      <c r="A228" t="str">
        <f t="shared" si="39"/>
        <v>MEM0227</v>
      </c>
      <c r="B228" t="str">
        <f ca="1">INDEX('Name pool'!A:A, RANDBETWEEN(2, COUNTA('Name pool'!A:A))) &amp; " " &amp; INDEX('Name pool'!B:B, RANDBETWEEN(2, COUNTA('Name pool'!B:B)))</f>
        <v>Ankit Varghese</v>
      </c>
      <c r="C228" t="s">
        <v>81</v>
      </c>
      <c r="D228" t="str">
        <f t="shared" ca="1" si="38"/>
        <v>BR03</v>
      </c>
      <c r="E228" t="str">
        <f t="shared" ca="1" si="44"/>
        <v>Standard</v>
      </c>
      <c r="F228" s="2">
        <v>45047</v>
      </c>
      <c r="G228" s="2">
        <v>45137</v>
      </c>
      <c r="H228">
        <v>1000</v>
      </c>
      <c r="I228">
        <f t="shared" ca="1" si="45"/>
        <v>5000</v>
      </c>
      <c r="J228">
        <v>7</v>
      </c>
      <c r="K228" t="str">
        <f t="shared" ca="1" si="46"/>
        <v>Yes</v>
      </c>
      <c r="L228" t="str">
        <f t="shared" ca="1" si="47"/>
        <v>General Fitness</v>
      </c>
      <c r="M228" t="str">
        <f t="shared" ca="1" si="48"/>
        <v>Active</v>
      </c>
      <c r="N228" s="2">
        <v>45067</v>
      </c>
      <c r="Q228" t="str">
        <f ca="1">IF(RAND()&lt;0.2,
    IF(RAND()&lt;0.5, LOWER(C228), UPPER(C228)),
    C228
)</f>
        <v>Mumbai</v>
      </c>
      <c r="R228">
        <f t="shared" ca="1" si="40"/>
        <v>7</v>
      </c>
      <c r="S228">
        <f t="shared" ca="1" si="41"/>
        <v>1000</v>
      </c>
      <c r="T228">
        <f t="shared" ca="1" si="42"/>
        <v>45453</v>
      </c>
      <c r="U228" s="2">
        <f t="shared" ca="1" si="43"/>
        <v>45067</v>
      </c>
    </row>
    <row r="229" spans="1:21">
      <c r="A229" t="str">
        <f t="shared" si="39"/>
        <v>MEM0228</v>
      </c>
      <c r="B229" t="str">
        <f ca="1">INDEX('Name pool'!A:A, RANDBETWEEN(2, COUNTA('Name pool'!A:A))) &amp; " " &amp; INDEX('Name pool'!B:B, RANDBETWEEN(2, COUNTA('Name pool'!B:B)))</f>
        <v>Ayesha Patel</v>
      </c>
      <c r="C229" t="s">
        <v>83</v>
      </c>
      <c r="D229" t="str">
        <f t="shared" ca="1" si="38"/>
        <v>BR04</v>
      </c>
      <c r="E229" t="str">
        <f t="shared" ca="1" si="44"/>
        <v>Standard</v>
      </c>
      <c r="F229" s="2">
        <v>46041</v>
      </c>
      <c r="G229" s="2">
        <v>46406</v>
      </c>
      <c r="H229">
        <v>1000</v>
      </c>
      <c r="I229">
        <f t="shared" ca="1" si="45"/>
        <v>4000</v>
      </c>
      <c r="J229">
        <v>10</v>
      </c>
      <c r="K229" t="str">
        <f t="shared" ca="1" si="46"/>
        <v>Yes</v>
      </c>
      <c r="L229" t="str">
        <f t="shared" ca="1" si="47"/>
        <v>Muscle Gain</v>
      </c>
      <c r="M229" t="str">
        <f t="shared" ca="1" si="48"/>
        <v>Active</v>
      </c>
      <c r="N229" s="2">
        <v>46092</v>
      </c>
      <c r="Q229" t="str">
        <f ca="1">IF(RAND()&lt;0.2,
    IF(RAND()&lt;0.5, LOWER(C229), UPPER(C229)),
    C229
)</f>
        <v>Trivandrum</v>
      </c>
      <c r="R229">
        <f t="shared" ca="1" si="40"/>
        <v>10</v>
      </c>
      <c r="S229">
        <f t="shared" ca="1" si="41"/>
        <v>1000</v>
      </c>
      <c r="T229">
        <f t="shared" ca="1" si="42"/>
        <v>45426</v>
      </c>
      <c r="U229" s="2">
        <f t="shared" ca="1" si="43"/>
        <v>46092</v>
      </c>
    </row>
    <row r="230" spans="1:21">
      <c r="A230" t="str">
        <f t="shared" si="39"/>
        <v>MEM0229</v>
      </c>
      <c r="B230" t="str">
        <f ca="1">INDEX('Name pool'!A:A, RANDBETWEEN(2, COUNTA('Name pool'!A:A))) &amp; " " &amp; INDEX('Name pool'!B:B, RANDBETWEEN(2, COUNTA('Name pool'!B:B)))</f>
        <v>Swathi Kapoor</v>
      </c>
      <c r="C230" t="s">
        <v>85</v>
      </c>
      <c r="D230" t="str">
        <f t="shared" ca="1" si="38"/>
        <v>BR06</v>
      </c>
      <c r="E230" t="str">
        <f t="shared" ca="1" si="44"/>
        <v>Premium</v>
      </c>
      <c r="F230" s="2">
        <v>45032</v>
      </c>
      <c r="G230" s="2">
        <v>45122</v>
      </c>
      <c r="H230">
        <v>3500</v>
      </c>
      <c r="I230">
        <f t="shared" ca="1" si="45"/>
        <v>38500</v>
      </c>
      <c r="J230" t="s">
        <v>128</v>
      </c>
      <c r="K230" t="str">
        <f t="shared" ca="1" si="46"/>
        <v>Yes</v>
      </c>
      <c r="L230" t="str">
        <f t="shared" ca="1" si="47"/>
        <v>General Fitness</v>
      </c>
      <c r="M230" t="str">
        <f t="shared" ca="1" si="48"/>
        <v>Active</v>
      </c>
      <c r="N230" s="2">
        <v>45382</v>
      </c>
      <c r="Q230" t="str">
        <f ca="1">IF(RAND()&lt;0.2,
    IF(RAND()&lt;0.5, LOWER(C230), UPPER(C230)),
    C230
)</f>
        <v>Calicut</v>
      </c>
      <c r="R230" t="str">
        <f t="shared" ca="1" si="40"/>
        <v>11 visits</v>
      </c>
      <c r="S230">
        <f t="shared" ca="1" si="41"/>
        <v>3500</v>
      </c>
      <c r="T230">
        <f t="shared" ca="1" si="42"/>
        <v>45230</v>
      </c>
      <c r="U230" s="2">
        <f t="shared" ca="1" si="43"/>
        <v>45382</v>
      </c>
    </row>
    <row r="231" spans="1:21">
      <c r="A231" t="str">
        <f t="shared" si="39"/>
        <v>MEM0230</v>
      </c>
      <c r="B231" t="str">
        <f ca="1">INDEX('Name pool'!A:A, RANDBETWEEN(2, COUNTA('Name pool'!A:A))) &amp; " " &amp; INDEX('Name pool'!B:B, RANDBETWEEN(2, COUNTA('Name pool'!B:B)))</f>
        <v>Rahul Das</v>
      </c>
      <c r="C231" t="s">
        <v>75</v>
      </c>
      <c r="D231" t="str">
        <f t="shared" ca="1" si="38"/>
        <v>BR02</v>
      </c>
      <c r="E231" t="str">
        <f t="shared" ca="1" si="44"/>
        <v>Basic</v>
      </c>
      <c r="F231" s="2">
        <v>45050</v>
      </c>
      <c r="G231" s="2">
        <v>45080</v>
      </c>
      <c r="H231">
        <v>2000</v>
      </c>
      <c r="I231">
        <f t="shared" ca="1" si="45"/>
        <v>10000</v>
      </c>
      <c r="J231">
        <v>23</v>
      </c>
      <c r="K231" t="str">
        <f t="shared" ca="1" si="46"/>
        <v>Yes</v>
      </c>
      <c r="L231" t="str">
        <f t="shared" ca="1" si="47"/>
        <v>Weight Loss</v>
      </c>
      <c r="M231" t="str">
        <f t="shared" ca="1" si="48"/>
        <v>Active</v>
      </c>
      <c r="N231" s="2">
        <v>45646</v>
      </c>
      <c r="Q231" t="str">
        <f ca="1">IF(RAND()&lt;0.2,
    IF(RAND()&lt;0.5, LOWER(C231), UPPER(C231)),
    C231
)</f>
        <v>BANGALORE</v>
      </c>
      <c r="R231">
        <f t="shared" ca="1" si="40"/>
        <v>23</v>
      </c>
      <c r="S231">
        <f t="shared" ca="1" si="41"/>
        <v>2000</v>
      </c>
      <c r="T231">
        <f t="shared" ca="1" si="42"/>
        <v>44999</v>
      </c>
      <c r="U231" s="2">
        <f t="shared" ca="1" si="43"/>
        <v>45646</v>
      </c>
    </row>
    <row r="232" spans="1:21">
      <c r="A232" t="str">
        <f t="shared" si="39"/>
        <v>MEM0231</v>
      </c>
      <c r="B232" t="str">
        <f ca="1">INDEX('Name pool'!A:A, RANDBETWEEN(2, COUNTA('Name pool'!A:A))) &amp; " " &amp; INDEX('Name pool'!B:B, RANDBETWEEN(2, COUNTA('Name pool'!B:B)))</f>
        <v>Anjali Shetty</v>
      </c>
      <c r="C232" t="s">
        <v>73</v>
      </c>
      <c r="D232" t="str">
        <f t="shared" ca="1" si="38"/>
        <v>BR02</v>
      </c>
      <c r="E232" t="str">
        <f t="shared" ca="1" si="44"/>
        <v>Premium</v>
      </c>
      <c r="F232" s="2">
        <v>45732</v>
      </c>
      <c r="G232" s="2">
        <v>45762</v>
      </c>
      <c r="H232">
        <v>1000</v>
      </c>
      <c r="I232">
        <f t="shared" ca="1" si="45"/>
        <v>12000</v>
      </c>
      <c r="J232">
        <v>22</v>
      </c>
      <c r="K232" t="str">
        <f t="shared" ca="1" si="46"/>
        <v>Yes</v>
      </c>
      <c r="L232" t="str">
        <f t="shared" ca="1" si="47"/>
        <v>Weight Loss</v>
      </c>
      <c r="M232" t="str">
        <f t="shared" ca="1" si="48"/>
        <v>Active</v>
      </c>
      <c r="N232" s="2">
        <v>45891</v>
      </c>
      <c r="Q232" t="str">
        <f ca="1">IF(RAND()&lt;0.2,
    IF(RAND()&lt;0.5, LOWER(C232), UPPER(C232)),
    C232
)</f>
        <v>Kochi</v>
      </c>
      <c r="R232" t="str">
        <f t="shared" ca="1" si="40"/>
        <v>22 visits</v>
      </c>
      <c r="S232">
        <f t="shared" ca="1" si="41"/>
        <v>1000</v>
      </c>
      <c r="T232">
        <f t="shared" ca="1" si="42"/>
        <v>45487</v>
      </c>
      <c r="U232" s="2">
        <f t="shared" ca="1" si="43"/>
        <v>45891</v>
      </c>
    </row>
    <row r="233" spans="1:21">
      <c r="A233" t="str">
        <f t="shared" si="39"/>
        <v>MEM0232</v>
      </c>
      <c r="B233" t="str">
        <f ca="1">INDEX('Name pool'!A:A, RANDBETWEEN(2, COUNTA('Name pool'!A:A))) &amp; " " &amp; INDEX('Name pool'!B:B, RANDBETWEEN(2, COUNTA('Name pool'!B:B)))</f>
        <v>Arjun Shetty</v>
      </c>
      <c r="C233" t="s">
        <v>85</v>
      </c>
      <c r="D233" t="str">
        <f t="shared" ca="1" si="38"/>
        <v>BR05</v>
      </c>
      <c r="E233" t="str">
        <f t="shared" ca="1" si="44"/>
        <v>Standard</v>
      </c>
      <c r="F233" s="2">
        <v>45337</v>
      </c>
      <c r="G233" s="2">
        <v>45367</v>
      </c>
      <c r="H233">
        <v>1000</v>
      </c>
      <c r="I233">
        <f t="shared" ca="1" si="45"/>
        <v>4000</v>
      </c>
      <c r="J233" t="s">
        <v>113</v>
      </c>
      <c r="K233" t="str">
        <f t="shared" ca="1" si="46"/>
        <v>Yes</v>
      </c>
      <c r="L233" t="str">
        <f t="shared" ca="1" si="47"/>
        <v>Muscle Gain</v>
      </c>
      <c r="M233" t="str">
        <f t="shared" ca="1" si="48"/>
        <v>Active</v>
      </c>
      <c r="N233" s="2">
        <v>45570</v>
      </c>
      <c r="Q233" t="str">
        <f ca="1">IF(RAND()&lt;0.2,
    IF(RAND()&lt;0.5, LOWER(C233), UPPER(C233)),
    C233
)</f>
        <v>Calicut</v>
      </c>
      <c r="R233" t="str">
        <f t="shared" ca="1" si="40"/>
        <v>17 visits</v>
      </c>
      <c r="S233">
        <f t="shared" ca="1" si="41"/>
        <v>1000</v>
      </c>
      <c r="T233">
        <f t="shared" ca="1" si="42"/>
        <v>45301</v>
      </c>
      <c r="U233" s="2">
        <f t="shared" ca="1" si="43"/>
        <v>45570</v>
      </c>
    </row>
    <row r="234" spans="1:21">
      <c r="A234" t="str">
        <f t="shared" si="39"/>
        <v>MEM0233</v>
      </c>
      <c r="B234" t="str">
        <f ca="1">INDEX('Name pool'!A:A, RANDBETWEEN(2, COUNTA('Name pool'!A:A))) &amp; " " &amp; INDEX('Name pool'!B:B, RANDBETWEEN(2, COUNTA('Name pool'!B:B)))</f>
        <v>Harish Bhat</v>
      </c>
      <c r="C234" t="s">
        <v>73</v>
      </c>
      <c r="D234" t="str">
        <f t="shared" ca="1" si="38"/>
        <v>BR03</v>
      </c>
      <c r="E234" t="str">
        <f t="shared" ca="1" si="44"/>
        <v>Premium</v>
      </c>
      <c r="F234" s="2">
        <v>45952</v>
      </c>
      <c r="G234" s="2">
        <v>45982</v>
      </c>
      <c r="H234">
        <v>2000</v>
      </c>
      <c r="I234">
        <f t="shared" ca="1" si="45"/>
        <v>14000</v>
      </c>
      <c r="J234">
        <v>19</v>
      </c>
      <c r="K234" t="str">
        <f t="shared" ca="1" si="46"/>
        <v>Yes</v>
      </c>
      <c r="L234" t="str">
        <f t="shared" ca="1" si="47"/>
        <v>General Fitness</v>
      </c>
      <c r="M234" t="str">
        <f t="shared" ca="1" si="48"/>
        <v>Active</v>
      </c>
      <c r="N234" s="2">
        <v>45997</v>
      </c>
      <c r="Q234" t="str">
        <f ca="1">IF(RAND()&lt;0.2,
    IF(RAND()&lt;0.5, LOWER(C234), UPPER(C234)),
    C234
)</f>
        <v>Kochi</v>
      </c>
      <c r="R234">
        <f t="shared" ca="1" si="40"/>
        <v>19</v>
      </c>
      <c r="S234">
        <f t="shared" ca="1" si="41"/>
        <v>2000</v>
      </c>
      <c r="T234">
        <f t="shared" ca="1" si="42"/>
        <v>45187</v>
      </c>
      <c r="U234" s="2">
        <f t="shared" ca="1" si="43"/>
        <v>45997</v>
      </c>
    </row>
    <row r="235" spans="1:21">
      <c r="A235" t="str">
        <f t="shared" si="39"/>
        <v>MEM0234</v>
      </c>
      <c r="B235" t="str">
        <f ca="1">INDEX('Name pool'!A:A, RANDBETWEEN(2, COUNTA('Name pool'!A:A))) &amp; " " &amp; INDEX('Name pool'!B:B, RANDBETWEEN(2, COUNTA('Name pool'!B:B)))</f>
        <v>Aditya Kulkarni</v>
      </c>
      <c r="C235" t="s">
        <v>77</v>
      </c>
      <c r="D235" t="str">
        <f t="shared" ca="1" si="38"/>
        <v>BR05</v>
      </c>
      <c r="E235" t="str">
        <f t="shared" ca="1" si="44"/>
        <v>Premium</v>
      </c>
      <c r="F235" s="2">
        <v>45152</v>
      </c>
      <c r="G235" s="2">
        <v>45242</v>
      </c>
      <c r="H235">
        <v>3500</v>
      </c>
      <c r="I235">
        <f t="shared" ca="1" si="45"/>
        <v>38500</v>
      </c>
      <c r="J235">
        <v>23</v>
      </c>
      <c r="K235" t="str">
        <f t="shared" ca="1" si="46"/>
        <v>Yes</v>
      </c>
      <c r="L235" t="str">
        <f t="shared" ca="1" si="47"/>
        <v>Weight Loss</v>
      </c>
      <c r="M235" t="str">
        <f t="shared" ca="1" si="48"/>
        <v>Active</v>
      </c>
      <c r="N235" s="2">
        <v>45487</v>
      </c>
      <c r="Q235" t="str">
        <f ca="1">IF(RAND()&lt;0.2,
    IF(RAND()&lt;0.5, LOWER(C235), UPPER(C235)),
    C235
)</f>
        <v>Chennai</v>
      </c>
      <c r="R235">
        <f t="shared" ca="1" si="40"/>
        <v>23</v>
      </c>
      <c r="S235">
        <f t="shared" ca="1" si="41"/>
        <v>3500</v>
      </c>
      <c r="T235">
        <f t="shared" ca="1" si="42"/>
        <v>46025</v>
      </c>
      <c r="U235" s="2">
        <f t="shared" ca="1" si="43"/>
        <v>45487</v>
      </c>
    </row>
    <row r="236" spans="1:21">
      <c r="A236" t="str">
        <f t="shared" si="39"/>
        <v>MEM0235</v>
      </c>
      <c r="B236" t="str">
        <f ca="1">INDEX('Name pool'!A:A, RANDBETWEEN(2, COUNTA('Name pool'!A:A))) &amp; " " &amp; INDEX('Name pool'!B:B, RANDBETWEEN(2, COUNTA('Name pool'!B:B)))</f>
        <v>Zara Verma</v>
      </c>
      <c r="C236" t="s">
        <v>85</v>
      </c>
      <c r="D236" t="str">
        <f t="shared" ca="1" si="38"/>
        <v>BR07</v>
      </c>
      <c r="E236" t="str">
        <f t="shared" ca="1" si="44"/>
        <v>Standard</v>
      </c>
      <c r="F236" s="2">
        <v>44969</v>
      </c>
      <c r="G236" s="2">
        <v>44999</v>
      </c>
      <c r="H236">
        <v>1000</v>
      </c>
      <c r="I236">
        <f t="shared" ca="1" si="45"/>
        <v>8000</v>
      </c>
      <c r="J236">
        <v>9</v>
      </c>
      <c r="K236" t="str">
        <f t="shared" ca="1" si="46"/>
        <v>No</v>
      </c>
      <c r="L236" t="str">
        <f t="shared" ca="1" si="47"/>
        <v>Muscle Gain</v>
      </c>
      <c r="M236" t="str">
        <f t="shared" ca="1" si="48"/>
        <v>Active</v>
      </c>
      <c r="N236" s="2">
        <v>46114</v>
      </c>
      <c r="Q236" t="str">
        <f ca="1">IF(RAND()&lt;0.2,
    IF(RAND()&lt;0.5, LOWER(C236), UPPER(C236)),
    C236
)</f>
        <v>Calicut</v>
      </c>
      <c r="R236">
        <f t="shared" ca="1" si="40"/>
        <v>9</v>
      </c>
      <c r="S236">
        <f t="shared" ca="1" si="41"/>
        <v>1000</v>
      </c>
      <c r="T236">
        <f t="shared" ca="1" si="42"/>
        <v>45271</v>
      </c>
      <c r="U236" s="2">
        <f t="shared" ca="1" si="43"/>
        <v>46114</v>
      </c>
    </row>
    <row r="237" spans="1:21">
      <c r="A237" t="str">
        <f t="shared" si="39"/>
        <v>MEM0236</v>
      </c>
      <c r="B237" t="str">
        <f ca="1">INDEX('Name pool'!A:A, RANDBETWEEN(2, COUNTA('Name pool'!A:A))) &amp; " " &amp; INDEX('Name pool'!B:B, RANDBETWEEN(2, COUNTA('Name pool'!B:B)))</f>
        <v>Kavya Naidu</v>
      </c>
      <c r="C237" t="s">
        <v>81</v>
      </c>
      <c r="D237" t="str">
        <f t="shared" ca="1" si="38"/>
        <v>BR06</v>
      </c>
      <c r="E237" t="str">
        <f t="shared" ca="1" si="44"/>
        <v>Basic</v>
      </c>
      <c r="F237" s="2">
        <v>45507</v>
      </c>
      <c r="G237" s="2">
        <v>45872</v>
      </c>
      <c r="H237" t="s">
        <v>105</v>
      </c>
      <c r="I237">
        <f t="shared" ca="1" si="45"/>
        <v>3500</v>
      </c>
      <c r="J237">
        <v>17</v>
      </c>
      <c r="K237" t="str">
        <f t="shared" ca="1" si="46"/>
        <v>Yes</v>
      </c>
      <c r="L237" t="str">
        <f t="shared" ca="1" si="47"/>
        <v>Weight Loss</v>
      </c>
      <c r="M237" t="str">
        <f t="shared" ca="1" si="48"/>
        <v>Active</v>
      </c>
      <c r="N237" s="2">
        <v>45811</v>
      </c>
      <c r="Q237" t="str">
        <f ca="1">IF(RAND()&lt;0.2,
    IF(RAND()&lt;0.5, LOWER(C237), UPPER(C237)),
    C237
)</f>
        <v>Mumbai</v>
      </c>
      <c r="R237">
        <f t="shared" ca="1" si="40"/>
        <v>17</v>
      </c>
      <c r="S237" t="str">
        <f t="shared" ca="1" si="41"/>
        <v>3500</v>
      </c>
      <c r="T237">
        <f t="shared" ca="1" si="42"/>
        <v>45767</v>
      </c>
      <c r="U237" s="2">
        <f t="shared" ca="1" si="43"/>
        <v>45811</v>
      </c>
    </row>
    <row r="238" spans="1:21">
      <c r="A238" t="str">
        <f t="shared" si="39"/>
        <v>MEM0237</v>
      </c>
      <c r="B238" t="str">
        <f ca="1">INDEX('Name pool'!A:A, RANDBETWEEN(2, COUNTA('Name pool'!A:A))) &amp; " " &amp; INDEX('Name pool'!B:B, RANDBETWEEN(2, COUNTA('Name pool'!B:B)))</f>
        <v>Aditya Joshi</v>
      </c>
      <c r="C238" t="s">
        <v>83</v>
      </c>
      <c r="D238" t="str">
        <f t="shared" ca="1" si="38"/>
        <v>BR06</v>
      </c>
      <c r="E238" t="str">
        <f t="shared" ca="1" si="44"/>
        <v>Premium</v>
      </c>
      <c r="F238" s="2">
        <v>45278</v>
      </c>
      <c r="G238" s="2">
        <v>45643</v>
      </c>
      <c r="H238">
        <v>2000</v>
      </c>
      <c r="I238">
        <f t="shared" ca="1" si="45"/>
        <v>18000</v>
      </c>
      <c r="J238">
        <v>4</v>
      </c>
      <c r="K238" t="str">
        <f t="shared" ca="1" si="46"/>
        <v>Yes</v>
      </c>
      <c r="L238" t="str">
        <f t="shared" ca="1" si="47"/>
        <v>Weight Loss</v>
      </c>
      <c r="M238" t="str">
        <f t="shared" ca="1" si="48"/>
        <v>Cancelled</v>
      </c>
      <c r="N238" s="2">
        <v>46070</v>
      </c>
      <c r="Q238" t="str">
        <f ca="1">IF(RAND()&lt;0.2,
    IF(RAND()&lt;0.5, LOWER(C238), UPPER(C238)),
    C238
)</f>
        <v>Trivandrum</v>
      </c>
      <c r="R238">
        <f t="shared" ca="1" si="40"/>
        <v>4</v>
      </c>
      <c r="S238">
        <f t="shared" ca="1" si="41"/>
        <v>2000</v>
      </c>
      <c r="T238">
        <f t="shared" ca="1" si="42"/>
        <v>45456</v>
      </c>
      <c r="U238" s="2">
        <f t="shared" ca="1" si="43"/>
        <v>45292</v>
      </c>
    </row>
    <row r="239" spans="1:21">
      <c r="A239" t="str">
        <f t="shared" si="39"/>
        <v>MEM0238</v>
      </c>
      <c r="B239" t="str">
        <f ca="1">INDEX('Name pool'!A:A, RANDBETWEEN(2, COUNTA('Name pool'!A:A))) &amp; " " &amp; INDEX('Name pool'!B:B, RANDBETWEEN(2, COUNTA('Name pool'!B:B)))</f>
        <v>Zara Gupta</v>
      </c>
      <c r="C239" t="s">
        <v>73</v>
      </c>
      <c r="D239" t="str">
        <f t="shared" ca="1" si="38"/>
        <v>BR05</v>
      </c>
      <c r="E239" t="str">
        <f t="shared" ca="1" si="44"/>
        <v>Premium</v>
      </c>
      <c r="F239" s="2">
        <v>45521</v>
      </c>
      <c r="G239" s="2">
        <v>45886</v>
      </c>
      <c r="H239">
        <v>2000</v>
      </c>
      <c r="I239">
        <f t="shared" ca="1" si="45"/>
        <v>18000</v>
      </c>
      <c r="J239">
        <v>18</v>
      </c>
      <c r="K239" t="str">
        <f t="shared" ca="1" si="46"/>
        <v>Yes</v>
      </c>
      <c r="L239" t="str">
        <f t="shared" ca="1" si="47"/>
        <v>Weight Loss</v>
      </c>
      <c r="M239" t="str">
        <f t="shared" ca="1" si="48"/>
        <v>Active</v>
      </c>
      <c r="N239" s="2">
        <v>46107</v>
      </c>
      <c r="Q239" t="str">
        <f ca="1">IF(RAND()&lt;0.2,
    IF(RAND()&lt;0.5, LOWER(C239), UPPER(C239)),
    C239
)</f>
        <v>Kochi</v>
      </c>
      <c r="R239">
        <f t="shared" ca="1" si="40"/>
        <v>18</v>
      </c>
      <c r="S239">
        <f t="shared" ca="1" si="41"/>
        <v>2000</v>
      </c>
      <c r="T239">
        <f t="shared" ca="1" si="42"/>
        <v>45891</v>
      </c>
      <c r="U239" s="2">
        <f t="shared" ca="1" si="43"/>
        <v>46107</v>
      </c>
    </row>
    <row r="240" spans="1:21">
      <c r="A240" t="str">
        <f t="shared" si="39"/>
        <v>MEM0239</v>
      </c>
      <c r="B240" t="str">
        <f ca="1">INDEX('Name pool'!A:A, RANDBETWEEN(2, COUNTA('Name pool'!A:A))) &amp; " " &amp; INDEX('Name pool'!B:B, RANDBETWEEN(2, COUNTA('Name pool'!B:B)))</f>
        <v>Ankit Joshi</v>
      </c>
      <c r="C240" t="s">
        <v>114</v>
      </c>
      <c r="D240" t="str">
        <f t="shared" ca="1" si="38"/>
        <v>BR03</v>
      </c>
      <c r="E240" t="str">
        <f t="shared" ca="1" si="44"/>
        <v>Premium</v>
      </c>
      <c r="F240" s="2">
        <v>45465</v>
      </c>
      <c r="G240" s="2">
        <v>45555</v>
      </c>
      <c r="H240">
        <v>2000</v>
      </c>
      <c r="I240">
        <f t="shared" ca="1" si="45"/>
        <v>8000</v>
      </c>
      <c r="J240">
        <v>0</v>
      </c>
      <c r="K240" t="str">
        <f t="shared" ca="1" si="46"/>
        <v>No</v>
      </c>
      <c r="L240" t="str">
        <f t="shared" ca="1" si="47"/>
        <v>Muscle Gain</v>
      </c>
      <c r="M240" t="str">
        <f t="shared" ca="1" si="48"/>
        <v>Cancelled</v>
      </c>
      <c r="N240" s="2">
        <v>45501</v>
      </c>
      <c r="Q240" t="str">
        <f ca="1">IF(RAND()&lt;0.2,
    IF(RAND()&lt;0.5, LOWER(C240), UPPER(C240)),
    C240
)</f>
        <v>trivandrum</v>
      </c>
      <c r="R240" t="str">
        <f t="shared" ca="1" si="40"/>
        <v>0 visits</v>
      </c>
      <c r="S240">
        <f t="shared" ca="1" si="41"/>
        <v>2000</v>
      </c>
      <c r="T240">
        <f t="shared" ca="1" si="42"/>
        <v>45857</v>
      </c>
      <c r="U240" s="2">
        <f t="shared" ca="1" si="43"/>
        <v>45501</v>
      </c>
    </row>
    <row r="241" spans="1:21">
      <c r="A241" t="str">
        <f t="shared" si="39"/>
        <v>MEM0240</v>
      </c>
      <c r="B241" t="str">
        <f ca="1">INDEX('Name pool'!A:A, RANDBETWEEN(2, COUNTA('Name pool'!A:A))) &amp; " " &amp; INDEX('Name pool'!B:B, RANDBETWEEN(2, COUNTA('Name pool'!B:B)))</f>
        <v>Karthik Thomas</v>
      </c>
      <c r="C241" t="s">
        <v>77</v>
      </c>
      <c r="D241" t="str">
        <f t="shared" ca="1" si="38"/>
        <v>BR02</v>
      </c>
      <c r="E241" t="str">
        <f t="shared" ca="1" si="44"/>
        <v>Basic</v>
      </c>
      <c r="F241" s="2">
        <v>45217</v>
      </c>
      <c r="G241" s="2">
        <v>45247</v>
      </c>
      <c r="H241">
        <v>2000</v>
      </c>
      <c r="I241">
        <f t="shared" ca="1" si="45"/>
        <v>16000</v>
      </c>
      <c r="J241">
        <v>13</v>
      </c>
      <c r="K241" t="str">
        <f t="shared" ca="1" si="46"/>
        <v>No</v>
      </c>
      <c r="L241" t="str">
        <f t="shared" ca="1" si="47"/>
        <v>Weight Loss</v>
      </c>
      <c r="M241" t="str">
        <f t="shared" ca="1" si="48"/>
        <v>Active</v>
      </c>
      <c r="N241" s="2">
        <v>45859</v>
      </c>
      <c r="Q241" t="str">
        <f ca="1">IF(RAND()&lt;0.2,
    IF(RAND()&lt;0.5, LOWER(C241), UPPER(C241)),
    C241
)</f>
        <v>Chennai</v>
      </c>
      <c r="R241">
        <f t="shared" ca="1" si="40"/>
        <v>13</v>
      </c>
      <c r="S241">
        <f t="shared" ca="1" si="41"/>
        <v>2000</v>
      </c>
      <c r="T241">
        <f t="shared" ca="1" si="42"/>
        <v>45410</v>
      </c>
      <c r="U241" s="2">
        <f t="shared" ca="1" si="43"/>
        <v>45859</v>
      </c>
    </row>
    <row r="242" spans="1:21">
      <c r="A242" t="str">
        <f t="shared" si="39"/>
        <v>MEM0241</v>
      </c>
      <c r="B242" t="str">
        <f ca="1">INDEX('Name pool'!A:A, RANDBETWEEN(2, COUNTA('Name pool'!A:A))) &amp; " " &amp; INDEX('Name pool'!B:B, RANDBETWEEN(2, COUNTA('Name pool'!B:B)))</f>
        <v>Arjun Thomas</v>
      </c>
      <c r="C242" t="s">
        <v>83</v>
      </c>
      <c r="D242" t="str">
        <f t="shared" ca="1" si="38"/>
        <v>BR07</v>
      </c>
      <c r="E242" t="str">
        <f t="shared" ca="1" si="44"/>
        <v>Basic</v>
      </c>
      <c r="F242" s="2">
        <v>45486</v>
      </c>
      <c r="G242" s="2">
        <v>45516</v>
      </c>
      <c r="H242">
        <v>2000</v>
      </c>
      <c r="I242">
        <f t="shared" ca="1" si="45"/>
        <v>22000</v>
      </c>
      <c r="J242" t="s">
        <v>113</v>
      </c>
      <c r="K242" t="str">
        <f t="shared" ca="1" si="46"/>
        <v>Yes</v>
      </c>
      <c r="L242" t="str">
        <f t="shared" ca="1" si="47"/>
        <v>General Fitness</v>
      </c>
      <c r="M242" t="str">
        <f t="shared" ca="1" si="48"/>
        <v>Active</v>
      </c>
      <c r="N242" s="2">
        <v>45912</v>
      </c>
      <c r="Q242" t="str">
        <f ca="1">IF(RAND()&lt;0.2,
    IF(RAND()&lt;0.5, LOWER(C242), UPPER(C242)),
    C242
)</f>
        <v>Trivandrum</v>
      </c>
      <c r="R242" t="str">
        <f t="shared" ca="1" si="40"/>
        <v>17 visits</v>
      </c>
      <c r="S242">
        <f t="shared" ca="1" si="41"/>
        <v>2000</v>
      </c>
      <c r="T242">
        <f t="shared" ca="1" si="42"/>
        <v>45262</v>
      </c>
      <c r="U242" s="2">
        <f t="shared" ca="1" si="43"/>
        <v>45912</v>
      </c>
    </row>
    <row r="243" spans="1:21">
      <c r="A243" t="str">
        <f t="shared" si="39"/>
        <v>MEM0242</v>
      </c>
      <c r="B243" t="str">
        <f ca="1">INDEX('Name pool'!A:A, RANDBETWEEN(2, COUNTA('Name pool'!A:A))) &amp; " " &amp; INDEX('Name pool'!B:B, RANDBETWEEN(2, COUNTA('Name pool'!B:B)))</f>
        <v>Lakshmi Malhotra</v>
      </c>
      <c r="C243" t="s">
        <v>83</v>
      </c>
      <c r="D243" t="str">
        <f t="shared" ca="1" si="38"/>
        <v>BR06</v>
      </c>
      <c r="E243" t="str">
        <f t="shared" ca="1" si="44"/>
        <v>Standard</v>
      </c>
      <c r="F243" s="2">
        <v>45882</v>
      </c>
      <c r="G243" s="2">
        <v>45972</v>
      </c>
      <c r="H243">
        <v>2000</v>
      </c>
      <c r="I243">
        <f t="shared" ca="1" si="45"/>
        <v>6000</v>
      </c>
      <c r="J243">
        <v>3</v>
      </c>
      <c r="K243" t="str">
        <f t="shared" ca="1" si="46"/>
        <v>No</v>
      </c>
      <c r="L243" t="str">
        <f t="shared" ca="1" si="47"/>
        <v>General Fitness</v>
      </c>
      <c r="M243" t="str">
        <f t="shared" ca="1" si="48"/>
        <v>Cancelled</v>
      </c>
      <c r="N243" s="2">
        <v>46047</v>
      </c>
      <c r="Q243" t="str">
        <f ca="1">IF(RAND()&lt;0.2,
    IF(RAND()&lt;0.5, LOWER(C243), UPPER(C243)),
    C243
)</f>
        <v>Trivandrum</v>
      </c>
      <c r="R243">
        <f t="shared" ca="1" si="40"/>
        <v>3</v>
      </c>
      <c r="S243">
        <f t="shared" ca="1" si="41"/>
        <v>2000</v>
      </c>
      <c r="T243">
        <f t="shared" ca="1" si="42"/>
        <v>45232</v>
      </c>
      <c r="U243" s="2">
        <f t="shared" ca="1" si="43"/>
        <v>45925</v>
      </c>
    </row>
    <row r="244" spans="1:21">
      <c r="A244" t="str">
        <f t="shared" si="39"/>
        <v>MEM0243</v>
      </c>
      <c r="B244" t="str">
        <f ca="1">INDEX('Name pool'!A:A, RANDBETWEEN(2, COUNTA('Name pool'!A:A))) &amp; " " &amp; INDEX('Name pool'!B:B, RANDBETWEEN(2, COUNTA('Name pool'!B:B)))</f>
        <v>Karthik Shetty</v>
      </c>
      <c r="C244" t="s">
        <v>121</v>
      </c>
      <c r="D244" t="str">
        <f t="shared" ca="1" si="38"/>
        <v>BR07</v>
      </c>
      <c r="E244" t="str">
        <f t="shared" ca="1" si="44"/>
        <v>Standard</v>
      </c>
      <c r="F244" s="2">
        <v>45621</v>
      </c>
      <c r="G244" s="2">
        <v>45711</v>
      </c>
      <c r="H244">
        <v>2000</v>
      </c>
      <c r="I244">
        <f t="shared" ca="1" si="45"/>
        <v>20000</v>
      </c>
      <c r="J244">
        <v>8</v>
      </c>
      <c r="K244" t="str">
        <f t="shared" ca="1" si="46"/>
        <v>No</v>
      </c>
      <c r="L244" t="str">
        <f t="shared" ca="1" si="47"/>
        <v>Muscle Gain</v>
      </c>
      <c r="M244" t="str">
        <f t="shared" ca="1" si="48"/>
        <v>Active</v>
      </c>
      <c r="N244" s="2">
        <v>45868</v>
      </c>
      <c r="Q244" t="str">
        <f ca="1">IF(RAND()&lt;0.2,
    IF(RAND()&lt;0.5, LOWER(C244), UPPER(C244)),
    C244
)</f>
        <v>mumbai</v>
      </c>
      <c r="R244">
        <f t="shared" ca="1" si="40"/>
        <v>8</v>
      </c>
      <c r="S244">
        <f t="shared" ca="1" si="41"/>
        <v>2000</v>
      </c>
      <c r="T244">
        <f t="shared" ca="1" si="42"/>
        <v>45200</v>
      </c>
      <c r="U244" s="2">
        <f t="shared" ca="1" si="43"/>
        <v>45868</v>
      </c>
    </row>
    <row r="245" spans="1:21">
      <c r="A245" t="str">
        <f t="shared" si="39"/>
        <v>MEM0244</v>
      </c>
      <c r="B245" t="str">
        <f ca="1">INDEX('Name pool'!A:A, RANDBETWEEN(2, COUNTA('Name pool'!A:A))) &amp; " " &amp; INDEX('Name pool'!B:B, RANDBETWEEN(2, COUNTA('Name pool'!B:B)))</f>
        <v>Anjali Nair</v>
      </c>
      <c r="C245" t="s">
        <v>77</v>
      </c>
      <c r="D245" t="str">
        <f t="shared" ca="1" si="38"/>
        <v>BR01</v>
      </c>
      <c r="E245" t="str">
        <f t="shared" ca="1" si="44"/>
        <v>Standard</v>
      </c>
      <c r="F245" s="2">
        <v>45808</v>
      </c>
      <c r="G245" s="2">
        <v>46173</v>
      </c>
      <c r="H245">
        <v>3500</v>
      </c>
      <c r="I245">
        <f t="shared" ca="1" si="45"/>
        <v>31500</v>
      </c>
      <c r="J245">
        <v>22</v>
      </c>
      <c r="K245" t="str">
        <f t="shared" ca="1" si="46"/>
        <v>Yes</v>
      </c>
      <c r="L245" t="str">
        <f t="shared" ca="1" si="47"/>
        <v>General Fitness</v>
      </c>
      <c r="M245" t="str">
        <f t="shared" ca="1" si="48"/>
        <v>Active</v>
      </c>
      <c r="N245" s="2">
        <v>46123</v>
      </c>
      <c r="Q245" t="str">
        <f ca="1">IF(RAND()&lt;0.2,
    IF(RAND()&lt;0.5, LOWER(C245), UPPER(C245)),
    C245
)</f>
        <v>Chennai</v>
      </c>
      <c r="R245">
        <f t="shared" ca="1" si="40"/>
        <v>22</v>
      </c>
      <c r="S245">
        <f t="shared" ca="1" si="41"/>
        <v>3500</v>
      </c>
      <c r="T245">
        <f t="shared" ca="1" si="42"/>
        <v>45099</v>
      </c>
      <c r="U245" s="2">
        <f t="shared" ca="1" si="43"/>
        <v>46123</v>
      </c>
    </row>
    <row r="246" spans="1:21">
      <c r="A246" t="str">
        <f t="shared" si="39"/>
        <v>MEM0245</v>
      </c>
      <c r="B246" t="str">
        <f ca="1">INDEX('Name pool'!A:A, RANDBETWEEN(2, COUNTA('Name pool'!A:A))) &amp; " " &amp; INDEX('Name pool'!B:B, RANDBETWEEN(2, COUNTA('Name pool'!B:B)))</f>
        <v>Sneha Verma</v>
      </c>
      <c r="C246" t="s">
        <v>81</v>
      </c>
      <c r="D246" t="str">
        <f t="shared" ca="1" si="38"/>
        <v>BR02</v>
      </c>
      <c r="E246" t="str">
        <f t="shared" ca="1" si="44"/>
        <v>Standard</v>
      </c>
      <c r="F246" s="2">
        <v>45966</v>
      </c>
      <c r="G246" s="2">
        <v>45996</v>
      </c>
      <c r="H246">
        <v>1000</v>
      </c>
      <c r="I246">
        <f t="shared" ca="1" si="45"/>
        <v>11000</v>
      </c>
      <c r="J246">
        <v>12</v>
      </c>
      <c r="K246" t="str">
        <f t="shared" ca="1" si="46"/>
        <v>Yes</v>
      </c>
      <c r="L246" t="str">
        <f t="shared" ca="1" si="47"/>
        <v>General Fitness</v>
      </c>
      <c r="M246" t="str">
        <f t="shared" ca="1" si="48"/>
        <v>Active</v>
      </c>
      <c r="N246" s="2">
        <v>46061</v>
      </c>
      <c r="Q246" t="str">
        <f ca="1">IF(RAND()&lt;0.2,
    IF(RAND()&lt;0.5, LOWER(C246), UPPER(C246)),
    C246
)</f>
        <v>Mumbai</v>
      </c>
      <c r="R246">
        <f t="shared" ca="1" si="40"/>
        <v>12</v>
      </c>
      <c r="S246">
        <f t="shared" ca="1" si="41"/>
        <v>1000</v>
      </c>
      <c r="T246">
        <f t="shared" ca="1" si="42"/>
        <v>45691</v>
      </c>
      <c r="U246" s="2">
        <f t="shared" ca="1" si="43"/>
        <v>46061</v>
      </c>
    </row>
    <row r="247" spans="1:21">
      <c r="A247" t="str">
        <f t="shared" si="39"/>
        <v>MEM0246</v>
      </c>
      <c r="B247" t="str">
        <f ca="1">INDEX('Name pool'!A:A, RANDBETWEEN(2, COUNTA('Name pool'!A:A))) &amp; " " &amp; INDEX('Name pool'!B:B, RANDBETWEEN(2, COUNTA('Name pool'!B:B)))</f>
        <v>Rahul Varghese</v>
      </c>
      <c r="C247" t="s">
        <v>79</v>
      </c>
      <c r="D247" t="str">
        <f t="shared" ca="1" si="38"/>
        <v>BR06</v>
      </c>
      <c r="E247" t="str">
        <f t="shared" ca="1" si="44"/>
        <v>Standard</v>
      </c>
      <c r="F247" s="2">
        <v>45607</v>
      </c>
      <c r="G247" s="2">
        <v>45697</v>
      </c>
      <c r="H247">
        <v>3500</v>
      </c>
      <c r="I247">
        <f t="shared" ca="1" si="45"/>
        <v>7000</v>
      </c>
      <c r="J247">
        <v>17</v>
      </c>
      <c r="K247" t="str">
        <f t="shared" ca="1" si="46"/>
        <v>No</v>
      </c>
      <c r="L247" t="str">
        <f t="shared" ca="1" si="47"/>
        <v>Weight Loss</v>
      </c>
      <c r="M247" t="str">
        <f t="shared" ca="1" si="48"/>
        <v>Active</v>
      </c>
      <c r="N247" s="2">
        <v>45853</v>
      </c>
      <c r="Q247" t="str">
        <f ca="1">IF(RAND()&lt;0.2,
    IF(RAND()&lt;0.5, LOWER(C247), UPPER(C247)),
    C247
)</f>
        <v>Hyderabad</v>
      </c>
      <c r="R247">
        <f t="shared" ca="1" si="40"/>
        <v>17</v>
      </c>
      <c r="S247">
        <f t="shared" ca="1" si="41"/>
        <v>3500</v>
      </c>
      <c r="T247">
        <f t="shared" ca="1" si="42"/>
        <v>45063</v>
      </c>
      <c r="U247" s="2">
        <f t="shared" ca="1" si="43"/>
        <v>45853</v>
      </c>
    </row>
    <row r="248" spans="1:21">
      <c r="A248" t="str">
        <f t="shared" si="39"/>
        <v>MEM0247</v>
      </c>
      <c r="B248" t="str">
        <f ca="1">INDEX('Name pool'!A:A, RANDBETWEEN(2, COUNTA('Name pool'!A:A))) &amp; " " &amp; INDEX('Name pool'!B:B, RANDBETWEEN(2, COUNTA('Name pool'!B:B)))</f>
        <v>Priya Reddy</v>
      </c>
      <c r="C248" t="s">
        <v>77</v>
      </c>
      <c r="D248" t="str">
        <f t="shared" ca="1" si="38"/>
        <v>BR04</v>
      </c>
      <c r="E248" t="str">
        <f t="shared" ca="1" si="44"/>
        <v>Standard</v>
      </c>
      <c r="F248" s="2">
        <v>45692</v>
      </c>
      <c r="G248" s="2">
        <v>45722</v>
      </c>
      <c r="H248">
        <v>2000</v>
      </c>
      <c r="I248">
        <f t="shared" ca="1" si="45"/>
        <v>22000</v>
      </c>
      <c r="J248">
        <v>20</v>
      </c>
      <c r="K248" t="str">
        <f t="shared" ca="1" si="46"/>
        <v>No</v>
      </c>
      <c r="L248" t="str">
        <f t="shared" ca="1" si="47"/>
        <v>Weight Loss</v>
      </c>
      <c r="M248" t="str">
        <f t="shared" ca="1" si="48"/>
        <v>Active</v>
      </c>
      <c r="N248" s="2">
        <v>45886</v>
      </c>
      <c r="Q248" t="str">
        <f ca="1">IF(RAND()&lt;0.2,
    IF(RAND()&lt;0.5, LOWER(C248), UPPER(C248)),
    C248
)</f>
        <v>Chennai</v>
      </c>
      <c r="R248">
        <f t="shared" ca="1" si="40"/>
        <v>20</v>
      </c>
      <c r="S248" t="str">
        <f t="shared" ca="1" si="41"/>
        <v>2000</v>
      </c>
      <c r="T248">
        <f t="shared" ca="1" si="42"/>
        <v>45977</v>
      </c>
      <c r="U248" s="2">
        <f t="shared" ca="1" si="43"/>
        <v>45886</v>
      </c>
    </row>
    <row r="249" spans="1:21">
      <c r="A249" t="str">
        <f t="shared" si="39"/>
        <v>MEM0248</v>
      </c>
      <c r="B249" t="str">
        <f ca="1">INDEX('Name pool'!A:A, RANDBETWEEN(2, COUNTA('Name pool'!A:A))) &amp; " " &amp; INDEX('Name pool'!B:B, RANDBETWEEN(2, COUNTA('Name pool'!B:B)))</f>
        <v>Nikhil Nair</v>
      </c>
      <c r="C249" t="s">
        <v>83</v>
      </c>
      <c r="D249" t="str">
        <f t="shared" ca="1" si="38"/>
        <v>BR02</v>
      </c>
      <c r="E249" t="str">
        <f t="shared" ca="1" si="44"/>
        <v>Premium</v>
      </c>
      <c r="F249" s="2">
        <v>45305</v>
      </c>
      <c r="G249" s="2">
        <v>45395</v>
      </c>
      <c r="H249">
        <v>3500</v>
      </c>
      <c r="I249">
        <f t="shared" ca="1" si="45"/>
        <v>42000</v>
      </c>
      <c r="J249">
        <v>6</v>
      </c>
      <c r="K249" t="str">
        <f t="shared" ca="1" si="46"/>
        <v>No</v>
      </c>
      <c r="L249" t="str">
        <f t="shared" ca="1" si="47"/>
        <v>Weight Loss</v>
      </c>
      <c r="M249" t="str">
        <f t="shared" ca="1" si="48"/>
        <v>Active</v>
      </c>
      <c r="N249" s="2">
        <v>45674</v>
      </c>
      <c r="Q249" t="str">
        <f ca="1">IF(RAND()&lt;0.2,
    IF(RAND()&lt;0.5, LOWER(C249), UPPER(C249)),
    C249
)</f>
        <v>Trivandrum</v>
      </c>
      <c r="R249">
        <f t="shared" ca="1" si="40"/>
        <v>6</v>
      </c>
      <c r="S249">
        <f t="shared" ca="1" si="41"/>
        <v>3500</v>
      </c>
      <c r="T249">
        <f t="shared" ca="1" si="42"/>
        <v>45387</v>
      </c>
      <c r="U249" s="2">
        <f t="shared" ca="1" si="43"/>
        <v>45674</v>
      </c>
    </row>
    <row r="250" spans="1:21">
      <c r="A250" t="str">
        <f t="shared" si="39"/>
        <v>MEM0249</v>
      </c>
      <c r="B250" t="str">
        <f ca="1">INDEX('Name pool'!A:A, RANDBETWEEN(2, COUNTA('Name pool'!A:A))) &amp; " " &amp; INDEX('Name pool'!B:B, RANDBETWEEN(2, COUNTA('Name pool'!B:B)))</f>
        <v>Neha Joshi</v>
      </c>
      <c r="C250" t="s">
        <v>129</v>
      </c>
      <c r="D250" t="str">
        <f t="shared" ca="1" si="38"/>
        <v>BR06</v>
      </c>
      <c r="E250" t="str">
        <f t="shared" ca="1" si="44"/>
        <v>Standard</v>
      </c>
      <c r="F250" s="2">
        <v>45176</v>
      </c>
      <c r="G250" s="2">
        <v>45206</v>
      </c>
      <c r="H250">
        <v>3500</v>
      </c>
      <c r="I250">
        <f t="shared" ca="1" si="45"/>
        <v>28000</v>
      </c>
      <c r="J250">
        <v>21</v>
      </c>
      <c r="K250" t="str">
        <f t="shared" ca="1" si="46"/>
        <v>Yes</v>
      </c>
      <c r="L250" t="str">
        <f t="shared" ca="1" si="47"/>
        <v>Muscle Gain</v>
      </c>
      <c r="M250" t="str">
        <f t="shared" ca="1" si="48"/>
        <v>Active</v>
      </c>
      <c r="N250" s="2">
        <v>46082</v>
      </c>
      <c r="Q250" t="str">
        <f ca="1">IF(RAND()&lt;0.2,
    IF(RAND()&lt;0.5, LOWER(C250), UPPER(C250)),
    C250
)</f>
        <v>hyderabad</v>
      </c>
      <c r="R250">
        <f t="shared" ca="1" si="40"/>
        <v>21</v>
      </c>
      <c r="S250">
        <f t="shared" ca="1" si="41"/>
        <v>3500</v>
      </c>
      <c r="T250">
        <f t="shared" ca="1" si="42"/>
        <v>45944</v>
      </c>
      <c r="U250" s="2">
        <f t="shared" ca="1" si="43"/>
        <v>46082</v>
      </c>
    </row>
    <row r="251" spans="1:21">
      <c r="A251" t="str">
        <f t="shared" si="39"/>
        <v>MEM0250</v>
      </c>
      <c r="B251" t="str">
        <f ca="1">INDEX('Name pool'!A:A, RANDBETWEEN(2, COUNTA('Name pool'!A:A))) &amp; " " &amp; INDEX('Name pool'!B:B, RANDBETWEEN(2, COUNTA('Name pool'!B:B)))</f>
        <v>Rohit Agarwal</v>
      </c>
      <c r="C251" t="s">
        <v>119</v>
      </c>
      <c r="D251" t="str">
        <f t="shared" ca="1" si="38"/>
        <v>BR03</v>
      </c>
      <c r="E251" t="str">
        <f t="shared" ca="1" si="44"/>
        <v>Premium</v>
      </c>
      <c r="F251" s="2">
        <v>45972</v>
      </c>
      <c r="G251" s="2">
        <v>46337</v>
      </c>
      <c r="H251">
        <v>2000</v>
      </c>
      <c r="I251">
        <f t="shared" ca="1" si="45"/>
        <v>22000</v>
      </c>
      <c r="J251">
        <v>5</v>
      </c>
      <c r="K251" t="str">
        <f t="shared" ca="1" si="46"/>
        <v>No</v>
      </c>
      <c r="L251" t="str">
        <f t="shared" ca="1" si="47"/>
        <v>Muscle Gain</v>
      </c>
      <c r="M251" t="str">
        <f t="shared" ca="1" si="48"/>
        <v>Active</v>
      </c>
      <c r="N251" s="2">
        <v>46025</v>
      </c>
      <c r="Q251" t="str">
        <f ca="1">IF(RAND()&lt;0.2,
    IF(RAND()&lt;0.5, LOWER(C251), UPPER(C251)),
    C251
)</f>
        <v>bangalore</v>
      </c>
      <c r="R251">
        <f t="shared" ca="1" si="40"/>
        <v>5</v>
      </c>
      <c r="S251">
        <f t="shared" ca="1" si="41"/>
        <v>2000</v>
      </c>
      <c r="T251">
        <f t="shared" ca="1" si="42"/>
        <v>45845</v>
      </c>
      <c r="U251" s="2">
        <f t="shared" ca="1" si="43"/>
        <v>46025</v>
      </c>
    </row>
    <row r="252" spans="1:21">
      <c r="A252" t="str">
        <f t="shared" si="39"/>
        <v>MEM0251</v>
      </c>
      <c r="B252" t="str">
        <f ca="1">INDEX('Name pool'!A:A, RANDBETWEEN(2, COUNTA('Name pool'!A:A))) &amp; " " &amp; INDEX('Name pool'!B:B, RANDBETWEEN(2, COUNTA('Name pool'!B:B)))</f>
        <v>Arjun Yadav</v>
      </c>
      <c r="C252" t="s">
        <v>73</v>
      </c>
      <c r="D252" t="str">
        <f t="shared" ca="1" si="38"/>
        <v>BR05</v>
      </c>
      <c r="E252" t="str">
        <f t="shared" ca="1" si="44"/>
        <v>Standard</v>
      </c>
      <c r="F252" s="2">
        <v>45993</v>
      </c>
      <c r="G252" s="2">
        <v>46358</v>
      </c>
      <c r="H252">
        <v>1000</v>
      </c>
      <c r="I252">
        <f t="shared" ca="1" si="45"/>
        <v>12000</v>
      </c>
      <c r="J252">
        <v>14</v>
      </c>
      <c r="K252" t="str">
        <f t="shared" ca="1" si="46"/>
        <v>Yes</v>
      </c>
      <c r="L252" t="str">
        <f t="shared" ca="1" si="47"/>
        <v>Muscle Gain</v>
      </c>
      <c r="M252" t="str">
        <f t="shared" ca="1" si="48"/>
        <v>Active</v>
      </c>
      <c r="N252" s="2">
        <v>46042</v>
      </c>
      <c r="Q252" t="str">
        <f ca="1">IF(RAND()&lt;0.2,
    IF(RAND()&lt;0.5, LOWER(C252), UPPER(C252)),
    C252
)</f>
        <v>kochi</v>
      </c>
      <c r="R252">
        <f t="shared" ca="1" si="40"/>
        <v>14</v>
      </c>
      <c r="S252" t="str">
        <f t="shared" ca="1" si="41"/>
        <v>1000</v>
      </c>
      <c r="T252">
        <f t="shared" ca="1" si="42"/>
        <v>45839</v>
      </c>
      <c r="U252" s="2">
        <f t="shared" ca="1" si="43"/>
        <v>46042</v>
      </c>
    </row>
    <row r="253" spans="1:21">
      <c r="A253" t="str">
        <f t="shared" si="39"/>
        <v>MEM0252</v>
      </c>
      <c r="B253" t="str">
        <f ca="1">INDEX('Name pool'!A:A, RANDBETWEEN(2, COUNTA('Name pool'!A:A))) &amp; " " &amp; INDEX('Name pool'!B:B, RANDBETWEEN(2, COUNTA('Name pool'!B:B)))</f>
        <v>Manoj Naidu</v>
      </c>
      <c r="C253" t="s">
        <v>75</v>
      </c>
      <c r="D253" t="str">
        <f t="shared" ca="1" si="38"/>
        <v>BR02</v>
      </c>
      <c r="E253" t="str">
        <f t="shared" ca="1" si="44"/>
        <v>Basic</v>
      </c>
      <c r="F253" s="2">
        <v>45535</v>
      </c>
      <c r="G253" s="2">
        <v>45565</v>
      </c>
      <c r="H253">
        <v>2000</v>
      </c>
      <c r="I253">
        <f t="shared" ca="1" si="45"/>
        <v>22000</v>
      </c>
      <c r="J253">
        <v>8</v>
      </c>
      <c r="K253" t="str">
        <f t="shared" ca="1" si="46"/>
        <v>No</v>
      </c>
      <c r="L253" t="str">
        <f t="shared" ca="1" si="47"/>
        <v>General Fitness</v>
      </c>
      <c r="M253" t="str">
        <f t="shared" ca="1" si="48"/>
        <v>Active</v>
      </c>
      <c r="N253" s="2">
        <v>46073</v>
      </c>
      <c r="Q253" t="str">
        <f ca="1">IF(RAND()&lt;0.2,
    IF(RAND()&lt;0.5, LOWER(C253), UPPER(C253)),
    C253
)</f>
        <v>Bangalore</v>
      </c>
      <c r="R253">
        <f t="shared" ca="1" si="40"/>
        <v>8</v>
      </c>
      <c r="S253">
        <f t="shared" ca="1" si="41"/>
        <v>2000</v>
      </c>
      <c r="T253">
        <f t="shared" ca="1" si="42"/>
        <v>45370</v>
      </c>
      <c r="U253" s="2">
        <f t="shared" ca="1" si="43"/>
        <v>46073</v>
      </c>
    </row>
    <row r="254" spans="1:21">
      <c r="A254" t="str">
        <f t="shared" si="39"/>
        <v>MEM0253</v>
      </c>
      <c r="B254" t="str">
        <f ca="1">INDEX('Name pool'!A:A, RANDBETWEEN(2, COUNTA('Name pool'!A:A))) &amp; " " &amp; INDEX('Name pool'!B:B, RANDBETWEEN(2, COUNTA('Name pool'!B:B)))</f>
        <v>Zara Kulkarni</v>
      </c>
      <c r="C254" t="s">
        <v>83</v>
      </c>
      <c r="D254" t="str">
        <f t="shared" ca="1" si="38"/>
        <v>BR06</v>
      </c>
      <c r="E254" t="str">
        <f t="shared" ca="1" si="44"/>
        <v>Basic</v>
      </c>
      <c r="F254" s="2">
        <v>45312</v>
      </c>
      <c r="G254" s="2">
        <v>45402</v>
      </c>
      <c r="H254">
        <v>2000</v>
      </c>
      <c r="I254">
        <f t="shared" ca="1" si="45"/>
        <v>12000</v>
      </c>
      <c r="J254">
        <v>0</v>
      </c>
      <c r="K254" t="str">
        <f t="shared" ca="1" si="46"/>
        <v>Yes</v>
      </c>
      <c r="L254" t="str">
        <f t="shared" ca="1" si="47"/>
        <v>General Fitness</v>
      </c>
      <c r="M254" t="str">
        <f t="shared" ca="1" si="48"/>
        <v>Active</v>
      </c>
      <c r="N254" s="2">
        <v>45979</v>
      </c>
      <c r="Q254" t="str">
        <f ca="1">IF(RAND()&lt;0.2,
    IF(RAND()&lt;0.5, LOWER(C254), UPPER(C254)),
    C254
)</f>
        <v>Trivandrum</v>
      </c>
      <c r="R254">
        <f t="shared" ca="1" si="40"/>
        <v>0</v>
      </c>
      <c r="S254">
        <f t="shared" ca="1" si="41"/>
        <v>2000</v>
      </c>
      <c r="T254">
        <f t="shared" ca="1" si="42"/>
        <v>45919</v>
      </c>
      <c r="U254" s="2">
        <f t="shared" ca="1" si="43"/>
        <v>45979</v>
      </c>
    </row>
    <row r="255" spans="1:21">
      <c r="A255" t="str">
        <f t="shared" si="39"/>
        <v>MEM0254</v>
      </c>
      <c r="B255" t="str">
        <f ca="1">INDEX('Name pool'!A:A, RANDBETWEEN(2, COUNTA('Name pool'!A:A))) &amp; " " &amp; INDEX('Name pool'!B:B, RANDBETWEEN(2, COUNTA('Name pool'!B:B)))</f>
        <v>Harish Varghese</v>
      </c>
      <c r="C255" t="s">
        <v>85</v>
      </c>
      <c r="D255" t="str">
        <f t="shared" ca="1" si="38"/>
        <v>BR05</v>
      </c>
      <c r="E255" t="str">
        <f t="shared" ca="1" si="44"/>
        <v>Basic</v>
      </c>
      <c r="F255" s="2">
        <v>45830</v>
      </c>
      <c r="G255" s="2">
        <v>45920</v>
      </c>
      <c r="H255">
        <v>2000</v>
      </c>
      <c r="I255">
        <f t="shared" ca="1" si="45"/>
        <v>24000</v>
      </c>
      <c r="J255">
        <v>3</v>
      </c>
      <c r="K255" t="str">
        <f t="shared" ca="1" si="46"/>
        <v>No</v>
      </c>
      <c r="L255" t="str">
        <f t="shared" ca="1" si="47"/>
        <v>Weight Loss</v>
      </c>
      <c r="M255" t="str">
        <f t="shared" ca="1" si="48"/>
        <v>Cancelled</v>
      </c>
      <c r="N255" s="2">
        <v>45870</v>
      </c>
      <c r="Q255" t="str">
        <f ca="1">IF(RAND()&lt;0.2,
    IF(RAND()&lt;0.5, LOWER(C255), UPPER(C255)),
    C255
)</f>
        <v>Calicut</v>
      </c>
      <c r="R255">
        <f t="shared" ca="1" si="40"/>
        <v>3</v>
      </c>
      <c r="S255">
        <f t="shared" ca="1" si="41"/>
        <v>2000</v>
      </c>
      <c r="T255">
        <f t="shared" ca="1" si="42"/>
        <v>45421</v>
      </c>
      <c r="U255" s="2">
        <f t="shared" ca="1" si="43"/>
        <v>45870</v>
      </c>
    </row>
    <row r="256" spans="1:21">
      <c r="A256" t="str">
        <f t="shared" si="39"/>
        <v>MEM0255</v>
      </c>
      <c r="B256" t="str">
        <f ca="1">INDEX('Name pool'!A:A, RANDBETWEEN(2, COUNTA('Name pool'!A:A))) &amp; " " &amp; INDEX('Name pool'!B:B, RANDBETWEEN(2, COUNTA('Name pool'!B:B)))</f>
        <v>Anu Lewis</v>
      </c>
      <c r="C256" t="s">
        <v>85</v>
      </c>
      <c r="D256" t="str">
        <f t="shared" ca="1" si="38"/>
        <v>BR03</v>
      </c>
      <c r="E256" t="str">
        <f t="shared" ca="1" si="44"/>
        <v>Premium</v>
      </c>
      <c r="F256" s="2">
        <v>45337</v>
      </c>
      <c r="G256" s="2">
        <v>45367</v>
      </c>
      <c r="H256">
        <v>3500</v>
      </c>
      <c r="I256">
        <f t="shared" ca="1" si="45"/>
        <v>42000</v>
      </c>
      <c r="J256">
        <v>18</v>
      </c>
      <c r="K256" t="str">
        <f t="shared" ca="1" si="46"/>
        <v>Yes</v>
      </c>
      <c r="L256" t="str">
        <f t="shared" ca="1" si="47"/>
        <v>General Fitness</v>
      </c>
      <c r="M256" t="str">
        <f t="shared" ca="1" si="48"/>
        <v>Active</v>
      </c>
      <c r="N256" s="2">
        <v>46023</v>
      </c>
      <c r="Q256" t="str">
        <f ca="1">IF(RAND()&lt;0.2,
    IF(RAND()&lt;0.5, LOWER(C256), UPPER(C256)),
    C256
)</f>
        <v>Calicut</v>
      </c>
      <c r="R256">
        <f t="shared" ca="1" si="40"/>
        <v>18</v>
      </c>
      <c r="S256">
        <f t="shared" ca="1" si="41"/>
        <v>3500</v>
      </c>
      <c r="T256">
        <f t="shared" ca="1" si="42"/>
        <v>45555</v>
      </c>
      <c r="U256" s="2">
        <f t="shared" ca="1" si="43"/>
        <v>46023</v>
      </c>
    </row>
    <row r="257" spans="1:21">
      <c r="A257" t="str">
        <f t="shared" si="39"/>
        <v>MEM0256</v>
      </c>
      <c r="B257" t="str">
        <f ca="1">INDEX('Name pool'!A:A, RANDBETWEEN(2, COUNTA('Name pool'!A:A))) &amp; " " &amp; INDEX('Name pool'!B:B, RANDBETWEEN(2, COUNTA('Name pool'!B:B)))</f>
        <v>Sneha Verma</v>
      </c>
      <c r="C257" t="s">
        <v>123</v>
      </c>
      <c r="D257" t="str">
        <f t="shared" ca="1" si="38"/>
        <v>BR07</v>
      </c>
      <c r="E257" t="str">
        <f t="shared" ca="1" si="44"/>
        <v>Standard</v>
      </c>
      <c r="F257" s="2">
        <v>45477</v>
      </c>
      <c r="G257" s="2">
        <v>45567</v>
      </c>
      <c r="H257">
        <v>3500</v>
      </c>
      <c r="I257">
        <f t="shared" ca="1" si="45"/>
        <v>7000</v>
      </c>
      <c r="J257">
        <v>24</v>
      </c>
      <c r="K257" t="str">
        <f t="shared" ca="1" si="46"/>
        <v>Yes</v>
      </c>
      <c r="L257" t="str">
        <f t="shared" ca="1" si="47"/>
        <v>General Fitness</v>
      </c>
      <c r="M257" t="str">
        <f t="shared" ca="1" si="48"/>
        <v>Active</v>
      </c>
      <c r="N257" s="2">
        <v>45861</v>
      </c>
      <c r="Q257" t="str">
        <f ca="1">IF(RAND()&lt;0.2,
    IF(RAND()&lt;0.5, LOWER(C257), UPPER(C257)),
    C257
)</f>
        <v>kochi</v>
      </c>
      <c r="R257">
        <f t="shared" ca="1" si="40"/>
        <v>24</v>
      </c>
      <c r="S257">
        <f t="shared" ca="1" si="41"/>
        <v>3500</v>
      </c>
      <c r="T257">
        <f t="shared" ca="1" si="42"/>
        <v>45235</v>
      </c>
      <c r="U257" s="2">
        <f t="shared" ca="1" si="43"/>
        <v>45861</v>
      </c>
    </row>
    <row r="258" spans="1:21">
      <c r="A258" t="str">
        <f t="shared" si="39"/>
        <v>MEM0257</v>
      </c>
      <c r="B258" t="str">
        <f ca="1">INDEX('Name pool'!A:A, RANDBETWEEN(2, COUNTA('Name pool'!A:A))) &amp; " " &amp; INDEX('Name pool'!B:B, RANDBETWEEN(2, COUNTA('Name pool'!B:B)))</f>
        <v>Kavya Thomas</v>
      </c>
      <c r="C258" t="s">
        <v>83</v>
      </c>
      <c r="D258" t="str">
        <f t="shared" ref="D258:D321" ca="1" si="49">CHOOSE(RANDBETWEEN(1,7),"BR01","BR02","BR03","BR04","BR05","BR06","BR07")</f>
        <v>BR03</v>
      </c>
      <c r="E258" t="str">
        <f t="shared" ca="1" si="44"/>
        <v>Standard</v>
      </c>
      <c r="F258" s="2">
        <v>45724</v>
      </c>
      <c r="G258" s="2">
        <v>45754</v>
      </c>
      <c r="H258">
        <v>2000</v>
      </c>
      <c r="I258">
        <f t="shared" ca="1" si="45"/>
        <v>12000</v>
      </c>
      <c r="J258">
        <v>8</v>
      </c>
      <c r="K258" t="str">
        <f t="shared" ca="1" si="46"/>
        <v>Yes</v>
      </c>
      <c r="L258" t="str">
        <f t="shared" ca="1" si="47"/>
        <v>Weight Loss</v>
      </c>
      <c r="M258" t="str">
        <f t="shared" ca="1" si="48"/>
        <v>Active</v>
      </c>
      <c r="N258" s="2">
        <v>45931</v>
      </c>
      <c r="Q258" t="str">
        <f ca="1">IF(RAND()&lt;0.2,
    IF(RAND()&lt;0.5, LOWER(C258), UPPER(C258)),
    C258
)</f>
        <v>Trivandrum</v>
      </c>
      <c r="R258" t="str">
        <f t="shared" ca="1" si="40"/>
        <v>8 visits</v>
      </c>
      <c r="S258">
        <f t="shared" ca="1" si="41"/>
        <v>2000</v>
      </c>
      <c r="T258">
        <f t="shared" ca="1" si="42"/>
        <v>46007</v>
      </c>
      <c r="U258" s="2">
        <f t="shared" ca="1" si="43"/>
        <v>45931</v>
      </c>
    </row>
    <row r="259" spans="1:21">
      <c r="A259" t="str">
        <f t="shared" ref="A259:A322" si="50">"MEM" &amp; TEXT(ROW()-1,"0000")</f>
        <v>MEM0258</v>
      </c>
      <c r="B259" t="str">
        <f ca="1">INDEX('Name pool'!A:A, RANDBETWEEN(2, COUNTA('Name pool'!A:A))) &amp; " " &amp; INDEX('Name pool'!B:B, RANDBETWEEN(2, COUNTA('Name pool'!B:B)))</f>
        <v>Tanvi Khan</v>
      </c>
      <c r="C259" t="s">
        <v>75</v>
      </c>
      <c r="D259" t="str">
        <f t="shared" ca="1" si="49"/>
        <v>BR07</v>
      </c>
      <c r="E259" t="str">
        <f t="shared" ca="1" si="44"/>
        <v>Premium</v>
      </c>
      <c r="F259" s="2">
        <v>45507</v>
      </c>
      <c r="G259" s="2">
        <v>45537</v>
      </c>
      <c r="H259">
        <v>1000</v>
      </c>
      <c r="I259">
        <f t="shared" ca="1" si="45"/>
        <v>10000</v>
      </c>
      <c r="J259">
        <v>4</v>
      </c>
      <c r="K259" t="str">
        <f t="shared" ca="1" si="46"/>
        <v>Yes</v>
      </c>
      <c r="L259" t="str">
        <f t="shared" ca="1" si="47"/>
        <v>Muscle Gain</v>
      </c>
      <c r="M259" t="str">
        <f t="shared" ca="1" si="48"/>
        <v>Cancelled</v>
      </c>
      <c r="N259" s="2">
        <v>45522</v>
      </c>
      <c r="Q259" t="str">
        <f ca="1">IF(RAND()&lt;0.2,
    IF(RAND()&lt;0.5, LOWER(C259), UPPER(C259)),
    C259
)</f>
        <v>Bangalore</v>
      </c>
      <c r="R259">
        <f t="shared" ref="R259:R322" ca="1" si="51">IF(RAND()&lt;0.15,
    J259 &amp; " visits",
    J259
)</f>
        <v>4</v>
      </c>
      <c r="S259">
        <f t="shared" ref="S259:S322" ca="1" si="52">IF(RAND()&lt;0.1,
    TEXT(H259,"0"),
    H259
)</f>
        <v>1000</v>
      </c>
      <c r="T259">
        <f t="shared" ref="T259:T322" ca="1" si="53">RANDBETWEEN(DATE(2023,1,1), DATE(2026,1,31))</f>
        <v>44983</v>
      </c>
      <c r="U259" s="2">
        <f t="shared" ref="U259:U322" ca="1" si="54">IF(AND(M259="Cancelled", RAND()&lt;0.5),
    F259 + RANDBETWEEN(10,50),
    N259
)</f>
        <v>45522</v>
      </c>
    </row>
    <row r="260" spans="1:21">
      <c r="A260" t="str">
        <f t="shared" si="50"/>
        <v>MEM0259</v>
      </c>
      <c r="B260" t="str">
        <f ca="1">INDEX('Name pool'!A:A, RANDBETWEEN(2, COUNTA('Name pool'!A:A))) &amp; " " &amp; INDEX('Name pool'!B:B, RANDBETWEEN(2, COUNTA('Name pool'!B:B)))</f>
        <v>Zara Malhotra</v>
      </c>
      <c r="C260" t="s">
        <v>83</v>
      </c>
      <c r="D260" t="str">
        <f t="shared" ca="1" si="49"/>
        <v>BR06</v>
      </c>
      <c r="E260" t="str">
        <f t="shared" ca="1" si="44"/>
        <v>Standard</v>
      </c>
      <c r="F260" s="2">
        <v>45800</v>
      </c>
      <c r="G260" s="2">
        <v>46165</v>
      </c>
      <c r="H260" t="s">
        <v>105</v>
      </c>
      <c r="I260">
        <f t="shared" ca="1" si="45"/>
        <v>24500</v>
      </c>
      <c r="J260">
        <v>25</v>
      </c>
      <c r="K260" t="str">
        <f t="shared" ca="1" si="46"/>
        <v>Yes</v>
      </c>
      <c r="L260" t="str">
        <f t="shared" ca="1" si="47"/>
        <v>Muscle Gain</v>
      </c>
      <c r="M260" t="str">
        <f t="shared" ca="1" si="48"/>
        <v>Active</v>
      </c>
      <c r="N260" s="2">
        <v>46006</v>
      </c>
      <c r="Q260" t="str">
        <f ca="1">IF(RAND()&lt;0.2,
    IF(RAND()&lt;0.5, LOWER(C260), UPPER(C260)),
    C260
)</f>
        <v>Trivandrum</v>
      </c>
      <c r="R260" t="str">
        <f t="shared" ca="1" si="51"/>
        <v>25 visits</v>
      </c>
      <c r="S260" t="str">
        <f t="shared" ca="1" si="52"/>
        <v>3500</v>
      </c>
      <c r="T260">
        <f t="shared" ca="1" si="53"/>
        <v>45910</v>
      </c>
      <c r="U260" s="2">
        <f t="shared" ca="1" si="54"/>
        <v>46006</v>
      </c>
    </row>
    <row r="261" spans="1:21">
      <c r="A261" t="str">
        <f t="shared" si="50"/>
        <v>MEM0260</v>
      </c>
      <c r="B261" t="str">
        <f ca="1">INDEX('Name pool'!A:A, RANDBETWEEN(2, COUNTA('Name pool'!A:A))) &amp; " " &amp; INDEX('Name pool'!B:B, RANDBETWEEN(2, COUNTA('Name pool'!B:B)))</f>
        <v>Priya Mathew</v>
      </c>
      <c r="C261" t="s">
        <v>79</v>
      </c>
      <c r="D261" t="str">
        <f t="shared" ca="1" si="49"/>
        <v>BR06</v>
      </c>
      <c r="E261" t="str">
        <f t="shared" ca="1" si="44"/>
        <v>Premium</v>
      </c>
      <c r="F261" s="2">
        <v>45010</v>
      </c>
      <c r="G261" s="2">
        <v>45375</v>
      </c>
      <c r="H261">
        <v>3500</v>
      </c>
      <c r="I261">
        <f t="shared" ca="1" si="45"/>
        <v>3500</v>
      </c>
      <c r="J261">
        <v>11</v>
      </c>
      <c r="K261" t="str">
        <f t="shared" ca="1" si="46"/>
        <v>No</v>
      </c>
      <c r="L261" t="str">
        <f t="shared" ca="1" si="47"/>
        <v>General Fitness</v>
      </c>
      <c r="M261" t="str">
        <f t="shared" ca="1" si="48"/>
        <v>Active</v>
      </c>
      <c r="N261" s="2">
        <v>45235</v>
      </c>
      <c r="Q261" t="str">
        <f ca="1">IF(RAND()&lt;0.2,
    IF(RAND()&lt;0.5, LOWER(C261), UPPER(C261)),
    C261
)</f>
        <v>Hyderabad</v>
      </c>
      <c r="R261">
        <f t="shared" ca="1" si="51"/>
        <v>11</v>
      </c>
      <c r="S261">
        <f t="shared" ca="1" si="52"/>
        <v>3500</v>
      </c>
      <c r="T261">
        <f t="shared" ca="1" si="53"/>
        <v>45613</v>
      </c>
      <c r="U261" s="2">
        <f t="shared" ca="1" si="54"/>
        <v>45235</v>
      </c>
    </row>
    <row r="262" spans="1:21">
      <c r="A262" t="str">
        <f t="shared" si="50"/>
        <v>MEM0261</v>
      </c>
      <c r="B262" t="str">
        <f ca="1">INDEX('Name pool'!A:A, RANDBETWEEN(2, COUNTA('Name pool'!A:A))) &amp; " " &amp; INDEX('Name pool'!B:B, RANDBETWEEN(2, COUNTA('Name pool'!B:B)))</f>
        <v>Karthik George</v>
      </c>
      <c r="C262" t="s">
        <v>77</v>
      </c>
      <c r="D262" t="str">
        <f t="shared" ca="1" si="49"/>
        <v>BR03</v>
      </c>
      <c r="E262" t="str">
        <f t="shared" ca="1" si="44"/>
        <v>Basic</v>
      </c>
      <c r="F262" s="2">
        <v>45350</v>
      </c>
      <c r="G262" s="2">
        <v>45440</v>
      </c>
      <c r="H262">
        <v>2000</v>
      </c>
      <c r="I262">
        <f t="shared" ca="1" si="45"/>
        <v>10000</v>
      </c>
      <c r="J262" t="s">
        <v>139</v>
      </c>
      <c r="K262" t="str">
        <f t="shared" ca="1" si="46"/>
        <v>Yes</v>
      </c>
      <c r="L262" t="str">
        <f t="shared" ca="1" si="47"/>
        <v>General Fitness</v>
      </c>
      <c r="M262" t="str">
        <f t="shared" ca="1" si="48"/>
        <v>Active</v>
      </c>
      <c r="N262" s="2">
        <v>45559</v>
      </c>
      <c r="Q262" t="str">
        <f ca="1">IF(RAND()&lt;0.2,
    IF(RAND()&lt;0.5, LOWER(C262), UPPER(C262)),
    C262
)</f>
        <v>Chennai</v>
      </c>
      <c r="R262" t="str">
        <f t="shared" ca="1" si="51"/>
        <v>2 visits visits</v>
      </c>
      <c r="S262">
        <f t="shared" ca="1" si="52"/>
        <v>2000</v>
      </c>
      <c r="T262">
        <f t="shared" ca="1" si="53"/>
        <v>45469</v>
      </c>
      <c r="U262" s="2">
        <f t="shared" ca="1" si="54"/>
        <v>45559</v>
      </c>
    </row>
    <row r="263" spans="1:21">
      <c r="A263" t="str">
        <f t="shared" si="50"/>
        <v>MEM0262</v>
      </c>
      <c r="B263" t="str">
        <f ca="1">INDEX('Name pool'!A:A, RANDBETWEEN(2, COUNTA('Name pool'!A:A))) &amp; " " &amp; INDEX('Name pool'!B:B, RANDBETWEEN(2, COUNTA('Name pool'!B:B)))</f>
        <v>Manoj Chatterjee</v>
      </c>
      <c r="C263" t="s">
        <v>73</v>
      </c>
      <c r="D263" t="str">
        <f t="shared" ca="1" si="49"/>
        <v>BR04</v>
      </c>
      <c r="E263" t="str">
        <f t="shared" ca="1" si="44"/>
        <v>Premium</v>
      </c>
      <c r="F263" s="2">
        <v>45433</v>
      </c>
      <c r="G263" s="2">
        <v>45523</v>
      </c>
      <c r="H263" t="s">
        <v>120</v>
      </c>
      <c r="I263">
        <f t="shared" ca="1" si="45"/>
        <v>8000</v>
      </c>
      <c r="J263">
        <v>3</v>
      </c>
      <c r="K263" t="str">
        <f t="shared" ca="1" si="46"/>
        <v>No</v>
      </c>
      <c r="L263" t="str">
        <f t="shared" ca="1" si="47"/>
        <v>Muscle Gain</v>
      </c>
      <c r="M263" t="str">
        <f t="shared" ca="1" si="48"/>
        <v>Cancelled</v>
      </c>
      <c r="N263" s="2">
        <v>45455</v>
      </c>
      <c r="Q263" t="str">
        <f ca="1">IF(RAND()&lt;0.2,
    IF(RAND()&lt;0.5, LOWER(C263), UPPER(C263)),
    C263
)</f>
        <v>Kochi</v>
      </c>
      <c r="R263">
        <f t="shared" ca="1" si="51"/>
        <v>3</v>
      </c>
      <c r="S263" t="str">
        <f t="shared" ca="1" si="52"/>
        <v>2000</v>
      </c>
      <c r="T263">
        <f t="shared" ca="1" si="53"/>
        <v>45229</v>
      </c>
      <c r="U263" s="2">
        <f t="shared" ca="1" si="54"/>
        <v>45455</v>
      </c>
    </row>
    <row r="264" spans="1:21">
      <c r="A264" t="str">
        <f t="shared" si="50"/>
        <v>MEM0263</v>
      </c>
      <c r="B264" t="str">
        <f ca="1">INDEX('Name pool'!A:A, RANDBETWEEN(2, COUNTA('Name pool'!A:A))) &amp; " " &amp; INDEX('Name pool'!B:B, RANDBETWEEN(2, COUNTA('Name pool'!B:B)))</f>
        <v>Harish Shaikh</v>
      </c>
      <c r="C264" t="s">
        <v>83</v>
      </c>
      <c r="D264" t="str">
        <f t="shared" ca="1" si="49"/>
        <v>BR05</v>
      </c>
      <c r="E264" t="str">
        <f t="shared" ca="1" si="44"/>
        <v>Standard</v>
      </c>
      <c r="F264" s="2">
        <v>45016</v>
      </c>
      <c r="G264" s="2">
        <v>45106</v>
      </c>
      <c r="H264">
        <v>2000</v>
      </c>
      <c r="I264">
        <f t="shared" ca="1" si="45"/>
        <v>12000</v>
      </c>
      <c r="J264">
        <v>18</v>
      </c>
      <c r="K264" t="str">
        <f t="shared" ca="1" si="46"/>
        <v>No</v>
      </c>
      <c r="L264" t="str">
        <f t="shared" ca="1" si="47"/>
        <v>Muscle Gain</v>
      </c>
      <c r="M264" t="str">
        <f t="shared" ca="1" si="48"/>
        <v>Active</v>
      </c>
      <c r="N264" s="2">
        <v>45592</v>
      </c>
      <c r="Q264" t="str">
        <f ca="1">IF(RAND()&lt;0.2,
    IF(RAND()&lt;0.5, LOWER(C264), UPPER(C264)),
    C264
)</f>
        <v>Trivandrum</v>
      </c>
      <c r="R264">
        <f t="shared" ca="1" si="51"/>
        <v>18</v>
      </c>
      <c r="S264">
        <f t="shared" ca="1" si="52"/>
        <v>2000</v>
      </c>
      <c r="T264">
        <f t="shared" ca="1" si="53"/>
        <v>45960</v>
      </c>
      <c r="U264" s="2">
        <f t="shared" ca="1" si="54"/>
        <v>45592</v>
      </c>
    </row>
    <row r="265" spans="1:21">
      <c r="A265" t="str">
        <f t="shared" si="50"/>
        <v>MEM0264</v>
      </c>
      <c r="B265" t="str">
        <f ca="1">INDEX('Name pool'!A:A, RANDBETWEEN(2, COUNTA('Name pool'!A:A))) &amp; " " &amp; INDEX('Name pool'!B:B, RANDBETWEEN(2, COUNTA('Name pool'!B:B)))</f>
        <v>Tanvi Joshi</v>
      </c>
      <c r="C265" t="s">
        <v>131</v>
      </c>
      <c r="D265" t="str">
        <f t="shared" ca="1" si="49"/>
        <v>BR04</v>
      </c>
      <c r="E265" t="str">
        <f t="shared" ca="1" si="44"/>
        <v>Basic</v>
      </c>
      <c r="F265" s="2">
        <v>45886</v>
      </c>
      <c r="G265" s="2">
        <v>46251</v>
      </c>
      <c r="H265">
        <v>1000</v>
      </c>
      <c r="I265">
        <f t="shared" ca="1" si="45"/>
        <v>2000</v>
      </c>
      <c r="J265" t="s">
        <v>138</v>
      </c>
      <c r="K265" t="str">
        <f t="shared" ca="1" si="46"/>
        <v>Yes</v>
      </c>
      <c r="L265" t="str">
        <f t="shared" ca="1" si="47"/>
        <v>Weight Loss</v>
      </c>
      <c r="M265" t="str">
        <f t="shared" ca="1" si="48"/>
        <v>Active</v>
      </c>
      <c r="N265" s="2">
        <v>45997</v>
      </c>
      <c r="Q265" t="str">
        <f ca="1">IF(RAND()&lt;0.2,
    IF(RAND()&lt;0.5, LOWER(C265), UPPER(C265)),
    C265
)</f>
        <v>BANGALORE</v>
      </c>
      <c r="R265" t="str">
        <f t="shared" ca="1" si="51"/>
        <v>1 visits</v>
      </c>
      <c r="S265">
        <f t="shared" ca="1" si="52"/>
        <v>1000</v>
      </c>
      <c r="T265">
        <f t="shared" ca="1" si="53"/>
        <v>45375</v>
      </c>
      <c r="U265" s="2">
        <f t="shared" ca="1" si="54"/>
        <v>45997</v>
      </c>
    </row>
    <row r="266" spans="1:21">
      <c r="A266" t="str">
        <f t="shared" si="50"/>
        <v>MEM0265</v>
      </c>
      <c r="B266" t="str">
        <f ca="1">INDEX('Name pool'!A:A, RANDBETWEEN(2, COUNTA('Name pool'!A:A))) &amp; " " &amp; INDEX('Name pool'!B:B, RANDBETWEEN(2, COUNTA('Name pool'!B:B)))</f>
        <v>Harish Desai</v>
      </c>
      <c r="C266" t="s">
        <v>77</v>
      </c>
      <c r="D266" t="str">
        <f t="shared" ca="1" si="49"/>
        <v>BR03</v>
      </c>
      <c r="E266" t="str">
        <f t="shared" ca="1" si="44"/>
        <v>Standard</v>
      </c>
      <c r="F266" s="2">
        <v>44927</v>
      </c>
      <c r="G266" s="2">
        <v>45017</v>
      </c>
      <c r="H266">
        <v>1000</v>
      </c>
      <c r="I266">
        <f t="shared" ca="1" si="45"/>
        <v>9000</v>
      </c>
      <c r="J266">
        <v>4</v>
      </c>
      <c r="K266" t="str">
        <f t="shared" ca="1" si="46"/>
        <v>No</v>
      </c>
      <c r="L266" t="str">
        <f t="shared" ca="1" si="47"/>
        <v>Weight Loss</v>
      </c>
      <c r="M266" t="str">
        <f t="shared" ca="1" si="48"/>
        <v>Cancelled</v>
      </c>
      <c r="N266" s="2">
        <v>45218</v>
      </c>
      <c r="Q266" t="str">
        <f ca="1">IF(RAND()&lt;0.2,
    IF(RAND()&lt;0.5, LOWER(C266), UPPER(C266)),
    C266
)</f>
        <v>CHENNAI</v>
      </c>
      <c r="R266">
        <f t="shared" ca="1" si="51"/>
        <v>4</v>
      </c>
      <c r="S266">
        <f t="shared" ca="1" si="52"/>
        <v>1000</v>
      </c>
      <c r="T266">
        <f t="shared" ca="1" si="53"/>
        <v>45940</v>
      </c>
      <c r="U266" s="2">
        <f t="shared" ca="1" si="54"/>
        <v>45218</v>
      </c>
    </row>
    <row r="267" spans="1:21">
      <c r="A267" t="str">
        <f t="shared" si="50"/>
        <v>MEM0266</v>
      </c>
      <c r="B267" t="str">
        <f ca="1">INDEX('Name pool'!A:A, RANDBETWEEN(2, COUNTA('Name pool'!A:A))) &amp; " " &amp; INDEX('Name pool'!B:B, RANDBETWEEN(2, COUNTA('Name pool'!B:B)))</f>
        <v>Lakshmi George</v>
      </c>
      <c r="C267" t="s">
        <v>75</v>
      </c>
      <c r="D267" t="str">
        <f t="shared" ca="1" si="49"/>
        <v>BR03</v>
      </c>
      <c r="E267" t="str">
        <f t="shared" ca="1" si="44"/>
        <v>Basic</v>
      </c>
      <c r="F267" s="2">
        <v>45633</v>
      </c>
      <c r="G267" s="2">
        <v>45998</v>
      </c>
      <c r="H267">
        <v>3500</v>
      </c>
      <c r="I267">
        <f t="shared" ca="1" si="45"/>
        <v>21000</v>
      </c>
      <c r="J267">
        <v>5</v>
      </c>
      <c r="K267" t="str">
        <f t="shared" ca="1" si="46"/>
        <v>Yes</v>
      </c>
      <c r="L267" t="str">
        <f t="shared" ca="1" si="47"/>
        <v>Muscle Gain</v>
      </c>
      <c r="M267" t="str">
        <f t="shared" ca="1" si="48"/>
        <v>Active</v>
      </c>
      <c r="N267" s="2">
        <v>45764</v>
      </c>
      <c r="Q267" t="str">
        <f ca="1">IF(RAND()&lt;0.2,
    IF(RAND()&lt;0.5, LOWER(C267), UPPER(C267)),
    C267
)</f>
        <v>Bangalore</v>
      </c>
      <c r="R267">
        <f t="shared" ca="1" si="51"/>
        <v>5</v>
      </c>
      <c r="S267">
        <f t="shared" ca="1" si="52"/>
        <v>3500</v>
      </c>
      <c r="T267">
        <f t="shared" ca="1" si="53"/>
        <v>45911</v>
      </c>
      <c r="U267" s="2">
        <f t="shared" ca="1" si="54"/>
        <v>45764</v>
      </c>
    </row>
    <row r="268" spans="1:21">
      <c r="A268" t="str">
        <f t="shared" si="50"/>
        <v>MEM0267</v>
      </c>
      <c r="B268" t="str">
        <f ca="1">INDEX('Name pool'!A:A, RANDBETWEEN(2, COUNTA('Name pool'!A:A))) &amp; " " &amp; INDEX('Name pool'!B:B, RANDBETWEEN(2, COUNTA('Name pool'!B:B)))</f>
        <v>Akash Iyer</v>
      </c>
      <c r="C268" t="s">
        <v>75</v>
      </c>
      <c r="D268" t="str">
        <f t="shared" ca="1" si="49"/>
        <v>BR04</v>
      </c>
      <c r="E268" t="str">
        <f t="shared" ca="1" si="44"/>
        <v>Standard</v>
      </c>
      <c r="F268" s="2">
        <v>45409</v>
      </c>
      <c r="G268" s="2">
        <v>45439</v>
      </c>
      <c r="H268" t="s">
        <v>105</v>
      </c>
      <c r="I268">
        <f t="shared" ca="1" si="45"/>
        <v>17500</v>
      </c>
      <c r="J268">
        <v>25</v>
      </c>
      <c r="K268" t="str">
        <f t="shared" ca="1" si="46"/>
        <v>Yes</v>
      </c>
      <c r="L268" t="str">
        <f t="shared" ca="1" si="47"/>
        <v>Muscle Gain</v>
      </c>
      <c r="M268" t="str">
        <f t="shared" ca="1" si="48"/>
        <v>Active</v>
      </c>
      <c r="N268" s="2">
        <v>46049</v>
      </c>
      <c r="Q268" t="str">
        <f ca="1">IF(RAND()&lt;0.2,
    IF(RAND()&lt;0.5, LOWER(C268), UPPER(C268)),
    C268
)</f>
        <v>Bangalore</v>
      </c>
      <c r="R268">
        <f t="shared" ca="1" si="51"/>
        <v>25</v>
      </c>
      <c r="S268" t="str">
        <f t="shared" ca="1" si="52"/>
        <v>3500</v>
      </c>
      <c r="T268">
        <f t="shared" ca="1" si="53"/>
        <v>45240</v>
      </c>
      <c r="U268" s="2">
        <f t="shared" ca="1" si="54"/>
        <v>46049</v>
      </c>
    </row>
    <row r="269" spans="1:21">
      <c r="A269" t="str">
        <f t="shared" si="50"/>
        <v>MEM0268</v>
      </c>
      <c r="B269" t="str">
        <f ca="1">INDEX('Name pool'!A:A, RANDBETWEEN(2, COUNTA('Name pool'!A:A))) &amp; " " &amp; INDEX('Name pool'!B:B, RANDBETWEEN(2, COUNTA('Name pool'!B:B)))</f>
        <v>Riya Joshi</v>
      </c>
      <c r="C269" t="s">
        <v>73</v>
      </c>
      <c r="D269" t="str">
        <f t="shared" ca="1" si="49"/>
        <v>BR02</v>
      </c>
      <c r="E269" t="str">
        <f t="shared" ca="1" si="44"/>
        <v>Basic</v>
      </c>
      <c r="F269" s="2">
        <v>45342</v>
      </c>
      <c r="G269" s="2">
        <v>45707</v>
      </c>
      <c r="H269">
        <v>3500</v>
      </c>
      <c r="I269">
        <f t="shared" ca="1" si="45"/>
        <v>3500</v>
      </c>
      <c r="J269" t="s">
        <v>113</v>
      </c>
      <c r="K269" t="str">
        <f t="shared" ca="1" si="46"/>
        <v>No</v>
      </c>
      <c r="L269" t="str">
        <f t="shared" ca="1" si="47"/>
        <v>Weight Loss</v>
      </c>
      <c r="M269" t="str">
        <f t="shared" ca="1" si="48"/>
        <v>Active</v>
      </c>
      <c r="N269" s="2">
        <v>46012</v>
      </c>
      <c r="Q269" t="str">
        <f ca="1">IF(RAND()&lt;0.2,
    IF(RAND()&lt;0.5, LOWER(C269), UPPER(C269)),
    C269
)</f>
        <v>Kochi</v>
      </c>
      <c r="R269" t="str">
        <f t="shared" ca="1" si="51"/>
        <v>17 visits</v>
      </c>
      <c r="S269">
        <f t="shared" ca="1" si="52"/>
        <v>3500</v>
      </c>
      <c r="T269">
        <f t="shared" ca="1" si="53"/>
        <v>44944</v>
      </c>
      <c r="U269" s="2">
        <f t="shared" ca="1" si="54"/>
        <v>46012</v>
      </c>
    </row>
    <row r="270" spans="1:21">
      <c r="A270" t="str">
        <f t="shared" si="50"/>
        <v>MEM0269</v>
      </c>
      <c r="B270" t="str">
        <f ca="1">INDEX('Name pool'!A:A, RANDBETWEEN(2, COUNTA('Name pool'!A:A))) &amp; " " &amp; INDEX('Name pool'!B:B, RANDBETWEEN(2, COUNTA('Name pool'!B:B)))</f>
        <v>Zara Joseph</v>
      </c>
      <c r="C270" t="s">
        <v>83</v>
      </c>
      <c r="D270" t="str">
        <f t="shared" ca="1" si="49"/>
        <v>BR06</v>
      </c>
      <c r="E270" t="str">
        <f t="shared" ca="1" si="44"/>
        <v>Basic</v>
      </c>
      <c r="F270" s="2">
        <v>45038</v>
      </c>
      <c r="G270" s="2">
        <v>45128</v>
      </c>
      <c r="H270" t="s">
        <v>108</v>
      </c>
      <c r="I270">
        <f t="shared" ca="1" si="45"/>
        <v>5000</v>
      </c>
      <c r="J270" t="s">
        <v>130</v>
      </c>
      <c r="K270" t="str">
        <f t="shared" ca="1" si="46"/>
        <v>No</v>
      </c>
      <c r="L270" t="str">
        <f t="shared" ca="1" si="47"/>
        <v>General Fitness</v>
      </c>
      <c r="M270" t="str">
        <f t="shared" ca="1" si="48"/>
        <v>Active</v>
      </c>
      <c r="N270" s="2">
        <v>46074</v>
      </c>
      <c r="Q270" t="str">
        <f ca="1">IF(RAND()&lt;0.2,
    IF(RAND()&lt;0.5, LOWER(C270), UPPER(C270)),
    C270
)</f>
        <v>Trivandrum</v>
      </c>
      <c r="R270" t="str">
        <f t="shared" ca="1" si="51"/>
        <v>6 visits</v>
      </c>
      <c r="S270" t="str">
        <f t="shared" ca="1" si="52"/>
        <v>1000</v>
      </c>
      <c r="T270">
        <f t="shared" ca="1" si="53"/>
        <v>44985</v>
      </c>
      <c r="U270" s="2">
        <f t="shared" ca="1" si="54"/>
        <v>46074</v>
      </c>
    </row>
    <row r="271" spans="1:21">
      <c r="A271" t="str">
        <f t="shared" si="50"/>
        <v>MEM0270</v>
      </c>
      <c r="B271" t="str">
        <f ca="1">INDEX('Name pool'!A:A, RANDBETWEEN(2, COUNTA('Name pool'!A:A))) &amp; " " &amp; INDEX('Name pool'!B:B, RANDBETWEEN(2, COUNTA('Name pool'!B:B)))</f>
        <v>Akash Thomas</v>
      </c>
      <c r="C271" t="s">
        <v>77</v>
      </c>
      <c r="D271" t="str">
        <f t="shared" ca="1" si="49"/>
        <v>BR05</v>
      </c>
      <c r="E271" t="str">
        <f t="shared" ca="1" si="44"/>
        <v>Premium</v>
      </c>
      <c r="F271" s="2">
        <v>45447</v>
      </c>
      <c r="G271" s="2">
        <v>45477</v>
      </c>
      <c r="H271">
        <v>2000</v>
      </c>
      <c r="I271">
        <f t="shared" ca="1" si="45"/>
        <v>8000</v>
      </c>
      <c r="J271">
        <v>15</v>
      </c>
      <c r="K271" t="str">
        <f t="shared" ca="1" si="46"/>
        <v>Yes</v>
      </c>
      <c r="L271" t="str">
        <f t="shared" ca="1" si="47"/>
        <v>Weight Loss</v>
      </c>
      <c r="M271" t="str">
        <f t="shared" ca="1" si="48"/>
        <v>Active</v>
      </c>
      <c r="N271" s="2">
        <v>45982</v>
      </c>
      <c r="Q271" t="str">
        <f ca="1">IF(RAND()&lt;0.2,
    IF(RAND()&lt;0.5, LOWER(C271), UPPER(C271)),
    C271
)</f>
        <v>Chennai</v>
      </c>
      <c r="R271">
        <f t="shared" ca="1" si="51"/>
        <v>15</v>
      </c>
      <c r="S271">
        <f t="shared" ca="1" si="52"/>
        <v>2000</v>
      </c>
      <c r="T271">
        <f t="shared" ca="1" si="53"/>
        <v>45162</v>
      </c>
      <c r="U271" s="2">
        <f t="shared" ca="1" si="54"/>
        <v>45982</v>
      </c>
    </row>
    <row r="272" spans="1:21">
      <c r="A272" t="str">
        <f t="shared" si="50"/>
        <v>MEM0271</v>
      </c>
      <c r="B272" t="str">
        <f ca="1">INDEX('Name pool'!A:A, RANDBETWEEN(2, COUNTA('Name pool'!A:A))) &amp; " " &amp; INDEX('Name pool'!B:B, RANDBETWEEN(2, COUNTA('Name pool'!B:B)))</f>
        <v>Divya George</v>
      </c>
      <c r="C272" t="s">
        <v>77</v>
      </c>
      <c r="D272" t="str">
        <f t="shared" ca="1" si="49"/>
        <v>BR03</v>
      </c>
      <c r="E272" t="str">
        <f t="shared" ca="1" si="44"/>
        <v>Standard</v>
      </c>
      <c r="F272" s="2">
        <v>45457</v>
      </c>
      <c r="G272" s="2">
        <v>45547</v>
      </c>
      <c r="H272">
        <v>2000</v>
      </c>
      <c r="I272">
        <f t="shared" ca="1" si="45"/>
        <v>8000</v>
      </c>
      <c r="J272" t="s">
        <v>113</v>
      </c>
      <c r="K272" t="str">
        <f t="shared" ca="1" si="46"/>
        <v>No</v>
      </c>
      <c r="L272" t="str">
        <f t="shared" ca="1" si="47"/>
        <v>Muscle Gain</v>
      </c>
      <c r="M272" t="str">
        <f t="shared" ca="1" si="48"/>
        <v>Active</v>
      </c>
      <c r="N272" s="2">
        <v>45883</v>
      </c>
      <c r="Q272" t="str">
        <f ca="1">IF(RAND()&lt;0.2,
    IF(RAND()&lt;0.5, LOWER(C272), UPPER(C272)),
    C272
)</f>
        <v>Chennai</v>
      </c>
      <c r="R272" t="str">
        <f t="shared" ca="1" si="51"/>
        <v>17 visits</v>
      </c>
      <c r="S272">
        <f t="shared" ca="1" si="52"/>
        <v>2000</v>
      </c>
      <c r="T272">
        <f t="shared" ca="1" si="53"/>
        <v>45905</v>
      </c>
      <c r="U272" s="2">
        <f t="shared" ca="1" si="54"/>
        <v>45883</v>
      </c>
    </row>
    <row r="273" spans="1:21">
      <c r="A273" t="str">
        <f t="shared" si="50"/>
        <v>MEM0272</v>
      </c>
      <c r="B273" t="str">
        <f ca="1">INDEX('Name pool'!A:A, RANDBETWEEN(2, COUNTA('Name pool'!A:A))) &amp; " " &amp; INDEX('Name pool'!B:B, RANDBETWEEN(2, COUNTA('Name pool'!B:B)))</f>
        <v>Akash Malhotra</v>
      </c>
      <c r="C273" t="s">
        <v>77</v>
      </c>
      <c r="D273" t="str">
        <f t="shared" ca="1" si="49"/>
        <v>BR02</v>
      </c>
      <c r="E273" t="str">
        <f t="shared" ca="1" si="44"/>
        <v>Basic</v>
      </c>
      <c r="F273" s="2">
        <v>45220</v>
      </c>
      <c r="G273" s="2">
        <v>45310</v>
      </c>
      <c r="H273" t="s">
        <v>108</v>
      </c>
      <c r="I273">
        <f t="shared" ca="1" si="45"/>
        <v>10000</v>
      </c>
      <c r="J273">
        <v>8</v>
      </c>
      <c r="K273" t="str">
        <f t="shared" ca="1" si="46"/>
        <v>No</v>
      </c>
      <c r="L273" t="str">
        <f t="shared" ca="1" si="47"/>
        <v>General Fitness</v>
      </c>
      <c r="M273" t="str">
        <f t="shared" ca="1" si="48"/>
        <v>Active</v>
      </c>
      <c r="N273" s="2">
        <v>45658</v>
      </c>
      <c r="Q273" t="str">
        <f ca="1">IF(RAND()&lt;0.2,
    IF(RAND()&lt;0.5, LOWER(C273), UPPER(C273)),
    C273
)</f>
        <v>Chennai</v>
      </c>
      <c r="R273">
        <f t="shared" ca="1" si="51"/>
        <v>8</v>
      </c>
      <c r="S273" t="str">
        <f t="shared" ca="1" si="52"/>
        <v>1000</v>
      </c>
      <c r="T273">
        <f t="shared" ca="1" si="53"/>
        <v>45827</v>
      </c>
      <c r="U273" s="2">
        <f t="shared" ca="1" si="54"/>
        <v>45658</v>
      </c>
    </row>
    <row r="274" spans="1:21">
      <c r="A274" t="str">
        <f t="shared" si="50"/>
        <v>MEM0273</v>
      </c>
      <c r="B274" t="str">
        <f ca="1">INDEX('Name pool'!A:A, RANDBETWEEN(2, COUNTA('Name pool'!A:A))) &amp; " " &amp; INDEX('Name pool'!B:B, RANDBETWEEN(2, COUNTA('Name pool'!B:B)))</f>
        <v>Aditya Fernandes</v>
      </c>
      <c r="C274" t="s">
        <v>73</v>
      </c>
      <c r="D274" t="str">
        <f t="shared" ca="1" si="49"/>
        <v>BR07</v>
      </c>
      <c r="E274" t="str">
        <f t="shared" ca="1" si="44"/>
        <v>Basic</v>
      </c>
      <c r="F274" s="2">
        <v>46016</v>
      </c>
      <c r="G274" s="2">
        <v>46381</v>
      </c>
      <c r="H274">
        <v>2000</v>
      </c>
      <c r="I274">
        <f t="shared" ca="1" si="45"/>
        <v>24000</v>
      </c>
      <c r="J274">
        <v>4</v>
      </c>
      <c r="K274" t="str">
        <f t="shared" ca="1" si="46"/>
        <v>No</v>
      </c>
      <c r="L274" t="str">
        <f t="shared" ca="1" si="47"/>
        <v>Muscle Gain</v>
      </c>
      <c r="M274" t="str">
        <f t="shared" ca="1" si="48"/>
        <v>Cancelled</v>
      </c>
      <c r="N274" s="2">
        <v>46057</v>
      </c>
      <c r="Q274" t="str">
        <f ca="1">IF(RAND()&lt;0.2,
    IF(RAND()&lt;0.5, LOWER(C274), UPPER(C274)),
    C274
)</f>
        <v>Kochi</v>
      </c>
      <c r="R274">
        <f t="shared" ca="1" si="51"/>
        <v>4</v>
      </c>
      <c r="S274" t="str">
        <f t="shared" ca="1" si="52"/>
        <v>2000</v>
      </c>
      <c r="T274">
        <f t="shared" ca="1" si="53"/>
        <v>45052</v>
      </c>
      <c r="U274" s="2">
        <f t="shared" ca="1" si="54"/>
        <v>46057</v>
      </c>
    </row>
    <row r="275" spans="1:21">
      <c r="A275" t="str">
        <f t="shared" si="50"/>
        <v>MEM0274</v>
      </c>
      <c r="B275" t="str">
        <f ca="1">INDEX('Name pool'!A:A, RANDBETWEEN(2, COUNTA('Name pool'!A:A))) &amp; " " &amp; INDEX('Name pool'!B:B, RANDBETWEEN(2, COUNTA('Name pool'!B:B)))</f>
        <v>Deepak Singh</v>
      </c>
      <c r="C275" t="s">
        <v>85</v>
      </c>
      <c r="D275" t="str">
        <f t="shared" ca="1" si="49"/>
        <v>BR06</v>
      </c>
      <c r="E275" t="str">
        <f t="shared" ca="1" si="44"/>
        <v>Premium</v>
      </c>
      <c r="F275" s="2">
        <v>45085</v>
      </c>
      <c r="G275" s="2">
        <v>45175</v>
      </c>
      <c r="H275">
        <v>1000</v>
      </c>
      <c r="I275">
        <f t="shared" ca="1" si="45"/>
        <v>7000</v>
      </c>
      <c r="J275" t="s">
        <v>134</v>
      </c>
      <c r="K275" t="str">
        <f t="shared" ca="1" si="46"/>
        <v>No</v>
      </c>
      <c r="L275" t="str">
        <f t="shared" ca="1" si="47"/>
        <v>Weight Loss</v>
      </c>
      <c r="M275" t="str">
        <f t="shared" ca="1" si="48"/>
        <v>Active</v>
      </c>
      <c r="N275" s="2">
        <v>45725</v>
      </c>
      <c r="Q275" t="str">
        <f ca="1">IF(RAND()&lt;0.2,
    IF(RAND()&lt;0.5, LOWER(C275), UPPER(C275)),
    C275
)</f>
        <v>Calicut</v>
      </c>
      <c r="R275" t="str">
        <f t="shared" ca="1" si="51"/>
        <v>4 visits</v>
      </c>
      <c r="S275">
        <f t="shared" ca="1" si="52"/>
        <v>1000</v>
      </c>
      <c r="T275">
        <f t="shared" ca="1" si="53"/>
        <v>45843</v>
      </c>
      <c r="U275" s="2">
        <f t="shared" ca="1" si="54"/>
        <v>45725</v>
      </c>
    </row>
    <row r="276" spans="1:21">
      <c r="A276" t="str">
        <f t="shared" si="50"/>
        <v>MEM0275</v>
      </c>
      <c r="B276" t="str">
        <f ca="1">INDEX('Name pool'!A:A, RANDBETWEEN(2, COUNTA('Name pool'!A:A))) &amp; " " &amp; INDEX('Name pool'!B:B, RANDBETWEEN(2, COUNTA('Name pool'!B:B)))</f>
        <v>Swathi Iyer</v>
      </c>
      <c r="C276" t="s">
        <v>73</v>
      </c>
      <c r="D276" t="str">
        <f t="shared" ca="1" si="49"/>
        <v>BR05</v>
      </c>
      <c r="E276" t="str">
        <f t="shared" ca="1" si="44"/>
        <v>Basic</v>
      </c>
      <c r="F276" s="2">
        <v>45133</v>
      </c>
      <c r="G276" s="2">
        <v>45498</v>
      </c>
      <c r="H276">
        <v>1000</v>
      </c>
      <c r="I276">
        <f t="shared" ca="1" si="45"/>
        <v>3000</v>
      </c>
      <c r="J276" t="s">
        <v>109</v>
      </c>
      <c r="K276" t="str">
        <f t="shared" ca="1" si="46"/>
        <v>No</v>
      </c>
      <c r="L276" t="str">
        <f t="shared" ca="1" si="47"/>
        <v>Weight Loss</v>
      </c>
      <c r="M276" t="str">
        <f t="shared" ca="1" si="48"/>
        <v>Active</v>
      </c>
      <c r="N276" s="2">
        <v>45213</v>
      </c>
      <c r="Q276" t="str">
        <f ca="1">IF(RAND()&lt;0.2,
    IF(RAND()&lt;0.5, LOWER(C276), UPPER(C276)),
    C276
)</f>
        <v>KOCHI</v>
      </c>
      <c r="R276" t="str">
        <f t="shared" ca="1" si="51"/>
        <v>8 visits</v>
      </c>
      <c r="S276">
        <f t="shared" ca="1" si="52"/>
        <v>1000</v>
      </c>
      <c r="T276">
        <f t="shared" ca="1" si="53"/>
        <v>45817</v>
      </c>
      <c r="U276" s="2">
        <f t="shared" ca="1" si="54"/>
        <v>45213</v>
      </c>
    </row>
    <row r="277" spans="1:21">
      <c r="A277" t="str">
        <f t="shared" si="50"/>
        <v>MEM0276</v>
      </c>
      <c r="B277" t="str">
        <f ca="1">INDEX('Name pool'!A:A, RANDBETWEEN(2, COUNTA('Name pool'!A:A))) &amp; " " &amp; INDEX('Name pool'!B:B, RANDBETWEEN(2, COUNTA('Name pool'!B:B)))</f>
        <v>Meera Das</v>
      </c>
      <c r="C277" t="s">
        <v>116</v>
      </c>
      <c r="D277" t="str">
        <f t="shared" ca="1" si="49"/>
        <v>BR02</v>
      </c>
      <c r="E277" t="str">
        <f t="shared" ca="1" si="44"/>
        <v>Premium</v>
      </c>
      <c r="F277" s="2">
        <v>45350</v>
      </c>
      <c r="G277" s="2">
        <v>45440</v>
      </c>
      <c r="H277">
        <v>3500</v>
      </c>
      <c r="I277">
        <f t="shared" ca="1" si="45"/>
        <v>38500</v>
      </c>
      <c r="J277">
        <v>25</v>
      </c>
      <c r="K277" t="str">
        <f t="shared" ca="1" si="46"/>
        <v>No</v>
      </c>
      <c r="L277" t="str">
        <f t="shared" ca="1" si="47"/>
        <v>General Fitness</v>
      </c>
      <c r="M277" t="str">
        <f t="shared" ca="1" si="48"/>
        <v>Active</v>
      </c>
      <c r="N277" s="2">
        <v>45711</v>
      </c>
      <c r="Q277" t="str">
        <f ca="1">IF(RAND()&lt;0.2,
    IF(RAND()&lt;0.5, LOWER(C277), UPPER(C277)),
    C277
)</f>
        <v>kochi</v>
      </c>
      <c r="R277">
        <f t="shared" ca="1" si="51"/>
        <v>25</v>
      </c>
      <c r="S277">
        <f t="shared" ca="1" si="52"/>
        <v>3500</v>
      </c>
      <c r="T277">
        <f t="shared" ca="1" si="53"/>
        <v>45751</v>
      </c>
      <c r="U277" s="2">
        <f t="shared" ca="1" si="54"/>
        <v>45711</v>
      </c>
    </row>
    <row r="278" spans="1:21">
      <c r="A278" t="str">
        <f t="shared" si="50"/>
        <v>MEM0277</v>
      </c>
      <c r="B278" t="str">
        <f ca="1">INDEX('Name pool'!A:A, RANDBETWEEN(2, COUNTA('Name pool'!A:A))) &amp; " " &amp; INDEX('Name pool'!B:B, RANDBETWEEN(2, COUNTA('Name pool'!B:B)))</f>
        <v>Swathi Nambiar</v>
      </c>
      <c r="C278" t="s">
        <v>123</v>
      </c>
      <c r="D278" t="str">
        <f t="shared" ca="1" si="49"/>
        <v>BR05</v>
      </c>
      <c r="E278" t="str">
        <f t="shared" ca="1" si="44"/>
        <v>Premium</v>
      </c>
      <c r="F278" s="2">
        <v>45096</v>
      </c>
      <c r="G278" s="2">
        <v>45126</v>
      </c>
      <c r="H278">
        <v>1000</v>
      </c>
      <c r="I278">
        <f t="shared" ca="1" si="45"/>
        <v>2000</v>
      </c>
      <c r="J278">
        <v>21</v>
      </c>
      <c r="K278" t="str">
        <f t="shared" ca="1" si="46"/>
        <v>Yes</v>
      </c>
      <c r="L278" t="str">
        <f t="shared" ca="1" si="47"/>
        <v>General Fitness</v>
      </c>
      <c r="M278" t="str">
        <f t="shared" ca="1" si="48"/>
        <v>Active</v>
      </c>
      <c r="N278" s="2">
        <v>45137</v>
      </c>
      <c r="Q278" t="str">
        <f ca="1">IF(RAND()&lt;0.2,
    IF(RAND()&lt;0.5, LOWER(C278), UPPER(C278)),
    C278
)</f>
        <v>KOCHI</v>
      </c>
      <c r="R278">
        <f t="shared" ca="1" si="51"/>
        <v>21</v>
      </c>
      <c r="S278">
        <f t="shared" ca="1" si="52"/>
        <v>1000</v>
      </c>
      <c r="T278">
        <f t="shared" ca="1" si="53"/>
        <v>44989</v>
      </c>
      <c r="U278" s="2">
        <f t="shared" ca="1" si="54"/>
        <v>45137</v>
      </c>
    </row>
    <row r="279" spans="1:21">
      <c r="A279" t="str">
        <f t="shared" si="50"/>
        <v>MEM0278</v>
      </c>
      <c r="B279" t="str">
        <f ca="1">INDEX('Name pool'!A:A, RANDBETWEEN(2, COUNTA('Name pool'!A:A))) &amp; " " &amp; INDEX('Name pool'!B:B, RANDBETWEEN(2, COUNTA('Name pool'!B:B)))</f>
        <v>Vivek Bhat</v>
      </c>
      <c r="C279" t="s">
        <v>81</v>
      </c>
      <c r="D279" t="str">
        <f t="shared" ca="1" si="49"/>
        <v>BR05</v>
      </c>
      <c r="E279" t="str">
        <f t="shared" ca="1" si="44"/>
        <v>Standard</v>
      </c>
      <c r="F279" s="2">
        <v>45917</v>
      </c>
      <c r="G279" s="2">
        <v>46007</v>
      </c>
      <c r="H279">
        <v>3500</v>
      </c>
      <c r="I279">
        <f t="shared" ca="1" si="45"/>
        <v>14000</v>
      </c>
      <c r="J279">
        <v>2</v>
      </c>
      <c r="K279" t="str">
        <f t="shared" ca="1" si="46"/>
        <v>Yes</v>
      </c>
      <c r="L279" t="str">
        <f t="shared" ca="1" si="47"/>
        <v>Muscle Gain</v>
      </c>
      <c r="M279" t="str">
        <f t="shared" ca="1" si="48"/>
        <v>Active</v>
      </c>
      <c r="N279" s="2">
        <v>45940</v>
      </c>
      <c r="Q279" t="str">
        <f ca="1">IF(RAND()&lt;0.2,
    IF(RAND()&lt;0.5, LOWER(C279), UPPER(C279)),
    C279
)</f>
        <v>Mumbai</v>
      </c>
      <c r="R279">
        <f t="shared" ca="1" si="51"/>
        <v>2</v>
      </c>
      <c r="S279">
        <f t="shared" ca="1" si="52"/>
        <v>3500</v>
      </c>
      <c r="T279">
        <f t="shared" ca="1" si="53"/>
        <v>45272</v>
      </c>
      <c r="U279" s="2">
        <f t="shared" ca="1" si="54"/>
        <v>45940</v>
      </c>
    </row>
    <row r="280" spans="1:21">
      <c r="A280" t="str">
        <f t="shared" si="50"/>
        <v>MEM0279</v>
      </c>
      <c r="B280" t="str">
        <f ca="1">INDEX('Name pool'!A:A, RANDBETWEEN(2, COUNTA('Name pool'!A:A))) &amp; " " &amp; INDEX('Name pool'!B:B, RANDBETWEEN(2, COUNTA('Name pool'!B:B)))</f>
        <v>Arjun Gupta</v>
      </c>
      <c r="C280" t="s">
        <v>81</v>
      </c>
      <c r="D280" t="str">
        <f t="shared" ca="1" si="49"/>
        <v>BR06</v>
      </c>
      <c r="E280" t="str">
        <f t="shared" ca="1" si="44"/>
        <v>Standard</v>
      </c>
      <c r="F280" s="2">
        <v>45797</v>
      </c>
      <c r="G280" s="2">
        <v>46162</v>
      </c>
      <c r="H280">
        <v>3500</v>
      </c>
      <c r="I280">
        <f t="shared" ca="1" si="45"/>
        <v>31500</v>
      </c>
      <c r="J280">
        <v>23</v>
      </c>
      <c r="K280" t="str">
        <f t="shared" ca="1" si="46"/>
        <v>No</v>
      </c>
      <c r="L280" t="str">
        <f t="shared" ca="1" si="47"/>
        <v>General Fitness</v>
      </c>
      <c r="M280" t="str">
        <f t="shared" ca="1" si="48"/>
        <v>Active</v>
      </c>
      <c r="N280" s="2">
        <v>45819</v>
      </c>
      <c r="Q280" t="str">
        <f ca="1">IF(RAND()&lt;0.2,
    IF(RAND()&lt;0.5, LOWER(C280), UPPER(C280)),
    C280
)</f>
        <v>Mumbai</v>
      </c>
      <c r="R280">
        <f t="shared" ca="1" si="51"/>
        <v>23</v>
      </c>
      <c r="S280">
        <f t="shared" ca="1" si="52"/>
        <v>3500</v>
      </c>
      <c r="T280">
        <f t="shared" ca="1" si="53"/>
        <v>45028</v>
      </c>
      <c r="U280" s="2">
        <f t="shared" ca="1" si="54"/>
        <v>45819</v>
      </c>
    </row>
    <row r="281" spans="1:21">
      <c r="A281" t="str">
        <f t="shared" si="50"/>
        <v>MEM0280</v>
      </c>
      <c r="B281" t="str">
        <f ca="1">INDEX('Name pool'!A:A, RANDBETWEEN(2, COUNTA('Name pool'!A:A))) &amp; " " &amp; INDEX('Name pool'!B:B, RANDBETWEEN(2, COUNTA('Name pool'!B:B)))</f>
        <v>Harish Verma</v>
      </c>
      <c r="C281" t="s">
        <v>123</v>
      </c>
      <c r="D281" t="str">
        <f t="shared" ca="1" si="49"/>
        <v>BR06</v>
      </c>
      <c r="E281" t="str">
        <f t="shared" ca="1" si="44"/>
        <v>Premium</v>
      </c>
      <c r="F281" s="2">
        <v>45573</v>
      </c>
      <c r="G281" s="2">
        <v>45663</v>
      </c>
      <c r="H281">
        <v>2000</v>
      </c>
      <c r="I281">
        <f t="shared" ca="1" si="45"/>
        <v>10000</v>
      </c>
      <c r="J281">
        <v>15</v>
      </c>
      <c r="K281" t="str">
        <f t="shared" ca="1" si="46"/>
        <v>Yes</v>
      </c>
      <c r="L281" t="str">
        <f t="shared" ca="1" si="47"/>
        <v>General Fitness</v>
      </c>
      <c r="M281" t="str">
        <f t="shared" ca="1" si="48"/>
        <v>Active</v>
      </c>
      <c r="N281" s="2">
        <v>46121</v>
      </c>
      <c r="Q281" t="str">
        <f ca="1">IF(RAND()&lt;0.2,
    IF(RAND()&lt;0.5, LOWER(C281), UPPER(C281)),
    C281
)</f>
        <v>kochi</v>
      </c>
      <c r="R281">
        <f t="shared" ca="1" si="51"/>
        <v>15</v>
      </c>
      <c r="S281">
        <f t="shared" ca="1" si="52"/>
        <v>2000</v>
      </c>
      <c r="T281">
        <f t="shared" ca="1" si="53"/>
        <v>45947</v>
      </c>
      <c r="U281" s="2">
        <f t="shared" ca="1" si="54"/>
        <v>46121</v>
      </c>
    </row>
    <row r="282" spans="1:21">
      <c r="A282" t="str">
        <f t="shared" si="50"/>
        <v>MEM0281</v>
      </c>
      <c r="B282" t="str">
        <f ca="1">INDEX('Name pool'!A:A, RANDBETWEEN(2, COUNTA('Name pool'!A:A))) &amp; " " &amp; INDEX('Name pool'!B:B, RANDBETWEEN(2, COUNTA('Name pool'!B:B)))</f>
        <v>Riya Shetty</v>
      </c>
      <c r="C282" t="s">
        <v>81</v>
      </c>
      <c r="D282" t="str">
        <f t="shared" ca="1" si="49"/>
        <v>BR07</v>
      </c>
      <c r="E282" t="str">
        <f t="shared" ca="1" si="44"/>
        <v>Basic</v>
      </c>
      <c r="F282" s="2">
        <v>45023</v>
      </c>
      <c r="G282" s="2">
        <v>45053</v>
      </c>
      <c r="H282">
        <v>2000</v>
      </c>
      <c r="I282">
        <f t="shared" ca="1" si="45"/>
        <v>14000</v>
      </c>
      <c r="J282">
        <v>2</v>
      </c>
      <c r="K282" t="str">
        <f t="shared" ca="1" si="46"/>
        <v>Yes</v>
      </c>
      <c r="L282" t="str">
        <f t="shared" ca="1" si="47"/>
        <v>General Fitness</v>
      </c>
      <c r="M282" t="str">
        <f t="shared" ca="1" si="48"/>
        <v>Cancelled</v>
      </c>
      <c r="N282" s="2">
        <v>45064</v>
      </c>
      <c r="Q282" t="str">
        <f ca="1">IF(RAND()&lt;0.2,
    IF(RAND()&lt;0.5, LOWER(C282), UPPER(C282)),
    C282
)</f>
        <v>Mumbai</v>
      </c>
      <c r="R282">
        <f t="shared" ca="1" si="51"/>
        <v>2</v>
      </c>
      <c r="S282">
        <f t="shared" ca="1" si="52"/>
        <v>2000</v>
      </c>
      <c r="T282">
        <f t="shared" ca="1" si="53"/>
        <v>45343</v>
      </c>
      <c r="U282" s="2">
        <f t="shared" ca="1" si="54"/>
        <v>45064</v>
      </c>
    </row>
    <row r="283" spans="1:21">
      <c r="A283" t="str">
        <f t="shared" si="50"/>
        <v>MEM0282</v>
      </c>
      <c r="B283" t="str">
        <f ca="1">INDEX('Name pool'!A:A, RANDBETWEEN(2, COUNTA('Name pool'!A:A))) &amp; " " &amp; INDEX('Name pool'!B:B, RANDBETWEEN(2, COUNTA('Name pool'!B:B)))</f>
        <v>Ayesha Joshi</v>
      </c>
      <c r="C283" t="s">
        <v>81</v>
      </c>
      <c r="D283" t="str">
        <f t="shared" ca="1" si="49"/>
        <v>BR02</v>
      </c>
      <c r="E283" t="str">
        <f t="shared" ca="1" si="44"/>
        <v>Basic</v>
      </c>
      <c r="F283" s="2">
        <v>45147</v>
      </c>
      <c r="G283" s="2">
        <v>45512</v>
      </c>
      <c r="H283">
        <v>1000</v>
      </c>
      <c r="I283">
        <f t="shared" ca="1" si="45"/>
        <v>7000</v>
      </c>
      <c r="J283">
        <v>8</v>
      </c>
      <c r="K283" t="str">
        <f t="shared" ca="1" si="46"/>
        <v>No</v>
      </c>
      <c r="L283" t="str">
        <f t="shared" ca="1" si="47"/>
        <v>Weight Loss</v>
      </c>
      <c r="M283" t="str">
        <f t="shared" ca="1" si="48"/>
        <v>Active</v>
      </c>
      <c r="N283" s="2">
        <v>45330</v>
      </c>
      <c r="Q283" t="str">
        <f ca="1">IF(RAND()&lt;0.2,
    IF(RAND()&lt;0.5, LOWER(C283), UPPER(C283)),
    C283
)</f>
        <v>Mumbai</v>
      </c>
      <c r="R283">
        <f t="shared" ca="1" si="51"/>
        <v>8</v>
      </c>
      <c r="S283">
        <f t="shared" ca="1" si="52"/>
        <v>1000</v>
      </c>
      <c r="T283">
        <f t="shared" ca="1" si="53"/>
        <v>44928</v>
      </c>
      <c r="U283" s="2">
        <f t="shared" ca="1" si="54"/>
        <v>45330</v>
      </c>
    </row>
    <row r="284" spans="1:21">
      <c r="A284" t="str">
        <f t="shared" si="50"/>
        <v>MEM0283</v>
      </c>
      <c r="B284" t="str">
        <f ca="1">INDEX('Name pool'!A:A, RANDBETWEEN(2, COUNTA('Name pool'!A:A))) &amp; " " &amp; INDEX('Name pool'!B:B, RANDBETWEEN(2, COUNTA('Name pool'!B:B)))</f>
        <v>Lakshmi Shaikh</v>
      </c>
      <c r="C284" t="s">
        <v>77</v>
      </c>
      <c r="D284" t="str">
        <f t="shared" ca="1" si="49"/>
        <v>BR04</v>
      </c>
      <c r="E284" t="str">
        <f t="shared" ca="1" si="44"/>
        <v>Standard</v>
      </c>
      <c r="F284" s="2">
        <v>45535</v>
      </c>
      <c r="G284" s="2">
        <v>45565</v>
      </c>
      <c r="H284">
        <v>1000</v>
      </c>
      <c r="I284">
        <f t="shared" ca="1" si="45"/>
        <v>9000</v>
      </c>
      <c r="J284">
        <v>21</v>
      </c>
      <c r="K284" t="str">
        <f t="shared" ca="1" si="46"/>
        <v>Yes</v>
      </c>
      <c r="L284" t="str">
        <f t="shared" ca="1" si="47"/>
        <v>Muscle Gain</v>
      </c>
      <c r="M284" t="str">
        <f t="shared" ca="1" si="48"/>
        <v>Active</v>
      </c>
      <c r="N284" s="2">
        <v>45903</v>
      </c>
      <c r="Q284" t="str">
        <f ca="1">IF(RAND()&lt;0.2,
    IF(RAND()&lt;0.5, LOWER(C284), UPPER(C284)),
    C284
)</f>
        <v>Chennai</v>
      </c>
      <c r="R284">
        <f t="shared" ca="1" si="51"/>
        <v>21</v>
      </c>
      <c r="S284" t="str">
        <f t="shared" ca="1" si="52"/>
        <v>1000</v>
      </c>
      <c r="T284">
        <f t="shared" ca="1" si="53"/>
        <v>45448</v>
      </c>
      <c r="U284" s="2">
        <f t="shared" ca="1" si="54"/>
        <v>45903</v>
      </c>
    </row>
    <row r="285" spans="1:21">
      <c r="A285" t="str">
        <f t="shared" si="50"/>
        <v>MEM0284</v>
      </c>
      <c r="B285" t="str">
        <f ca="1">INDEX('Name pool'!A:A, RANDBETWEEN(2, COUNTA('Name pool'!A:A))) &amp; " " &amp; INDEX('Name pool'!B:B, RANDBETWEEN(2, COUNTA('Name pool'!B:B)))</f>
        <v>Lakshmi Reddy</v>
      </c>
      <c r="C285" t="s">
        <v>81</v>
      </c>
      <c r="D285" t="str">
        <f t="shared" ca="1" si="49"/>
        <v>BR02</v>
      </c>
      <c r="E285" t="str">
        <f t="shared" ca="1" si="44"/>
        <v>Premium</v>
      </c>
      <c r="F285" s="2">
        <v>45812</v>
      </c>
      <c r="G285" s="2">
        <v>45842</v>
      </c>
      <c r="H285">
        <v>3500</v>
      </c>
      <c r="I285">
        <f t="shared" ca="1" si="45"/>
        <v>21000</v>
      </c>
      <c r="J285">
        <v>16</v>
      </c>
      <c r="K285" t="str">
        <f t="shared" ca="1" si="46"/>
        <v>Yes</v>
      </c>
      <c r="L285" t="str">
        <f t="shared" ca="1" si="47"/>
        <v>General Fitness</v>
      </c>
      <c r="M285" t="str">
        <f t="shared" ca="1" si="48"/>
        <v>Active</v>
      </c>
      <c r="N285" s="2">
        <v>45871</v>
      </c>
      <c r="Q285" t="str">
        <f ca="1">IF(RAND()&lt;0.2,
    IF(RAND()&lt;0.5, LOWER(C285), UPPER(C285)),
    C285
)</f>
        <v>Mumbai</v>
      </c>
      <c r="R285">
        <f t="shared" ca="1" si="51"/>
        <v>16</v>
      </c>
      <c r="S285">
        <f t="shared" ca="1" si="52"/>
        <v>3500</v>
      </c>
      <c r="T285">
        <f t="shared" ca="1" si="53"/>
        <v>45134</v>
      </c>
      <c r="U285" s="2">
        <f t="shared" ca="1" si="54"/>
        <v>45871</v>
      </c>
    </row>
    <row r="286" spans="1:21">
      <c r="A286" t="str">
        <f t="shared" si="50"/>
        <v>MEM0285</v>
      </c>
      <c r="B286" t="str">
        <f ca="1">INDEX('Name pool'!A:A, RANDBETWEEN(2, COUNTA('Name pool'!A:A))) &amp; " " &amp; INDEX('Name pool'!B:B, RANDBETWEEN(2, COUNTA('Name pool'!B:B)))</f>
        <v>Riya Kapoor</v>
      </c>
      <c r="C286" t="s">
        <v>107</v>
      </c>
      <c r="D286" t="str">
        <f t="shared" ca="1" si="49"/>
        <v>BR03</v>
      </c>
      <c r="E286" t="str">
        <f t="shared" ca="1" si="44"/>
        <v>Premium</v>
      </c>
      <c r="F286" s="2">
        <v>44960</v>
      </c>
      <c r="G286" s="2">
        <v>45325</v>
      </c>
      <c r="H286" t="s">
        <v>108</v>
      </c>
      <c r="I286">
        <f t="shared" ca="1" si="45"/>
        <v>5000</v>
      </c>
      <c r="J286">
        <v>24</v>
      </c>
      <c r="K286" t="str">
        <f t="shared" ca="1" si="46"/>
        <v>No</v>
      </c>
      <c r="L286" t="str">
        <f t="shared" ca="1" si="47"/>
        <v>Muscle Gain</v>
      </c>
      <c r="M286" t="str">
        <f t="shared" ca="1" si="48"/>
        <v>Active</v>
      </c>
      <c r="N286" s="2">
        <v>45146</v>
      </c>
      <c r="Q286" t="str">
        <f ca="1">IF(RAND()&lt;0.2,
    IF(RAND()&lt;0.5, LOWER(C286), UPPER(C286)),
    C286
)</f>
        <v>TRIVANDRUM</v>
      </c>
      <c r="R286" t="str">
        <f t="shared" ca="1" si="51"/>
        <v>24 visits</v>
      </c>
      <c r="S286" t="str">
        <f t="shared" ca="1" si="52"/>
        <v>1000</v>
      </c>
      <c r="T286">
        <f t="shared" ca="1" si="53"/>
        <v>45517</v>
      </c>
      <c r="U286" s="2">
        <f t="shared" ca="1" si="54"/>
        <v>45146</v>
      </c>
    </row>
    <row r="287" spans="1:21">
      <c r="A287" t="str">
        <f t="shared" si="50"/>
        <v>MEM0286</v>
      </c>
      <c r="B287" t="str">
        <f ca="1">INDEX('Name pool'!A:A, RANDBETWEEN(2, COUNTA('Name pool'!A:A))) &amp; " " &amp; INDEX('Name pool'!B:B, RANDBETWEEN(2, COUNTA('Name pool'!B:B)))</f>
        <v>Akash Reddy</v>
      </c>
      <c r="C287" t="s">
        <v>75</v>
      </c>
      <c r="D287" t="str">
        <f t="shared" ca="1" si="49"/>
        <v>BR06</v>
      </c>
      <c r="E287" t="str">
        <f t="shared" ca="1" si="44"/>
        <v>Premium</v>
      </c>
      <c r="F287" s="2">
        <v>45551</v>
      </c>
      <c r="G287" s="2">
        <v>45916</v>
      </c>
      <c r="H287">
        <v>2000</v>
      </c>
      <c r="I287">
        <f t="shared" ca="1" si="45"/>
        <v>22000</v>
      </c>
      <c r="J287">
        <v>5</v>
      </c>
      <c r="K287" t="str">
        <f t="shared" ca="1" si="46"/>
        <v>No</v>
      </c>
      <c r="L287" t="str">
        <f t="shared" ca="1" si="47"/>
        <v>Muscle Gain</v>
      </c>
      <c r="M287" t="str">
        <f t="shared" ca="1" si="48"/>
        <v>Active</v>
      </c>
      <c r="N287" s="2">
        <v>45653</v>
      </c>
      <c r="Q287" t="str">
        <f ca="1">IF(RAND()&lt;0.2,
    IF(RAND()&lt;0.5, LOWER(C287), UPPER(C287)),
    C287
)</f>
        <v>bangalore</v>
      </c>
      <c r="R287">
        <f t="shared" ca="1" si="51"/>
        <v>5</v>
      </c>
      <c r="S287" t="str">
        <f t="shared" ca="1" si="52"/>
        <v>2000</v>
      </c>
      <c r="T287">
        <f t="shared" ca="1" si="53"/>
        <v>45600</v>
      </c>
      <c r="U287" s="2">
        <f t="shared" ca="1" si="54"/>
        <v>45653</v>
      </c>
    </row>
    <row r="288" spans="1:21">
      <c r="A288" t="str">
        <f t="shared" si="50"/>
        <v>MEM0287</v>
      </c>
      <c r="B288" t="str">
        <f ca="1">INDEX('Name pool'!A:A, RANDBETWEEN(2, COUNTA('Name pool'!A:A))) &amp; " " &amp; INDEX('Name pool'!B:B, RANDBETWEEN(2, COUNTA('Name pool'!B:B)))</f>
        <v>Fatima Varghese</v>
      </c>
      <c r="C288" t="s">
        <v>75</v>
      </c>
      <c r="D288" t="str">
        <f t="shared" ca="1" si="49"/>
        <v>BR07</v>
      </c>
      <c r="E288" t="str">
        <f t="shared" ca="1" si="44"/>
        <v>Standard</v>
      </c>
      <c r="F288" s="2">
        <v>45189</v>
      </c>
      <c r="G288" s="2">
        <v>45219</v>
      </c>
      <c r="H288">
        <v>2000</v>
      </c>
      <c r="I288">
        <f t="shared" ca="1" si="45"/>
        <v>24000</v>
      </c>
      <c r="J288">
        <v>7</v>
      </c>
      <c r="K288" t="str">
        <f t="shared" ca="1" si="46"/>
        <v>Yes</v>
      </c>
      <c r="L288" t="str">
        <f t="shared" ca="1" si="47"/>
        <v>General Fitness</v>
      </c>
      <c r="M288" t="str">
        <f t="shared" ca="1" si="48"/>
        <v>Active</v>
      </c>
      <c r="N288" s="2">
        <v>45950</v>
      </c>
      <c r="Q288" t="str">
        <f ca="1">IF(RAND()&lt;0.2,
    IF(RAND()&lt;0.5, LOWER(C288), UPPER(C288)),
    C288
)</f>
        <v>Bangalore</v>
      </c>
      <c r="R288">
        <f t="shared" ca="1" si="51"/>
        <v>7</v>
      </c>
      <c r="S288">
        <f t="shared" ca="1" si="52"/>
        <v>2000</v>
      </c>
      <c r="T288">
        <f t="shared" ca="1" si="53"/>
        <v>45415</v>
      </c>
      <c r="U288" s="2">
        <f t="shared" ca="1" si="54"/>
        <v>45950</v>
      </c>
    </row>
    <row r="289" spans="1:21">
      <c r="A289" t="str">
        <f t="shared" si="50"/>
        <v>MEM0288</v>
      </c>
      <c r="B289" t="str">
        <f ca="1">INDEX('Name pool'!A:A, RANDBETWEEN(2, COUNTA('Name pool'!A:A))) &amp; " " &amp; INDEX('Name pool'!B:B, RANDBETWEEN(2, COUNTA('Name pool'!B:B)))</f>
        <v>Swathi Nair</v>
      </c>
      <c r="C289" t="s">
        <v>132</v>
      </c>
      <c r="D289" t="str">
        <f t="shared" ca="1" si="49"/>
        <v>BR02</v>
      </c>
      <c r="E289" t="str">
        <f t="shared" ca="1" si="44"/>
        <v>Premium</v>
      </c>
      <c r="F289" s="2">
        <v>44949</v>
      </c>
      <c r="G289" s="2">
        <v>45314</v>
      </c>
      <c r="H289">
        <v>2000</v>
      </c>
      <c r="I289">
        <f t="shared" ca="1" si="45"/>
        <v>16000</v>
      </c>
      <c r="J289">
        <v>5</v>
      </c>
      <c r="K289" t="str">
        <f t="shared" ca="1" si="46"/>
        <v>Yes</v>
      </c>
      <c r="L289" t="str">
        <f t="shared" ca="1" si="47"/>
        <v>Muscle Gain</v>
      </c>
      <c r="M289" t="str">
        <f t="shared" ca="1" si="48"/>
        <v>Active</v>
      </c>
      <c r="N289" s="2">
        <v>45025</v>
      </c>
      <c r="Q289" t="str">
        <f ca="1">IF(RAND()&lt;0.2,
    IF(RAND()&lt;0.5, LOWER(C289), UPPER(C289)),
    C289
)</f>
        <v>calicut</v>
      </c>
      <c r="R289">
        <f t="shared" ca="1" si="51"/>
        <v>5</v>
      </c>
      <c r="S289">
        <f t="shared" ca="1" si="52"/>
        <v>2000</v>
      </c>
      <c r="T289">
        <f t="shared" ca="1" si="53"/>
        <v>45490</v>
      </c>
      <c r="U289" s="2">
        <f t="shared" ca="1" si="54"/>
        <v>45025</v>
      </c>
    </row>
    <row r="290" spans="1:21">
      <c r="A290" t="str">
        <f t="shared" si="50"/>
        <v>MEM0289</v>
      </c>
      <c r="B290" t="str">
        <f ca="1">INDEX('Name pool'!A:A, RANDBETWEEN(2, COUNTA('Name pool'!A:A))) &amp; " " &amp; INDEX('Name pool'!B:B, RANDBETWEEN(2, COUNTA('Name pool'!B:B)))</f>
        <v>Priya Chatterjee</v>
      </c>
      <c r="C290" t="s">
        <v>85</v>
      </c>
      <c r="D290" t="str">
        <f t="shared" ca="1" si="49"/>
        <v>BR01</v>
      </c>
      <c r="E290" t="str">
        <f t="shared" ref="E290:E353" ca="1" si="55">CHOOSE(RANDBETWEEN(1,3),"Basic","Standard","Premium")</f>
        <v>Basic</v>
      </c>
      <c r="F290" s="2">
        <v>45974</v>
      </c>
      <c r="G290" s="2">
        <v>46004</v>
      </c>
      <c r="H290">
        <v>3500</v>
      </c>
      <c r="I290">
        <f t="shared" ref="I290:I353" ca="1" si="56">H290 * RANDBETWEEN(1,12)</f>
        <v>21000</v>
      </c>
      <c r="J290">
        <v>10</v>
      </c>
      <c r="K290" t="str">
        <f t="shared" ref="K290:K353" ca="1" si="57">CHOOSE(RANDBETWEEN(1,2),"Yes","No")</f>
        <v>Yes</v>
      </c>
      <c r="L290" t="str">
        <f t="shared" ref="L290:L353" ca="1" si="58">CHOOSE(RANDBETWEEN(1,3),"Weight Loss","Muscle Gain","General Fitness")</f>
        <v>Weight Loss</v>
      </c>
      <c r="M290" t="str">
        <f t="shared" ref="M290:M353" ca="1" si="59">IF(J290&lt;5,IF(RANDBETWEEN(1,100)&lt;70,"Cancelled","Active"),"Active")</f>
        <v>Active</v>
      </c>
      <c r="N290" s="2">
        <v>46106</v>
      </c>
      <c r="Q290" t="str">
        <f ca="1">IF(RAND()&lt;0.2,
    IF(RAND()&lt;0.5, LOWER(C290), UPPER(C290)),
    C290
)</f>
        <v>Calicut</v>
      </c>
      <c r="R290">
        <f t="shared" ca="1" si="51"/>
        <v>10</v>
      </c>
      <c r="S290">
        <f t="shared" ca="1" si="52"/>
        <v>3500</v>
      </c>
      <c r="T290">
        <f t="shared" ca="1" si="53"/>
        <v>45060</v>
      </c>
      <c r="U290" s="2">
        <f t="shared" ca="1" si="54"/>
        <v>46106</v>
      </c>
    </row>
    <row r="291" spans="1:21">
      <c r="A291" t="str">
        <f t="shared" si="50"/>
        <v>MEM0290</v>
      </c>
      <c r="B291" t="str">
        <f ca="1">INDEX('Name pool'!A:A, RANDBETWEEN(2, COUNTA('Name pool'!A:A))) &amp; " " &amp; INDEX('Name pool'!B:B, RANDBETWEEN(2, COUNTA('Name pool'!B:B)))</f>
        <v>Rohit Nair</v>
      </c>
      <c r="C291" t="s">
        <v>79</v>
      </c>
      <c r="D291" t="str">
        <f t="shared" ca="1" si="49"/>
        <v>BR04</v>
      </c>
      <c r="E291" t="str">
        <f t="shared" ca="1" si="55"/>
        <v>Basic</v>
      </c>
      <c r="F291" s="2">
        <v>45822</v>
      </c>
      <c r="G291" s="2">
        <v>45912</v>
      </c>
      <c r="H291">
        <v>3500</v>
      </c>
      <c r="I291">
        <f t="shared" ca="1" si="56"/>
        <v>10500</v>
      </c>
      <c r="J291">
        <v>8</v>
      </c>
      <c r="K291" t="str">
        <f t="shared" ca="1" si="57"/>
        <v>Yes</v>
      </c>
      <c r="L291" t="str">
        <f t="shared" ca="1" si="58"/>
        <v>Muscle Gain</v>
      </c>
      <c r="M291" t="str">
        <f t="shared" ca="1" si="59"/>
        <v>Active</v>
      </c>
      <c r="N291" s="2">
        <v>45854</v>
      </c>
      <c r="Q291" t="str">
        <f ca="1">IF(RAND()&lt;0.2,
    IF(RAND()&lt;0.5, LOWER(C291), UPPER(C291)),
    C291
)</f>
        <v>Hyderabad</v>
      </c>
      <c r="R291">
        <f t="shared" ca="1" si="51"/>
        <v>8</v>
      </c>
      <c r="S291">
        <f t="shared" ca="1" si="52"/>
        <v>3500</v>
      </c>
      <c r="T291">
        <f t="shared" ca="1" si="53"/>
        <v>45644</v>
      </c>
      <c r="U291" s="2">
        <f t="shared" ca="1" si="54"/>
        <v>45854</v>
      </c>
    </row>
    <row r="292" spans="1:21">
      <c r="A292" t="str">
        <f t="shared" si="50"/>
        <v>MEM0291</v>
      </c>
      <c r="B292" t="str">
        <f ca="1">INDEX('Name pool'!A:A, RANDBETWEEN(2, COUNTA('Name pool'!A:A))) &amp; " " &amp; INDEX('Name pool'!B:B, RANDBETWEEN(2, COUNTA('Name pool'!B:B)))</f>
        <v>Kavya Yadav</v>
      </c>
      <c r="C292" t="s">
        <v>75</v>
      </c>
      <c r="D292" t="str">
        <f t="shared" ca="1" si="49"/>
        <v>BR06</v>
      </c>
      <c r="E292" t="str">
        <f t="shared" ca="1" si="55"/>
        <v>Premium</v>
      </c>
      <c r="F292" s="2">
        <v>45675</v>
      </c>
      <c r="G292" s="2">
        <v>45765</v>
      </c>
      <c r="H292" t="s">
        <v>105</v>
      </c>
      <c r="I292">
        <f t="shared" ca="1" si="56"/>
        <v>10500</v>
      </c>
      <c r="J292">
        <v>21</v>
      </c>
      <c r="K292" t="str">
        <f t="shared" ca="1" si="57"/>
        <v>No</v>
      </c>
      <c r="L292" t="str">
        <f t="shared" ca="1" si="58"/>
        <v>Muscle Gain</v>
      </c>
      <c r="M292" t="str">
        <f t="shared" ca="1" si="59"/>
        <v>Active</v>
      </c>
      <c r="N292" s="2">
        <v>45776</v>
      </c>
      <c r="Q292" t="str">
        <f ca="1">IF(RAND()&lt;0.2,
    IF(RAND()&lt;0.5, LOWER(C292), UPPER(C292)),
    C292
)</f>
        <v>Bangalore</v>
      </c>
      <c r="R292">
        <f t="shared" ca="1" si="51"/>
        <v>21</v>
      </c>
      <c r="S292" t="str">
        <f t="shared" ca="1" si="52"/>
        <v>3500</v>
      </c>
      <c r="T292">
        <f t="shared" ca="1" si="53"/>
        <v>45826</v>
      </c>
      <c r="U292" s="2">
        <f t="shared" ca="1" si="54"/>
        <v>45776</v>
      </c>
    </row>
    <row r="293" spans="1:21">
      <c r="A293" t="str">
        <f t="shared" si="50"/>
        <v>MEM0292</v>
      </c>
      <c r="B293" t="str">
        <f ca="1">INDEX('Name pool'!A:A, RANDBETWEEN(2, COUNTA('Name pool'!A:A))) &amp; " " &amp; INDEX('Name pool'!B:B, RANDBETWEEN(2, COUNTA('Name pool'!B:B)))</f>
        <v>Nikhil Malhotra</v>
      </c>
      <c r="C293" t="s">
        <v>75</v>
      </c>
      <c r="D293" t="str">
        <f t="shared" ca="1" si="49"/>
        <v>BR07</v>
      </c>
      <c r="E293" t="str">
        <f t="shared" ca="1" si="55"/>
        <v>Premium</v>
      </c>
      <c r="F293" s="2">
        <v>45934</v>
      </c>
      <c r="G293" s="2">
        <v>45964</v>
      </c>
      <c r="H293">
        <v>2000</v>
      </c>
      <c r="I293">
        <f t="shared" ca="1" si="56"/>
        <v>20000</v>
      </c>
      <c r="J293">
        <v>19</v>
      </c>
      <c r="K293" t="str">
        <f t="shared" ca="1" si="57"/>
        <v>No</v>
      </c>
      <c r="L293" t="str">
        <f t="shared" ca="1" si="58"/>
        <v>Weight Loss</v>
      </c>
      <c r="M293" t="str">
        <f t="shared" ca="1" si="59"/>
        <v>Active</v>
      </c>
      <c r="N293" s="2">
        <v>46117</v>
      </c>
      <c r="Q293" t="str">
        <f ca="1">IF(RAND()&lt;0.2,
    IF(RAND()&lt;0.5, LOWER(C293), UPPER(C293)),
    C293
)</f>
        <v>Bangalore</v>
      </c>
      <c r="R293">
        <f t="shared" ca="1" si="51"/>
        <v>19</v>
      </c>
      <c r="S293">
        <f t="shared" ca="1" si="52"/>
        <v>2000</v>
      </c>
      <c r="T293">
        <f t="shared" ca="1" si="53"/>
        <v>45222</v>
      </c>
      <c r="U293" s="2">
        <f t="shared" ca="1" si="54"/>
        <v>46117</v>
      </c>
    </row>
    <row r="294" spans="1:21">
      <c r="A294" t="str">
        <f t="shared" si="50"/>
        <v>MEM0293</v>
      </c>
      <c r="B294" t="str">
        <f ca="1">INDEX('Name pool'!A:A, RANDBETWEEN(2, COUNTA('Name pool'!A:A))) &amp; " " &amp; INDEX('Name pool'!B:B, RANDBETWEEN(2, COUNTA('Name pool'!B:B)))</f>
        <v>Riya Lewis</v>
      </c>
      <c r="C294" t="s">
        <v>77</v>
      </c>
      <c r="D294" t="str">
        <f t="shared" ca="1" si="49"/>
        <v>BR06</v>
      </c>
      <c r="E294" t="str">
        <f t="shared" ca="1" si="55"/>
        <v>Premium</v>
      </c>
      <c r="F294" s="2">
        <v>44997</v>
      </c>
      <c r="G294" s="2">
        <v>45362</v>
      </c>
      <c r="H294">
        <v>3500</v>
      </c>
      <c r="I294">
        <f t="shared" ca="1" si="56"/>
        <v>21000</v>
      </c>
      <c r="J294">
        <v>4</v>
      </c>
      <c r="K294" t="str">
        <f t="shared" ca="1" si="57"/>
        <v>Yes</v>
      </c>
      <c r="L294" t="str">
        <f t="shared" ca="1" si="58"/>
        <v>General Fitness</v>
      </c>
      <c r="M294" t="str">
        <f t="shared" ca="1" si="59"/>
        <v>Active</v>
      </c>
      <c r="N294" s="2">
        <v>45961</v>
      </c>
      <c r="Q294" t="str">
        <f ca="1">IF(RAND()&lt;0.2,
    IF(RAND()&lt;0.5, LOWER(C294), UPPER(C294)),
    C294
)</f>
        <v>CHENNAI</v>
      </c>
      <c r="R294">
        <f t="shared" ca="1" si="51"/>
        <v>4</v>
      </c>
      <c r="S294">
        <f t="shared" ca="1" si="52"/>
        <v>3500</v>
      </c>
      <c r="T294">
        <f t="shared" ca="1" si="53"/>
        <v>45241</v>
      </c>
      <c r="U294" s="2">
        <f t="shared" ca="1" si="54"/>
        <v>45961</v>
      </c>
    </row>
    <row r="295" spans="1:21">
      <c r="A295" t="str">
        <f t="shared" si="50"/>
        <v>MEM0294</v>
      </c>
      <c r="B295" t="str">
        <f ca="1">INDEX('Name pool'!A:A, RANDBETWEEN(2, COUNTA('Name pool'!A:A))) &amp; " " &amp; INDEX('Name pool'!B:B, RANDBETWEEN(2, COUNTA('Name pool'!B:B)))</f>
        <v>Manoj Joseph</v>
      </c>
      <c r="C295" t="s">
        <v>81</v>
      </c>
      <c r="D295" t="str">
        <f t="shared" ca="1" si="49"/>
        <v>BR02</v>
      </c>
      <c r="E295" t="str">
        <f t="shared" ca="1" si="55"/>
        <v>Basic</v>
      </c>
      <c r="F295" s="2">
        <v>45768</v>
      </c>
      <c r="G295" s="2">
        <v>45798</v>
      </c>
      <c r="H295">
        <v>1000</v>
      </c>
      <c r="I295">
        <f t="shared" ca="1" si="56"/>
        <v>8000</v>
      </c>
      <c r="J295">
        <v>23</v>
      </c>
      <c r="K295" t="str">
        <f t="shared" ca="1" si="57"/>
        <v>Yes</v>
      </c>
      <c r="L295" t="str">
        <f t="shared" ca="1" si="58"/>
        <v>Weight Loss</v>
      </c>
      <c r="M295" t="str">
        <f t="shared" ca="1" si="59"/>
        <v>Active</v>
      </c>
      <c r="N295" s="2">
        <v>45813</v>
      </c>
      <c r="Q295" t="str">
        <f ca="1">IF(RAND()&lt;0.2,
    IF(RAND()&lt;0.5, LOWER(C295), UPPER(C295)),
    C295
)</f>
        <v>MUMBAI</v>
      </c>
      <c r="R295">
        <f t="shared" ca="1" si="51"/>
        <v>23</v>
      </c>
      <c r="S295">
        <f t="shared" ca="1" si="52"/>
        <v>1000</v>
      </c>
      <c r="T295">
        <f t="shared" ca="1" si="53"/>
        <v>45320</v>
      </c>
      <c r="U295" s="2">
        <f t="shared" ca="1" si="54"/>
        <v>45813</v>
      </c>
    </row>
    <row r="296" spans="1:21">
      <c r="A296" t="str">
        <f t="shared" si="50"/>
        <v>MEM0295</v>
      </c>
      <c r="B296" t="str">
        <f ca="1">INDEX('Name pool'!A:A, RANDBETWEEN(2, COUNTA('Name pool'!A:A))) &amp; " " &amp; INDEX('Name pool'!B:B, RANDBETWEEN(2, COUNTA('Name pool'!B:B)))</f>
        <v>Arjun Chatterjee</v>
      </c>
      <c r="C296" t="s">
        <v>73</v>
      </c>
      <c r="D296" t="str">
        <f t="shared" ca="1" si="49"/>
        <v>BR07</v>
      </c>
      <c r="E296" t="str">
        <f t="shared" ca="1" si="55"/>
        <v>Basic</v>
      </c>
      <c r="F296" s="2">
        <v>45862</v>
      </c>
      <c r="G296" s="2">
        <v>45892</v>
      </c>
      <c r="H296">
        <v>2000</v>
      </c>
      <c r="I296">
        <f t="shared" ca="1" si="56"/>
        <v>2000</v>
      </c>
      <c r="J296">
        <v>15</v>
      </c>
      <c r="K296" t="str">
        <f t="shared" ca="1" si="57"/>
        <v>No</v>
      </c>
      <c r="L296" t="str">
        <f t="shared" ca="1" si="58"/>
        <v>Muscle Gain</v>
      </c>
      <c r="M296" t="str">
        <f t="shared" ca="1" si="59"/>
        <v>Active</v>
      </c>
      <c r="N296" s="2">
        <v>45950</v>
      </c>
      <c r="Q296" t="str">
        <f ca="1">IF(RAND()&lt;0.2,
    IF(RAND()&lt;0.5, LOWER(C296), UPPER(C296)),
    C296
)</f>
        <v>Kochi</v>
      </c>
      <c r="R296">
        <f t="shared" ca="1" si="51"/>
        <v>15</v>
      </c>
      <c r="S296">
        <f t="shared" ca="1" si="52"/>
        <v>2000</v>
      </c>
      <c r="T296">
        <f t="shared" ca="1" si="53"/>
        <v>45161</v>
      </c>
      <c r="U296" s="2">
        <f t="shared" ca="1" si="54"/>
        <v>45950</v>
      </c>
    </row>
    <row r="297" spans="1:21">
      <c r="A297" t="str">
        <f t="shared" si="50"/>
        <v>MEM0296</v>
      </c>
      <c r="B297" t="str">
        <f ca="1">INDEX('Name pool'!A:A, RANDBETWEEN(2, COUNTA('Name pool'!A:A))) &amp; " " &amp; INDEX('Name pool'!B:B, RANDBETWEEN(2, COUNTA('Name pool'!B:B)))</f>
        <v>Vivek Desai</v>
      </c>
      <c r="C297" t="s">
        <v>75</v>
      </c>
      <c r="D297" t="str">
        <f t="shared" ca="1" si="49"/>
        <v>BR01</v>
      </c>
      <c r="E297" t="str">
        <f t="shared" ca="1" si="55"/>
        <v>Premium</v>
      </c>
      <c r="F297" s="2">
        <v>45294</v>
      </c>
      <c r="G297" s="2">
        <v>45324</v>
      </c>
      <c r="H297">
        <v>1000</v>
      </c>
      <c r="I297">
        <f t="shared" ca="1" si="56"/>
        <v>6000</v>
      </c>
      <c r="J297" t="s">
        <v>135</v>
      </c>
      <c r="K297" t="str">
        <f t="shared" ca="1" si="57"/>
        <v>Yes</v>
      </c>
      <c r="L297" t="str">
        <f t="shared" ca="1" si="58"/>
        <v>General Fitness</v>
      </c>
      <c r="M297" t="str">
        <f t="shared" ca="1" si="59"/>
        <v>Active</v>
      </c>
      <c r="N297" s="2">
        <v>45573</v>
      </c>
      <c r="Q297" t="str">
        <f ca="1">IF(RAND()&lt;0.2,
    IF(RAND()&lt;0.5, LOWER(C297), UPPER(C297)),
    C297
)</f>
        <v>Bangalore</v>
      </c>
      <c r="R297" t="str">
        <f t="shared" ca="1" si="51"/>
        <v>16 visits</v>
      </c>
      <c r="S297">
        <f t="shared" ca="1" si="52"/>
        <v>1000</v>
      </c>
      <c r="T297">
        <f t="shared" ca="1" si="53"/>
        <v>45820</v>
      </c>
      <c r="U297" s="2">
        <f t="shared" ca="1" si="54"/>
        <v>45573</v>
      </c>
    </row>
    <row r="298" spans="1:21">
      <c r="A298" t="str">
        <f t="shared" si="50"/>
        <v>MEM0297</v>
      </c>
      <c r="B298" t="str">
        <f ca="1">INDEX('Name pool'!A:A, RANDBETWEEN(2, COUNTA('Name pool'!A:A))) &amp; " " &amp; INDEX('Name pool'!B:B, RANDBETWEEN(2, COUNTA('Name pool'!B:B)))</f>
        <v>Rohit Patel</v>
      </c>
      <c r="C298" t="s">
        <v>132</v>
      </c>
      <c r="D298" t="str">
        <f t="shared" ca="1" si="49"/>
        <v>BR02</v>
      </c>
      <c r="E298" t="str">
        <f t="shared" ca="1" si="55"/>
        <v>Basic</v>
      </c>
      <c r="F298" s="2">
        <v>45137</v>
      </c>
      <c r="G298" s="2">
        <v>45227</v>
      </c>
      <c r="H298">
        <v>2000</v>
      </c>
      <c r="I298">
        <f t="shared" ca="1" si="56"/>
        <v>14000</v>
      </c>
      <c r="J298">
        <v>25</v>
      </c>
      <c r="K298" t="str">
        <f t="shared" ca="1" si="57"/>
        <v>No</v>
      </c>
      <c r="L298" t="str">
        <f t="shared" ca="1" si="58"/>
        <v>Muscle Gain</v>
      </c>
      <c r="M298" t="str">
        <f t="shared" ca="1" si="59"/>
        <v>Active</v>
      </c>
      <c r="N298" s="2">
        <v>45277</v>
      </c>
      <c r="Q298" t="str">
        <f ca="1">IF(RAND()&lt;0.2,
    IF(RAND()&lt;0.5, LOWER(C298), UPPER(C298)),
    C298
)</f>
        <v>calicut</v>
      </c>
      <c r="R298">
        <f t="shared" ca="1" si="51"/>
        <v>25</v>
      </c>
      <c r="S298">
        <f t="shared" ca="1" si="52"/>
        <v>2000</v>
      </c>
      <c r="T298">
        <f t="shared" ca="1" si="53"/>
        <v>45753</v>
      </c>
      <c r="U298" s="2">
        <f t="shared" ca="1" si="54"/>
        <v>45277</v>
      </c>
    </row>
    <row r="299" spans="1:21">
      <c r="A299" t="str">
        <f t="shared" si="50"/>
        <v>MEM0298</v>
      </c>
      <c r="B299" t="str">
        <f ca="1">INDEX('Name pool'!A:A, RANDBETWEEN(2, COUNTA('Name pool'!A:A))) &amp; " " &amp; INDEX('Name pool'!B:B, RANDBETWEEN(2, COUNTA('Name pool'!B:B)))</f>
        <v>Manoj Pillai</v>
      </c>
      <c r="C299" t="s">
        <v>75</v>
      </c>
      <c r="D299" t="str">
        <f t="shared" ca="1" si="49"/>
        <v>BR02</v>
      </c>
      <c r="E299" t="str">
        <f t="shared" ca="1" si="55"/>
        <v>Standard</v>
      </c>
      <c r="F299" s="2">
        <v>45882</v>
      </c>
      <c r="G299" s="2">
        <v>45912</v>
      </c>
      <c r="H299">
        <v>1000</v>
      </c>
      <c r="I299">
        <f t="shared" ca="1" si="56"/>
        <v>9000</v>
      </c>
      <c r="J299">
        <v>17</v>
      </c>
      <c r="K299" t="str">
        <f t="shared" ca="1" si="57"/>
        <v>No</v>
      </c>
      <c r="L299" t="str">
        <f t="shared" ca="1" si="58"/>
        <v>Weight Loss</v>
      </c>
      <c r="M299" t="str">
        <f t="shared" ca="1" si="59"/>
        <v>Active</v>
      </c>
      <c r="N299" s="2">
        <v>46119</v>
      </c>
      <c r="Q299" t="str">
        <f ca="1">IF(RAND()&lt;0.2,
    IF(RAND()&lt;0.5, LOWER(C299), UPPER(C299)),
    C299
)</f>
        <v>Bangalore</v>
      </c>
      <c r="R299">
        <f t="shared" ca="1" si="51"/>
        <v>17</v>
      </c>
      <c r="S299">
        <f t="shared" ca="1" si="52"/>
        <v>1000</v>
      </c>
      <c r="T299">
        <f t="shared" ca="1" si="53"/>
        <v>45661</v>
      </c>
      <c r="U299" s="2">
        <f t="shared" ca="1" si="54"/>
        <v>46119</v>
      </c>
    </row>
    <row r="300" spans="1:21">
      <c r="A300" t="str">
        <f t="shared" si="50"/>
        <v>MEM0299</v>
      </c>
      <c r="B300" t="str">
        <f ca="1">INDEX('Name pool'!A:A, RANDBETWEEN(2, COUNTA('Name pool'!A:A))) &amp; " " &amp; INDEX('Name pool'!B:B, RANDBETWEEN(2, COUNTA('Name pool'!B:B)))</f>
        <v>Karthik Reddy</v>
      </c>
      <c r="C300" t="s">
        <v>75</v>
      </c>
      <c r="D300" t="str">
        <f t="shared" ca="1" si="49"/>
        <v>BR07</v>
      </c>
      <c r="E300" t="str">
        <f t="shared" ca="1" si="55"/>
        <v>Basic</v>
      </c>
      <c r="F300" s="2">
        <v>46016</v>
      </c>
      <c r="G300" s="2">
        <v>46381</v>
      </c>
      <c r="H300">
        <v>1000</v>
      </c>
      <c r="I300">
        <f t="shared" ca="1" si="56"/>
        <v>12000</v>
      </c>
      <c r="J300" t="s">
        <v>138</v>
      </c>
      <c r="K300" t="str">
        <f t="shared" ca="1" si="57"/>
        <v>No</v>
      </c>
      <c r="L300" t="str">
        <f t="shared" ca="1" si="58"/>
        <v>Weight Loss</v>
      </c>
      <c r="M300" t="str">
        <f t="shared" ca="1" si="59"/>
        <v>Active</v>
      </c>
      <c r="N300" s="2">
        <v>46124</v>
      </c>
      <c r="Q300" t="str">
        <f ca="1">IF(RAND()&lt;0.2,
    IF(RAND()&lt;0.5, LOWER(C300), UPPER(C300)),
    C300
)</f>
        <v>Bangalore</v>
      </c>
      <c r="R300" t="str">
        <f t="shared" ca="1" si="51"/>
        <v>1 visits</v>
      </c>
      <c r="S300">
        <f t="shared" ca="1" si="52"/>
        <v>1000</v>
      </c>
      <c r="T300">
        <f t="shared" ca="1" si="53"/>
        <v>45486</v>
      </c>
      <c r="U300" s="2">
        <f t="shared" ca="1" si="54"/>
        <v>46124</v>
      </c>
    </row>
    <row r="301" spans="1:21">
      <c r="A301" t="str">
        <f t="shared" si="50"/>
        <v>MEM0300</v>
      </c>
      <c r="B301" t="str">
        <f ca="1">INDEX('Name pool'!A:A, RANDBETWEEN(2, COUNTA('Name pool'!A:A))) &amp; " " &amp; INDEX('Name pool'!B:B, RANDBETWEEN(2, COUNTA('Name pool'!B:B)))</f>
        <v>Ankit Banerjee</v>
      </c>
      <c r="C301" t="s">
        <v>81</v>
      </c>
      <c r="D301" t="str">
        <f t="shared" ca="1" si="49"/>
        <v>BR05</v>
      </c>
      <c r="E301" t="str">
        <f t="shared" ca="1" si="55"/>
        <v>Basic</v>
      </c>
      <c r="F301" s="2">
        <v>46052</v>
      </c>
      <c r="G301" s="2">
        <v>46142</v>
      </c>
      <c r="H301">
        <v>3500</v>
      </c>
      <c r="I301">
        <f t="shared" ca="1" si="56"/>
        <v>21000</v>
      </c>
      <c r="J301">
        <v>2</v>
      </c>
      <c r="K301" t="str">
        <f t="shared" ca="1" si="57"/>
        <v>Yes</v>
      </c>
      <c r="L301" t="str">
        <f t="shared" ca="1" si="58"/>
        <v>General Fitness</v>
      </c>
      <c r="M301" t="str">
        <f t="shared" ca="1" si="59"/>
        <v>Active</v>
      </c>
      <c r="N301" s="2">
        <v>46082</v>
      </c>
      <c r="Q301" t="str">
        <f ca="1">IF(RAND()&lt;0.2,
    IF(RAND()&lt;0.5, LOWER(C301), UPPER(C301)),
    C301
)</f>
        <v>Mumbai</v>
      </c>
      <c r="R301">
        <f t="shared" ca="1" si="51"/>
        <v>2</v>
      </c>
      <c r="S301">
        <f t="shared" ca="1" si="52"/>
        <v>3500</v>
      </c>
      <c r="T301">
        <f t="shared" ca="1" si="53"/>
        <v>45714</v>
      </c>
      <c r="U301" s="2">
        <f t="shared" ca="1" si="54"/>
        <v>46082</v>
      </c>
    </row>
    <row r="302" spans="1:21">
      <c r="A302" t="str">
        <f t="shared" si="50"/>
        <v>MEM0301</v>
      </c>
      <c r="B302" t="str">
        <f ca="1">INDEX('Name pool'!A:A, RANDBETWEEN(2, COUNTA('Name pool'!A:A))) &amp; " " &amp; INDEX('Name pool'!B:B, RANDBETWEEN(2, COUNTA('Name pool'!B:B)))</f>
        <v>Akash Naidu</v>
      </c>
      <c r="C302" t="s">
        <v>79</v>
      </c>
      <c r="D302" t="str">
        <f t="shared" ca="1" si="49"/>
        <v>BR06</v>
      </c>
      <c r="E302" t="str">
        <f t="shared" ca="1" si="55"/>
        <v>Standard</v>
      </c>
      <c r="F302" s="2">
        <v>45614</v>
      </c>
      <c r="G302" s="2">
        <v>45644</v>
      </c>
      <c r="H302">
        <v>3500</v>
      </c>
      <c r="I302">
        <f t="shared" ca="1" si="56"/>
        <v>31500</v>
      </c>
      <c r="J302" t="s">
        <v>138</v>
      </c>
      <c r="K302" t="str">
        <f t="shared" ca="1" si="57"/>
        <v>Yes</v>
      </c>
      <c r="L302" t="str">
        <f t="shared" ca="1" si="58"/>
        <v>Weight Loss</v>
      </c>
      <c r="M302" t="str">
        <f t="shared" ca="1" si="59"/>
        <v>Active</v>
      </c>
      <c r="N302" s="2">
        <v>45800</v>
      </c>
      <c r="Q302" t="str">
        <f ca="1">IF(RAND()&lt;0.2,
    IF(RAND()&lt;0.5, LOWER(C302), UPPER(C302)),
    C302
)</f>
        <v>Hyderabad</v>
      </c>
      <c r="R302" t="str">
        <f t="shared" ca="1" si="51"/>
        <v>1 visits</v>
      </c>
      <c r="S302">
        <f t="shared" ca="1" si="52"/>
        <v>3500</v>
      </c>
      <c r="T302">
        <f t="shared" ca="1" si="53"/>
        <v>45443</v>
      </c>
      <c r="U302" s="2">
        <f t="shared" ca="1" si="54"/>
        <v>45800</v>
      </c>
    </row>
    <row r="303" spans="1:21">
      <c r="A303" t="str">
        <f t="shared" si="50"/>
        <v>MEM0302</v>
      </c>
      <c r="B303" t="str">
        <f ca="1">INDEX('Name pool'!A:A, RANDBETWEEN(2, COUNTA('Name pool'!A:A))) &amp; " " &amp; INDEX('Name pool'!B:B, RANDBETWEEN(2, COUNTA('Name pool'!B:B)))</f>
        <v>Harish Patel</v>
      </c>
      <c r="C303" t="s">
        <v>85</v>
      </c>
      <c r="D303" t="str">
        <f t="shared" ca="1" si="49"/>
        <v>BR07</v>
      </c>
      <c r="E303" t="str">
        <f t="shared" ca="1" si="55"/>
        <v>Premium</v>
      </c>
      <c r="F303" s="2">
        <v>45246</v>
      </c>
      <c r="G303" s="2">
        <v>45276</v>
      </c>
      <c r="H303">
        <v>1000</v>
      </c>
      <c r="I303">
        <f t="shared" ca="1" si="56"/>
        <v>8000</v>
      </c>
      <c r="J303">
        <v>12</v>
      </c>
      <c r="K303" t="str">
        <f t="shared" ca="1" si="57"/>
        <v>No</v>
      </c>
      <c r="L303" t="str">
        <f t="shared" ca="1" si="58"/>
        <v>Weight Loss</v>
      </c>
      <c r="M303" t="str">
        <f t="shared" ca="1" si="59"/>
        <v>Active</v>
      </c>
      <c r="N303" s="2">
        <v>45926</v>
      </c>
      <c r="Q303" t="str">
        <f ca="1">IF(RAND()&lt;0.2,
    IF(RAND()&lt;0.5, LOWER(C303), UPPER(C303)),
    C303
)</f>
        <v>Calicut</v>
      </c>
      <c r="R303">
        <f t="shared" ca="1" si="51"/>
        <v>12</v>
      </c>
      <c r="S303">
        <f t="shared" ca="1" si="52"/>
        <v>1000</v>
      </c>
      <c r="T303">
        <f t="shared" ca="1" si="53"/>
        <v>45582</v>
      </c>
      <c r="U303" s="2">
        <f t="shared" ca="1" si="54"/>
        <v>45926</v>
      </c>
    </row>
    <row r="304" spans="1:21">
      <c r="A304" t="str">
        <f t="shared" si="50"/>
        <v>MEM0303</v>
      </c>
      <c r="B304" t="str">
        <f ca="1">INDEX('Name pool'!A:A, RANDBETWEEN(2, COUNTA('Name pool'!A:A))) &amp; " " &amp; INDEX('Name pool'!B:B, RANDBETWEEN(2, COUNTA('Name pool'!B:B)))</f>
        <v>Shreya Kulkarni</v>
      </c>
      <c r="C304" t="s">
        <v>85</v>
      </c>
      <c r="D304" t="str">
        <f t="shared" ca="1" si="49"/>
        <v>BR02</v>
      </c>
      <c r="E304" t="str">
        <f t="shared" ca="1" si="55"/>
        <v>Premium</v>
      </c>
      <c r="F304" s="2">
        <v>45647</v>
      </c>
      <c r="G304" s="2">
        <v>45677</v>
      </c>
      <c r="H304">
        <v>2000</v>
      </c>
      <c r="I304">
        <f t="shared" ca="1" si="56"/>
        <v>20000</v>
      </c>
      <c r="J304" t="s">
        <v>138</v>
      </c>
      <c r="K304" t="str">
        <f t="shared" ca="1" si="57"/>
        <v>No</v>
      </c>
      <c r="L304" t="str">
        <f t="shared" ca="1" si="58"/>
        <v>General Fitness</v>
      </c>
      <c r="M304" t="str">
        <f t="shared" ca="1" si="59"/>
        <v>Active</v>
      </c>
      <c r="N304" s="2">
        <v>45811</v>
      </c>
      <c r="Q304" t="str">
        <f ca="1">IF(RAND()&lt;0.2,
    IF(RAND()&lt;0.5, LOWER(C304), UPPER(C304)),
    C304
)</f>
        <v>Calicut</v>
      </c>
      <c r="R304" t="str">
        <f t="shared" ca="1" si="51"/>
        <v>1 visits</v>
      </c>
      <c r="S304">
        <f t="shared" ca="1" si="52"/>
        <v>2000</v>
      </c>
      <c r="T304">
        <f t="shared" ca="1" si="53"/>
        <v>45492</v>
      </c>
      <c r="U304" s="2">
        <f t="shared" ca="1" si="54"/>
        <v>45811</v>
      </c>
    </row>
    <row r="305" spans="1:21">
      <c r="A305" t="str">
        <f t="shared" si="50"/>
        <v>MEM0304</v>
      </c>
      <c r="B305" t="str">
        <f ca="1">INDEX('Name pool'!A:A, RANDBETWEEN(2, COUNTA('Name pool'!A:A))) &amp; " " &amp; INDEX('Name pool'!B:B, RANDBETWEEN(2, COUNTA('Name pool'!B:B)))</f>
        <v>Varun Khan</v>
      </c>
      <c r="C305" t="s">
        <v>83</v>
      </c>
      <c r="D305" t="str">
        <f t="shared" ca="1" si="49"/>
        <v>BR07</v>
      </c>
      <c r="E305" t="str">
        <f t="shared" ca="1" si="55"/>
        <v>Basic</v>
      </c>
      <c r="F305" s="2">
        <v>45789</v>
      </c>
      <c r="G305" s="2">
        <v>46154</v>
      </c>
      <c r="H305">
        <v>2000</v>
      </c>
      <c r="I305">
        <f t="shared" ca="1" si="56"/>
        <v>20000</v>
      </c>
      <c r="J305">
        <v>17</v>
      </c>
      <c r="K305" t="str">
        <f t="shared" ca="1" si="57"/>
        <v>No</v>
      </c>
      <c r="L305" t="str">
        <f t="shared" ca="1" si="58"/>
        <v>Weight Loss</v>
      </c>
      <c r="M305" t="str">
        <f t="shared" ca="1" si="59"/>
        <v>Active</v>
      </c>
      <c r="N305" s="2">
        <v>45800</v>
      </c>
      <c r="Q305" t="str">
        <f ca="1">IF(RAND()&lt;0.2,
    IF(RAND()&lt;0.5, LOWER(C305), UPPER(C305)),
    C305
)</f>
        <v>Trivandrum</v>
      </c>
      <c r="R305" t="str">
        <f t="shared" ca="1" si="51"/>
        <v>17 visits</v>
      </c>
      <c r="S305">
        <f t="shared" ca="1" si="52"/>
        <v>2000</v>
      </c>
      <c r="T305">
        <f t="shared" ca="1" si="53"/>
        <v>45019</v>
      </c>
      <c r="U305" s="2">
        <f t="shared" ca="1" si="54"/>
        <v>45800</v>
      </c>
    </row>
    <row r="306" spans="1:21">
      <c r="A306" t="str">
        <f t="shared" si="50"/>
        <v>MEM0305</v>
      </c>
      <c r="B306" t="str">
        <f ca="1">INDEX('Name pool'!A:A, RANDBETWEEN(2, COUNTA('Name pool'!A:A))) &amp; " " &amp; INDEX('Name pool'!B:B, RANDBETWEEN(2, COUNTA('Name pool'!B:B)))</f>
        <v>Akash Fernandes</v>
      </c>
      <c r="C306" t="s">
        <v>75</v>
      </c>
      <c r="D306" t="str">
        <f t="shared" ca="1" si="49"/>
        <v>BR02</v>
      </c>
      <c r="E306" t="str">
        <f t="shared" ca="1" si="55"/>
        <v>Premium</v>
      </c>
      <c r="F306" s="2">
        <v>45774</v>
      </c>
      <c r="G306" s="2">
        <v>46139</v>
      </c>
      <c r="H306">
        <v>1000</v>
      </c>
      <c r="I306">
        <f t="shared" ca="1" si="56"/>
        <v>12000</v>
      </c>
      <c r="J306">
        <v>13</v>
      </c>
      <c r="K306" t="str">
        <f t="shared" ca="1" si="57"/>
        <v>No</v>
      </c>
      <c r="L306" t="str">
        <f t="shared" ca="1" si="58"/>
        <v>Weight Loss</v>
      </c>
      <c r="M306" t="str">
        <f t="shared" ca="1" si="59"/>
        <v>Active</v>
      </c>
      <c r="N306" s="2">
        <v>45786</v>
      </c>
      <c r="Q306" t="str">
        <f ca="1">IF(RAND()&lt;0.2,
    IF(RAND()&lt;0.5, LOWER(C306), UPPER(C306)),
    C306
)</f>
        <v>BANGALORE</v>
      </c>
      <c r="R306">
        <f t="shared" ca="1" si="51"/>
        <v>13</v>
      </c>
      <c r="S306">
        <f t="shared" ca="1" si="52"/>
        <v>1000</v>
      </c>
      <c r="T306">
        <f t="shared" ca="1" si="53"/>
        <v>45076</v>
      </c>
      <c r="U306" s="2">
        <f t="shared" ca="1" si="54"/>
        <v>45786</v>
      </c>
    </row>
    <row r="307" spans="1:21">
      <c r="A307" t="str">
        <f t="shared" si="50"/>
        <v>MEM0306</v>
      </c>
      <c r="B307" t="str">
        <f ca="1">INDEX('Name pool'!A:A, RANDBETWEEN(2, COUNTA('Name pool'!A:A))) &amp; " " &amp; INDEX('Name pool'!B:B, RANDBETWEEN(2, COUNTA('Name pool'!B:B)))</f>
        <v>Karthik Nambiar</v>
      </c>
      <c r="C307" t="s">
        <v>77</v>
      </c>
      <c r="D307" t="str">
        <f t="shared" ca="1" si="49"/>
        <v>BR03</v>
      </c>
      <c r="E307" t="str">
        <f t="shared" ca="1" si="55"/>
        <v>Standard</v>
      </c>
      <c r="F307" s="2">
        <v>45884</v>
      </c>
      <c r="G307" s="2">
        <v>46249</v>
      </c>
      <c r="H307">
        <v>3500</v>
      </c>
      <c r="I307">
        <f t="shared" ca="1" si="56"/>
        <v>28000</v>
      </c>
      <c r="J307" t="s">
        <v>113</v>
      </c>
      <c r="K307" t="str">
        <f t="shared" ca="1" si="57"/>
        <v>Yes</v>
      </c>
      <c r="L307" t="str">
        <f t="shared" ca="1" si="58"/>
        <v>General Fitness</v>
      </c>
      <c r="M307" t="str">
        <f t="shared" ca="1" si="59"/>
        <v>Active</v>
      </c>
      <c r="N307" s="2">
        <v>45996</v>
      </c>
      <c r="Q307" t="str">
        <f ca="1">IF(RAND()&lt;0.2,
    IF(RAND()&lt;0.5, LOWER(C307), UPPER(C307)),
    C307
)</f>
        <v>Chennai</v>
      </c>
      <c r="R307" t="str">
        <f t="shared" ca="1" si="51"/>
        <v>17 visits</v>
      </c>
      <c r="S307">
        <f t="shared" ca="1" si="52"/>
        <v>3500</v>
      </c>
      <c r="T307">
        <f t="shared" ca="1" si="53"/>
        <v>45437</v>
      </c>
      <c r="U307" s="2">
        <f t="shared" ca="1" si="54"/>
        <v>45996</v>
      </c>
    </row>
    <row r="308" spans="1:21">
      <c r="A308" t="str">
        <f t="shared" si="50"/>
        <v>MEM0307</v>
      </c>
      <c r="B308" t="str">
        <f ca="1">INDEX('Name pool'!A:A, RANDBETWEEN(2, COUNTA('Name pool'!A:A))) &amp; " " &amp; INDEX('Name pool'!B:B, RANDBETWEEN(2, COUNTA('Name pool'!B:B)))</f>
        <v>Neha Patel</v>
      </c>
      <c r="C308" t="s">
        <v>75</v>
      </c>
      <c r="D308" t="str">
        <f t="shared" ca="1" si="49"/>
        <v>BR05</v>
      </c>
      <c r="E308" t="str">
        <f t="shared" ca="1" si="55"/>
        <v>Standard</v>
      </c>
      <c r="F308" s="2">
        <v>45902</v>
      </c>
      <c r="G308" s="2">
        <v>45992</v>
      </c>
      <c r="H308">
        <v>1000</v>
      </c>
      <c r="I308">
        <f t="shared" ca="1" si="56"/>
        <v>10000</v>
      </c>
      <c r="J308">
        <v>2</v>
      </c>
      <c r="K308" t="str">
        <f t="shared" ca="1" si="57"/>
        <v>Yes</v>
      </c>
      <c r="L308" t="str">
        <f t="shared" ca="1" si="58"/>
        <v>Weight Loss</v>
      </c>
      <c r="M308" t="str">
        <f t="shared" ca="1" si="59"/>
        <v>Active</v>
      </c>
      <c r="N308" s="2">
        <v>46102</v>
      </c>
      <c r="Q308" t="str">
        <f ca="1">IF(RAND()&lt;0.2,
    IF(RAND()&lt;0.5, LOWER(C308), UPPER(C308)),
    C308
)</f>
        <v>Bangalore</v>
      </c>
      <c r="R308">
        <f t="shared" ca="1" si="51"/>
        <v>2</v>
      </c>
      <c r="S308">
        <f t="shared" ca="1" si="52"/>
        <v>1000</v>
      </c>
      <c r="T308">
        <f t="shared" ca="1" si="53"/>
        <v>45395</v>
      </c>
      <c r="U308" s="2">
        <f t="shared" ca="1" si="54"/>
        <v>46102</v>
      </c>
    </row>
    <row r="309" spans="1:21">
      <c r="A309" t="str">
        <f t="shared" si="50"/>
        <v>MEM0308</v>
      </c>
      <c r="B309" t="str">
        <f ca="1">INDEX('Name pool'!A:A, RANDBETWEEN(2, COUNTA('Name pool'!A:A))) &amp; " " &amp; INDEX('Name pool'!B:B, RANDBETWEEN(2, COUNTA('Name pool'!B:B)))</f>
        <v>Akash Banerjee</v>
      </c>
      <c r="C309" t="s">
        <v>124</v>
      </c>
      <c r="D309" t="str">
        <f t="shared" ca="1" si="49"/>
        <v>BR01</v>
      </c>
      <c r="E309" t="str">
        <f t="shared" ca="1" si="55"/>
        <v>Basic</v>
      </c>
      <c r="F309" s="2">
        <v>45358</v>
      </c>
      <c r="G309" s="2">
        <v>45723</v>
      </c>
      <c r="H309">
        <v>3500</v>
      </c>
      <c r="I309">
        <f t="shared" ca="1" si="56"/>
        <v>14000</v>
      </c>
      <c r="J309">
        <v>22</v>
      </c>
      <c r="K309" t="str">
        <f t="shared" ca="1" si="57"/>
        <v>Yes</v>
      </c>
      <c r="L309" t="str">
        <f t="shared" ca="1" si="58"/>
        <v>Muscle Gain</v>
      </c>
      <c r="M309" t="str">
        <f t="shared" ca="1" si="59"/>
        <v>Active</v>
      </c>
      <c r="N309" s="2">
        <v>45479</v>
      </c>
      <c r="Q309" t="str">
        <f ca="1">IF(RAND()&lt;0.2,
    IF(RAND()&lt;0.5, LOWER(C309), UPPER(C309)),
    C309
)</f>
        <v>chennai</v>
      </c>
      <c r="R309" t="str">
        <f t="shared" ca="1" si="51"/>
        <v>22 visits</v>
      </c>
      <c r="S309">
        <f t="shared" ca="1" si="52"/>
        <v>3500</v>
      </c>
      <c r="T309">
        <f t="shared" ca="1" si="53"/>
        <v>45413</v>
      </c>
      <c r="U309" s="2">
        <f t="shared" ca="1" si="54"/>
        <v>45479</v>
      </c>
    </row>
    <row r="310" spans="1:21">
      <c r="A310" t="str">
        <f t="shared" si="50"/>
        <v>MEM0309</v>
      </c>
      <c r="B310" t="str">
        <f ca="1">INDEX('Name pool'!A:A, RANDBETWEEN(2, COUNTA('Name pool'!A:A))) &amp; " " &amp; INDEX('Name pool'!B:B, RANDBETWEEN(2, COUNTA('Name pool'!B:B)))</f>
        <v>Neha Kapoor</v>
      </c>
      <c r="C310" t="s">
        <v>79</v>
      </c>
      <c r="D310" t="str">
        <f t="shared" ca="1" si="49"/>
        <v>BR04</v>
      </c>
      <c r="E310" t="str">
        <f t="shared" ca="1" si="55"/>
        <v>Basic</v>
      </c>
      <c r="F310" s="2">
        <v>45915</v>
      </c>
      <c r="G310" s="2">
        <v>45945</v>
      </c>
      <c r="H310">
        <v>1000</v>
      </c>
      <c r="I310">
        <f t="shared" ca="1" si="56"/>
        <v>3000</v>
      </c>
      <c r="J310">
        <v>6</v>
      </c>
      <c r="K310" t="str">
        <f t="shared" ca="1" si="57"/>
        <v>No</v>
      </c>
      <c r="L310" t="str">
        <f t="shared" ca="1" si="58"/>
        <v>General Fitness</v>
      </c>
      <c r="M310" t="str">
        <f t="shared" ca="1" si="59"/>
        <v>Active</v>
      </c>
      <c r="N310" s="2">
        <v>45973</v>
      </c>
      <c r="Q310" t="str">
        <f ca="1">IF(RAND()&lt;0.2,
    IF(RAND()&lt;0.5, LOWER(C310), UPPER(C310)),
    C310
)</f>
        <v>Hyderabad</v>
      </c>
      <c r="R310">
        <f t="shared" ca="1" si="51"/>
        <v>6</v>
      </c>
      <c r="S310">
        <f t="shared" ca="1" si="52"/>
        <v>1000</v>
      </c>
      <c r="T310">
        <f t="shared" ca="1" si="53"/>
        <v>45478</v>
      </c>
      <c r="U310" s="2">
        <f t="shared" ca="1" si="54"/>
        <v>45973</v>
      </c>
    </row>
    <row r="311" spans="1:21">
      <c r="A311" t="str">
        <f t="shared" si="50"/>
        <v>MEM0310</v>
      </c>
      <c r="B311" t="str">
        <f ca="1">INDEX('Name pool'!A:A, RANDBETWEEN(2, COUNTA('Name pool'!A:A))) &amp; " " &amp; INDEX('Name pool'!B:B, RANDBETWEEN(2, COUNTA('Name pool'!B:B)))</f>
        <v>Deepak Pillai</v>
      </c>
      <c r="C311" t="s">
        <v>73</v>
      </c>
      <c r="D311" t="str">
        <f t="shared" ca="1" si="49"/>
        <v>BR06</v>
      </c>
      <c r="E311" t="str">
        <f t="shared" ca="1" si="55"/>
        <v>Basic</v>
      </c>
      <c r="F311" s="2">
        <v>45837</v>
      </c>
      <c r="G311" s="2">
        <v>46202</v>
      </c>
      <c r="H311">
        <v>3500</v>
      </c>
      <c r="I311">
        <f t="shared" ca="1" si="56"/>
        <v>7000</v>
      </c>
      <c r="J311">
        <v>9</v>
      </c>
      <c r="K311" t="str">
        <f t="shared" ca="1" si="57"/>
        <v>No</v>
      </c>
      <c r="L311" t="str">
        <f t="shared" ca="1" si="58"/>
        <v>General Fitness</v>
      </c>
      <c r="M311" t="str">
        <f t="shared" ca="1" si="59"/>
        <v>Active</v>
      </c>
      <c r="N311" s="2">
        <v>45972</v>
      </c>
      <c r="Q311" t="str">
        <f ca="1">IF(RAND()&lt;0.2,
    IF(RAND()&lt;0.5, LOWER(C311), UPPER(C311)),
    C311
)</f>
        <v>kochi</v>
      </c>
      <c r="R311">
        <f t="shared" ca="1" si="51"/>
        <v>9</v>
      </c>
      <c r="S311">
        <f t="shared" ca="1" si="52"/>
        <v>3500</v>
      </c>
      <c r="T311">
        <f t="shared" ca="1" si="53"/>
        <v>45245</v>
      </c>
      <c r="U311" s="2">
        <f t="shared" ca="1" si="54"/>
        <v>45972</v>
      </c>
    </row>
    <row r="312" spans="1:21">
      <c r="A312" t="str">
        <f t="shared" si="50"/>
        <v>MEM0311</v>
      </c>
      <c r="B312" t="str">
        <f ca="1">INDEX('Name pool'!A:A, RANDBETWEEN(2, COUNTA('Name pool'!A:A))) &amp; " " &amp; INDEX('Name pool'!B:B, RANDBETWEEN(2, COUNTA('Name pool'!B:B)))</f>
        <v>Kavya D’Souza</v>
      </c>
      <c r="C312" t="s">
        <v>85</v>
      </c>
      <c r="D312" t="str">
        <f t="shared" ca="1" si="49"/>
        <v>BR07</v>
      </c>
      <c r="E312" t="str">
        <f t="shared" ca="1" si="55"/>
        <v>Basic</v>
      </c>
      <c r="F312" s="2">
        <v>45208</v>
      </c>
      <c r="G312" s="2">
        <v>45573</v>
      </c>
      <c r="H312">
        <v>3500</v>
      </c>
      <c r="I312">
        <f t="shared" ca="1" si="56"/>
        <v>38500</v>
      </c>
      <c r="J312">
        <v>2</v>
      </c>
      <c r="K312" t="str">
        <f t="shared" ca="1" si="57"/>
        <v>No</v>
      </c>
      <c r="L312" t="str">
        <f t="shared" ca="1" si="58"/>
        <v>General Fitness</v>
      </c>
      <c r="M312" t="str">
        <f t="shared" ca="1" si="59"/>
        <v>Cancelled</v>
      </c>
      <c r="N312" s="2">
        <v>45495</v>
      </c>
      <c r="Q312" t="str">
        <f ca="1">IF(RAND()&lt;0.2,
    IF(RAND()&lt;0.5, LOWER(C312), UPPER(C312)),
    C312
)</f>
        <v>Calicut</v>
      </c>
      <c r="R312">
        <f t="shared" ca="1" si="51"/>
        <v>2</v>
      </c>
      <c r="S312">
        <f t="shared" ca="1" si="52"/>
        <v>3500</v>
      </c>
      <c r="T312">
        <f t="shared" ca="1" si="53"/>
        <v>45343</v>
      </c>
      <c r="U312" s="2">
        <f t="shared" ca="1" si="54"/>
        <v>45495</v>
      </c>
    </row>
    <row r="313" spans="1:21">
      <c r="A313" t="str">
        <f t="shared" si="50"/>
        <v>MEM0312</v>
      </c>
      <c r="B313" t="str">
        <f ca="1">INDEX('Name pool'!A:A, RANDBETWEEN(2, COUNTA('Name pool'!A:A))) &amp; " " &amp; INDEX('Name pool'!B:B, RANDBETWEEN(2, COUNTA('Name pool'!B:B)))</f>
        <v>Nikhil Desai</v>
      </c>
      <c r="C313" t="s">
        <v>79</v>
      </c>
      <c r="D313" t="str">
        <f t="shared" ca="1" si="49"/>
        <v>BR05</v>
      </c>
      <c r="E313" t="str">
        <f t="shared" ca="1" si="55"/>
        <v>Premium</v>
      </c>
      <c r="F313" s="2">
        <v>45439</v>
      </c>
      <c r="G313" s="2">
        <v>45804</v>
      </c>
      <c r="H313">
        <v>1000</v>
      </c>
      <c r="I313">
        <f t="shared" ca="1" si="56"/>
        <v>5000</v>
      </c>
      <c r="J313">
        <v>13</v>
      </c>
      <c r="K313" t="str">
        <f t="shared" ca="1" si="57"/>
        <v>Yes</v>
      </c>
      <c r="L313" t="str">
        <f t="shared" ca="1" si="58"/>
        <v>General Fitness</v>
      </c>
      <c r="M313" t="str">
        <f t="shared" ca="1" si="59"/>
        <v>Active</v>
      </c>
      <c r="N313" s="2">
        <v>45935</v>
      </c>
      <c r="Q313" t="str">
        <f ca="1">IF(RAND()&lt;0.2,
    IF(RAND()&lt;0.5, LOWER(C313), UPPER(C313)),
    C313
)</f>
        <v>Hyderabad</v>
      </c>
      <c r="R313">
        <f t="shared" ca="1" si="51"/>
        <v>13</v>
      </c>
      <c r="S313">
        <f t="shared" ca="1" si="52"/>
        <v>1000</v>
      </c>
      <c r="T313">
        <f t="shared" ca="1" si="53"/>
        <v>45989</v>
      </c>
      <c r="U313" s="2">
        <f t="shared" ca="1" si="54"/>
        <v>45935</v>
      </c>
    </row>
    <row r="314" spans="1:21">
      <c r="A314" t="str">
        <f t="shared" si="50"/>
        <v>MEM0313</v>
      </c>
      <c r="B314" t="str">
        <f ca="1">INDEX('Name pool'!A:A, RANDBETWEEN(2, COUNTA('Name pool'!A:A))) &amp; " " &amp; INDEX('Name pool'!B:B, RANDBETWEEN(2, COUNTA('Name pool'!B:B)))</f>
        <v>Kavya Thomas</v>
      </c>
      <c r="C314" t="s">
        <v>79</v>
      </c>
      <c r="D314" t="str">
        <f t="shared" ca="1" si="49"/>
        <v>BR01</v>
      </c>
      <c r="E314" t="str">
        <f t="shared" ca="1" si="55"/>
        <v>Basic</v>
      </c>
      <c r="F314" s="2">
        <v>45760</v>
      </c>
      <c r="G314" s="2">
        <v>45790</v>
      </c>
      <c r="H314">
        <v>1000</v>
      </c>
      <c r="I314">
        <f t="shared" ca="1" si="56"/>
        <v>2000</v>
      </c>
      <c r="J314">
        <v>15</v>
      </c>
      <c r="K314" t="str">
        <f t="shared" ca="1" si="57"/>
        <v>Yes</v>
      </c>
      <c r="L314" t="str">
        <f t="shared" ca="1" si="58"/>
        <v>General Fitness</v>
      </c>
      <c r="M314" t="str">
        <f t="shared" ca="1" si="59"/>
        <v>Active</v>
      </c>
      <c r="N314" s="2">
        <v>46065</v>
      </c>
      <c r="Q314" t="str">
        <f ca="1">IF(RAND()&lt;0.2,
    IF(RAND()&lt;0.5, LOWER(C314), UPPER(C314)),
    C314
)</f>
        <v>Hyderabad</v>
      </c>
      <c r="R314">
        <f t="shared" ca="1" si="51"/>
        <v>15</v>
      </c>
      <c r="S314">
        <f t="shared" ca="1" si="52"/>
        <v>1000</v>
      </c>
      <c r="T314">
        <f t="shared" ca="1" si="53"/>
        <v>45549</v>
      </c>
      <c r="U314" s="2">
        <f t="shared" ca="1" si="54"/>
        <v>46065</v>
      </c>
    </row>
    <row r="315" spans="1:21">
      <c r="A315" t="str">
        <f t="shared" si="50"/>
        <v>MEM0314</v>
      </c>
      <c r="B315" t="str">
        <f ca="1">INDEX('Name pool'!A:A, RANDBETWEEN(2, COUNTA('Name pool'!A:A))) &amp; " " &amp; INDEX('Name pool'!B:B, RANDBETWEEN(2, COUNTA('Name pool'!B:B)))</f>
        <v>Meera Joseph</v>
      </c>
      <c r="C315" t="s">
        <v>75</v>
      </c>
      <c r="D315" t="str">
        <f t="shared" ca="1" si="49"/>
        <v>BR05</v>
      </c>
      <c r="E315" t="str">
        <f t="shared" ca="1" si="55"/>
        <v>Basic</v>
      </c>
      <c r="F315" s="2">
        <v>45795</v>
      </c>
      <c r="G315" s="2">
        <v>45885</v>
      </c>
      <c r="H315">
        <v>1000</v>
      </c>
      <c r="I315">
        <f t="shared" ca="1" si="56"/>
        <v>5000</v>
      </c>
      <c r="J315">
        <v>0</v>
      </c>
      <c r="K315" t="str">
        <f t="shared" ca="1" si="57"/>
        <v>Yes</v>
      </c>
      <c r="L315" t="str">
        <f t="shared" ca="1" si="58"/>
        <v>Weight Loss</v>
      </c>
      <c r="M315" t="str">
        <f t="shared" ca="1" si="59"/>
        <v>Active</v>
      </c>
      <c r="N315" s="2">
        <v>46124</v>
      </c>
      <c r="Q315" t="str">
        <f ca="1">IF(RAND()&lt;0.2,
    IF(RAND()&lt;0.5, LOWER(C315), UPPER(C315)),
    C315
)</f>
        <v>Bangalore</v>
      </c>
      <c r="R315" t="str">
        <f t="shared" ca="1" si="51"/>
        <v>0 visits</v>
      </c>
      <c r="S315" t="str">
        <f t="shared" ca="1" si="52"/>
        <v>1000</v>
      </c>
      <c r="T315">
        <f t="shared" ca="1" si="53"/>
        <v>44979</v>
      </c>
      <c r="U315" s="2">
        <f t="shared" ca="1" si="54"/>
        <v>46124</v>
      </c>
    </row>
    <row r="316" spans="1:21">
      <c r="A316" t="str">
        <f t="shared" si="50"/>
        <v>MEM0315</v>
      </c>
      <c r="B316" t="str">
        <f ca="1">INDEX('Name pool'!A:A, RANDBETWEEN(2, COUNTA('Name pool'!A:A))) &amp; " " &amp; INDEX('Name pool'!B:B, RANDBETWEEN(2, COUNTA('Name pool'!B:B)))</f>
        <v>Sanjay Desai</v>
      </c>
      <c r="C316" t="s">
        <v>137</v>
      </c>
      <c r="D316" t="str">
        <f t="shared" ca="1" si="49"/>
        <v>BR01</v>
      </c>
      <c r="E316" t="str">
        <f t="shared" ca="1" si="55"/>
        <v>Basic</v>
      </c>
      <c r="F316" s="2">
        <v>44959</v>
      </c>
      <c r="G316" s="2">
        <v>44989</v>
      </c>
      <c r="H316">
        <v>3500</v>
      </c>
      <c r="I316">
        <f t="shared" ca="1" si="56"/>
        <v>7000</v>
      </c>
      <c r="J316">
        <v>13</v>
      </c>
      <c r="K316" t="str">
        <f t="shared" ca="1" si="57"/>
        <v>Yes</v>
      </c>
      <c r="L316" t="str">
        <f t="shared" ca="1" si="58"/>
        <v>Weight Loss</v>
      </c>
      <c r="M316" t="str">
        <f t="shared" ca="1" si="59"/>
        <v>Active</v>
      </c>
      <c r="N316" s="2">
        <v>45631</v>
      </c>
      <c r="Q316" t="str">
        <f ca="1">IF(RAND()&lt;0.2,
    IF(RAND()&lt;0.5, LOWER(C316), UPPER(C316)),
    C316
)</f>
        <v>CALICUT</v>
      </c>
      <c r="R316">
        <f t="shared" ca="1" si="51"/>
        <v>13</v>
      </c>
      <c r="S316">
        <f t="shared" ca="1" si="52"/>
        <v>3500</v>
      </c>
      <c r="T316">
        <f t="shared" ca="1" si="53"/>
        <v>45933</v>
      </c>
      <c r="U316" s="2">
        <f t="shared" ca="1" si="54"/>
        <v>45631</v>
      </c>
    </row>
    <row r="317" spans="1:21">
      <c r="A317" t="str">
        <f t="shared" si="50"/>
        <v>MEM0316</v>
      </c>
      <c r="B317" t="str">
        <f ca="1">INDEX('Name pool'!A:A, RANDBETWEEN(2, COUNTA('Name pool'!A:A))) &amp; " " &amp; INDEX('Name pool'!B:B, RANDBETWEEN(2, COUNTA('Name pool'!B:B)))</f>
        <v>Lakshmi Nambiar</v>
      </c>
      <c r="C317" t="s">
        <v>73</v>
      </c>
      <c r="D317" t="str">
        <f t="shared" ca="1" si="49"/>
        <v>BR06</v>
      </c>
      <c r="E317" t="str">
        <f t="shared" ca="1" si="55"/>
        <v>Premium</v>
      </c>
      <c r="F317" s="2">
        <v>45355</v>
      </c>
      <c r="G317" s="2">
        <v>45720</v>
      </c>
      <c r="H317">
        <v>3500</v>
      </c>
      <c r="I317">
        <f t="shared" ca="1" si="56"/>
        <v>35000</v>
      </c>
      <c r="J317">
        <v>5</v>
      </c>
      <c r="K317" t="str">
        <f t="shared" ca="1" si="57"/>
        <v>No</v>
      </c>
      <c r="L317" t="str">
        <f t="shared" ca="1" si="58"/>
        <v>Muscle Gain</v>
      </c>
      <c r="M317" t="str">
        <f t="shared" ca="1" si="59"/>
        <v>Active</v>
      </c>
      <c r="N317" s="2">
        <v>45722</v>
      </c>
      <c r="Q317" t="str">
        <f ca="1">IF(RAND()&lt;0.2,
    IF(RAND()&lt;0.5, LOWER(C317), UPPER(C317)),
    C317
)</f>
        <v>Kochi</v>
      </c>
      <c r="R317" t="str">
        <f t="shared" ca="1" si="51"/>
        <v>5 visits</v>
      </c>
      <c r="S317">
        <f t="shared" ca="1" si="52"/>
        <v>3500</v>
      </c>
      <c r="T317">
        <f t="shared" ca="1" si="53"/>
        <v>45123</v>
      </c>
      <c r="U317" s="2">
        <f t="shared" ca="1" si="54"/>
        <v>45722</v>
      </c>
    </row>
    <row r="318" spans="1:21">
      <c r="A318" t="str">
        <f t="shared" si="50"/>
        <v>MEM0317</v>
      </c>
      <c r="B318" t="str">
        <f ca="1">INDEX('Name pool'!A:A, RANDBETWEEN(2, COUNTA('Name pool'!A:A))) &amp; " " &amp; INDEX('Name pool'!B:B, RANDBETWEEN(2, COUNTA('Name pool'!B:B)))</f>
        <v>Riya Das</v>
      </c>
      <c r="C318" t="s">
        <v>83</v>
      </c>
      <c r="D318" t="str">
        <f t="shared" ca="1" si="49"/>
        <v>BR02</v>
      </c>
      <c r="E318" t="str">
        <f t="shared" ca="1" si="55"/>
        <v>Standard</v>
      </c>
      <c r="F318" s="2">
        <v>45392</v>
      </c>
      <c r="G318" s="2">
        <v>45757</v>
      </c>
      <c r="H318">
        <v>1000</v>
      </c>
      <c r="I318">
        <f t="shared" ca="1" si="56"/>
        <v>5000</v>
      </c>
      <c r="J318">
        <v>16</v>
      </c>
      <c r="K318" t="str">
        <f t="shared" ca="1" si="57"/>
        <v>Yes</v>
      </c>
      <c r="L318" t="str">
        <f t="shared" ca="1" si="58"/>
        <v>General Fitness</v>
      </c>
      <c r="M318" t="str">
        <f t="shared" ca="1" si="59"/>
        <v>Active</v>
      </c>
      <c r="N318" s="2">
        <v>45408</v>
      </c>
      <c r="Q318" t="str">
        <f ca="1">IF(RAND()&lt;0.2,
    IF(RAND()&lt;0.5, LOWER(C318), UPPER(C318)),
    C318
)</f>
        <v>Trivandrum</v>
      </c>
      <c r="R318" t="str">
        <f t="shared" ca="1" si="51"/>
        <v>16 visits</v>
      </c>
      <c r="S318">
        <f t="shared" ca="1" si="52"/>
        <v>1000</v>
      </c>
      <c r="T318">
        <f t="shared" ca="1" si="53"/>
        <v>45253</v>
      </c>
      <c r="U318" s="2">
        <f t="shared" ca="1" si="54"/>
        <v>45408</v>
      </c>
    </row>
    <row r="319" spans="1:21">
      <c r="A319" t="str">
        <f t="shared" si="50"/>
        <v>MEM0318</v>
      </c>
      <c r="B319" t="str">
        <f ca="1">INDEX('Name pool'!A:A, RANDBETWEEN(2, COUNTA('Name pool'!A:A))) &amp; " " &amp; INDEX('Name pool'!B:B, RANDBETWEEN(2, COUNTA('Name pool'!B:B)))</f>
        <v>Manoj Singh</v>
      </c>
      <c r="C319" t="s">
        <v>117</v>
      </c>
      <c r="D319" t="str">
        <f t="shared" ca="1" si="49"/>
        <v>BR04</v>
      </c>
      <c r="E319" t="str">
        <f t="shared" ca="1" si="55"/>
        <v>Premium</v>
      </c>
      <c r="F319" s="2">
        <v>45250</v>
      </c>
      <c r="G319" s="2">
        <v>45340</v>
      </c>
      <c r="H319">
        <v>3500</v>
      </c>
      <c r="I319">
        <f t="shared" ca="1" si="56"/>
        <v>42000</v>
      </c>
      <c r="J319">
        <v>16</v>
      </c>
      <c r="K319" t="str">
        <f t="shared" ca="1" si="57"/>
        <v>Yes</v>
      </c>
      <c r="L319" t="str">
        <f t="shared" ca="1" si="58"/>
        <v>General Fitness</v>
      </c>
      <c r="M319" t="str">
        <f t="shared" ca="1" si="59"/>
        <v>Active</v>
      </c>
      <c r="N319" s="2">
        <v>45446</v>
      </c>
      <c r="Q319" t="str">
        <f ca="1">IF(RAND()&lt;0.2,
    IF(RAND()&lt;0.5, LOWER(C319), UPPER(C319)),
    C319
)</f>
        <v>mumbai</v>
      </c>
      <c r="R319">
        <f t="shared" ca="1" si="51"/>
        <v>16</v>
      </c>
      <c r="S319">
        <f t="shared" ca="1" si="52"/>
        <v>3500</v>
      </c>
      <c r="T319">
        <f t="shared" ca="1" si="53"/>
        <v>45804</v>
      </c>
      <c r="U319" s="2">
        <f t="shared" ca="1" si="54"/>
        <v>45446</v>
      </c>
    </row>
    <row r="320" spans="1:21">
      <c r="A320" t="str">
        <f t="shared" si="50"/>
        <v>MEM0319</v>
      </c>
      <c r="B320" t="str">
        <f ca="1">INDEX('Name pool'!A:A, RANDBETWEEN(2, COUNTA('Name pool'!A:A))) &amp; " " &amp; INDEX('Name pool'!B:B, RANDBETWEEN(2, COUNTA('Name pool'!B:B)))</f>
        <v>Aditya Thomas</v>
      </c>
      <c r="C320" t="s">
        <v>73</v>
      </c>
      <c r="D320" t="str">
        <f t="shared" ca="1" si="49"/>
        <v>BR02</v>
      </c>
      <c r="E320" t="str">
        <f t="shared" ca="1" si="55"/>
        <v>Basic</v>
      </c>
      <c r="F320" s="2">
        <v>45074</v>
      </c>
      <c r="G320" s="2">
        <v>45164</v>
      </c>
      <c r="H320">
        <v>2000</v>
      </c>
      <c r="I320">
        <f t="shared" ca="1" si="56"/>
        <v>16000</v>
      </c>
      <c r="J320">
        <v>22</v>
      </c>
      <c r="K320" t="str">
        <f t="shared" ca="1" si="57"/>
        <v>Yes</v>
      </c>
      <c r="L320" t="str">
        <f t="shared" ca="1" si="58"/>
        <v>Weight Loss</v>
      </c>
      <c r="M320" t="str">
        <f t="shared" ca="1" si="59"/>
        <v>Active</v>
      </c>
      <c r="N320" s="2">
        <v>45814</v>
      </c>
      <c r="Q320" t="str">
        <f ca="1">IF(RAND()&lt;0.2,
    IF(RAND()&lt;0.5, LOWER(C320), UPPER(C320)),
    C320
)</f>
        <v>kochi</v>
      </c>
      <c r="R320">
        <f t="shared" ca="1" si="51"/>
        <v>22</v>
      </c>
      <c r="S320">
        <f t="shared" ca="1" si="52"/>
        <v>2000</v>
      </c>
      <c r="T320">
        <f t="shared" ca="1" si="53"/>
        <v>45497</v>
      </c>
      <c r="U320" s="2">
        <f t="shared" ca="1" si="54"/>
        <v>45814</v>
      </c>
    </row>
    <row r="321" spans="1:21">
      <c r="A321" t="str">
        <f t="shared" si="50"/>
        <v>MEM0320</v>
      </c>
      <c r="B321" t="str">
        <f ca="1">INDEX('Name pool'!A:A, RANDBETWEEN(2, COUNTA('Name pool'!A:A))) &amp; " " &amp; INDEX('Name pool'!B:B, RANDBETWEEN(2, COUNTA('Name pool'!B:B)))</f>
        <v>Nikhil Bhat</v>
      </c>
      <c r="C321" t="s">
        <v>77</v>
      </c>
      <c r="D321" t="str">
        <f t="shared" ca="1" si="49"/>
        <v>BR02</v>
      </c>
      <c r="E321" t="str">
        <f t="shared" ca="1" si="55"/>
        <v>Basic</v>
      </c>
      <c r="F321" s="2">
        <v>46039</v>
      </c>
      <c r="G321" s="2">
        <v>46404</v>
      </c>
      <c r="H321">
        <v>2000</v>
      </c>
      <c r="I321">
        <f t="shared" ca="1" si="56"/>
        <v>14000</v>
      </c>
      <c r="J321">
        <v>14</v>
      </c>
      <c r="K321" t="str">
        <f t="shared" ca="1" si="57"/>
        <v>Yes</v>
      </c>
      <c r="L321" t="str">
        <f t="shared" ca="1" si="58"/>
        <v>General Fitness</v>
      </c>
      <c r="M321" t="str">
        <f t="shared" ca="1" si="59"/>
        <v>Active</v>
      </c>
      <c r="N321" s="2">
        <v>46057</v>
      </c>
      <c r="Q321" t="str">
        <f ca="1">IF(RAND()&lt;0.2,
    IF(RAND()&lt;0.5, LOWER(C321), UPPER(C321)),
    C321
)</f>
        <v>Chennai</v>
      </c>
      <c r="R321">
        <f t="shared" ca="1" si="51"/>
        <v>14</v>
      </c>
      <c r="S321">
        <f t="shared" ca="1" si="52"/>
        <v>2000</v>
      </c>
      <c r="T321">
        <f t="shared" ca="1" si="53"/>
        <v>44961</v>
      </c>
      <c r="U321" s="2">
        <f t="shared" ca="1" si="54"/>
        <v>46057</v>
      </c>
    </row>
    <row r="322" spans="1:21">
      <c r="A322" t="str">
        <f t="shared" si="50"/>
        <v>MEM0321</v>
      </c>
      <c r="B322" t="str">
        <f ca="1">INDEX('Name pool'!A:A, RANDBETWEEN(2, COUNTA('Name pool'!A:A))) &amp; " " &amp; INDEX('Name pool'!B:B, RANDBETWEEN(2, COUNTA('Name pool'!B:B)))</f>
        <v>Nisha Agarwal</v>
      </c>
      <c r="C322" t="s">
        <v>131</v>
      </c>
      <c r="D322" t="str">
        <f t="shared" ref="D322:D385" ca="1" si="60">CHOOSE(RANDBETWEEN(1,7),"BR01","BR02","BR03","BR04","BR05","BR06","BR07")</f>
        <v>BR07</v>
      </c>
      <c r="E322" t="str">
        <f t="shared" ca="1" si="55"/>
        <v>Standard</v>
      </c>
      <c r="F322" s="2">
        <v>45043</v>
      </c>
      <c r="G322" s="2">
        <v>45408</v>
      </c>
      <c r="H322">
        <v>1000</v>
      </c>
      <c r="I322">
        <f t="shared" ca="1" si="56"/>
        <v>1000</v>
      </c>
      <c r="J322">
        <v>23</v>
      </c>
      <c r="K322" t="str">
        <f t="shared" ca="1" si="57"/>
        <v>No</v>
      </c>
      <c r="L322" t="str">
        <f t="shared" ca="1" si="58"/>
        <v>Muscle Gain</v>
      </c>
      <c r="M322" t="str">
        <f t="shared" ca="1" si="59"/>
        <v>Active</v>
      </c>
      <c r="N322" s="2">
        <v>45497</v>
      </c>
      <c r="Q322" t="str">
        <f ca="1">IF(RAND()&lt;0.2,
    IF(RAND()&lt;0.5, LOWER(C322), UPPER(C322)),
    C322
)</f>
        <v>BANGALORE</v>
      </c>
      <c r="R322">
        <f t="shared" ca="1" si="51"/>
        <v>23</v>
      </c>
      <c r="S322">
        <f t="shared" ca="1" si="52"/>
        <v>1000</v>
      </c>
      <c r="T322">
        <f t="shared" ca="1" si="53"/>
        <v>45351</v>
      </c>
      <c r="U322" s="2">
        <f t="shared" ca="1" si="54"/>
        <v>45497</v>
      </c>
    </row>
    <row r="323" spans="1:21">
      <c r="A323" t="str">
        <f t="shared" ref="A323:A386" si="61">"MEM" &amp; TEXT(ROW()-1,"0000")</f>
        <v>MEM0322</v>
      </c>
      <c r="B323" t="str">
        <f ca="1">INDEX('Name pool'!A:A, RANDBETWEEN(2, COUNTA('Name pool'!A:A))) &amp; " " &amp; INDEX('Name pool'!B:B, RANDBETWEEN(2, COUNTA('Name pool'!B:B)))</f>
        <v>Rohit Nambiar</v>
      </c>
      <c r="C323" t="s">
        <v>83</v>
      </c>
      <c r="D323" t="str">
        <f t="shared" ca="1" si="60"/>
        <v>BR02</v>
      </c>
      <c r="E323" t="str">
        <f t="shared" ca="1" si="55"/>
        <v>Basic</v>
      </c>
      <c r="F323" s="2">
        <v>45354</v>
      </c>
      <c r="G323" s="2">
        <v>45384</v>
      </c>
      <c r="H323">
        <v>1000</v>
      </c>
      <c r="I323">
        <f t="shared" ca="1" si="56"/>
        <v>6000</v>
      </c>
      <c r="J323">
        <v>11</v>
      </c>
      <c r="K323" t="str">
        <f t="shared" ca="1" si="57"/>
        <v>No</v>
      </c>
      <c r="L323" t="str">
        <f t="shared" ca="1" si="58"/>
        <v>Muscle Gain</v>
      </c>
      <c r="M323" t="str">
        <f t="shared" ca="1" si="59"/>
        <v>Active</v>
      </c>
      <c r="N323" s="2">
        <v>45972</v>
      </c>
      <c r="Q323" t="str">
        <f ca="1">IF(RAND()&lt;0.2,
    IF(RAND()&lt;0.5, LOWER(C323), UPPER(C323)),
    C323
)</f>
        <v>Trivandrum</v>
      </c>
      <c r="R323">
        <f t="shared" ref="R323:R386" ca="1" si="62">IF(RAND()&lt;0.15,
    J323 &amp; " visits",
    J323
)</f>
        <v>11</v>
      </c>
      <c r="S323">
        <f t="shared" ref="S323:S386" ca="1" si="63">IF(RAND()&lt;0.1,
    TEXT(H323,"0"),
    H323
)</f>
        <v>1000</v>
      </c>
      <c r="T323">
        <f t="shared" ref="T323:T386" ca="1" si="64">RANDBETWEEN(DATE(2023,1,1), DATE(2026,1,31))</f>
        <v>45723</v>
      </c>
      <c r="U323" s="2">
        <f t="shared" ref="U323:U386" ca="1" si="65">IF(AND(M323="Cancelled", RAND()&lt;0.5),
    F323 + RANDBETWEEN(10,50),
    N323
)</f>
        <v>45972</v>
      </c>
    </row>
    <row r="324" spans="1:21">
      <c r="A324" t="str">
        <f t="shared" si="61"/>
        <v>MEM0323</v>
      </c>
      <c r="B324" t="str">
        <f ca="1">INDEX('Name pool'!A:A, RANDBETWEEN(2, COUNTA('Name pool'!A:A))) &amp; " " &amp; INDEX('Name pool'!B:B, RANDBETWEEN(2, COUNTA('Name pool'!B:B)))</f>
        <v>Karthik Shaikh</v>
      </c>
      <c r="C324" t="s">
        <v>123</v>
      </c>
      <c r="D324" t="str">
        <f t="shared" ca="1" si="60"/>
        <v>BR07</v>
      </c>
      <c r="E324" t="str">
        <f t="shared" ca="1" si="55"/>
        <v>Premium</v>
      </c>
      <c r="F324" s="2">
        <v>44968</v>
      </c>
      <c r="G324" s="2">
        <v>44998</v>
      </c>
      <c r="H324">
        <v>2000</v>
      </c>
      <c r="I324">
        <f t="shared" ca="1" si="56"/>
        <v>6000</v>
      </c>
      <c r="J324">
        <v>3</v>
      </c>
      <c r="K324" t="str">
        <f t="shared" ca="1" si="57"/>
        <v>Yes</v>
      </c>
      <c r="L324" t="str">
        <f t="shared" ca="1" si="58"/>
        <v>Muscle Gain</v>
      </c>
      <c r="M324" t="str">
        <f t="shared" ca="1" si="59"/>
        <v>Active</v>
      </c>
      <c r="N324" s="2">
        <v>44989</v>
      </c>
      <c r="Q324" t="str">
        <f ca="1">IF(RAND()&lt;0.2,
    IF(RAND()&lt;0.5, LOWER(C324), UPPER(C324)),
    C324
)</f>
        <v>KOCHI</v>
      </c>
      <c r="R324">
        <f t="shared" ca="1" si="62"/>
        <v>3</v>
      </c>
      <c r="S324">
        <f t="shared" ca="1" si="63"/>
        <v>2000</v>
      </c>
      <c r="T324">
        <f t="shared" ca="1" si="64"/>
        <v>46010</v>
      </c>
      <c r="U324" s="2">
        <f t="shared" ca="1" si="65"/>
        <v>44989</v>
      </c>
    </row>
    <row r="325" spans="1:21">
      <c r="A325" t="str">
        <f t="shared" si="61"/>
        <v>MEM0324</v>
      </c>
      <c r="B325" t="str">
        <f ca="1">INDEX('Name pool'!A:A, RANDBETWEEN(2, COUNTA('Name pool'!A:A))) &amp; " " &amp; INDEX('Name pool'!B:B, RANDBETWEEN(2, COUNTA('Name pool'!B:B)))</f>
        <v>Ishita Verma</v>
      </c>
      <c r="C325" t="s">
        <v>79</v>
      </c>
      <c r="D325" t="str">
        <f t="shared" ca="1" si="60"/>
        <v>BR07</v>
      </c>
      <c r="E325" t="str">
        <f t="shared" ca="1" si="55"/>
        <v>Premium</v>
      </c>
      <c r="F325" s="2">
        <v>45827</v>
      </c>
      <c r="G325" s="2">
        <v>45857</v>
      </c>
      <c r="H325">
        <v>1000</v>
      </c>
      <c r="I325">
        <f t="shared" ca="1" si="56"/>
        <v>11000</v>
      </c>
      <c r="J325">
        <v>13</v>
      </c>
      <c r="K325" t="str">
        <f t="shared" ca="1" si="57"/>
        <v>Yes</v>
      </c>
      <c r="L325" t="str">
        <f t="shared" ca="1" si="58"/>
        <v>Muscle Gain</v>
      </c>
      <c r="M325" t="str">
        <f t="shared" ca="1" si="59"/>
        <v>Active</v>
      </c>
      <c r="N325" s="2">
        <v>45989</v>
      </c>
      <c r="Q325" t="str">
        <f ca="1">IF(RAND()&lt;0.2,
    IF(RAND()&lt;0.5, LOWER(C325), UPPER(C325)),
    C325
)</f>
        <v>Hyderabad</v>
      </c>
      <c r="R325">
        <f t="shared" ca="1" si="62"/>
        <v>13</v>
      </c>
      <c r="S325">
        <f t="shared" ca="1" si="63"/>
        <v>1000</v>
      </c>
      <c r="T325">
        <f t="shared" ca="1" si="64"/>
        <v>45443</v>
      </c>
      <c r="U325" s="2">
        <f t="shared" ca="1" si="65"/>
        <v>45989</v>
      </c>
    </row>
    <row r="326" spans="1:21">
      <c r="A326" t="str">
        <f t="shared" si="61"/>
        <v>MEM0325</v>
      </c>
      <c r="B326" t="str">
        <f ca="1">INDEX('Name pool'!A:A, RANDBETWEEN(2, COUNTA('Name pool'!A:A))) &amp; " " &amp; INDEX('Name pool'!B:B, RANDBETWEEN(2, COUNTA('Name pool'!B:B)))</f>
        <v>Nikhil Kapoor</v>
      </c>
      <c r="C326" t="s">
        <v>73</v>
      </c>
      <c r="D326" t="str">
        <f t="shared" ca="1" si="60"/>
        <v>BR05</v>
      </c>
      <c r="E326" t="str">
        <f t="shared" ca="1" si="55"/>
        <v>Standard</v>
      </c>
      <c r="F326" s="2">
        <v>45262</v>
      </c>
      <c r="G326" s="2">
        <v>45627</v>
      </c>
      <c r="H326" t="s">
        <v>108</v>
      </c>
      <c r="I326">
        <f t="shared" ca="1" si="56"/>
        <v>2000</v>
      </c>
      <c r="J326">
        <v>20</v>
      </c>
      <c r="K326" t="str">
        <f t="shared" ca="1" si="57"/>
        <v>Yes</v>
      </c>
      <c r="L326" t="str">
        <f t="shared" ca="1" si="58"/>
        <v>General Fitness</v>
      </c>
      <c r="M326" t="str">
        <f t="shared" ca="1" si="59"/>
        <v>Active</v>
      </c>
      <c r="N326" s="2">
        <v>46008</v>
      </c>
      <c r="Q326" t="str">
        <f ca="1">IF(RAND()&lt;0.2,
    IF(RAND()&lt;0.5, LOWER(C326), UPPER(C326)),
    C326
)</f>
        <v>KOCHI</v>
      </c>
      <c r="R326">
        <f t="shared" ca="1" si="62"/>
        <v>20</v>
      </c>
      <c r="S326" t="str">
        <f t="shared" ca="1" si="63"/>
        <v>1000</v>
      </c>
      <c r="T326">
        <f t="shared" ca="1" si="64"/>
        <v>45460</v>
      </c>
      <c r="U326" s="2">
        <f t="shared" ca="1" si="65"/>
        <v>46008</v>
      </c>
    </row>
    <row r="327" spans="1:21">
      <c r="A327" t="str">
        <f t="shared" si="61"/>
        <v>MEM0326</v>
      </c>
      <c r="B327" t="str">
        <f ca="1">INDEX('Name pool'!A:A, RANDBETWEEN(2, COUNTA('Name pool'!A:A))) &amp; " " &amp; INDEX('Name pool'!B:B, RANDBETWEEN(2, COUNTA('Name pool'!B:B)))</f>
        <v>Neha Iyer</v>
      </c>
      <c r="C327" t="s">
        <v>131</v>
      </c>
      <c r="D327" t="str">
        <f t="shared" ca="1" si="60"/>
        <v>BR02</v>
      </c>
      <c r="E327" t="str">
        <f t="shared" ca="1" si="55"/>
        <v>Premium</v>
      </c>
      <c r="F327" s="2">
        <v>45926</v>
      </c>
      <c r="G327" s="2">
        <v>45956</v>
      </c>
      <c r="H327">
        <v>2000</v>
      </c>
      <c r="I327">
        <f t="shared" ca="1" si="56"/>
        <v>12000</v>
      </c>
      <c r="J327">
        <v>4</v>
      </c>
      <c r="K327" t="str">
        <f t="shared" ca="1" si="57"/>
        <v>No</v>
      </c>
      <c r="L327" t="str">
        <f t="shared" ca="1" si="58"/>
        <v>Weight Loss</v>
      </c>
      <c r="M327" t="str">
        <f t="shared" ca="1" si="59"/>
        <v>Cancelled</v>
      </c>
      <c r="N327" s="2">
        <v>45965</v>
      </c>
      <c r="Q327" t="str">
        <f ca="1">IF(RAND()&lt;0.2,
    IF(RAND()&lt;0.5, LOWER(C327), UPPER(C327)),
    C327
)</f>
        <v>BANGALORE</v>
      </c>
      <c r="R327">
        <f t="shared" ca="1" si="62"/>
        <v>4</v>
      </c>
      <c r="S327">
        <f t="shared" ca="1" si="63"/>
        <v>2000</v>
      </c>
      <c r="T327">
        <f t="shared" ca="1" si="64"/>
        <v>45553</v>
      </c>
      <c r="U327" s="2">
        <f t="shared" ca="1" si="65"/>
        <v>45963</v>
      </c>
    </row>
    <row r="328" spans="1:21">
      <c r="A328" t="str">
        <f t="shared" si="61"/>
        <v>MEM0327</v>
      </c>
      <c r="B328" t="str">
        <f ca="1">INDEX('Name pool'!A:A, RANDBETWEEN(2, COUNTA('Name pool'!A:A))) &amp; " " &amp; INDEX('Name pool'!B:B, RANDBETWEEN(2, COUNTA('Name pool'!B:B)))</f>
        <v>Anu Mathew</v>
      </c>
      <c r="C328" t="s">
        <v>107</v>
      </c>
      <c r="D328" t="str">
        <f t="shared" ca="1" si="60"/>
        <v>BR05</v>
      </c>
      <c r="E328" t="str">
        <f t="shared" ca="1" si="55"/>
        <v>Premium</v>
      </c>
      <c r="F328" s="2">
        <v>45569</v>
      </c>
      <c r="G328" s="2">
        <v>45659</v>
      </c>
      <c r="H328">
        <v>3500</v>
      </c>
      <c r="I328">
        <f t="shared" ca="1" si="56"/>
        <v>42000</v>
      </c>
      <c r="J328">
        <v>21</v>
      </c>
      <c r="K328" t="str">
        <f t="shared" ca="1" si="57"/>
        <v>No</v>
      </c>
      <c r="L328" t="str">
        <f t="shared" ca="1" si="58"/>
        <v>Weight Loss</v>
      </c>
      <c r="M328" t="str">
        <f t="shared" ca="1" si="59"/>
        <v>Active</v>
      </c>
      <c r="N328" s="2">
        <v>45726</v>
      </c>
      <c r="Q328" t="str">
        <f ca="1">IF(RAND()&lt;0.2,
    IF(RAND()&lt;0.5, LOWER(C328), UPPER(C328)),
    C328
)</f>
        <v>trivandrum</v>
      </c>
      <c r="R328">
        <f t="shared" ca="1" si="62"/>
        <v>21</v>
      </c>
      <c r="S328">
        <f t="shared" ca="1" si="63"/>
        <v>3500</v>
      </c>
      <c r="T328">
        <f t="shared" ca="1" si="64"/>
        <v>45187</v>
      </c>
      <c r="U328" s="2">
        <f t="shared" ca="1" si="65"/>
        <v>45726</v>
      </c>
    </row>
    <row r="329" spans="1:21">
      <c r="A329" t="str">
        <f t="shared" si="61"/>
        <v>MEM0328</v>
      </c>
      <c r="B329" t="str">
        <f ca="1">INDEX('Name pool'!A:A, RANDBETWEEN(2, COUNTA('Name pool'!A:A))) &amp; " " &amp; INDEX('Name pool'!B:B, RANDBETWEEN(2, COUNTA('Name pool'!B:B)))</f>
        <v>Ishita Mathew</v>
      </c>
      <c r="C329" t="s">
        <v>79</v>
      </c>
      <c r="D329" t="str">
        <f t="shared" ca="1" si="60"/>
        <v>BR01</v>
      </c>
      <c r="E329" t="str">
        <f t="shared" ca="1" si="55"/>
        <v>Premium</v>
      </c>
      <c r="F329" s="2">
        <v>45291</v>
      </c>
      <c r="G329" s="2">
        <v>45381</v>
      </c>
      <c r="H329">
        <v>3500</v>
      </c>
      <c r="I329">
        <f t="shared" ca="1" si="56"/>
        <v>10500</v>
      </c>
      <c r="J329">
        <v>14</v>
      </c>
      <c r="K329" t="str">
        <f t="shared" ca="1" si="57"/>
        <v>Yes</v>
      </c>
      <c r="L329" t="str">
        <f t="shared" ca="1" si="58"/>
        <v>Weight Loss</v>
      </c>
      <c r="M329" t="str">
        <f t="shared" ca="1" si="59"/>
        <v>Active</v>
      </c>
      <c r="N329" s="2">
        <v>46054</v>
      </c>
      <c r="Q329" t="str">
        <f ca="1">IF(RAND()&lt;0.2,
    IF(RAND()&lt;0.5, LOWER(C329), UPPER(C329)),
    C329
)</f>
        <v>Hyderabad</v>
      </c>
      <c r="R329">
        <f t="shared" ca="1" si="62"/>
        <v>14</v>
      </c>
      <c r="S329">
        <f t="shared" ca="1" si="63"/>
        <v>3500</v>
      </c>
      <c r="T329">
        <f t="shared" ca="1" si="64"/>
        <v>45268</v>
      </c>
      <c r="U329" s="2">
        <f t="shared" ca="1" si="65"/>
        <v>46054</v>
      </c>
    </row>
    <row r="330" spans="1:21">
      <c r="A330" t="str">
        <f t="shared" si="61"/>
        <v>MEM0329</v>
      </c>
      <c r="B330" t="str">
        <f ca="1">INDEX('Name pool'!A:A, RANDBETWEEN(2, COUNTA('Name pool'!A:A))) &amp; " " &amp; INDEX('Name pool'!B:B, RANDBETWEEN(2, COUNTA('Name pool'!B:B)))</f>
        <v>Meera Khan</v>
      </c>
      <c r="C330" t="s">
        <v>83</v>
      </c>
      <c r="D330" t="str">
        <f t="shared" ca="1" si="60"/>
        <v>BR05</v>
      </c>
      <c r="E330" t="str">
        <f t="shared" ca="1" si="55"/>
        <v>Standard</v>
      </c>
      <c r="F330" s="2">
        <v>45100</v>
      </c>
      <c r="G330" s="2">
        <v>45465</v>
      </c>
      <c r="H330">
        <v>1000</v>
      </c>
      <c r="I330">
        <f t="shared" ca="1" si="56"/>
        <v>11000</v>
      </c>
      <c r="J330">
        <v>1</v>
      </c>
      <c r="K330" t="str">
        <f t="shared" ca="1" si="57"/>
        <v>No</v>
      </c>
      <c r="L330" t="str">
        <f t="shared" ca="1" si="58"/>
        <v>General Fitness</v>
      </c>
      <c r="M330" t="str">
        <f t="shared" ca="1" si="59"/>
        <v>Cancelled</v>
      </c>
      <c r="N330" s="2">
        <v>46099</v>
      </c>
      <c r="Q330" t="str">
        <f ca="1">IF(RAND()&lt;0.2,
    IF(RAND()&lt;0.5, LOWER(C330), UPPER(C330)),
    C330
)</f>
        <v>Trivandrum</v>
      </c>
      <c r="R330">
        <f t="shared" ca="1" si="62"/>
        <v>1</v>
      </c>
      <c r="S330">
        <f t="shared" ca="1" si="63"/>
        <v>1000</v>
      </c>
      <c r="T330">
        <f t="shared" ca="1" si="64"/>
        <v>45851</v>
      </c>
      <c r="U330" s="2">
        <f t="shared" ca="1" si="65"/>
        <v>45110</v>
      </c>
    </row>
    <row r="331" spans="1:21">
      <c r="A331" t="str">
        <f t="shared" si="61"/>
        <v>MEM0330</v>
      </c>
      <c r="B331" t="str">
        <f ca="1">INDEX('Name pool'!A:A, RANDBETWEEN(2, COUNTA('Name pool'!A:A))) &amp; " " &amp; INDEX('Name pool'!B:B, RANDBETWEEN(2, COUNTA('Name pool'!B:B)))</f>
        <v>Karthik Reddy</v>
      </c>
      <c r="C331" t="s">
        <v>75</v>
      </c>
      <c r="D331" t="str">
        <f t="shared" ca="1" si="60"/>
        <v>BR04</v>
      </c>
      <c r="E331" t="str">
        <f t="shared" ca="1" si="55"/>
        <v>Standard</v>
      </c>
      <c r="F331" s="2">
        <v>45939</v>
      </c>
      <c r="G331" s="2">
        <v>45969</v>
      </c>
      <c r="H331">
        <v>2000</v>
      </c>
      <c r="I331">
        <f t="shared" ca="1" si="56"/>
        <v>2000</v>
      </c>
      <c r="J331">
        <v>10</v>
      </c>
      <c r="K331" t="str">
        <f t="shared" ca="1" si="57"/>
        <v>Yes</v>
      </c>
      <c r="L331" t="str">
        <f t="shared" ca="1" si="58"/>
        <v>General Fitness</v>
      </c>
      <c r="M331" t="str">
        <f t="shared" ca="1" si="59"/>
        <v>Active</v>
      </c>
      <c r="N331" s="2">
        <v>46061</v>
      </c>
      <c r="Q331" t="str">
        <f ca="1">IF(RAND()&lt;0.2,
    IF(RAND()&lt;0.5, LOWER(C331), UPPER(C331)),
    C331
)</f>
        <v>bangalore</v>
      </c>
      <c r="R331">
        <f t="shared" ca="1" si="62"/>
        <v>10</v>
      </c>
      <c r="S331" t="str">
        <f t="shared" ca="1" si="63"/>
        <v>2000</v>
      </c>
      <c r="T331">
        <f t="shared" ca="1" si="64"/>
        <v>45057</v>
      </c>
      <c r="U331" s="2">
        <f t="shared" ca="1" si="65"/>
        <v>46061</v>
      </c>
    </row>
    <row r="332" spans="1:21">
      <c r="A332" t="str">
        <f t="shared" si="61"/>
        <v>MEM0331</v>
      </c>
      <c r="B332" t="str">
        <f ca="1">INDEX('Name pool'!A:A, RANDBETWEEN(2, COUNTA('Name pool'!A:A))) &amp; " " &amp; INDEX('Name pool'!B:B, RANDBETWEEN(2, COUNTA('Name pool'!B:B)))</f>
        <v>Priya Das</v>
      </c>
      <c r="C332" t="s">
        <v>75</v>
      </c>
      <c r="D332" t="str">
        <f t="shared" ca="1" si="60"/>
        <v>BR03</v>
      </c>
      <c r="E332" t="str">
        <f t="shared" ca="1" si="55"/>
        <v>Basic</v>
      </c>
      <c r="F332" s="2">
        <v>45257</v>
      </c>
      <c r="G332" s="2">
        <v>45347</v>
      </c>
      <c r="H332">
        <v>1000</v>
      </c>
      <c r="I332">
        <f t="shared" ca="1" si="56"/>
        <v>6000</v>
      </c>
      <c r="J332">
        <v>14</v>
      </c>
      <c r="K332" t="str">
        <f t="shared" ca="1" si="57"/>
        <v>Yes</v>
      </c>
      <c r="L332" t="str">
        <f t="shared" ca="1" si="58"/>
        <v>Weight Loss</v>
      </c>
      <c r="M332" t="str">
        <f t="shared" ca="1" si="59"/>
        <v>Active</v>
      </c>
      <c r="N332" s="2">
        <v>46036</v>
      </c>
      <c r="Q332" t="str">
        <f ca="1">IF(RAND()&lt;0.2,
    IF(RAND()&lt;0.5, LOWER(C332), UPPER(C332)),
    C332
)</f>
        <v>Bangalore</v>
      </c>
      <c r="R332">
        <f t="shared" ca="1" si="62"/>
        <v>14</v>
      </c>
      <c r="S332">
        <f t="shared" ca="1" si="63"/>
        <v>1000</v>
      </c>
      <c r="T332">
        <f t="shared" ca="1" si="64"/>
        <v>45787</v>
      </c>
      <c r="U332" s="2">
        <f t="shared" ca="1" si="65"/>
        <v>46036</v>
      </c>
    </row>
    <row r="333" spans="1:21">
      <c r="A333" t="str">
        <f t="shared" si="61"/>
        <v>MEM0332</v>
      </c>
      <c r="B333" t="str">
        <f ca="1">INDEX('Name pool'!A:A, RANDBETWEEN(2, COUNTA('Name pool'!A:A))) &amp; " " &amp; INDEX('Name pool'!B:B, RANDBETWEEN(2, COUNTA('Name pool'!B:B)))</f>
        <v>Divya Agarwal</v>
      </c>
      <c r="C333" t="s">
        <v>85</v>
      </c>
      <c r="D333" t="str">
        <f t="shared" ca="1" si="60"/>
        <v>BR06</v>
      </c>
      <c r="E333" t="str">
        <f t="shared" ca="1" si="55"/>
        <v>Premium</v>
      </c>
      <c r="F333" s="2">
        <v>45218</v>
      </c>
      <c r="G333" s="2">
        <v>45583</v>
      </c>
      <c r="H333">
        <v>1000</v>
      </c>
      <c r="I333">
        <f t="shared" ca="1" si="56"/>
        <v>3000</v>
      </c>
      <c r="J333">
        <v>21</v>
      </c>
      <c r="K333" t="str">
        <f t="shared" ca="1" si="57"/>
        <v>Yes</v>
      </c>
      <c r="L333" t="str">
        <f t="shared" ca="1" si="58"/>
        <v>Muscle Gain</v>
      </c>
      <c r="M333" t="str">
        <f t="shared" ca="1" si="59"/>
        <v>Active</v>
      </c>
      <c r="N333" s="2">
        <v>46021</v>
      </c>
      <c r="Q333" t="str">
        <f ca="1">IF(RAND()&lt;0.2,
    IF(RAND()&lt;0.5, LOWER(C333), UPPER(C333)),
    C333
)</f>
        <v>Calicut</v>
      </c>
      <c r="R333">
        <f t="shared" ca="1" si="62"/>
        <v>21</v>
      </c>
      <c r="S333">
        <f t="shared" ca="1" si="63"/>
        <v>1000</v>
      </c>
      <c r="T333">
        <f t="shared" ca="1" si="64"/>
        <v>45089</v>
      </c>
      <c r="U333" s="2">
        <f t="shared" ca="1" si="65"/>
        <v>46021</v>
      </c>
    </row>
    <row r="334" spans="1:21">
      <c r="A334" t="str">
        <f t="shared" si="61"/>
        <v>MEM0333</v>
      </c>
      <c r="B334" t="str">
        <f ca="1">INDEX('Name pool'!A:A, RANDBETWEEN(2, COUNTA('Name pool'!A:A))) &amp; " " &amp; INDEX('Name pool'!B:B, RANDBETWEEN(2, COUNTA('Name pool'!B:B)))</f>
        <v>Karthik Sharma</v>
      </c>
      <c r="C334" t="s">
        <v>73</v>
      </c>
      <c r="D334" t="str">
        <f t="shared" ca="1" si="60"/>
        <v>BR04</v>
      </c>
      <c r="E334" t="str">
        <f t="shared" ca="1" si="55"/>
        <v>Premium</v>
      </c>
      <c r="F334" s="2">
        <v>45497</v>
      </c>
      <c r="G334" s="2">
        <v>45862</v>
      </c>
      <c r="H334">
        <v>1000</v>
      </c>
      <c r="I334">
        <f t="shared" ca="1" si="56"/>
        <v>10000</v>
      </c>
      <c r="J334">
        <v>11</v>
      </c>
      <c r="K334" t="str">
        <f t="shared" ca="1" si="57"/>
        <v>Yes</v>
      </c>
      <c r="L334" t="str">
        <f t="shared" ca="1" si="58"/>
        <v>Muscle Gain</v>
      </c>
      <c r="M334" t="str">
        <f t="shared" ca="1" si="59"/>
        <v>Active</v>
      </c>
      <c r="N334" s="2">
        <v>46064</v>
      </c>
      <c r="Q334" t="str">
        <f ca="1">IF(RAND()&lt;0.2,
    IF(RAND()&lt;0.5, LOWER(C334), UPPER(C334)),
    C334
)</f>
        <v>KOCHI</v>
      </c>
      <c r="R334">
        <f t="shared" ca="1" si="62"/>
        <v>11</v>
      </c>
      <c r="S334">
        <f t="shared" ca="1" si="63"/>
        <v>1000</v>
      </c>
      <c r="T334">
        <f t="shared" ca="1" si="64"/>
        <v>45285</v>
      </c>
      <c r="U334" s="2">
        <f t="shared" ca="1" si="65"/>
        <v>46064</v>
      </c>
    </row>
    <row r="335" spans="1:21">
      <c r="A335" t="str">
        <f t="shared" si="61"/>
        <v>MEM0334</v>
      </c>
      <c r="B335" t="str">
        <f ca="1">INDEX('Name pool'!A:A, RANDBETWEEN(2, COUNTA('Name pool'!A:A))) &amp; " " &amp; INDEX('Name pool'!B:B, RANDBETWEEN(2, COUNTA('Name pool'!B:B)))</f>
        <v>Varun Verma</v>
      </c>
      <c r="C335" t="s">
        <v>123</v>
      </c>
      <c r="D335" t="str">
        <f t="shared" ca="1" si="60"/>
        <v>BR07</v>
      </c>
      <c r="E335" t="str">
        <f t="shared" ca="1" si="55"/>
        <v>Basic</v>
      </c>
      <c r="F335" s="2">
        <v>45056</v>
      </c>
      <c r="G335" s="2">
        <v>45146</v>
      </c>
      <c r="H335">
        <v>2000</v>
      </c>
      <c r="I335">
        <f t="shared" ca="1" si="56"/>
        <v>2000</v>
      </c>
      <c r="J335">
        <v>21</v>
      </c>
      <c r="K335" t="str">
        <f t="shared" ca="1" si="57"/>
        <v>No</v>
      </c>
      <c r="L335" t="str">
        <f t="shared" ca="1" si="58"/>
        <v>General Fitness</v>
      </c>
      <c r="M335" t="str">
        <f t="shared" ca="1" si="59"/>
        <v>Active</v>
      </c>
      <c r="N335" s="2">
        <v>45678</v>
      </c>
      <c r="Q335" t="str">
        <f ca="1">IF(RAND()&lt;0.2,
    IF(RAND()&lt;0.5, LOWER(C335), UPPER(C335)),
    C335
)</f>
        <v>KOCHI</v>
      </c>
      <c r="R335">
        <f t="shared" ca="1" si="62"/>
        <v>21</v>
      </c>
      <c r="S335">
        <f t="shared" ca="1" si="63"/>
        <v>2000</v>
      </c>
      <c r="T335">
        <f t="shared" ca="1" si="64"/>
        <v>45158</v>
      </c>
      <c r="U335" s="2">
        <f t="shared" ca="1" si="65"/>
        <v>45678</v>
      </c>
    </row>
    <row r="336" spans="1:21">
      <c r="A336" t="str">
        <f t="shared" si="61"/>
        <v>MEM0335</v>
      </c>
      <c r="B336" t="str">
        <f ca="1">INDEX('Name pool'!A:A, RANDBETWEEN(2, COUNTA('Name pool'!A:A))) &amp; " " &amp; INDEX('Name pool'!B:B, RANDBETWEEN(2, COUNTA('Name pool'!B:B)))</f>
        <v>Zara Fernandes</v>
      </c>
      <c r="C336" t="s">
        <v>123</v>
      </c>
      <c r="D336" t="str">
        <f t="shared" ca="1" si="60"/>
        <v>BR07</v>
      </c>
      <c r="E336" t="str">
        <f t="shared" ca="1" si="55"/>
        <v>Standard</v>
      </c>
      <c r="F336" s="2">
        <v>45201</v>
      </c>
      <c r="G336" s="2">
        <v>45291</v>
      </c>
      <c r="H336">
        <v>3500</v>
      </c>
      <c r="I336">
        <f t="shared" ca="1" si="56"/>
        <v>31500</v>
      </c>
      <c r="J336">
        <v>15</v>
      </c>
      <c r="K336" t="str">
        <f t="shared" ca="1" si="57"/>
        <v>Yes</v>
      </c>
      <c r="L336" t="str">
        <f t="shared" ca="1" si="58"/>
        <v>General Fitness</v>
      </c>
      <c r="M336" t="str">
        <f t="shared" ca="1" si="59"/>
        <v>Active</v>
      </c>
      <c r="N336" s="2">
        <v>46034</v>
      </c>
      <c r="Q336" t="str">
        <f ca="1">IF(RAND()&lt;0.2,
    IF(RAND()&lt;0.5, LOWER(C336), UPPER(C336)),
    C336
)</f>
        <v>KOCHI</v>
      </c>
      <c r="R336">
        <f t="shared" ca="1" si="62"/>
        <v>15</v>
      </c>
      <c r="S336">
        <f t="shared" ca="1" si="63"/>
        <v>3500</v>
      </c>
      <c r="T336">
        <f t="shared" ca="1" si="64"/>
        <v>45166</v>
      </c>
      <c r="U336" s="2">
        <f t="shared" ca="1" si="65"/>
        <v>46034</v>
      </c>
    </row>
    <row r="337" spans="1:21">
      <c r="A337" t="str">
        <f t="shared" si="61"/>
        <v>MEM0336</v>
      </c>
      <c r="B337" t="str">
        <f ca="1">INDEX('Name pool'!A:A, RANDBETWEEN(2, COUNTA('Name pool'!A:A))) &amp; " " &amp; INDEX('Name pool'!B:B, RANDBETWEEN(2, COUNTA('Name pool'!B:B)))</f>
        <v>Ayesha Malhotra</v>
      </c>
      <c r="C337" t="s">
        <v>73</v>
      </c>
      <c r="D337" t="str">
        <f t="shared" ca="1" si="60"/>
        <v>BR01</v>
      </c>
      <c r="E337" t="str">
        <f t="shared" ca="1" si="55"/>
        <v>Standard</v>
      </c>
      <c r="F337" s="2">
        <v>45681</v>
      </c>
      <c r="G337" s="2">
        <v>46046</v>
      </c>
      <c r="H337">
        <v>3500</v>
      </c>
      <c r="I337">
        <f t="shared" ca="1" si="56"/>
        <v>3500</v>
      </c>
      <c r="J337">
        <v>22</v>
      </c>
      <c r="K337" t="str">
        <f t="shared" ca="1" si="57"/>
        <v>Yes</v>
      </c>
      <c r="L337" t="str">
        <f t="shared" ca="1" si="58"/>
        <v>Muscle Gain</v>
      </c>
      <c r="M337" t="str">
        <f t="shared" ca="1" si="59"/>
        <v>Active</v>
      </c>
      <c r="N337" s="2">
        <v>45688</v>
      </c>
      <c r="Q337" t="str">
        <f ca="1">IF(RAND()&lt;0.2,
    IF(RAND()&lt;0.5, LOWER(C337), UPPER(C337)),
    C337
)</f>
        <v>kochi</v>
      </c>
      <c r="R337" t="str">
        <f t="shared" ca="1" si="62"/>
        <v>22 visits</v>
      </c>
      <c r="S337">
        <f t="shared" ca="1" si="63"/>
        <v>3500</v>
      </c>
      <c r="T337">
        <f t="shared" ca="1" si="64"/>
        <v>45266</v>
      </c>
      <c r="U337" s="2">
        <f t="shared" ca="1" si="65"/>
        <v>45688</v>
      </c>
    </row>
    <row r="338" spans="1:21">
      <c r="A338" t="str">
        <f t="shared" si="61"/>
        <v>MEM0337</v>
      </c>
      <c r="B338" t="str">
        <f ca="1">INDEX('Name pool'!A:A, RANDBETWEEN(2, COUNTA('Name pool'!A:A))) &amp; " " &amp; INDEX('Name pool'!B:B, RANDBETWEEN(2, COUNTA('Name pool'!B:B)))</f>
        <v>Arjun Naidu</v>
      </c>
      <c r="C338" t="s">
        <v>121</v>
      </c>
      <c r="D338" t="str">
        <f t="shared" ca="1" si="60"/>
        <v>BR04</v>
      </c>
      <c r="E338" t="str">
        <f t="shared" ca="1" si="55"/>
        <v>Basic</v>
      </c>
      <c r="F338" s="2">
        <v>45995</v>
      </c>
      <c r="G338" s="2">
        <v>46360</v>
      </c>
      <c r="H338">
        <v>1000</v>
      </c>
      <c r="I338">
        <f t="shared" ca="1" si="56"/>
        <v>3000</v>
      </c>
      <c r="J338">
        <v>18</v>
      </c>
      <c r="K338" t="str">
        <f t="shared" ca="1" si="57"/>
        <v>Yes</v>
      </c>
      <c r="L338" t="str">
        <f t="shared" ca="1" si="58"/>
        <v>Weight Loss</v>
      </c>
      <c r="M338" t="str">
        <f t="shared" ca="1" si="59"/>
        <v>Active</v>
      </c>
      <c r="N338" s="2">
        <v>46109</v>
      </c>
      <c r="Q338" t="str">
        <f ca="1">IF(RAND()&lt;0.2,
    IF(RAND()&lt;0.5, LOWER(C338), UPPER(C338)),
    C338
)</f>
        <v>MUMBAI</v>
      </c>
      <c r="R338">
        <f t="shared" ca="1" si="62"/>
        <v>18</v>
      </c>
      <c r="S338">
        <f t="shared" ca="1" si="63"/>
        <v>1000</v>
      </c>
      <c r="T338">
        <f t="shared" ca="1" si="64"/>
        <v>45519</v>
      </c>
      <c r="U338" s="2">
        <f t="shared" ca="1" si="65"/>
        <v>46109</v>
      </c>
    </row>
    <row r="339" spans="1:21">
      <c r="A339" t="str">
        <f t="shared" si="61"/>
        <v>MEM0338</v>
      </c>
      <c r="B339" t="str">
        <f ca="1">INDEX('Name pool'!A:A, RANDBETWEEN(2, COUNTA('Name pool'!A:A))) &amp; " " &amp; INDEX('Name pool'!B:B, RANDBETWEEN(2, COUNTA('Name pool'!B:B)))</f>
        <v>Shreya Sharma</v>
      </c>
      <c r="C339" t="s">
        <v>79</v>
      </c>
      <c r="D339" t="str">
        <f t="shared" ca="1" si="60"/>
        <v>BR01</v>
      </c>
      <c r="E339" t="str">
        <f t="shared" ca="1" si="55"/>
        <v>Basic</v>
      </c>
      <c r="F339" s="2">
        <v>45821</v>
      </c>
      <c r="G339" s="2">
        <v>46186</v>
      </c>
      <c r="H339">
        <v>2000</v>
      </c>
      <c r="I339">
        <f t="shared" ca="1" si="56"/>
        <v>16000</v>
      </c>
      <c r="J339">
        <v>8</v>
      </c>
      <c r="K339" t="str">
        <f t="shared" ca="1" si="57"/>
        <v>No</v>
      </c>
      <c r="L339" t="str">
        <f t="shared" ca="1" si="58"/>
        <v>Muscle Gain</v>
      </c>
      <c r="M339" t="str">
        <f t="shared" ca="1" si="59"/>
        <v>Active</v>
      </c>
      <c r="N339" s="2">
        <v>46059</v>
      </c>
      <c r="Q339" t="str">
        <f ca="1">IF(RAND()&lt;0.2,
    IF(RAND()&lt;0.5, LOWER(C339), UPPER(C339)),
    C339
)</f>
        <v>Hyderabad</v>
      </c>
      <c r="R339">
        <f t="shared" ca="1" si="62"/>
        <v>8</v>
      </c>
      <c r="S339">
        <f t="shared" ca="1" si="63"/>
        <v>2000</v>
      </c>
      <c r="T339">
        <f t="shared" ca="1" si="64"/>
        <v>45131</v>
      </c>
      <c r="U339" s="2">
        <f t="shared" ca="1" si="65"/>
        <v>46059</v>
      </c>
    </row>
    <row r="340" spans="1:21">
      <c r="A340" t="str">
        <f t="shared" si="61"/>
        <v>MEM0339</v>
      </c>
      <c r="B340" t="str">
        <f ca="1">INDEX('Name pool'!A:A, RANDBETWEEN(2, COUNTA('Name pool'!A:A))) &amp; " " &amp; INDEX('Name pool'!B:B, RANDBETWEEN(2, COUNTA('Name pool'!B:B)))</f>
        <v>Vivek D’Souza</v>
      </c>
      <c r="C340" t="s">
        <v>83</v>
      </c>
      <c r="D340" t="str">
        <f t="shared" ca="1" si="60"/>
        <v>BR03</v>
      </c>
      <c r="E340" t="str">
        <f t="shared" ca="1" si="55"/>
        <v>Basic</v>
      </c>
      <c r="F340" s="2">
        <v>45656</v>
      </c>
      <c r="G340" s="2">
        <v>45686</v>
      </c>
      <c r="H340">
        <v>3500</v>
      </c>
      <c r="I340">
        <f t="shared" ca="1" si="56"/>
        <v>21000</v>
      </c>
      <c r="J340">
        <v>18</v>
      </c>
      <c r="K340" t="str">
        <f t="shared" ca="1" si="57"/>
        <v>No</v>
      </c>
      <c r="L340" t="str">
        <f t="shared" ca="1" si="58"/>
        <v>Weight Loss</v>
      </c>
      <c r="M340" t="str">
        <f t="shared" ca="1" si="59"/>
        <v>Active</v>
      </c>
      <c r="N340" s="2">
        <v>45810</v>
      </c>
      <c r="Q340" t="str">
        <f ca="1">IF(RAND()&lt;0.2,
    IF(RAND()&lt;0.5, LOWER(C340), UPPER(C340)),
    C340
)</f>
        <v>Trivandrum</v>
      </c>
      <c r="R340">
        <f t="shared" ca="1" si="62"/>
        <v>18</v>
      </c>
      <c r="S340">
        <f t="shared" ca="1" si="63"/>
        <v>3500</v>
      </c>
      <c r="T340">
        <f t="shared" ca="1" si="64"/>
        <v>45494</v>
      </c>
      <c r="U340" s="2">
        <f t="shared" ca="1" si="65"/>
        <v>45810</v>
      </c>
    </row>
    <row r="341" spans="1:21">
      <c r="A341" t="str">
        <f t="shared" si="61"/>
        <v>MEM0340</v>
      </c>
      <c r="B341" t="str">
        <f ca="1">INDEX('Name pool'!A:A, RANDBETWEEN(2, COUNTA('Name pool'!A:A))) &amp; " " &amp; INDEX('Name pool'!B:B, RANDBETWEEN(2, COUNTA('Name pool'!B:B)))</f>
        <v>Ishita Nambiar</v>
      </c>
      <c r="C341" t="s">
        <v>77</v>
      </c>
      <c r="D341" t="str">
        <f t="shared" ca="1" si="60"/>
        <v>BR02</v>
      </c>
      <c r="E341" t="str">
        <f t="shared" ca="1" si="55"/>
        <v>Premium</v>
      </c>
      <c r="F341" s="2">
        <v>45364</v>
      </c>
      <c r="G341" s="2">
        <v>45394</v>
      </c>
      <c r="H341">
        <v>3500</v>
      </c>
      <c r="I341">
        <f t="shared" ca="1" si="56"/>
        <v>35000</v>
      </c>
      <c r="J341">
        <v>1</v>
      </c>
      <c r="K341" t="str">
        <f t="shared" ca="1" si="57"/>
        <v>No</v>
      </c>
      <c r="L341" t="str">
        <f t="shared" ca="1" si="58"/>
        <v>Muscle Gain</v>
      </c>
      <c r="M341" t="str">
        <f t="shared" ca="1" si="59"/>
        <v>Cancelled</v>
      </c>
      <c r="N341" s="2">
        <v>45854</v>
      </c>
      <c r="Q341" t="str">
        <f ca="1">IF(RAND()&lt;0.2,
    IF(RAND()&lt;0.5, LOWER(C341), UPPER(C341)),
    C341
)</f>
        <v>Chennai</v>
      </c>
      <c r="R341">
        <f t="shared" ca="1" si="62"/>
        <v>1</v>
      </c>
      <c r="S341">
        <f t="shared" ca="1" si="63"/>
        <v>3500</v>
      </c>
      <c r="T341">
        <f t="shared" ca="1" si="64"/>
        <v>45673</v>
      </c>
      <c r="U341" s="2">
        <f t="shared" ca="1" si="65"/>
        <v>45854</v>
      </c>
    </row>
    <row r="342" spans="1:21">
      <c r="A342" t="str">
        <f t="shared" si="61"/>
        <v>MEM0341</v>
      </c>
      <c r="B342" t="str">
        <f ca="1">INDEX('Name pool'!A:A, RANDBETWEEN(2, COUNTA('Name pool'!A:A))) &amp; " " &amp; INDEX('Name pool'!B:B, RANDBETWEEN(2, COUNTA('Name pool'!B:B)))</f>
        <v>Neha Joshi</v>
      </c>
      <c r="C342" t="s">
        <v>73</v>
      </c>
      <c r="D342" t="str">
        <f t="shared" ca="1" si="60"/>
        <v>BR02</v>
      </c>
      <c r="E342" t="str">
        <f t="shared" ca="1" si="55"/>
        <v>Standard</v>
      </c>
      <c r="F342" s="2">
        <v>46013</v>
      </c>
      <c r="G342" s="2">
        <v>46043</v>
      </c>
      <c r="H342">
        <v>2000</v>
      </c>
      <c r="I342">
        <f t="shared" ca="1" si="56"/>
        <v>24000</v>
      </c>
      <c r="J342">
        <v>21</v>
      </c>
      <c r="K342" t="str">
        <f t="shared" ca="1" si="57"/>
        <v>Yes</v>
      </c>
      <c r="L342" t="str">
        <f t="shared" ca="1" si="58"/>
        <v>Weight Loss</v>
      </c>
      <c r="M342" t="str">
        <f t="shared" ca="1" si="59"/>
        <v>Active</v>
      </c>
      <c r="N342" s="2">
        <v>46072</v>
      </c>
      <c r="Q342" t="str">
        <f ca="1">IF(RAND()&lt;0.2,
    IF(RAND()&lt;0.5, LOWER(C342), UPPER(C342)),
    C342
)</f>
        <v>Kochi</v>
      </c>
      <c r="R342">
        <f t="shared" ca="1" si="62"/>
        <v>21</v>
      </c>
      <c r="S342">
        <f t="shared" ca="1" si="63"/>
        <v>2000</v>
      </c>
      <c r="T342">
        <f t="shared" ca="1" si="64"/>
        <v>45630</v>
      </c>
      <c r="U342" s="2">
        <f t="shared" ca="1" si="65"/>
        <v>46072</v>
      </c>
    </row>
    <row r="343" spans="1:21">
      <c r="A343" t="str">
        <f t="shared" si="61"/>
        <v>MEM0342</v>
      </c>
      <c r="B343" t="str">
        <f ca="1">INDEX('Name pool'!A:A, RANDBETWEEN(2, COUNTA('Name pool'!A:A))) &amp; " " &amp; INDEX('Name pool'!B:B, RANDBETWEEN(2, COUNTA('Name pool'!B:B)))</f>
        <v>Pooja Kapoor</v>
      </c>
      <c r="C343" t="s">
        <v>73</v>
      </c>
      <c r="D343" t="str">
        <f t="shared" ca="1" si="60"/>
        <v>BR02</v>
      </c>
      <c r="E343" t="str">
        <f t="shared" ca="1" si="55"/>
        <v>Standard</v>
      </c>
      <c r="F343" s="2">
        <v>45156</v>
      </c>
      <c r="G343" s="2">
        <v>45186</v>
      </c>
      <c r="H343">
        <v>2000</v>
      </c>
      <c r="I343">
        <f t="shared" ca="1" si="56"/>
        <v>2000</v>
      </c>
      <c r="J343">
        <v>22</v>
      </c>
      <c r="K343" t="str">
        <f t="shared" ca="1" si="57"/>
        <v>No</v>
      </c>
      <c r="L343" t="str">
        <f t="shared" ca="1" si="58"/>
        <v>Weight Loss</v>
      </c>
      <c r="M343" t="str">
        <f t="shared" ca="1" si="59"/>
        <v>Active</v>
      </c>
      <c r="N343" s="2">
        <v>45239</v>
      </c>
      <c r="Q343" t="str">
        <f ca="1">IF(RAND()&lt;0.2,
    IF(RAND()&lt;0.5, LOWER(C343), UPPER(C343)),
    C343
)</f>
        <v>kochi</v>
      </c>
      <c r="R343">
        <f t="shared" ca="1" si="62"/>
        <v>22</v>
      </c>
      <c r="S343">
        <f t="shared" ca="1" si="63"/>
        <v>2000</v>
      </c>
      <c r="T343">
        <f t="shared" ca="1" si="64"/>
        <v>45135</v>
      </c>
      <c r="U343" s="2">
        <f t="shared" ca="1" si="65"/>
        <v>45239</v>
      </c>
    </row>
    <row r="344" spans="1:21">
      <c r="A344" t="str">
        <f t="shared" si="61"/>
        <v>MEM0343</v>
      </c>
      <c r="B344" t="str">
        <f ca="1">INDEX('Name pool'!A:A, RANDBETWEEN(2, COUNTA('Name pool'!A:A))) &amp; " " &amp; INDEX('Name pool'!B:B, RANDBETWEEN(2, COUNTA('Name pool'!B:B)))</f>
        <v>Nikhil Malhotra</v>
      </c>
      <c r="C344" t="s">
        <v>83</v>
      </c>
      <c r="D344" t="str">
        <f t="shared" ca="1" si="60"/>
        <v>BR04</v>
      </c>
      <c r="E344" t="str">
        <f t="shared" ca="1" si="55"/>
        <v>Basic</v>
      </c>
      <c r="F344" s="2">
        <v>45787</v>
      </c>
      <c r="G344" s="2">
        <v>46152</v>
      </c>
      <c r="H344">
        <v>3500</v>
      </c>
      <c r="I344">
        <f t="shared" ca="1" si="56"/>
        <v>31500</v>
      </c>
      <c r="J344">
        <v>18</v>
      </c>
      <c r="K344" t="str">
        <f t="shared" ca="1" si="57"/>
        <v>No</v>
      </c>
      <c r="L344" t="str">
        <f t="shared" ca="1" si="58"/>
        <v>Weight Loss</v>
      </c>
      <c r="M344" t="str">
        <f t="shared" ca="1" si="59"/>
        <v>Active</v>
      </c>
      <c r="N344" s="2">
        <v>46097</v>
      </c>
      <c r="Q344" t="str">
        <f ca="1">IF(RAND()&lt;0.2,
    IF(RAND()&lt;0.5, LOWER(C344), UPPER(C344)),
    C344
)</f>
        <v>trivandrum</v>
      </c>
      <c r="R344">
        <f t="shared" ca="1" si="62"/>
        <v>18</v>
      </c>
      <c r="S344" t="str">
        <f t="shared" ca="1" si="63"/>
        <v>3500</v>
      </c>
      <c r="T344">
        <f t="shared" ca="1" si="64"/>
        <v>45598</v>
      </c>
      <c r="U344" s="2">
        <f t="shared" ca="1" si="65"/>
        <v>46097</v>
      </c>
    </row>
    <row r="345" spans="1:21">
      <c r="A345" t="str">
        <f t="shared" si="61"/>
        <v>MEM0344</v>
      </c>
      <c r="B345" t="str">
        <f ca="1">INDEX('Name pool'!A:A, RANDBETWEEN(2, COUNTA('Name pool'!A:A))) &amp; " " &amp; INDEX('Name pool'!B:B, RANDBETWEEN(2, COUNTA('Name pool'!B:B)))</f>
        <v>Anjali Singh</v>
      </c>
      <c r="C345" t="s">
        <v>85</v>
      </c>
      <c r="D345" t="str">
        <f t="shared" ca="1" si="60"/>
        <v>BR01</v>
      </c>
      <c r="E345" t="str">
        <f t="shared" ca="1" si="55"/>
        <v>Premium</v>
      </c>
      <c r="F345" s="2">
        <v>45776</v>
      </c>
      <c r="G345" s="2">
        <v>45806</v>
      </c>
      <c r="H345">
        <v>2000</v>
      </c>
      <c r="I345">
        <f t="shared" ca="1" si="56"/>
        <v>24000</v>
      </c>
      <c r="J345">
        <v>4</v>
      </c>
      <c r="K345" t="str">
        <f t="shared" ca="1" si="57"/>
        <v>Yes</v>
      </c>
      <c r="L345" t="str">
        <f t="shared" ca="1" si="58"/>
        <v>Weight Loss</v>
      </c>
      <c r="M345" t="str">
        <f t="shared" ca="1" si="59"/>
        <v>Cancelled</v>
      </c>
      <c r="N345" s="2">
        <v>45838</v>
      </c>
      <c r="Q345" t="str">
        <f ca="1">IF(RAND()&lt;0.2,
    IF(RAND()&lt;0.5, LOWER(C345), UPPER(C345)),
    C345
)</f>
        <v>Calicut</v>
      </c>
      <c r="R345">
        <f t="shared" ca="1" si="62"/>
        <v>4</v>
      </c>
      <c r="S345">
        <f t="shared" ca="1" si="63"/>
        <v>2000</v>
      </c>
      <c r="T345">
        <f t="shared" ca="1" si="64"/>
        <v>45427</v>
      </c>
      <c r="U345" s="2">
        <f t="shared" ca="1" si="65"/>
        <v>45838</v>
      </c>
    </row>
    <row r="346" spans="1:21">
      <c r="A346" t="str">
        <f t="shared" si="61"/>
        <v>MEM0345</v>
      </c>
      <c r="B346" t="str">
        <f ca="1">INDEX('Name pool'!A:A, RANDBETWEEN(2, COUNTA('Name pool'!A:A))) &amp; " " &amp; INDEX('Name pool'!B:B, RANDBETWEEN(2, COUNTA('Name pool'!B:B)))</f>
        <v>Zara Menon</v>
      </c>
      <c r="C346" t="s">
        <v>83</v>
      </c>
      <c r="D346" t="str">
        <f t="shared" ca="1" si="60"/>
        <v>BR03</v>
      </c>
      <c r="E346" t="str">
        <f t="shared" ca="1" si="55"/>
        <v>Basic</v>
      </c>
      <c r="F346" s="2">
        <v>45375</v>
      </c>
      <c r="G346" s="2">
        <v>45405</v>
      </c>
      <c r="H346">
        <v>2000</v>
      </c>
      <c r="I346">
        <f t="shared" ca="1" si="56"/>
        <v>12000</v>
      </c>
      <c r="J346">
        <v>17</v>
      </c>
      <c r="K346" t="str">
        <f t="shared" ca="1" si="57"/>
        <v>Yes</v>
      </c>
      <c r="L346" t="str">
        <f t="shared" ca="1" si="58"/>
        <v>Weight Loss</v>
      </c>
      <c r="M346" t="str">
        <f t="shared" ca="1" si="59"/>
        <v>Active</v>
      </c>
      <c r="N346" s="2">
        <v>45409</v>
      </c>
      <c r="Q346" t="str">
        <f ca="1">IF(RAND()&lt;0.2,
    IF(RAND()&lt;0.5, LOWER(C346), UPPER(C346)),
    C346
)</f>
        <v>Trivandrum</v>
      </c>
      <c r="R346">
        <f t="shared" ca="1" si="62"/>
        <v>17</v>
      </c>
      <c r="S346">
        <f t="shared" ca="1" si="63"/>
        <v>2000</v>
      </c>
      <c r="T346">
        <f t="shared" ca="1" si="64"/>
        <v>45273</v>
      </c>
      <c r="U346" s="2">
        <f t="shared" ca="1" si="65"/>
        <v>45409</v>
      </c>
    </row>
    <row r="347" spans="1:21">
      <c r="A347" t="str">
        <f t="shared" si="61"/>
        <v>MEM0346</v>
      </c>
      <c r="B347" t="str">
        <f ca="1">INDEX('Name pool'!A:A, RANDBETWEEN(2, COUNTA('Name pool'!A:A))) &amp; " " &amp; INDEX('Name pool'!B:B, RANDBETWEEN(2, COUNTA('Name pool'!B:B)))</f>
        <v>Ishita Naidu</v>
      </c>
      <c r="C347" t="s">
        <v>112</v>
      </c>
      <c r="D347" t="str">
        <f t="shared" ca="1" si="60"/>
        <v>BR02</v>
      </c>
      <c r="E347" t="str">
        <f t="shared" ca="1" si="55"/>
        <v>Standard</v>
      </c>
      <c r="F347" s="2">
        <v>45901</v>
      </c>
      <c r="G347" s="2">
        <v>45991</v>
      </c>
      <c r="H347">
        <v>1000</v>
      </c>
      <c r="I347">
        <f t="shared" ca="1" si="56"/>
        <v>4000</v>
      </c>
      <c r="J347">
        <v>25</v>
      </c>
      <c r="K347" t="str">
        <f t="shared" ca="1" si="57"/>
        <v>No</v>
      </c>
      <c r="L347" t="str">
        <f t="shared" ca="1" si="58"/>
        <v>General Fitness</v>
      </c>
      <c r="M347" t="str">
        <f t="shared" ca="1" si="59"/>
        <v>Active</v>
      </c>
      <c r="N347" s="2">
        <v>46119</v>
      </c>
      <c r="Q347" t="str">
        <f ca="1">IF(RAND()&lt;0.2,
    IF(RAND()&lt;0.5, LOWER(C347), UPPER(C347)),
    C347
)</f>
        <v>HYDERABAD</v>
      </c>
      <c r="R347">
        <f t="shared" ca="1" si="62"/>
        <v>25</v>
      </c>
      <c r="S347">
        <f t="shared" ca="1" si="63"/>
        <v>1000</v>
      </c>
      <c r="T347">
        <f t="shared" ca="1" si="64"/>
        <v>45564</v>
      </c>
      <c r="U347" s="2">
        <f t="shared" ca="1" si="65"/>
        <v>46119</v>
      </c>
    </row>
    <row r="348" spans="1:21">
      <c r="A348" t="str">
        <f t="shared" si="61"/>
        <v>MEM0347</v>
      </c>
      <c r="B348" t="str">
        <f ca="1">INDEX('Name pool'!A:A, RANDBETWEEN(2, COUNTA('Name pool'!A:A))) &amp; " " &amp; INDEX('Name pool'!B:B, RANDBETWEEN(2, COUNTA('Name pool'!B:B)))</f>
        <v>Varun Nambiar</v>
      </c>
      <c r="C348" t="s">
        <v>75</v>
      </c>
      <c r="D348" t="str">
        <f t="shared" ca="1" si="60"/>
        <v>BR05</v>
      </c>
      <c r="E348" t="str">
        <f t="shared" ca="1" si="55"/>
        <v>Basic</v>
      </c>
      <c r="F348" s="2">
        <v>44931</v>
      </c>
      <c r="G348" s="2">
        <v>44961</v>
      </c>
      <c r="H348">
        <v>1000</v>
      </c>
      <c r="I348">
        <f t="shared" ca="1" si="56"/>
        <v>4000</v>
      </c>
      <c r="J348">
        <v>3</v>
      </c>
      <c r="K348" t="str">
        <f t="shared" ca="1" si="57"/>
        <v>Yes</v>
      </c>
      <c r="L348" t="str">
        <f t="shared" ca="1" si="58"/>
        <v>General Fitness</v>
      </c>
      <c r="M348" t="str">
        <f t="shared" ca="1" si="59"/>
        <v>Cancelled</v>
      </c>
      <c r="N348" s="2">
        <v>46122</v>
      </c>
      <c r="Q348" t="str">
        <f ca="1">IF(RAND()&lt;0.2,
    IF(RAND()&lt;0.5, LOWER(C348), UPPER(C348)),
    C348
)</f>
        <v>bangalore</v>
      </c>
      <c r="R348">
        <f t="shared" ca="1" si="62"/>
        <v>3</v>
      </c>
      <c r="S348">
        <f t="shared" ca="1" si="63"/>
        <v>1000</v>
      </c>
      <c r="T348">
        <f t="shared" ca="1" si="64"/>
        <v>45402</v>
      </c>
      <c r="U348" s="2">
        <f t="shared" ca="1" si="65"/>
        <v>46122</v>
      </c>
    </row>
    <row r="349" spans="1:21">
      <c r="A349" t="str">
        <f t="shared" si="61"/>
        <v>MEM0348</v>
      </c>
      <c r="B349" t="str">
        <f ca="1">INDEX('Name pool'!A:A, RANDBETWEEN(2, COUNTA('Name pool'!A:A))) &amp; " " &amp; INDEX('Name pool'!B:B, RANDBETWEEN(2, COUNTA('Name pool'!B:B)))</f>
        <v>Divya D’Souza</v>
      </c>
      <c r="C349" t="s">
        <v>81</v>
      </c>
      <c r="D349" t="str">
        <f t="shared" ca="1" si="60"/>
        <v>BR02</v>
      </c>
      <c r="E349" t="str">
        <f t="shared" ca="1" si="55"/>
        <v>Basic</v>
      </c>
      <c r="F349" s="2">
        <v>45071</v>
      </c>
      <c r="G349" s="2">
        <v>45161</v>
      </c>
      <c r="H349">
        <v>3500</v>
      </c>
      <c r="I349">
        <f t="shared" ca="1" si="56"/>
        <v>7000</v>
      </c>
      <c r="J349">
        <v>3</v>
      </c>
      <c r="K349" t="str">
        <f t="shared" ca="1" si="57"/>
        <v>No</v>
      </c>
      <c r="L349" t="str">
        <f t="shared" ca="1" si="58"/>
        <v>Weight Loss</v>
      </c>
      <c r="M349" t="str">
        <f t="shared" ca="1" si="59"/>
        <v>Cancelled</v>
      </c>
      <c r="N349" s="2">
        <v>45890</v>
      </c>
      <c r="Q349" t="str">
        <f ca="1">IF(RAND()&lt;0.2,
    IF(RAND()&lt;0.5, LOWER(C349), UPPER(C349)),
    C349
)</f>
        <v>mumbai</v>
      </c>
      <c r="R349" t="str">
        <f t="shared" ca="1" si="62"/>
        <v>3 visits</v>
      </c>
      <c r="S349" t="str">
        <f t="shared" ca="1" si="63"/>
        <v>3500</v>
      </c>
      <c r="T349">
        <f t="shared" ca="1" si="64"/>
        <v>45999</v>
      </c>
      <c r="U349" s="2">
        <f t="shared" ca="1" si="65"/>
        <v>45890</v>
      </c>
    </row>
    <row r="350" spans="1:21">
      <c r="A350" t="str">
        <f t="shared" si="61"/>
        <v>MEM0349</v>
      </c>
      <c r="B350" t="str">
        <f ca="1">INDEX('Name pool'!A:A, RANDBETWEEN(2, COUNTA('Name pool'!A:A))) &amp; " " &amp; INDEX('Name pool'!B:B, RANDBETWEEN(2, COUNTA('Name pool'!B:B)))</f>
        <v>Priya Patel</v>
      </c>
      <c r="C350" t="s">
        <v>116</v>
      </c>
      <c r="D350" t="str">
        <f t="shared" ca="1" si="60"/>
        <v>BR03</v>
      </c>
      <c r="E350" t="str">
        <f t="shared" ca="1" si="55"/>
        <v>Basic</v>
      </c>
      <c r="F350" s="2">
        <v>45238</v>
      </c>
      <c r="G350" s="2">
        <v>45268</v>
      </c>
      <c r="H350" t="s">
        <v>105</v>
      </c>
      <c r="I350">
        <f t="shared" ca="1" si="56"/>
        <v>31500</v>
      </c>
      <c r="J350" t="s">
        <v>140</v>
      </c>
      <c r="K350" t="str">
        <f t="shared" ca="1" si="57"/>
        <v>No</v>
      </c>
      <c r="L350" t="str">
        <f t="shared" ca="1" si="58"/>
        <v>Muscle Gain</v>
      </c>
      <c r="M350" t="str">
        <f t="shared" ca="1" si="59"/>
        <v>Active</v>
      </c>
      <c r="N350" s="2">
        <v>46063</v>
      </c>
      <c r="Q350" t="str">
        <f ca="1">IF(RAND()&lt;0.2,
    IF(RAND()&lt;0.5, LOWER(C350), UPPER(C350)),
    C350
)</f>
        <v>kochi</v>
      </c>
      <c r="R350" t="str">
        <f t="shared" ca="1" si="62"/>
        <v>18 visits</v>
      </c>
      <c r="S350" t="str">
        <f t="shared" ca="1" si="63"/>
        <v>3500</v>
      </c>
      <c r="T350">
        <f t="shared" ca="1" si="64"/>
        <v>45077</v>
      </c>
      <c r="U350" s="2">
        <f t="shared" ca="1" si="65"/>
        <v>46063</v>
      </c>
    </row>
    <row r="351" spans="1:21">
      <c r="A351" t="str">
        <f t="shared" si="61"/>
        <v>MEM0350</v>
      </c>
      <c r="B351" t="str">
        <f ca="1">INDEX('Name pool'!A:A, RANDBETWEEN(2, COUNTA('Name pool'!A:A))) &amp; " " &amp; INDEX('Name pool'!B:B, RANDBETWEEN(2, COUNTA('Name pool'!B:B)))</f>
        <v>Lakshmi Mathew</v>
      </c>
      <c r="C351" t="s">
        <v>117</v>
      </c>
      <c r="D351" t="str">
        <f t="shared" ca="1" si="60"/>
        <v>BR03</v>
      </c>
      <c r="E351" t="str">
        <f t="shared" ca="1" si="55"/>
        <v>Premium</v>
      </c>
      <c r="F351" s="2">
        <v>45325</v>
      </c>
      <c r="G351" s="2">
        <v>45415</v>
      </c>
      <c r="H351">
        <v>2000</v>
      </c>
      <c r="I351">
        <f t="shared" ca="1" si="56"/>
        <v>14000</v>
      </c>
      <c r="J351">
        <v>11</v>
      </c>
      <c r="K351" t="str">
        <f t="shared" ca="1" si="57"/>
        <v>Yes</v>
      </c>
      <c r="L351" t="str">
        <f t="shared" ca="1" si="58"/>
        <v>Muscle Gain</v>
      </c>
      <c r="M351" t="str">
        <f t="shared" ca="1" si="59"/>
        <v>Active</v>
      </c>
      <c r="N351" s="2">
        <v>45473</v>
      </c>
      <c r="Q351" t="str">
        <f ca="1">IF(RAND()&lt;0.2,
    IF(RAND()&lt;0.5, LOWER(C351), UPPER(C351)),
    C351
)</f>
        <v>mumbai</v>
      </c>
      <c r="R351" t="str">
        <f t="shared" ca="1" si="62"/>
        <v>11 visits</v>
      </c>
      <c r="S351">
        <f t="shared" ca="1" si="63"/>
        <v>2000</v>
      </c>
      <c r="T351">
        <f t="shared" ca="1" si="64"/>
        <v>45269</v>
      </c>
      <c r="U351" s="2">
        <f t="shared" ca="1" si="65"/>
        <v>45473</v>
      </c>
    </row>
    <row r="352" spans="1:21">
      <c r="A352" t="str">
        <f t="shared" si="61"/>
        <v>MEM0351</v>
      </c>
      <c r="B352" t="str">
        <f ca="1">INDEX('Name pool'!A:A, RANDBETWEEN(2, COUNTA('Name pool'!A:A))) &amp; " " &amp; INDEX('Name pool'!B:B, RANDBETWEEN(2, COUNTA('Name pool'!B:B)))</f>
        <v>Rohit Kulkarni</v>
      </c>
      <c r="C352" t="s">
        <v>83</v>
      </c>
      <c r="D352" t="str">
        <f t="shared" ca="1" si="60"/>
        <v>BR06</v>
      </c>
      <c r="E352" t="str">
        <f t="shared" ca="1" si="55"/>
        <v>Basic</v>
      </c>
      <c r="F352" s="2">
        <v>45001</v>
      </c>
      <c r="G352" s="2">
        <v>45031</v>
      </c>
      <c r="H352">
        <v>3500</v>
      </c>
      <c r="I352">
        <f t="shared" ca="1" si="56"/>
        <v>7000</v>
      </c>
      <c r="J352">
        <v>11</v>
      </c>
      <c r="K352" t="str">
        <f t="shared" ca="1" si="57"/>
        <v>No</v>
      </c>
      <c r="L352" t="str">
        <f t="shared" ca="1" si="58"/>
        <v>Weight Loss</v>
      </c>
      <c r="M352" t="str">
        <f t="shared" ca="1" si="59"/>
        <v>Active</v>
      </c>
      <c r="N352" s="2">
        <v>45052</v>
      </c>
      <c r="Q352" t="str">
        <f ca="1">IF(RAND()&lt;0.2,
    IF(RAND()&lt;0.5, LOWER(C352), UPPER(C352)),
    C352
)</f>
        <v>TRIVANDRUM</v>
      </c>
      <c r="R352">
        <f t="shared" ca="1" si="62"/>
        <v>11</v>
      </c>
      <c r="S352">
        <f t="shared" ca="1" si="63"/>
        <v>3500</v>
      </c>
      <c r="T352">
        <f t="shared" ca="1" si="64"/>
        <v>45228</v>
      </c>
      <c r="U352" s="2">
        <f t="shared" ca="1" si="65"/>
        <v>45052</v>
      </c>
    </row>
    <row r="353" spans="1:21">
      <c r="A353" t="str">
        <f t="shared" si="61"/>
        <v>MEM0352</v>
      </c>
      <c r="B353" t="str">
        <f ca="1">INDEX('Name pool'!A:A, RANDBETWEEN(2, COUNTA('Name pool'!A:A))) &amp; " " &amp; INDEX('Name pool'!B:B, RANDBETWEEN(2, COUNTA('Name pool'!B:B)))</f>
        <v>Anjali Kapoor</v>
      </c>
      <c r="C353" t="s">
        <v>83</v>
      </c>
      <c r="D353" t="str">
        <f t="shared" ca="1" si="60"/>
        <v>BR03</v>
      </c>
      <c r="E353" t="str">
        <f t="shared" ca="1" si="55"/>
        <v>Premium</v>
      </c>
      <c r="F353" s="2">
        <v>45670</v>
      </c>
      <c r="G353" s="2">
        <v>45760</v>
      </c>
      <c r="H353" t="s">
        <v>108</v>
      </c>
      <c r="I353">
        <f t="shared" ca="1" si="56"/>
        <v>2000</v>
      </c>
      <c r="J353">
        <v>6</v>
      </c>
      <c r="K353" t="str">
        <f t="shared" ca="1" si="57"/>
        <v>Yes</v>
      </c>
      <c r="L353" t="str">
        <f t="shared" ca="1" si="58"/>
        <v>Weight Loss</v>
      </c>
      <c r="M353" t="str">
        <f t="shared" ca="1" si="59"/>
        <v>Active</v>
      </c>
      <c r="N353" s="2">
        <v>45904</v>
      </c>
      <c r="Q353" t="str">
        <f ca="1">IF(RAND()&lt;0.2,
    IF(RAND()&lt;0.5, LOWER(C353), UPPER(C353)),
    C353
)</f>
        <v>Trivandrum</v>
      </c>
      <c r="R353">
        <f t="shared" ca="1" si="62"/>
        <v>6</v>
      </c>
      <c r="S353" t="str">
        <f t="shared" ca="1" si="63"/>
        <v>1000</v>
      </c>
      <c r="T353">
        <f t="shared" ca="1" si="64"/>
        <v>45177</v>
      </c>
      <c r="U353" s="2">
        <f t="shared" ca="1" si="65"/>
        <v>45904</v>
      </c>
    </row>
    <row r="354" spans="1:21">
      <c r="A354" t="str">
        <f t="shared" si="61"/>
        <v>MEM0353</v>
      </c>
      <c r="B354" t="str">
        <f ca="1">INDEX('Name pool'!A:A, RANDBETWEEN(2, COUNTA('Name pool'!A:A))) &amp; " " &amp; INDEX('Name pool'!B:B, RANDBETWEEN(2, COUNTA('Name pool'!B:B)))</f>
        <v>Riya Fernandes</v>
      </c>
      <c r="C354" t="s">
        <v>129</v>
      </c>
      <c r="D354" t="str">
        <f t="shared" ca="1" si="60"/>
        <v>BR01</v>
      </c>
      <c r="E354" t="str">
        <f t="shared" ref="E354:E417" ca="1" si="66">CHOOSE(RANDBETWEEN(1,3),"Basic","Standard","Premium")</f>
        <v>Basic</v>
      </c>
      <c r="F354" s="2">
        <v>45252</v>
      </c>
      <c r="G354" s="2">
        <v>45617</v>
      </c>
      <c r="H354">
        <v>1000</v>
      </c>
      <c r="I354">
        <f t="shared" ref="I354:I417" ca="1" si="67">H354 * RANDBETWEEN(1,12)</f>
        <v>5000</v>
      </c>
      <c r="J354" t="s">
        <v>141</v>
      </c>
      <c r="K354" t="str">
        <f t="shared" ref="K354:K417" ca="1" si="68">CHOOSE(RANDBETWEEN(1,2),"Yes","No")</f>
        <v>No</v>
      </c>
      <c r="L354" t="str">
        <f t="shared" ref="L354:L417" ca="1" si="69">CHOOSE(RANDBETWEEN(1,3),"Weight Loss","Muscle Gain","General Fitness")</f>
        <v>Muscle Gain</v>
      </c>
      <c r="M354" t="str">
        <f t="shared" ref="M354:M417" ca="1" si="70">IF(J354&lt;5,IF(RANDBETWEEN(1,100)&lt;70,"Cancelled","Active"),"Active")</f>
        <v>Active</v>
      </c>
      <c r="N354" s="2">
        <v>45697</v>
      </c>
      <c r="Q354" t="str">
        <f ca="1">IF(RAND()&lt;0.2,
    IF(RAND()&lt;0.5, LOWER(C354), UPPER(C354)),
    C354
)</f>
        <v>hyderabad</v>
      </c>
      <c r="R354" t="str">
        <f t="shared" ca="1" si="62"/>
        <v>7 visits</v>
      </c>
      <c r="S354">
        <f t="shared" ca="1" si="63"/>
        <v>1000</v>
      </c>
      <c r="T354">
        <f t="shared" ca="1" si="64"/>
        <v>45590</v>
      </c>
      <c r="U354" s="2">
        <f t="shared" ca="1" si="65"/>
        <v>45697</v>
      </c>
    </row>
    <row r="355" spans="1:21">
      <c r="A355" t="str">
        <f t="shared" si="61"/>
        <v>MEM0354</v>
      </c>
      <c r="B355" t="str">
        <f ca="1">INDEX('Name pool'!A:A, RANDBETWEEN(2, COUNTA('Name pool'!A:A))) &amp; " " &amp; INDEX('Name pool'!B:B, RANDBETWEEN(2, COUNTA('Name pool'!B:B)))</f>
        <v>Rohit Bhat</v>
      </c>
      <c r="C355" t="s">
        <v>73</v>
      </c>
      <c r="D355" t="str">
        <f t="shared" ca="1" si="60"/>
        <v>BR05</v>
      </c>
      <c r="E355" t="str">
        <f t="shared" ca="1" si="66"/>
        <v>Premium</v>
      </c>
      <c r="F355" s="2">
        <v>45495</v>
      </c>
      <c r="G355" s="2">
        <v>45860</v>
      </c>
      <c r="H355">
        <v>3500</v>
      </c>
      <c r="I355">
        <f t="shared" ca="1" si="67"/>
        <v>28000</v>
      </c>
      <c r="J355" t="s">
        <v>139</v>
      </c>
      <c r="K355" t="str">
        <f t="shared" ca="1" si="68"/>
        <v>No</v>
      </c>
      <c r="L355" t="str">
        <f t="shared" ca="1" si="69"/>
        <v>Muscle Gain</v>
      </c>
      <c r="M355" t="str">
        <f t="shared" ca="1" si="70"/>
        <v>Active</v>
      </c>
      <c r="N355" s="2">
        <v>46049</v>
      </c>
      <c r="Q355" t="str">
        <f ca="1">IF(RAND()&lt;0.2,
    IF(RAND()&lt;0.5, LOWER(C355), UPPER(C355)),
    C355
)</f>
        <v>Kochi</v>
      </c>
      <c r="R355" t="str">
        <f t="shared" ca="1" si="62"/>
        <v>2 visits</v>
      </c>
      <c r="S355">
        <f t="shared" ca="1" si="63"/>
        <v>3500</v>
      </c>
      <c r="T355">
        <f t="shared" ca="1" si="64"/>
        <v>45440</v>
      </c>
      <c r="U355" s="2">
        <f t="shared" ca="1" si="65"/>
        <v>46049</v>
      </c>
    </row>
    <row r="356" spans="1:21">
      <c r="A356" t="str">
        <f t="shared" si="61"/>
        <v>MEM0355</v>
      </c>
      <c r="B356" t="str">
        <f ca="1">INDEX('Name pool'!A:A, RANDBETWEEN(2, COUNTA('Name pool'!A:A))) &amp; " " &amp; INDEX('Name pool'!B:B, RANDBETWEEN(2, COUNTA('Name pool'!B:B)))</f>
        <v>Sanjay Desai</v>
      </c>
      <c r="C356" t="s">
        <v>75</v>
      </c>
      <c r="D356" t="str">
        <f t="shared" ca="1" si="60"/>
        <v>BR05</v>
      </c>
      <c r="E356" t="str">
        <f t="shared" ca="1" si="66"/>
        <v>Premium</v>
      </c>
      <c r="F356" s="2">
        <v>45251</v>
      </c>
      <c r="G356" s="2">
        <v>45281</v>
      </c>
      <c r="H356">
        <v>3500</v>
      </c>
      <c r="I356">
        <f t="shared" ca="1" si="67"/>
        <v>35000</v>
      </c>
      <c r="J356" t="s">
        <v>127</v>
      </c>
      <c r="K356" t="str">
        <f t="shared" ca="1" si="68"/>
        <v>Yes</v>
      </c>
      <c r="L356" t="str">
        <f t="shared" ca="1" si="69"/>
        <v>Weight Loss</v>
      </c>
      <c r="M356" t="str">
        <f t="shared" ca="1" si="70"/>
        <v>Active</v>
      </c>
      <c r="N356" s="2">
        <v>45481</v>
      </c>
      <c r="Q356" t="str">
        <f ca="1">IF(RAND()&lt;0.2,
    IF(RAND()&lt;0.5, LOWER(C356), UPPER(C356)),
    C356
)</f>
        <v>BANGALORE</v>
      </c>
      <c r="R356" t="str">
        <f t="shared" ca="1" si="62"/>
        <v>19 visits</v>
      </c>
      <c r="S356">
        <f t="shared" ca="1" si="63"/>
        <v>3500</v>
      </c>
      <c r="T356">
        <f t="shared" ca="1" si="64"/>
        <v>45131</v>
      </c>
      <c r="U356" s="2">
        <f t="shared" ca="1" si="65"/>
        <v>45481</v>
      </c>
    </row>
    <row r="357" spans="1:21">
      <c r="A357" t="str">
        <f t="shared" si="61"/>
        <v>MEM0356</v>
      </c>
      <c r="B357" t="str">
        <f ca="1">INDEX('Name pool'!A:A, RANDBETWEEN(2, COUNTA('Name pool'!A:A))) &amp; " " &amp; INDEX('Name pool'!B:B, RANDBETWEEN(2, COUNTA('Name pool'!B:B)))</f>
        <v>Anjali Sharma</v>
      </c>
      <c r="C357" t="s">
        <v>116</v>
      </c>
      <c r="D357" t="str">
        <f t="shared" ca="1" si="60"/>
        <v>BR07</v>
      </c>
      <c r="E357" t="str">
        <f t="shared" ca="1" si="66"/>
        <v>Basic</v>
      </c>
      <c r="F357" s="2">
        <v>45575</v>
      </c>
      <c r="G357" s="2">
        <v>45605</v>
      </c>
      <c r="H357">
        <v>3500</v>
      </c>
      <c r="I357">
        <f t="shared" ca="1" si="67"/>
        <v>35000</v>
      </c>
      <c r="J357">
        <v>17</v>
      </c>
      <c r="K357" t="str">
        <f t="shared" ca="1" si="68"/>
        <v>Yes</v>
      </c>
      <c r="L357" t="str">
        <f t="shared" ca="1" si="69"/>
        <v>Muscle Gain</v>
      </c>
      <c r="M357" t="str">
        <f t="shared" ca="1" si="70"/>
        <v>Active</v>
      </c>
      <c r="N357" s="2">
        <v>45889</v>
      </c>
      <c r="Q357" t="str">
        <f ca="1">IF(RAND()&lt;0.2,
    IF(RAND()&lt;0.5, LOWER(C357), UPPER(C357)),
    C357
)</f>
        <v>kochi</v>
      </c>
      <c r="R357">
        <f t="shared" ca="1" si="62"/>
        <v>17</v>
      </c>
      <c r="S357">
        <f t="shared" ca="1" si="63"/>
        <v>3500</v>
      </c>
      <c r="T357">
        <f t="shared" ca="1" si="64"/>
        <v>45257</v>
      </c>
      <c r="U357" s="2">
        <f t="shared" ca="1" si="65"/>
        <v>45889</v>
      </c>
    </row>
    <row r="358" spans="1:21">
      <c r="A358" t="str">
        <f t="shared" si="61"/>
        <v>MEM0357</v>
      </c>
      <c r="B358" t="str">
        <f ca="1">INDEX('Name pool'!A:A, RANDBETWEEN(2, COUNTA('Name pool'!A:A))) &amp; " " &amp; INDEX('Name pool'!B:B, RANDBETWEEN(2, COUNTA('Name pool'!B:B)))</f>
        <v>Ankit D’Souza</v>
      </c>
      <c r="C358" t="s">
        <v>79</v>
      </c>
      <c r="D358" t="str">
        <f t="shared" ca="1" si="60"/>
        <v>BR05</v>
      </c>
      <c r="E358" t="str">
        <f t="shared" ca="1" si="66"/>
        <v>Basic</v>
      </c>
      <c r="F358" s="2">
        <v>45989</v>
      </c>
      <c r="G358" s="2">
        <v>46354</v>
      </c>
      <c r="H358">
        <v>3500</v>
      </c>
      <c r="I358">
        <f t="shared" ca="1" si="67"/>
        <v>24500</v>
      </c>
      <c r="J358">
        <v>4</v>
      </c>
      <c r="K358" t="str">
        <f t="shared" ca="1" si="68"/>
        <v>Yes</v>
      </c>
      <c r="L358" t="str">
        <f t="shared" ca="1" si="69"/>
        <v>General Fitness</v>
      </c>
      <c r="M358" t="str">
        <f t="shared" ca="1" si="70"/>
        <v>Cancelled</v>
      </c>
      <c r="N358" s="2">
        <v>46014</v>
      </c>
      <c r="Q358" t="str">
        <f ca="1">IF(RAND()&lt;0.2,
    IF(RAND()&lt;0.5, LOWER(C358), UPPER(C358)),
    C358
)</f>
        <v>Hyderabad</v>
      </c>
      <c r="R358">
        <f t="shared" ca="1" si="62"/>
        <v>4</v>
      </c>
      <c r="S358">
        <f t="shared" ca="1" si="63"/>
        <v>3500</v>
      </c>
      <c r="T358">
        <f t="shared" ca="1" si="64"/>
        <v>45838</v>
      </c>
      <c r="U358" s="2">
        <f t="shared" ca="1" si="65"/>
        <v>46014</v>
      </c>
    </row>
    <row r="359" spans="1:21">
      <c r="A359" t="str">
        <f t="shared" si="61"/>
        <v>MEM0358</v>
      </c>
      <c r="B359" t="str">
        <f ca="1">INDEX('Name pool'!A:A, RANDBETWEEN(2, COUNTA('Name pool'!A:A))) &amp; " " &amp; INDEX('Name pool'!B:B, RANDBETWEEN(2, COUNTA('Name pool'!B:B)))</f>
        <v>Siddharth Patel</v>
      </c>
      <c r="C359" t="s">
        <v>83</v>
      </c>
      <c r="D359" t="str">
        <f t="shared" ca="1" si="60"/>
        <v>BR04</v>
      </c>
      <c r="E359" t="str">
        <f t="shared" ca="1" si="66"/>
        <v>Standard</v>
      </c>
      <c r="F359" s="2">
        <v>45580</v>
      </c>
      <c r="G359" s="2">
        <v>45670</v>
      </c>
      <c r="H359">
        <v>1000</v>
      </c>
      <c r="I359">
        <f t="shared" ca="1" si="67"/>
        <v>4000</v>
      </c>
      <c r="J359">
        <v>4</v>
      </c>
      <c r="K359" t="str">
        <f t="shared" ca="1" si="68"/>
        <v>No</v>
      </c>
      <c r="L359" t="str">
        <f t="shared" ca="1" si="69"/>
        <v>General Fitness</v>
      </c>
      <c r="M359" t="str">
        <f t="shared" ca="1" si="70"/>
        <v>Cancelled</v>
      </c>
      <c r="N359" s="2">
        <v>45625</v>
      </c>
      <c r="Q359" t="str">
        <f ca="1">IF(RAND()&lt;0.2,
    IF(RAND()&lt;0.5, LOWER(C359), UPPER(C359)),
    C359
)</f>
        <v>Trivandrum</v>
      </c>
      <c r="R359">
        <f t="shared" ca="1" si="62"/>
        <v>4</v>
      </c>
      <c r="S359">
        <f t="shared" ca="1" si="63"/>
        <v>1000</v>
      </c>
      <c r="T359">
        <f t="shared" ca="1" si="64"/>
        <v>44969</v>
      </c>
      <c r="U359" s="2">
        <f t="shared" ca="1" si="65"/>
        <v>45625</v>
      </c>
    </row>
    <row r="360" spans="1:21">
      <c r="A360" t="str">
        <f t="shared" si="61"/>
        <v>MEM0359</v>
      </c>
      <c r="B360" t="str">
        <f ca="1">INDEX('Name pool'!A:A, RANDBETWEEN(2, COUNTA('Name pool'!A:A))) &amp; " " &amp; INDEX('Name pool'!B:B, RANDBETWEEN(2, COUNTA('Name pool'!B:B)))</f>
        <v>Anu Thomas</v>
      </c>
      <c r="C360" t="s">
        <v>79</v>
      </c>
      <c r="D360" t="str">
        <f t="shared" ca="1" si="60"/>
        <v>BR01</v>
      </c>
      <c r="E360" t="str">
        <f t="shared" ca="1" si="66"/>
        <v>Standard</v>
      </c>
      <c r="F360" s="2">
        <v>45645</v>
      </c>
      <c r="G360" s="2">
        <v>46010</v>
      </c>
      <c r="H360" t="s">
        <v>120</v>
      </c>
      <c r="I360">
        <f t="shared" ca="1" si="67"/>
        <v>16000</v>
      </c>
      <c r="J360">
        <v>13</v>
      </c>
      <c r="K360" t="str">
        <f t="shared" ca="1" si="68"/>
        <v>Yes</v>
      </c>
      <c r="L360" t="str">
        <f t="shared" ca="1" si="69"/>
        <v>Weight Loss</v>
      </c>
      <c r="M360" t="str">
        <f t="shared" ca="1" si="70"/>
        <v>Active</v>
      </c>
      <c r="N360" s="2">
        <v>45828</v>
      </c>
      <c r="Q360" t="str">
        <f ca="1">IF(RAND()&lt;0.2,
    IF(RAND()&lt;0.5, LOWER(C360), UPPER(C360)),
    C360
)</f>
        <v>HYDERABAD</v>
      </c>
      <c r="R360">
        <f t="shared" ca="1" si="62"/>
        <v>13</v>
      </c>
      <c r="S360" t="str">
        <f t="shared" ca="1" si="63"/>
        <v>2000</v>
      </c>
      <c r="T360">
        <f t="shared" ca="1" si="64"/>
        <v>45679</v>
      </c>
      <c r="U360" s="2">
        <f t="shared" ca="1" si="65"/>
        <v>45828</v>
      </c>
    </row>
    <row r="361" spans="1:21">
      <c r="A361" t="str">
        <f t="shared" si="61"/>
        <v>MEM0360</v>
      </c>
      <c r="B361" t="str">
        <f ca="1">INDEX('Name pool'!A:A, RANDBETWEEN(2, COUNTA('Name pool'!A:A))) &amp; " " &amp; INDEX('Name pool'!B:B, RANDBETWEEN(2, COUNTA('Name pool'!B:B)))</f>
        <v>Fatima Shetty</v>
      </c>
      <c r="C361" t="s">
        <v>129</v>
      </c>
      <c r="D361" t="str">
        <f t="shared" ca="1" si="60"/>
        <v>BR01</v>
      </c>
      <c r="E361" t="str">
        <f t="shared" ca="1" si="66"/>
        <v>Basic</v>
      </c>
      <c r="F361" s="2">
        <v>45012</v>
      </c>
      <c r="G361" s="2">
        <v>45102</v>
      </c>
      <c r="H361" t="s">
        <v>108</v>
      </c>
      <c r="I361">
        <f t="shared" ca="1" si="67"/>
        <v>3000</v>
      </c>
      <c r="J361">
        <v>23</v>
      </c>
      <c r="K361" t="str">
        <f t="shared" ca="1" si="68"/>
        <v>No</v>
      </c>
      <c r="L361" t="str">
        <f t="shared" ca="1" si="69"/>
        <v>Weight Loss</v>
      </c>
      <c r="M361" t="str">
        <f t="shared" ca="1" si="70"/>
        <v>Active</v>
      </c>
      <c r="N361" s="2">
        <v>45090</v>
      </c>
      <c r="Q361" t="str">
        <f ca="1">IF(RAND()&lt;0.2,
    IF(RAND()&lt;0.5, LOWER(C361), UPPER(C361)),
    C361
)</f>
        <v>hyderabad</v>
      </c>
      <c r="R361">
        <f t="shared" ca="1" si="62"/>
        <v>23</v>
      </c>
      <c r="S361" t="str">
        <f t="shared" ca="1" si="63"/>
        <v>1000</v>
      </c>
      <c r="T361">
        <f t="shared" ca="1" si="64"/>
        <v>45425</v>
      </c>
      <c r="U361" s="2">
        <f t="shared" ca="1" si="65"/>
        <v>45090</v>
      </c>
    </row>
    <row r="362" spans="1:21">
      <c r="A362" t="str">
        <f t="shared" si="61"/>
        <v>MEM0361</v>
      </c>
      <c r="B362" t="str">
        <f ca="1">INDEX('Name pool'!A:A, RANDBETWEEN(2, COUNTA('Name pool'!A:A))) &amp; " " &amp; INDEX('Name pool'!B:B, RANDBETWEEN(2, COUNTA('Name pool'!B:B)))</f>
        <v>Deepak Gupta</v>
      </c>
      <c r="C362" t="s">
        <v>73</v>
      </c>
      <c r="D362" t="str">
        <f t="shared" ca="1" si="60"/>
        <v>BR04</v>
      </c>
      <c r="E362" t="str">
        <f t="shared" ca="1" si="66"/>
        <v>Standard</v>
      </c>
      <c r="F362" s="2">
        <v>45107</v>
      </c>
      <c r="G362" s="2">
        <v>45137</v>
      </c>
      <c r="H362">
        <v>1000</v>
      </c>
      <c r="I362">
        <f t="shared" ca="1" si="67"/>
        <v>1000</v>
      </c>
      <c r="J362">
        <v>1</v>
      </c>
      <c r="K362" t="str">
        <f t="shared" ca="1" si="68"/>
        <v>Yes</v>
      </c>
      <c r="L362" t="str">
        <f t="shared" ca="1" si="69"/>
        <v>Muscle Gain</v>
      </c>
      <c r="M362" t="str">
        <f t="shared" ca="1" si="70"/>
        <v>Cancelled</v>
      </c>
      <c r="N362" s="2">
        <v>45663</v>
      </c>
      <c r="Q362" t="str">
        <f ca="1">IF(RAND()&lt;0.2,
    IF(RAND()&lt;0.5, LOWER(C362), UPPER(C362)),
    C362
)</f>
        <v>Kochi</v>
      </c>
      <c r="R362">
        <f t="shared" ca="1" si="62"/>
        <v>1</v>
      </c>
      <c r="S362">
        <f t="shared" ca="1" si="63"/>
        <v>1000</v>
      </c>
      <c r="T362">
        <f t="shared" ca="1" si="64"/>
        <v>45187</v>
      </c>
      <c r="U362" s="2">
        <f t="shared" ca="1" si="65"/>
        <v>45147</v>
      </c>
    </row>
    <row r="363" spans="1:21">
      <c r="A363" t="str">
        <f t="shared" si="61"/>
        <v>MEM0362</v>
      </c>
      <c r="B363" t="str">
        <f ca="1">INDEX('Name pool'!A:A, RANDBETWEEN(2, COUNTA('Name pool'!A:A))) &amp; " " &amp; INDEX('Name pool'!B:B, RANDBETWEEN(2, COUNTA('Name pool'!B:B)))</f>
        <v>Siddharth Joshi</v>
      </c>
      <c r="C363" t="s">
        <v>75</v>
      </c>
      <c r="D363" t="str">
        <f t="shared" ca="1" si="60"/>
        <v>BR05</v>
      </c>
      <c r="E363" t="str">
        <f t="shared" ca="1" si="66"/>
        <v>Basic</v>
      </c>
      <c r="F363" s="2">
        <v>45563</v>
      </c>
      <c r="G363" s="2">
        <v>45928</v>
      </c>
      <c r="H363">
        <v>3500</v>
      </c>
      <c r="I363">
        <f t="shared" ca="1" si="67"/>
        <v>28000</v>
      </c>
      <c r="J363">
        <v>23</v>
      </c>
      <c r="K363" t="str">
        <f t="shared" ca="1" si="68"/>
        <v>No</v>
      </c>
      <c r="L363" t="str">
        <f t="shared" ca="1" si="69"/>
        <v>General Fitness</v>
      </c>
      <c r="M363" t="str">
        <f t="shared" ca="1" si="70"/>
        <v>Active</v>
      </c>
      <c r="N363" s="2">
        <v>46009</v>
      </c>
      <c r="Q363" t="str">
        <f ca="1">IF(RAND()&lt;0.2,
    IF(RAND()&lt;0.5, LOWER(C363), UPPER(C363)),
    C363
)</f>
        <v>BANGALORE</v>
      </c>
      <c r="R363">
        <f t="shared" ca="1" si="62"/>
        <v>23</v>
      </c>
      <c r="S363">
        <f t="shared" ca="1" si="63"/>
        <v>3500</v>
      </c>
      <c r="T363">
        <f t="shared" ca="1" si="64"/>
        <v>45375</v>
      </c>
      <c r="U363" s="2">
        <f t="shared" ca="1" si="65"/>
        <v>46009</v>
      </c>
    </row>
    <row r="364" spans="1:21">
      <c r="A364" t="str">
        <f t="shared" si="61"/>
        <v>MEM0363</v>
      </c>
      <c r="B364" t="str">
        <f ca="1">INDEX('Name pool'!A:A, RANDBETWEEN(2, COUNTA('Name pool'!A:A))) &amp; " " &amp; INDEX('Name pool'!B:B, RANDBETWEEN(2, COUNTA('Name pool'!B:B)))</f>
        <v>Priya Patel</v>
      </c>
      <c r="C364" t="s">
        <v>83</v>
      </c>
      <c r="D364" t="str">
        <f t="shared" ca="1" si="60"/>
        <v>BR05</v>
      </c>
      <c r="E364" t="str">
        <f t="shared" ca="1" si="66"/>
        <v>Premium</v>
      </c>
      <c r="F364" s="2">
        <v>45971</v>
      </c>
      <c r="G364" s="2">
        <v>46336</v>
      </c>
      <c r="H364">
        <v>3500</v>
      </c>
      <c r="I364">
        <f t="shared" ca="1" si="67"/>
        <v>17500</v>
      </c>
      <c r="J364">
        <v>8</v>
      </c>
      <c r="K364" t="str">
        <f t="shared" ca="1" si="68"/>
        <v>No</v>
      </c>
      <c r="L364" t="str">
        <f t="shared" ca="1" si="69"/>
        <v>General Fitness</v>
      </c>
      <c r="M364" t="str">
        <f t="shared" ca="1" si="70"/>
        <v>Active</v>
      </c>
      <c r="N364" s="2">
        <v>46010</v>
      </c>
      <c r="Q364" t="str">
        <f ca="1">IF(RAND()&lt;0.2,
    IF(RAND()&lt;0.5, LOWER(C364), UPPER(C364)),
    C364
)</f>
        <v>trivandrum</v>
      </c>
      <c r="R364">
        <f t="shared" ca="1" si="62"/>
        <v>8</v>
      </c>
      <c r="S364">
        <f t="shared" ca="1" si="63"/>
        <v>3500</v>
      </c>
      <c r="T364">
        <f t="shared" ca="1" si="64"/>
        <v>45652</v>
      </c>
      <c r="U364" s="2">
        <f t="shared" ca="1" si="65"/>
        <v>46010</v>
      </c>
    </row>
    <row r="365" spans="1:21">
      <c r="A365" t="str">
        <f t="shared" si="61"/>
        <v>MEM0364</v>
      </c>
      <c r="B365" t="str">
        <f ca="1">INDEX('Name pool'!A:A, RANDBETWEEN(2, COUNTA('Name pool'!A:A))) &amp; " " &amp; INDEX('Name pool'!B:B, RANDBETWEEN(2, COUNTA('Name pool'!B:B)))</f>
        <v>Ayesha Chatterjee</v>
      </c>
      <c r="C365" t="s">
        <v>85</v>
      </c>
      <c r="D365" t="str">
        <f t="shared" ca="1" si="60"/>
        <v>BR04</v>
      </c>
      <c r="E365" t="str">
        <f t="shared" ca="1" si="66"/>
        <v>Basic</v>
      </c>
      <c r="F365" s="2">
        <v>45835</v>
      </c>
      <c r="G365" s="2">
        <v>46200</v>
      </c>
      <c r="H365" t="s">
        <v>120</v>
      </c>
      <c r="I365">
        <f t="shared" ca="1" si="67"/>
        <v>10000</v>
      </c>
      <c r="J365">
        <v>24</v>
      </c>
      <c r="K365" t="str">
        <f t="shared" ca="1" si="68"/>
        <v>No</v>
      </c>
      <c r="L365" t="str">
        <f t="shared" ca="1" si="69"/>
        <v>General Fitness</v>
      </c>
      <c r="M365" t="str">
        <f t="shared" ca="1" si="70"/>
        <v>Active</v>
      </c>
      <c r="N365" s="2">
        <v>45932</v>
      </c>
      <c r="Q365" t="str">
        <f ca="1">IF(RAND()&lt;0.2,
    IF(RAND()&lt;0.5, LOWER(C365), UPPER(C365)),
    C365
)</f>
        <v>Calicut</v>
      </c>
      <c r="R365">
        <f t="shared" ca="1" si="62"/>
        <v>24</v>
      </c>
      <c r="S365" t="str">
        <f t="shared" ca="1" si="63"/>
        <v>2000</v>
      </c>
      <c r="T365">
        <f t="shared" ca="1" si="64"/>
        <v>45039</v>
      </c>
      <c r="U365" s="2">
        <f t="shared" ca="1" si="65"/>
        <v>45932</v>
      </c>
    </row>
    <row r="366" spans="1:21">
      <c r="A366" t="str">
        <f t="shared" si="61"/>
        <v>MEM0365</v>
      </c>
      <c r="B366" t="str">
        <f ca="1">INDEX('Name pool'!A:A, RANDBETWEEN(2, COUNTA('Name pool'!A:A))) &amp; " " &amp; INDEX('Name pool'!B:B, RANDBETWEEN(2, COUNTA('Name pool'!B:B)))</f>
        <v>Priya Kapoor</v>
      </c>
      <c r="C366" t="s">
        <v>83</v>
      </c>
      <c r="D366" t="str">
        <f t="shared" ca="1" si="60"/>
        <v>BR03</v>
      </c>
      <c r="E366" t="str">
        <f t="shared" ca="1" si="66"/>
        <v>Basic</v>
      </c>
      <c r="F366" s="2">
        <v>46019</v>
      </c>
      <c r="G366" s="2">
        <v>46049</v>
      </c>
      <c r="H366">
        <v>2000</v>
      </c>
      <c r="I366">
        <f t="shared" ca="1" si="67"/>
        <v>12000</v>
      </c>
      <c r="J366" t="s">
        <v>142</v>
      </c>
      <c r="K366" t="str">
        <f t="shared" ca="1" si="68"/>
        <v>No</v>
      </c>
      <c r="L366" t="str">
        <f t="shared" ca="1" si="69"/>
        <v>General Fitness</v>
      </c>
      <c r="M366" t="str">
        <f t="shared" ca="1" si="70"/>
        <v>Active</v>
      </c>
      <c r="N366" s="2">
        <v>46026</v>
      </c>
      <c r="Q366" t="str">
        <f ca="1">IF(RAND()&lt;0.2,
    IF(RAND()&lt;0.5, LOWER(C366), UPPER(C366)),
    C366
)</f>
        <v>Trivandrum</v>
      </c>
      <c r="R366" t="str">
        <f t="shared" ca="1" si="62"/>
        <v>24 visits</v>
      </c>
      <c r="S366">
        <f t="shared" ca="1" si="63"/>
        <v>2000</v>
      </c>
      <c r="T366">
        <f t="shared" ca="1" si="64"/>
        <v>45685</v>
      </c>
      <c r="U366" s="2">
        <f t="shared" ca="1" si="65"/>
        <v>46026</v>
      </c>
    </row>
    <row r="367" spans="1:21">
      <c r="A367" t="str">
        <f t="shared" si="61"/>
        <v>MEM0366</v>
      </c>
      <c r="B367" t="str">
        <f ca="1">INDEX('Name pool'!A:A, RANDBETWEEN(2, COUNTA('Name pool'!A:A))) &amp; " " &amp; INDEX('Name pool'!B:B, RANDBETWEEN(2, COUNTA('Name pool'!B:B)))</f>
        <v>Swathi Bhat</v>
      </c>
      <c r="C367" t="s">
        <v>79</v>
      </c>
      <c r="D367" t="str">
        <f t="shared" ca="1" si="60"/>
        <v>BR01</v>
      </c>
      <c r="E367" t="str">
        <f t="shared" ca="1" si="66"/>
        <v>Premium</v>
      </c>
      <c r="F367" s="2">
        <v>45121</v>
      </c>
      <c r="G367" s="2">
        <v>45151</v>
      </c>
      <c r="H367">
        <v>1000</v>
      </c>
      <c r="I367">
        <f t="shared" ca="1" si="67"/>
        <v>2000</v>
      </c>
      <c r="J367">
        <v>18</v>
      </c>
      <c r="K367" t="str">
        <f t="shared" ca="1" si="68"/>
        <v>No</v>
      </c>
      <c r="L367" t="str">
        <f t="shared" ca="1" si="69"/>
        <v>Muscle Gain</v>
      </c>
      <c r="M367" t="str">
        <f t="shared" ca="1" si="70"/>
        <v>Active</v>
      </c>
      <c r="N367" s="2">
        <v>46027</v>
      </c>
      <c r="Q367" t="str">
        <f ca="1">IF(RAND()&lt;0.2,
    IF(RAND()&lt;0.5, LOWER(C367), UPPER(C367)),
    C367
)</f>
        <v>Hyderabad</v>
      </c>
      <c r="R367">
        <f t="shared" ca="1" si="62"/>
        <v>18</v>
      </c>
      <c r="S367">
        <f t="shared" ca="1" si="63"/>
        <v>1000</v>
      </c>
      <c r="T367">
        <f t="shared" ca="1" si="64"/>
        <v>45942</v>
      </c>
      <c r="U367" s="2">
        <f t="shared" ca="1" si="65"/>
        <v>46027</v>
      </c>
    </row>
    <row r="368" spans="1:21">
      <c r="A368" t="str">
        <f t="shared" si="61"/>
        <v>MEM0367</v>
      </c>
      <c r="B368" t="str">
        <f ca="1">INDEX('Name pool'!A:A, RANDBETWEEN(2, COUNTA('Name pool'!A:A))) &amp; " " &amp; INDEX('Name pool'!B:B, RANDBETWEEN(2, COUNTA('Name pool'!B:B)))</f>
        <v>Tanvi Malhotra</v>
      </c>
      <c r="C368" t="s">
        <v>77</v>
      </c>
      <c r="D368" t="str">
        <f t="shared" ca="1" si="60"/>
        <v>BR01</v>
      </c>
      <c r="E368" t="str">
        <f t="shared" ca="1" si="66"/>
        <v>Basic</v>
      </c>
      <c r="F368" s="2">
        <v>45574</v>
      </c>
      <c r="G368" s="2">
        <v>45939</v>
      </c>
      <c r="H368">
        <v>1000</v>
      </c>
      <c r="I368">
        <f t="shared" ca="1" si="67"/>
        <v>3000</v>
      </c>
      <c r="J368">
        <v>8</v>
      </c>
      <c r="K368" t="str">
        <f t="shared" ca="1" si="68"/>
        <v>No</v>
      </c>
      <c r="L368" t="str">
        <f t="shared" ca="1" si="69"/>
        <v>Muscle Gain</v>
      </c>
      <c r="M368" t="str">
        <f t="shared" ca="1" si="70"/>
        <v>Active</v>
      </c>
      <c r="N368" s="2">
        <v>45781</v>
      </c>
      <c r="Q368" t="str">
        <f ca="1">IF(RAND()&lt;0.2,
    IF(RAND()&lt;0.5, LOWER(C368), UPPER(C368)),
    C368
)</f>
        <v>Chennai</v>
      </c>
      <c r="R368">
        <f t="shared" ca="1" si="62"/>
        <v>8</v>
      </c>
      <c r="S368">
        <f t="shared" ca="1" si="63"/>
        <v>1000</v>
      </c>
      <c r="T368">
        <f t="shared" ca="1" si="64"/>
        <v>45462</v>
      </c>
      <c r="U368" s="2">
        <f t="shared" ca="1" si="65"/>
        <v>45781</v>
      </c>
    </row>
    <row r="369" spans="1:21">
      <c r="A369" t="str">
        <f t="shared" si="61"/>
        <v>MEM0368</v>
      </c>
      <c r="B369" t="str">
        <f ca="1">INDEX('Name pool'!A:A, RANDBETWEEN(2, COUNTA('Name pool'!A:A))) &amp; " " &amp; INDEX('Name pool'!B:B, RANDBETWEEN(2, COUNTA('Name pool'!B:B)))</f>
        <v>Aditya Nair</v>
      </c>
      <c r="C369" t="s">
        <v>79</v>
      </c>
      <c r="D369" t="str">
        <f t="shared" ca="1" si="60"/>
        <v>BR01</v>
      </c>
      <c r="E369" t="str">
        <f t="shared" ca="1" si="66"/>
        <v>Standard</v>
      </c>
      <c r="F369" s="2">
        <v>45873</v>
      </c>
      <c r="G369" s="2">
        <v>45903</v>
      </c>
      <c r="H369">
        <v>3500</v>
      </c>
      <c r="I369">
        <f t="shared" ca="1" si="67"/>
        <v>3500</v>
      </c>
      <c r="J369">
        <v>14</v>
      </c>
      <c r="K369" t="str">
        <f t="shared" ca="1" si="68"/>
        <v>Yes</v>
      </c>
      <c r="L369" t="str">
        <f t="shared" ca="1" si="69"/>
        <v>Weight Loss</v>
      </c>
      <c r="M369" t="str">
        <f t="shared" ca="1" si="70"/>
        <v>Active</v>
      </c>
      <c r="N369" s="2">
        <v>46055</v>
      </c>
      <c r="Q369" t="str">
        <f ca="1">IF(RAND()&lt;0.2,
    IF(RAND()&lt;0.5, LOWER(C369), UPPER(C369)),
    C369
)</f>
        <v>Hyderabad</v>
      </c>
      <c r="R369">
        <f t="shared" ca="1" si="62"/>
        <v>14</v>
      </c>
      <c r="S369" t="str">
        <f t="shared" ca="1" si="63"/>
        <v>3500</v>
      </c>
      <c r="T369">
        <f t="shared" ca="1" si="64"/>
        <v>45121</v>
      </c>
      <c r="U369" s="2">
        <f t="shared" ca="1" si="65"/>
        <v>46055</v>
      </c>
    </row>
    <row r="370" spans="1:21">
      <c r="A370" t="str">
        <f t="shared" si="61"/>
        <v>MEM0369</v>
      </c>
      <c r="B370" t="str">
        <f ca="1">INDEX('Name pool'!A:A, RANDBETWEEN(2, COUNTA('Name pool'!A:A))) &amp; " " &amp; INDEX('Name pool'!B:B, RANDBETWEEN(2, COUNTA('Name pool'!B:B)))</f>
        <v>Sanjay Malhotra</v>
      </c>
      <c r="C370" t="s">
        <v>73</v>
      </c>
      <c r="D370" t="str">
        <f t="shared" ca="1" si="60"/>
        <v>BR06</v>
      </c>
      <c r="E370" t="str">
        <f t="shared" ca="1" si="66"/>
        <v>Premium</v>
      </c>
      <c r="F370" s="2">
        <v>45020</v>
      </c>
      <c r="G370" s="2">
        <v>45050</v>
      </c>
      <c r="H370">
        <v>2000</v>
      </c>
      <c r="I370">
        <f t="shared" ca="1" si="67"/>
        <v>20000</v>
      </c>
      <c r="J370">
        <v>24</v>
      </c>
      <c r="K370" t="str">
        <f t="shared" ca="1" si="68"/>
        <v>Yes</v>
      </c>
      <c r="L370" t="str">
        <f t="shared" ca="1" si="69"/>
        <v>Muscle Gain</v>
      </c>
      <c r="M370" t="str">
        <f t="shared" ca="1" si="70"/>
        <v>Active</v>
      </c>
      <c r="N370" s="2">
        <v>45855</v>
      </c>
      <c r="Q370" t="str">
        <f ca="1">IF(RAND()&lt;0.2,
    IF(RAND()&lt;0.5, LOWER(C370), UPPER(C370)),
    C370
)</f>
        <v>Kochi</v>
      </c>
      <c r="R370">
        <f t="shared" ca="1" si="62"/>
        <v>24</v>
      </c>
      <c r="S370">
        <f t="shared" ca="1" si="63"/>
        <v>2000</v>
      </c>
      <c r="T370">
        <f t="shared" ca="1" si="64"/>
        <v>45064</v>
      </c>
      <c r="U370" s="2">
        <f t="shared" ca="1" si="65"/>
        <v>45855</v>
      </c>
    </row>
    <row r="371" spans="1:21">
      <c r="A371" t="str">
        <f t="shared" si="61"/>
        <v>MEM0370</v>
      </c>
      <c r="B371" t="str">
        <f ca="1">INDEX('Name pool'!A:A, RANDBETWEEN(2, COUNTA('Name pool'!A:A))) &amp; " " &amp; INDEX('Name pool'!B:B, RANDBETWEEN(2, COUNTA('Name pool'!B:B)))</f>
        <v>Fatima Lewis</v>
      </c>
      <c r="C371" t="s">
        <v>124</v>
      </c>
      <c r="D371" t="str">
        <f t="shared" ca="1" si="60"/>
        <v>BR06</v>
      </c>
      <c r="E371" t="str">
        <f t="shared" ca="1" si="66"/>
        <v>Premium</v>
      </c>
      <c r="F371" s="2">
        <v>45493</v>
      </c>
      <c r="G371" s="2">
        <v>45583</v>
      </c>
      <c r="H371">
        <v>2000</v>
      </c>
      <c r="I371">
        <f t="shared" ca="1" si="67"/>
        <v>12000</v>
      </c>
      <c r="J371">
        <v>16</v>
      </c>
      <c r="K371" t="str">
        <f t="shared" ca="1" si="68"/>
        <v>Yes</v>
      </c>
      <c r="L371" t="str">
        <f t="shared" ca="1" si="69"/>
        <v>Weight Loss</v>
      </c>
      <c r="M371" t="str">
        <f t="shared" ca="1" si="70"/>
        <v>Active</v>
      </c>
      <c r="N371" s="2">
        <v>45836</v>
      </c>
      <c r="Q371" t="str">
        <f ca="1">IF(RAND()&lt;0.2,
    IF(RAND()&lt;0.5, LOWER(C371), UPPER(C371)),
    C371
)</f>
        <v>chennai</v>
      </c>
      <c r="R371">
        <f t="shared" ca="1" si="62"/>
        <v>16</v>
      </c>
      <c r="S371">
        <f t="shared" ca="1" si="63"/>
        <v>2000</v>
      </c>
      <c r="T371">
        <f t="shared" ca="1" si="64"/>
        <v>45106</v>
      </c>
      <c r="U371" s="2">
        <f t="shared" ca="1" si="65"/>
        <v>45836</v>
      </c>
    </row>
    <row r="372" spans="1:21">
      <c r="A372" t="str">
        <f t="shared" si="61"/>
        <v>MEM0371</v>
      </c>
      <c r="B372" t="str">
        <f ca="1">INDEX('Name pool'!A:A, RANDBETWEEN(2, COUNTA('Name pool'!A:A))) &amp; " " &amp; INDEX('Name pool'!B:B, RANDBETWEEN(2, COUNTA('Name pool'!B:B)))</f>
        <v>Anjali Khan</v>
      </c>
      <c r="C372" t="s">
        <v>115</v>
      </c>
      <c r="D372" t="str">
        <f t="shared" ca="1" si="60"/>
        <v>BR01</v>
      </c>
      <c r="E372" t="str">
        <f t="shared" ca="1" si="66"/>
        <v>Basic</v>
      </c>
      <c r="F372" s="2">
        <v>45693</v>
      </c>
      <c r="G372" s="2">
        <v>45723</v>
      </c>
      <c r="H372">
        <v>3500</v>
      </c>
      <c r="I372">
        <f t="shared" ca="1" si="67"/>
        <v>35000</v>
      </c>
      <c r="J372">
        <v>16</v>
      </c>
      <c r="K372" t="str">
        <f t="shared" ca="1" si="68"/>
        <v>No</v>
      </c>
      <c r="L372" t="str">
        <f t="shared" ca="1" si="69"/>
        <v>General Fitness</v>
      </c>
      <c r="M372" t="str">
        <f t="shared" ca="1" si="70"/>
        <v>Active</v>
      </c>
      <c r="N372" s="2">
        <v>46045</v>
      </c>
      <c r="Q372" t="str">
        <f ca="1">IF(RAND()&lt;0.2,
    IF(RAND()&lt;0.5, LOWER(C372), UPPER(C372)),
    C372
)</f>
        <v>CHENNAI</v>
      </c>
      <c r="R372">
        <f t="shared" ca="1" si="62"/>
        <v>16</v>
      </c>
      <c r="S372">
        <f t="shared" ca="1" si="63"/>
        <v>3500</v>
      </c>
      <c r="T372">
        <f t="shared" ca="1" si="64"/>
        <v>45071</v>
      </c>
      <c r="U372" s="2">
        <f t="shared" ca="1" si="65"/>
        <v>46045</v>
      </c>
    </row>
    <row r="373" spans="1:21">
      <c r="A373" t="str">
        <f t="shared" si="61"/>
        <v>MEM0372</v>
      </c>
      <c r="B373" t="str">
        <f ca="1">INDEX('Name pool'!A:A, RANDBETWEEN(2, COUNTA('Name pool'!A:A))) &amp; " " &amp; INDEX('Name pool'!B:B, RANDBETWEEN(2, COUNTA('Name pool'!B:B)))</f>
        <v>Deepak Yadav</v>
      </c>
      <c r="C373" t="s">
        <v>73</v>
      </c>
      <c r="D373" t="str">
        <f t="shared" ca="1" si="60"/>
        <v>BR03</v>
      </c>
      <c r="E373" t="str">
        <f t="shared" ca="1" si="66"/>
        <v>Standard</v>
      </c>
      <c r="F373" s="2">
        <v>45538</v>
      </c>
      <c r="G373" s="2">
        <v>45628</v>
      </c>
      <c r="H373">
        <v>3500</v>
      </c>
      <c r="I373">
        <f t="shared" ca="1" si="67"/>
        <v>42000</v>
      </c>
      <c r="J373">
        <v>22</v>
      </c>
      <c r="K373" t="str">
        <f t="shared" ca="1" si="68"/>
        <v>Yes</v>
      </c>
      <c r="L373" t="str">
        <f t="shared" ca="1" si="69"/>
        <v>Weight Loss</v>
      </c>
      <c r="M373" t="str">
        <f t="shared" ca="1" si="70"/>
        <v>Active</v>
      </c>
      <c r="N373" s="2">
        <v>45577</v>
      </c>
      <c r="Q373" t="str">
        <f ca="1">IF(RAND()&lt;0.2,
    IF(RAND()&lt;0.5, LOWER(C373), UPPER(C373)),
    C373
)</f>
        <v>kochi</v>
      </c>
      <c r="R373">
        <f t="shared" ca="1" si="62"/>
        <v>22</v>
      </c>
      <c r="S373">
        <f t="shared" ca="1" si="63"/>
        <v>3500</v>
      </c>
      <c r="T373">
        <f t="shared" ca="1" si="64"/>
        <v>45455</v>
      </c>
      <c r="U373" s="2">
        <f t="shared" ca="1" si="65"/>
        <v>45577</v>
      </c>
    </row>
    <row r="374" spans="1:21">
      <c r="A374" t="str">
        <f t="shared" si="61"/>
        <v>MEM0373</v>
      </c>
      <c r="B374" t="str">
        <f ca="1">INDEX('Name pool'!A:A, RANDBETWEEN(2, COUNTA('Name pool'!A:A))) &amp; " " &amp; INDEX('Name pool'!B:B, RANDBETWEEN(2, COUNTA('Name pool'!B:B)))</f>
        <v>Vivek Iyer</v>
      </c>
      <c r="C374" t="s">
        <v>85</v>
      </c>
      <c r="D374" t="str">
        <f t="shared" ca="1" si="60"/>
        <v>BR06</v>
      </c>
      <c r="E374" t="str">
        <f t="shared" ca="1" si="66"/>
        <v>Basic</v>
      </c>
      <c r="F374" s="2">
        <v>45223</v>
      </c>
      <c r="G374" s="2">
        <v>45253</v>
      </c>
      <c r="H374">
        <v>1000</v>
      </c>
      <c r="I374">
        <f t="shared" ca="1" si="67"/>
        <v>4000</v>
      </c>
      <c r="J374">
        <v>24</v>
      </c>
      <c r="K374" t="str">
        <f t="shared" ca="1" si="68"/>
        <v>Yes</v>
      </c>
      <c r="L374" t="str">
        <f t="shared" ca="1" si="69"/>
        <v>Muscle Gain</v>
      </c>
      <c r="M374" t="str">
        <f t="shared" ca="1" si="70"/>
        <v>Active</v>
      </c>
      <c r="N374" s="2">
        <v>46114</v>
      </c>
      <c r="Q374" t="str">
        <f ca="1">IF(RAND()&lt;0.2,
    IF(RAND()&lt;0.5, LOWER(C374), UPPER(C374)),
    C374
)</f>
        <v>Calicut</v>
      </c>
      <c r="R374">
        <f t="shared" ca="1" si="62"/>
        <v>24</v>
      </c>
      <c r="S374" t="str">
        <f t="shared" ca="1" si="63"/>
        <v>1000</v>
      </c>
      <c r="T374">
        <f t="shared" ca="1" si="64"/>
        <v>45013</v>
      </c>
      <c r="U374" s="2">
        <f t="shared" ca="1" si="65"/>
        <v>46114</v>
      </c>
    </row>
    <row r="375" spans="1:21">
      <c r="A375" t="str">
        <f t="shared" si="61"/>
        <v>MEM0374</v>
      </c>
      <c r="B375" t="str">
        <f ca="1">INDEX('Name pool'!A:A, RANDBETWEEN(2, COUNTA('Name pool'!A:A))) &amp; " " &amp; INDEX('Name pool'!B:B, RANDBETWEEN(2, COUNTA('Name pool'!B:B)))</f>
        <v>Lakshmi Mathew</v>
      </c>
      <c r="C375" t="s">
        <v>79</v>
      </c>
      <c r="D375" t="str">
        <f t="shared" ca="1" si="60"/>
        <v>BR05</v>
      </c>
      <c r="E375" t="str">
        <f t="shared" ca="1" si="66"/>
        <v>Basic</v>
      </c>
      <c r="F375" s="2">
        <v>45116</v>
      </c>
      <c r="G375" s="2">
        <v>45206</v>
      </c>
      <c r="H375" t="s">
        <v>108</v>
      </c>
      <c r="I375">
        <f t="shared" ca="1" si="67"/>
        <v>3000</v>
      </c>
      <c r="J375">
        <v>2</v>
      </c>
      <c r="K375" t="str">
        <f t="shared" ca="1" si="68"/>
        <v>Yes</v>
      </c>
      <c r="L375" t="str">
        <f t="shared" ca="1" si="69"/>
        <v>Weight Loss</v>
      </c>
      <c r="M375" t="str">
        <f t="shared" ca="1" si="70"/>
        <v>Cancelled</v>
      </c>
      <c r="N375" s="2">
        <v>45847</v>
      </c>
      <c r="Q375" t="str">
        <f ca="1">IF(RAND()&lt;0.2,
    IF(RAND()&lt;0.5, LOWER(C375), UPPER(C375)),
    C375
)</f>
        <v>Hyderabad</v>
      </c>
      <c r="R375">
        <f t="shared" ca="1" si="62"/>
        <v>2</v>
      </c>
      <c r="S375" t="str">
        <f t="shared" ca="1" si="63"/>
        <v>1000</v>
      </c>
      <c r="T375">
        <f t="shared" ca="1" si="64"/>
        <v>45102</v>
      </c>
      <c r="U375" s="2">
        <f t="shared" ca="1" si="65"/>
        <v>45847</v>
      </c>
    </row>
    <row r="376" spans="1:21">
      <c r="A376" t="str">
        <f t="shared" si="61"/>
        <v>MEM0375</v>
      </c>
      <c r="B376" t="str">
        <f ca="1">INDEX('Name pool'!A:A, RANDBETWEEN(2, COUNTA('Name pool'!A:A))) &amp; " " &amp; INDEX('Name pool'!B:B, RANDBETWEEN(2, COUNTA('Name pool'!B:B)))</f>
        <v>Swathi Fernandes</v>
      </c>
      <c r="C376" t="s">
        <v>81</v>
      </c>
      <c r="D376" t="str">
        <f t="shared" ca="1" si="60"/>
        <v>BR07</v>
      </c>
      <c r="E376" t="str">
        <f t="shared" ca="1" si="66"/>
        <v>Basic</v>
      </c>
      <c r="F376" s="2">
        <v>44961</v>
      </c>
      <c r="G376" s="2">
        <v>44991</v>
      </c>
      <c r="H376">
        <v>1000</v>
      </c>
      <c r="I376">
        <f t="shared" ca="1" si="67"/>
        <v>9000</v>
      </c>
      <c r="J376">
        <v>1</v>
      </c>
      <c r="K376" t="str">
        <f t="shared" ca="1" si="68"/>
        <v>Yes</v>
      </c>
      <c r="L376" t="str">
        <f t="shared" ca="1" si="69"/>
        <v>Weight Loss</v>
      </c>
      <c r="M376" t="str">
        <f t="shared" ca="1" si="70"/>
        <v>Cancelled</v>
      </c>
      <c r="N376" s="2">
        <v>45825</v>
      </c>
      <c r="Q376" t="str">
        <f ca="1">IF(RAND()&lt;0.2,
    IF(RAND()&lt;0.5, LOWER(C376), UPPER(C376)),
    C376
)</f>
        <v>mumbai</v>
      </c>
      <c r="R376" t="str">
        <f t="shared" ca="1" si="62"/>
        <v>1 visits</v>
      </c>
      <c r="S376">
        <f t="shared" ca="1" si="63"/>
        <v>1000</v>
      </c>
      <c r="T376">
        <f t="shared" ca="1" si="64"/>
        <v>45646</v>
      </c>
      <c r="U376" s="2">
        <f t="shared" ca="1" si="65"/>
        <v>45825</v>
      </c>
    </row>
    <row r="377" spans="1:21">
      <c r="A377" t="str">
        <f t="shared" si="61"/>
        <v>MEM0376</v>
      </c>
      <c r="B377" t="str">
        <f ca="1">INDEX('Name pool'!A:A, RANDBETWEEN(2, COUNTA('Name pool'!A:A))) &amp; " " &amp; INDEX('Name pool'!B:B, RANDBETWEEN(2, COUNTA('Name pool'!B:B)))</f>
        <v>Anjali Joshi</v>
      </c>
      <c r="C377" t="s">
        <v>81</v>
      </c>
      <c r="D377" t="str">
        <f t="shared" ca="1" si="60"/>
        <v>BR02</v>
      </c>
      <c r="E377" t="str">
        <f t="shared" ca="1" si="66"/>
        <v>Basic</v>
      </c>
      <c r="F377" s="2">
        <v>45860</v>
      </c>
      <c r="G377" s="2">
        <v>45950</v>
      </c>
      <c r="H377">
        <v>3500</v>
      </c>
      <c r="I377">
        <f t="shared" ca="1" si="67"/>
        <v>31500</v>
      </c>
      <c r="J377">
        <v>19</v>
      </c>
      <c r="K377" t="str">
        <f t="shared" ca="1" si="68"/>
        <v>Yes</v>
      </c>
      <c r="L377" t="str">
        <f t="shared" ca="1" si="69"/>
        <v>Muscle Gain</v>
      </c>
      <c r="M377" t="str">
        <f t="shared" ca="1" si="70"/>
        <v>Active</v>
      </c>
      <c r="N377" s="2">
        <v>46123</v>
      </c>
      <c r="Q377" t="str">
        <f ca="1">IF(RAND()&lt;0.2,
    IF(RAND()&lt;0.5, LOWER(C377), UPPER(C377)),
    C377
)</f>
        <v>mumbai</v>
      </c>
      <c r="R377">
        <f t="shared" ca="1" si="62"/>
        <v>19</v>
      </c>
      <c r="S377">
        <f t="shared" ca="1" si="63"/>
        <v>3500</v>
      </c>
      <c r="T377">
        <f t="shared" ca="1" si="64"/>
        <v>45005</v>
      </c>
      <c r="U377" s="2">
        <f t="shared" ca="1" si="65"/>
        <v>46123</v>
      </c>
    </row>
    <row r="378" spans="1:21">
      <c r="A378" t="str">
        <f t="shared" si="61"/>
        <v>MEM0377</v>
      </c>
      <c r="B378" t="str">
        <f ca="1">INDEX('Name pool'!A:A, RANDBETWEEN(2, COUNTA('Name pool'!A:A))) &amp; " " &amp; INDEX('Name pool'!B:B, RANDBETWEEN(2, COUNTA('Name pool'!B:B)))</f>
        <v>Nikhil Singh</v>
      </c>
      <c r="C378" t="s">
        <v>79</v>
      </c>
      <c r="D378" t="str">
        <f t="shared" ca="1" si="60"/>
        <v>BR04</v>
      </c>
      <c r="E378" t="str">
        <f t="shared" ca="1" si="66"/>
        <v>Premium</v>
      </c>
      <c r="F378" s="2">
        <v>45379</v>
      </c>
      <c r="G378" s="2">
        <v>45409</v>
      </c>
      <c r="H378">
        <v>2000</v>
      </c>
      <c r="I378">
        <f t="shared" ca="1" si="67"/>
        <v>12000</v>
      </c>
      <c r="J378">
        <v>1</v>
      </c>
      <c r="K378" t="str">
        <f t="shared" ca="1" si="68"/>
        <v>Yes</v>
      </c>
      <c r="L378" t="str">
        <f t="shared" ca="1" si="69"/>
        <v>Muscle Gain</v>
      </c>
      <c r="M378" t="str">
        <f t="shared" ca="1" si="70"/>
        <v>Active</v>
      </c>
      <c r="N378" s="2">
        <v>45815</v>
      </c>
      <c r="Q378" t="str">
        <f ca="1">IF(RAND()&lt;0.2,
    IF(RAND()&lt;0.5, LOWER(C378), UPPER(C378)),
    C378
)</f>
        <v>Hyderabad</v>
      </c>
      <c r="R378">
        <f t="shared" ca="1" si="62"/>
        <v>1</v>
      </c>
      <c r="S378">
        <f t="shared" ca="1" si="63"/>
        <v>2000</v>
      </c>
      <c r="T378">
        <f t="shared" ca="1" si="64"/>
        <v>45781</v>
      </c>
      <c r="U378" s="2">
        <f t="shared" ca="1" si="65"/>
        <v>45815</v>
      </c>
    </row>
    <row r="379" spans="1:21">
      <c r="A379" t="str">
        <f t="shared" si="61"/>
        <v>MEM0378</v>
      </c>
      <c r="B379" t="str">
        <f ca="1">INDEX('Name pool'!A:A, RANDBETWEEN(2, COUNTA('Name pool'!A:A))) &amp; " " &amp; INDEX('Name pool'!B:B, RANDBETWEEN(2, COUNTA('Name pool'!B:B)))</f>
        <v>Varun Naidu</v>
      </c>
      <c r="C379" t="s">
        <v>77</v>
      </c>
      <c r="D379" t="str">
        <f t="shared" ca="1" si="60"/>
        <v>BR03</v>
      </c>
      <c r="E379" t="str">
        <f t="shared" ca="1" si="66"/>
        <v>Premium</v>
      </c>
      <c r="F379" s="2">
        <v>45750</v>
      </c>
      <c r="G379" s="2">
        <v>46115</v>
      </c>
      <c r="H379">
        <v>3500</v>
      </c>
      <c r="I379">
        <f t="shared" ca="1" si="67"/>
        <v>35000</v>
      </c>
      <c r="J379">
        <v>6</v>
      </c>
      <c r="K379" t="str">
        <f t="shared" ca="1" si="68"/>
        <v>No</v>
      </c>
      <c r="L379" t="str">
        <f t="shared" ca="1" si="69"/>
        <v>Weight Loss</v>
      </c>
      <c r="M379" t="str">
        <f t="shared" ca="1" si="70"/>
        <v>Active</v>
      </c>
      <c r="N379" s="2">
        <v>45917</v>
      </c>
      <c r="Q379" t="str">
        <f ca="1">IF(RAND()&lt;0.2,
    IF(RAND()&lt;0.5, LOWER(C379), UPPER(C379)),
    C379
)</f>
        <v>chennai</v>
      </c>
      <c r="R379">
        <f t="shared" ca="1" si="62"/>
        <v>6</v>
      </c>
      <c r="S379">
        <f t="shared" ca="1" si="63"/>
        <v>3500</v>
      </c>
      <c r="T379">
        <f t="shared" ca="1" si="64"/>
        <v>45100</v>
      </c>
      <c r="U379" s="2">
        <f t="shared" ca="1" si="65"/>
        <v>45917</v>
      </c>
    </row>
    <row r="380" spans="1:21">
      <c r="A380" t="str">
        <f t="shared" si="61"/>
        <v>MEM0379</v>
      </c>
      <c r="B380" t="str">
        <f ca="1">INDEX('Name pool'!A:A, RANDBETWEEN(2, COUNTA('Name pool'!A:A))) &amp; " " &amp; INDEX('Name pool'!B:B, RANDBETWEEN(2, COUNTA('Name pool'!B:B)))</f>
        <v>Anjali Patel</v>
      </c>
      <c r="C380" t="s">
        <v>85</v>
      </c>
      <c r="D380" t="str">
        <f t="shared" ca="1" si="60"/>
        <v>BR05</v>
      </c>
      <c r="E380" t="str">
        <f t="shared" ca="1" si="66"/>
        <v>Premium</v>
      </c>
      <c r="F380" s="2">
        <v>45842</v>
      </c>
      <c r="G380" s="2">
        <v>46207</v>
      </c>
      <c r="H380">
        <v>2000</v>
      </c>
      <c r="I380">
        <f t="shared" ca="1" si="67"/>
        <v>4000</v>
      </c>
      <c r="J380">
        <v>3</v>
      </c>
      <c r="K380" t="str">
        <f t="shared" ca="1" si="68"/>
        <v>Yes</v>
      </c>
      <c r="L380" t="str">
        <f t="shared" ca="1" si="69"/>
        <v>Muscle Gain</v>
      </c>
      <c r="M380" t="str">
        <f t="shared" ca="1" si="70"/>
        <v>Cancelled</v>
      </c>
      <c r="N380" s="2">
        <v>45851</v>
      </c>
      <c r="Q380" t="str">
        <f ca="1">IF(RAND()&lt;0.2,
    IF(RAND()&lt;0.5, LOWER(C380), UPPER(C380)),
    C380
)</f>
        <v>Calicut</v>
      </c>
      <c r="R380">
        <f t="shared" ca="1" si="62"/>
        <v>3</v>
      </c>
      <c r="S380">
        <f t="shared" ca="1" si="63"/>
        <v>2000</v>
      </c>
      <c r="T380">
        <f t="shared" ca="1" si="64"/>
        <v>45954</v>
      </c>
      <c r="U380" s="2">
        <f t="shared" ca="1" si="65"/>
        <v>45851</v>
      </c>
    </row>
    <row r="381" spans="1:21">
      <c r="A381" t="str">
        <f t="shared" si="61"/>
        <v>MEM0380</v>
      </c>
      <c r="B381" t="str">
        <f ca="1">INDEX('Name pool'!A:A, RANDBETWEEN(2, COUNTA('Name pool'!A:A))) &amp; " " &amp; INDEX('Name pool'!B:B, RANDBETWEEN(2, COUNTA('Name pool'!B:B)))</f>
        <v>Akash Malhotra</v>
      </c>
      <c r="C381" t="s">
        <v>81</v>
      </c>
      <c r="D381" t="str">
        <f t="shared" ca="1" si="60"/>
        <v>BR02</v>
      </c>
      <c r="E381" t="str">
        <f t="shared" ca="1" si="66"/>
        <v>Premium</v>
      </c>
      <c r="F381" s="2">
        <v>45143</v>
      </c>
      <c r="G381" s="2">
        <v>45233</v>
      </c>
      <c r="H381">
        <v>1000</v>
      </c>
      <c r="I381">
        <f t="shared" ca="1" si="67"/>
        <v>6000</v>
      </c>
      <c r="J381">
        <v>11</v>
      </c>
      <c r="K381" t="str">
        <f t="shared" ca="1" si="68"/>
        <v>No</v>
      </c>
      <c r="L381" t="str">
        <f t="shared" ca="1" si="69"/>
        <v>Weight Loss</v>
      </c>
      <c r="M381" t="str">
        <f t="shared" ca="1" si="70"/>
        <v>Active</v>
      </c>
      <c r="N381" s="2">
        <v>45360</v>
      </c>
      <c r="Q381" t="str">
        <f ca="1">IF(RAND()&lt;0.2,
    IF(RAND()&lt;0.5, LOWER(C381), UPPER(C381)),
    C381
)</f>
        <v>Mumbai</v>
      </c>
      <c r="R381">
        <f t="shared" ca="1" si="62"/>
        <v>11</v>
      </c>
      <c r="S381">
        <f t="shared" ca="1" si="63"/>
        <v>1000</v>
      </c>
      <c r="T381">
        <f t="shared" ca="1" si="64"/>
        <v>45934</v>
      </c>
      <c r="U381" s="2">
        <f t="shared" ca="1" si="65"/>
        <v>45360</v>
      </c>
    </row>
    <row r="382" spans="1:21">
      <c r="A382" t="str">
        <f t="shared" si="61"/>
        <v>MEM0381</v>
      </c>
      <c r="B382" t="str">
        <f ca="1">INDEX('Name pool'!A:A, RANDBETWEEN(2, COUNTA('Name pool'!A:A))) &amp; " " &amp; INDEX('Name pool'!B:B, RANDBETWEEN(2, COUNTA('Name pool'!B:B)))</f>
        <v>Ankit Thomas</v>
      </c>
      <c r="C382" t="s">
        <v>73</v>
      </c>
      <c r="D382" t="str">
        <f t="shared" ca="1" si="60"/>
        <v>BR03</v>
      </c>
      <c r="E382" t="str">
        <f t="shared" ca="1" si="66"/>
        <v>Premium</v>
      </c>
      <c r="F382" s="2">
        <v>45607</v>
      </c>
      <c r="G382" s="2">
        <v>45697</v>
      </c>
      <c r="H382">
        <v>3500</v>
      </c>
      <c r="I382">
        <f t="shared" ca="1" si="67"/>
        <v>10500</v>
      </c>
      <c r="J382">
        <v>12</v>
      </c>
      <c r="K382" t="str">
        <f t="shared" ca="1" si="68"/>
        <v>Yes</v>
      </c>
      <c r="L382" t="str">
        <f t="shared" ca="1" si="69"/>
        <v>Muscle Gain</v>
      </c>
      <c r="M382" t="str">
        <f t="shared" ca="1" si="70"/>
        <v>Active</v>
      </c>
      <c r="N382" s="2">
        <v>45828</v>
      </c>
      <c r="Q382" t="str">
        <f ca="1">IF(RAND()&lt;0.2,
    IF(RAND()&lt;0.5, LOWER(C382), UPPER(C382)),
    C382
)</f>
        <v>KOCHI</v>
      </c>
      <c r="R382" t="str">
        <f t="shared" ca="1" si="62"/>
        <v>12 visits</v>
      </c>
      <c r="S382">
        <f t="shared" ca="1" si="63"/>
        <v>3500</v>
      </c>
      <c r="T382">
        <f t="shared" ca="1" si="64"/>
        <v>45716</v>
      </c>
      <c r="U382" s="2">
        <f t="shared" ca="1" si="65"/>
        <v>45828</v>
      </c>
    </row>
    <row r="383" spans="1:21">
      <c r="A383" t="str">
        <f t="shared" si="61"/>
        <v>MEM0382</v>
      </c>
      <c r="B383" t="str">
        <f ca="1">INDEX('Name pool'!A:A, RANDBETWEEN(2, COUNTA('Name pool'!A:A))) &amp; " " &amp; INDEX('Name pool'!B:B, RANDBETWEEN(2, COUNTA('Name pool'!B:B)))</f>
        <v>Arjun Shaikh</v>
      </c>
      <c r="C383" t="s">
        <v>79</v>
      </c>
      <c r="D383" t="str">
        <f t="shared" ca="1" si="60"/>
        <v>BR03</v>
      </c>
      <c r="E383" t="str">
        <f t="shared" ca="1" si="66"/>
        <v>Standard</v>
      </c>
      <c r="F383" s="2">
        <v>45705</v>
      </c>
      <c r="G383" s="2">
        <v>46070</v>
      </c>
      <c r="H383">
        <v>1000</v>
      </c>
      <c r="I383">
        <f t="shared" ca="1" si="67"/>
        <v>9000</v>
      </c>
      <c r="J383">
        <v>22</v>
      </c>
      <c r="K383" t="str">
        <f t="shared" ca="1" si="68"/>
        <v>No</v>
      </c>
      <c r="L383" t="str">
        <f t="shared" ca="1" si="69"/>
        <v>Muscle Gain</v>
      </c>
      <c r="M383" t="str">
        <f t="shared" ca="1" si="70"/>
        <v>Active</v>
      </c>
      <c r="N383" s="2">
        <v>46009</v>
      </c>
      <c r="Q383" t="str">
        <f ca="1">IF(RAND()&lt;0.2,
    IF(RAND()&lt;0.5, LOWER(C383), UPPER(C383)),
    C383
)</f>
        <v>Hyderabad</v>
      </c>
      <c r="R383">
        <f t="shared" ca="1" si="62"/>
        <v>22</v>
      </c>
      <c r="S383">
        <f t="shared" ca="1" si="63"/>
        <v>1000</v>
      </c>
      <c r="T383">
        <f t="shared" ca="1" si="64"/>
        <v>45556</v>
      </c>
      <c r="U383" s="2">
        <f t="shared" ca="1" si="65"/>
        <v>46009</v>
      </c>
    </row>
    <row r="384" spans="1:21">
      <c r="A384" t="str">
        <f t="shared" si="61"/>
        <v>MEM0383</v>
      </c>
      <c r="B384" t="str">
        <f ca="1">INDEX('Name pool'!A:A, RANDBETWEEN(2, COUNTA('Name pool'!A:A))) &amp; " " &amp; INDEX('Name pool'!B:B, RANDBETWEEN(2, COUNTA('Name pool'!B:B)))</f>
        <v>Siddharth Mathew</v>
      </c>
      <c r="C384" t="s">
        <v>79</v>
      </c>
      <c r="D384" t="str">
        <f t="shared" ca="1" si="60"/>
        <v>BR07</v>
      </c>
      <c r="E384" t="str">
        <f t="shared" ca="1" si="66"/>
        <v>Premium</v>
      </c>
      <c r="F384" s="2">
        <v>45456</v>
      </c>
      <c r="G384" s="2">
        <v>45486</v>
      </c>
      <c r="H384">
        <v>1000</v>
      </c>
      <c r="I384">
        <f t="shared" ca="1" si="67"/>
        <v>11000</v>
      </c>
      <c r="J384">
        <v>4</v>
      </c>
      <c r="K384" t="str">
        <f t="shared" ca="1" si="68"/>
        <v>Yes</v>
      </c>
      <c r="L384" t="str">
        <f t="shared" ca="1" si="69"/>
        <v>General Fitness</v>
      </c>
      <c r="M384" t="str">
        <f t="shared" ca="1" si="70"/>
        <v>Cancelled</v>
      </c>
      <c r="N384" s="2">
        <v>45468</v>
      </c>
      <c r="Q384" t="str">
        <f ca="1">IF(RAND()&lt;0.2,
    IF(RAND()&lt;0.5, LOWER(C384), UPPER(C384)),
    C384
)</f>
        <v>Hyderabad</v>
      </c>
      <c r="R384">
        <f t="shared" ca="1" si="62"/>
        <v>4</v>
      </c>
      <c r="S384">
        <f t="shared" ca="1" si="63"/>
        <v>1000</v>
      </c>
      <c r="T384">
        <f t="shared" ca="1" si="64"/>
        <v>45486</v>
      </c>
      <c r="U384" s="2">
        <f t="shared" ca="1" si="65"/>
        <v>45467</v>
      </c>
    </row>
    <row r="385" spans="1:21">
      <c r="A385" t="str">
        <f t="shared" si="61"/>
        <v>MEM0384</v>
      </c>
      <c r="B385" t="str">
        <f ca="1">INDEX('Name pool'!A:A, RANDBETWEEN(2, COUNTA('Name pool'!A:A))) &amp; " " &amp; INDEX('Name pool'!B:B, RANDBETWEEN(2, COUNTA('Name pool'!B:B)))</f>
        <v>Divya Reddy</v>
      </c>
      <c r="C385" t="s">
        <v>75</v>
      </c>
      <c r="D385" t="str">
        <f t="shared" ca="1" si="60"/>
        <v>BR03</v>
      </c>
      <c r="E385" t="str">
        <f t="shared" ca="1" si="66"/>
        <v>Basic</v>
      </c>
      <c r="F385" s="2">
        <v>45676</v>
      </c>
      <c r="G385" s="2">
        <v>46041</v>
      </c>
      <c r="H385">
        <v>1000</v>
      </c>
      <c r="I385">
        <f t="shared" ca="1" si="67"/>
        <v>6000</v>
      </c>
      <c r="J385">
        <v>12</v>
      </c>
      <c r="K385" t="str">
        <f t="shared" ca="1" si="68"/>
        <v>No</v>
      </c>
      <c r="L385" t="str">
        <f t="shared" ca="1" si="69"/>
        <v>Weight Loss</v>
      </c>
      <c r="M385" t="str">
        <f t="shared" ca="1" si="70"/>
        <v>Active</v>
      </c>
      <c r="N385" s="2">
        <v>46079</v>
      </c>
      <c r="Q385" t="str">
        <f ca="1">IF(RAND()&lt;0.2,
    IF(RAND()&lt;0.5, LOWER(C385), UPPER(C385)),
    C385
)</f>
        <v>Bangalore</v>
      </c>
      <c r="R385">
        <f t="shared" ca="1" si="62"/>
        <v>12</v>
      </c>
      <c r="S385" t="str">
        <f t="shared" ca="1" si="63"/>
        <v>1000</v>
      </c>
      <c r="T385">
        <f t="shared" ca="1" si="64"/>
        <v>45638</v>
      </c>
      <c r="U385" s="2">
        <f t="shared" ca="1" si="65"/>
        <v>46079</v>
      </c>
    </row>
    <row r="386" spans="1:21">
      <c r="A386" t="str">
        <f t="shared" si="61"/>
        <v>MEM0385</v>
      </c>
      <c r="B386" t="str">
        <f ca="1">INDEX('Name pool'!A:A, RANDBETWEEN(2, COUNTA('Name pool'!A:A))) &amp; " " &amp; INDEX('Name pool'!B:B, RANDBETWEEN(2, COUNTA('Name pool'!B:B)))</f>
        <v>Rahul Bhat</v>
      </c>
      <c r="C386" t="s">
        <v>73</v>
      </c>
      <c r="D386" t="str">
        <f t="shared" ref="D386:D449" ca="1" si="71">CHOOSE(RANDBETWEEN(1,7),"BR01","BR02","BR03","BR04","BR05","BR06","BR07")</f>
        <v>BR03</v>
      </c>
      <c r="E386" t="str">
        <f t="shared" ca="1" si="66"/>
        <v>Premium</v>
      </c>
      <c r="F386" s="2">
        <v>45771</v>
      </c>
      <c r="G386" s="2">
        <v>45801</v>
      </c>
      <c r="H386">
        <v>1000</v>
      </c>
      <c r="I386">
        <f t="shared" ca="1" si="67"/>
        <v>11000</v>
      </c>
      <c r="J386">
        <v>25</v>
      </c>
      <c r="K386" t="str">
        <f t="shared" ca="1" si="68"/>
        <v>Yes</v>
      </c>
      <c r="L386" t="str">
        <f t="shared" ca="1" si="69"/>
        <v>Weight Loss</v>
      </c>
      <c r="M386" t="str">
        <f t="shared" ca="1" si="70"/>
        <v>Active</v>
      </c>
      <c r="N386" s="2">
        <v>45933</v>
      </c>
      <c r="Q386" t="str">
        <f ca="1">IF(RAND()&lt;0.2,
    IF(RAND()&lt;0.5, LOWER(C386), UPPER(C386)),
    C386
)</f>
        <v>Kochi</v>
      </c>
      <c r="R386">
        <f t="shared" ca="1" si="62"/>
        <v>25</v>
      </c>
      <c r="S386">
        <f t="shared" ca="1" si="63"/>
        <v>1000</v>
      </c>
      <c r="T386">
        <f t="shared" ca="1" si="64"/>
        <v>45803</v>
      </c>
      <c r="U386" s="2">
        <f t="shared" ca="1" si="65"/>
        <v>45933</v>
      </c>
    </row>
    <row r="387" spans="1:21">
      <c r="A387" t="str">
        <f t="shared" ref="A387:A450" si="72">"MEM" &amp; TEXT(ROW()-1,"0000")</f>
        <v>MEM0386</v>
      </c>
      <c r="B387" t="str">
        <f ca="1">INDEX('Name pool'!A:A, RANDBETWEEN(2, COUNTA('Name pool'!A:A))) &amp; " " &amp; INDEX('Name pool'!B:B, RANDBETWEEN(2, COUNTA('Name pool'!B:B)))</f>
        <v>Divya Banerjee</v>
      </c>
      <c r="C387" t="s">
        <v>117</v>
      </c>
      <c r="D387" t="str">
        <f t="shared" ca="1" si="71"/>
        <v>BR04</v>
      </c>
      <c r="E387" t="str">
        <f t="shared" ca="1" si="66"/>
        <v>Premium</v>
      </c>
      <c r="F387" s="2">
        <v>45941</v>
      </c>
      <c r="G387" s="2">
        <v>46031</v>
      </c>
      <c r="H387">
        <v>2000</v>
      </c>
      <c r="I387">
        <f t="shared" ca="1" si="67"/>
        <v>4000</v>
      </c>
      <c r="J387">
        <v>5</v>
      </c>
      <c r="K387" t="str">
        <f t="shared" ca="1" si="68"/>
        <v>Yes</v>
      </c>
      <c r="L387" t="str">
        <f t="shared" ca="1" si="69"/>
        <v>Weight Loss</v>
      </c>
      <c r="M387" t="str">
        <f t="shared" ca="1" si="70"/>
        <v>Active</v>
      </c>
      <c r="N387" s="2">
        <v>46063</v>
      </c>
      <c r="Q387" t="str">
        <f ca="1">IF(RAND()&lt;0.2,
    IF(RAND()&lt;0.5, LOWER(C387), UPPER(C387)),
    C387
)</f>
        <v>mumbai</v>
      </c>
      <c r="R387">
        <f t="shared" ref="R387:R450" ca="1" si="73">IF(RAND()&lt;0.15,
    J387 &amp; " visits",
    J387
)</f>
        <v>5</v>
      </c>
      <c r="S387">
        <f t="shared" ref="S387:S450" ca="1" si="74">IF(RAND()&lt;0.1,
    TEXT(H387,"0"),
    H387
)</f>
        <v>2000</v>
      </c>
      <c r="T387">
        <f t="shared" ref="T387:T450" ca="1" si="75">RANDBETWEEN(DATE(2023,1,1), DATE(2026,1,31))</f>
        <v>45517</v>
      </c>
      <c r="U387" s="2">
        <f t="shared" ref="U387:U450" ca="1" si="76">IF(AND(M387="Cancelled", RAND()&lt;0.5),
    F387 + RANDBETWEEN(10,50),
    N387
)</f>
        <v>46063</v>
      </c>
    </row>
    <row r="388" spans="1:21">
      <c r="A388" t="str">
        <f t="shared" si="72"/>
        <v>MEM0387</v>
      </c>
      <c r="B388" t="str">
        <f ca="1">INDEX('Name pool'!A:A, RANDBETWEEN(2, COUNTA('Name pool'!A:A))) &amp; " " &amp; INDEX('Name pool'!B:B, RANDBETWEEN(2, COUNTA('Name pool'!B:B)))</f>
        <v>Pooja Gupta</v>
      </c>
      <c r="C388" t="s">
        <v>85</v>
      </c>
      <c r="D388" t="str">
        <f t="shared" ca="1" si="71"/>
        <v>BR07</v>
      </c>
      <c r="E388" t="str">
        <f t="shared" ca="1" si="66"/>
        <v>Standard</v>
      </c>
      <c r="F388" s="2">
        <v>45090</v>
      </c>
      <c r="G388" s="2">
        <v>45180</v>
      </c>
      <c r="H388">
        <v>1000</v>
      </c>
      <c r="I388">
        <f t="shared" ca="1" si="67"/>
        <v>9000</v>
      </c>
      <c r="J388">
        <v>22</v>
      </c>
      <c r="K388" t="str">
        <f t="shared" ca="1" si="68"/>
        <v>No</v>
      </c>
      <c r="L388" t="str">
        <f t="shared" ca="1" si="69"/>
        <v>General Fitness</v>
      </c>
      <c r="M388" t="str">
        <f t="shared" ca="1" si="70"/>
        <v>Active</v>
      </c>
      <c r="N388" s="2">
        <v>45167</v>
      </c>
      <c r="Q388" t="str">
        <f ca="1">IF(RAND()&lt;0.2,
    IF(RAND()&lt;0.5, LOWER(C388), UPPER(C388)),
    C388
)</f>
        <v>calicut</v>
      </c>
      <c r="R388">
        <f t="shared" ca="1" si="73"/>
        <v>22</v>
      </c>
      <c r="S388">
        <f t="shared" ca="1" si="74"/>
        <v>1000</v>
      </c>
      <c r="T388">
        <f t="shared" ca="1" si="75"/>
        <v>45512</v>
      </c>
      <c r="U388" s="2">
        <f t="shared" ca="1" si="76"/>
        <v>45167</v>
      </c>
    </row>
    <row r="389" spans="1:21">
      <c r="A389" t="str">
        <f t="shared" si="72"/>
        <v>MEM0388</v>
      </c>
      <c r="B389" t="str">
        <f ca="1">INDEX('Name pool'!A:A, RANDBETWEEN(2, COUNTA('Name pool'!A:A))) &amp; " " &amp; INDEX('Name pool'!B:B, RANDBETWEEN(2, COUNTA('Name pool'!B:B)))</f>
        <v>Siddharth Patel</v>
      </c>
      <c r="C389" t="s">
        <v>132</v>
      </c>
      <c r="D389" t="str">
        <f t="shared" ca="1" si="71"/>
        <v>BR02</v>
      </c>
      <c r="E389" t="str">
        <f t="shared" ca="1" si="66"/>
        <v>Standard</v>
      </c>
      <c r="F389" s="2">
        <v>45847</v>
      </c>
      <c r="G389" s="2">
        <v>45937</v>
      </c>
      <c r="H389" t="s">
        <v>120</v>
      </c>
      <c r="I389">
        <f t="shared" ca="1" si="67"/>
        <v>20000</v>
      </c>
      <c r="J389">
        <v>6</v>
      </c>
      <c r="K389" t="str">
        <f t="shared" ca="1" si="68"/>
        <v>Yes</v>
      </c>
      <c r="L389" t="str">
        <f t="shared" ca="1" si="69"/>
        <v>Weight Loss</v>
      </c>
      <c r="M389" t="str">
        <f t="shared" ca="1" si="70"/>
        <v>Active</v>
      </c>
      <c r="N389" s="2">
        <v>45897</v>
      </c>
      <c r="Q389" t="str">
        <f ca="1">IF(RAND()&lt;0.2,
    IF(RAND()&lt;0.5, LOWER(C389), UPPER(C389)),
    C389
)</f>
        <v>calicut</v>
      </c>
      <c r="R389">
        <f t="shared" ca="1" si="73"/>
        <v>6</v>
      </c>
      <c r="S389" t="str">
        <f t="shared" ca="1" si="74"/>
        <v>2000</v>
      </c>
      <c r="T389">
        <f t="shared" ca="1" si="75"/>
        <v>45440</v>
      </c>
      <c r="U389" s="2">
        <f t="shared" ca="1" si="76"/>
        <v>45897</v>
      </c>
    </row>
    <row r="390" spans="1:21">
      <c r="A390" t="str">
        <f t="shared" si="72"/>
        <v>MEM0389</v>
      </c>
      <c r="B390" t="str">
        <f ca="1">INDEX('Name pool'!A:A, RANDBETWEEN(2, COUNTA('Name pool'!A:A))) &amp; " " &amp; INDEX('Name pool'!B:B, RANDBETWEEN(2, COUNTA('Name pool'!B:B)))</f>
        <v>Karthik Banerjee</v>
      </c>
      <c r="C390" t="s">
        <v>77</v>
      </c>
      <c r="D390" t="str">
        <f t="shared" ca="1" si="71"/>
        <v>BR04</v>
      </c>
      <c r="E390" t="str">
        <f t="shared" ca="1" si="66"/>
        <v>Premium</v>
      </c>
      <c r="F390" s="2">
        <v>45384</v>
      </c>
      <c r="G390" s="2">
        <v>45474</v>
      </c>
      <c r="H390" t="s">
        <v>108</v>
      </c>
      <c r="I390">
        <f t="shared" ca="1" si="67"/>
        <v>8000</v>
      </c>
      <c r="J390">
        <v>13</v>
      </c>
      <c r="K390" t="str">
        <f t="shared" ca="1" si="68"/>
        <v>No</v>
      </c>
      <c r="L390" t="str">
        <f t="shared" ca="1" si="69"/>
        <v>General Fitness</v>
      </c>
      <c r="M390" t="str">
        <f t="shared" ca="1" si="70"/>
        <v>Active</v>
      </c>
      <c r="N390" s="2">
        <v>45918</v>
      </c>
      <c r="Q390" t="str">
        <f ca="1">IF(RAND()&lt;0.2,
    IF(RAND()&lt;0.5, LOWER(C390), UPPER(C390)),
    C390
)</f>
        <v>Chennai</v>
      </c>
      <c r="R390" t="str">
        <f t="shared" ca="1" si="73"/>
        <v>13 visits</v>
      </c>
      <c r="S390" t="str">
        <f t="shared" ca="1" si="74"/>
        <v>1000</v>
      </c>
      <c r="T390">
        <f t="shared" ca="1" si="75"/>
        <v>45351</v>
      </c>
      <c r="U390" s="2">
        <f t="shared" ca="1" si="76"/>
        <v>45918</v>
      </c>
    </row>
    <row r="391" spans="1:21">
      <c r="A391" t="str">
        <f t="shared" si="72"/>
        <v>MEM0390</v>
      </c>
      <c r="B391" t="str">
        <f ca="1">INDEX('Name pool'!A:A, RANDBETWEEN(2, COUNTA('Name pool'!A:A))) &amp; " " &amp; INDEX('Name pool'!B:B, RANDBETWEEN(2, COUNTA('Name pool'!B:B)))</f>
        <v>Ankit Pillai</v>
      </c>
      <c r="C391" t="s">
        <v>81</v>
      </c>
      <c r="D391" t="str">
        <f t="shared" ca="1" si="71"/>
        <v>BR07</v>
      </c>
      <c r="E391" t="str">
        <f t="shared" ca="1" si="66"/>
        <v>Basic</v>
      </c>
      <c r="F391" s="2">
        <v>45762</v>
      </c>
      <c r="G391" s="2">
        <v>45792</v>
      </c>
      <c r="H391">
        <v>3500</v>
      </c>
      <c r="I391">
        <f t="shared" ca="1" si="67"/>
        <v>14000</v>
      </c>
      <c r="J391">
        <v>24</v>
      </c>
      <c r="K391" t="str">
        <f t="shared" ca="1" si="68"/>
        <v>Yes</v>
      </c>
      <c r="L391" t="str">
        <f t="shared" ca="1" si="69"/>
        <v>Muscle Gain</v>
      </c>
      <c r="M391" t="str">
        <f t="shared" ca="1" si="70"/>
        <v>Active</v>
      </c>
      <c r="N391" s="2">
        <v>45944</v>
      </c>
      <c r="Q391" t="str">
        <f ca="1">IF(RAND()&lt;0.2,
    IF(RAND()&lt;0.5, LOWER(C391), UPPER(C391)),
    C391
)</f>
        <v>Mumbai</v>
      </c>
      <c r="R391">
        <f t="shared" ca="1" si="73"/>
        <v>24</v>
      </c>
      <c r="S391">
        <f t="shared" ca="1" si="74"/>
        <v>3500</v>
      </c>
      <c r="T391">
        <f t="shared" ca="1" si="75"/>
        <v>45780</v>
      </c>
      <c r="U391" s="2">
        <f t="shared" ca="1" si="76"/>
        <v>45944</v>
      </c>
    </row>
    <row r="392" spans="1:21">
      <c r="A392" t="str">
        <f t="shared" si="72"/>
        <v>MEM0391</v>
      </c>
      <c r="B392" t="str">
        <f ca="1">INDEX('Name pool'!A:A, RANDBETWEEN(2, COUNTA('Name pool'!A:A))) &amp; " " &amp; INDEX('Name pool'!B:B, RANDBETWEEN(2, COUNTA('Name pool'!B:B)))</f>
        <v>Shreya Pillai</v>
      </c>
      <c r="C392" t="s">
        <v>85</v>
      </c>
      <c r="D392" t="str">
        <f t="shared" ca="1" si="71"/>
        <v>BR03</v>
      </c>
      <c r="E392" t="str">
        <f t="shared" ca="1" si="66"/>
        <v>Premium</v>
      </c>
      <c r="F392" s="2">
        <v>45240</v>
      </c>
      <c r="G392" s="2">
        <v>45605</v>
      </c>
      <c r="H392">
        <v>1000</v>
      </c>
      <c r="I392">
        <f t="shared" ca="1" si="67"/>
        <v>9000</v>
      </c>
      <c r="J392">
        <v>21</v>
      </c>
      <c r="K392" t="str">
        <f t="shared" ca="1" si="68"/>
        <v>No</v>
      </c>
      <c r="L392" t="str">
        <f t="shared" ca="1" si="69"/>
        <v>General Fitness</v>
      </c>
      <c r="M392" t="str">
        <f t="shared" ca="1" si="70"/>
        <v>Active</v>
      </c>
      <c r="N392" s="2">
        <v>45554</v>
      </c>
      <c r="Q392" t="str">
        <f ca="1">IF(RAND()&lt;0.2,
    IF(RAND()&lt;0.5, LOWER(C392), UPPER(C392)),
    C392
)</f>
        <v>CALICUT</v>
      </c>
      <c r="R392">
        <f t="shared" ca="1" si="73"/>
        <v>21</v>
      </c>
      <c r="S392">
        <f t="shared" ca="1" si="74"/>
        <v>1000</v>
      </c>
      <c r="T392">
        <f t="shared" ca="1" si="75"/>
        <v>45143</v>
      </c>
      <c r="U392" s="2">
        <f t="shared" ca="1" si="76"/>
        <v>45554</v>
      </c>
    </row>
    <row r="393" spans="1:21">
      <c r="A393" t="str">
        <f t="shared" si="72"/>
        <v>MEM0392</v>
      </c>
      <c r="B393" t="str">
        <f ca="1">INDEX('Name pool'!A:A, RANDBETWEEN(2, COUNTA('Name pool'!A:A))) &amp; " " &amp; INDEX('Name pool'!B:B, RANDBETWEEN(2, COUNTA('Name pool'!B:B)))</f>
        <v>Ayesha Shaikh</v>
      </c>
      <c r="C393" t="s">
        <v>83</v>
      </c>
      <c r="D393" t="str">
        <f t="shared" ca="1" si="71"/>
        <v>BR04</v>
      </c>
      <c r="E393" t="str">
        <f t="shared" ca="1" si="66"/>
        <v>Standard</v>
      </c>
      <c r="F393" s="2">
        <v>44946</v>
      </c>
      <c r="G393" s="2">
        <v>44976</v>
      </c>
      <c r="H393">
        <v>1000</v>
      </c>
      <c r="I393">
        <f t="shared" ca="1" si="67"/>
        <v>11000</v>
      </c>
      <c r="J393">
        <v>25</v>
      </c>
      <c r="K393" t="str">
        <f t="shared" ca="1" si="68"/>
        <v>No</v>
      </c>
      <c r="L393" t="str">
        <f t="shared" ca="1" si="69"/>
        <v>General Fitness</v>
      </c>
      <c r="M393" t="str">
        <f t="shared" ca="1" si="70"/>
        <v>Active</v>
      </c>
      <c r="N393" s="2">
        <v>45395</v>
      </c>
      <c r="Q393" t="str">
        <f ca="1">IF(RAND()&lt;0.2,
    IF(RAND()&lt;0.5, LOWER(C393), UPPER(C393)),
    C393
)</f>
        <v>Trivandrum</v>
      </c>
      <c r="R393">
        <f t="shared" ca="1" si="73"/>
        <v>25</v>
      </c>
      <c r="S393">
        <f t="shared" ca="1" si="74"/>
        <v>1000</v>
      </c>
      <c r="T393">
        <f t="shared" ca="1" si="75"/>
        <v>46010</v>
      </c>
      <c r="U393" s="2">
        <f t="shared" ca="1" si="76"/>
        <v>45395</v>
      </c>
    </row>
    <row r="394" spans="1:21">
      <c r="A394" t="str">
        <f t="shared" si="72"/>
        <v>MEM0393</v>
      </c>
      <c r="B394" t="str">
        <f ca="1">INDEX('Name pool'!A:A, RANDBETWEEN(2, COUNTA('Name pool'!A:A))) &amp; " " &amp; INDEX('Name pool'!B:B, RANDBETWEEN(2, COUNTA('Name pool'!B:B)))</f>
        <v>Pooja Pillai</v>
      </c>
      <c r="C394" t="s">
        <v>77</v>
      </c>
      <c r="D394" t="str">
        <f t="shared" ca="1" si="71"/>
        <v>BR05</v>
      </c>
      <c r="E394" t="str">
        <f t="shared" ca="1" si="66"/>
        <v>Standard</v>
      </c>
      <c r="F394" s="2">
        <v>45804</v>
      </c>
      <c r="G394" s="2">
        <v>46169</v>
      </c>
      <c r="H394">
        <v>2000</v>
      </c>
      <c r="I394">
        <f t="shared" ca="1" si="67"/>
        <v>4000</v>
      </c>
      <c r="J394">
        <v>12</v>
      </c>
      <c r="K394" t="str">
        <f t="shared" ca="1" si="68"/>
        <v>No</v>
      </c>
      <c r="L394" t="str">
        <f t="shared" ca="1" si="69"/>
        <v>Muscle Gain</v>
      </c>
      <c r="M394" t="str">
        <f t="shared" ca="1" si="70"/>
        <v>Active</v>
      </c>
      <c r="N394" s="2">
        <v>45835</v>
      </c>
      <c r="Q394" t="str">
        <f ca="1">IF(RAND()&lt;0.2,
    IF(RAND()&lt;0.5, LOWER(C394), UPPER(C394)),
    C394
)</f>
        <v>Chennai</v>
      </c>
      <c r="R394">
        <f t="shared" ca="1" si="73"/>
        <v>12</v>
      </c>
      <c r="S394">
        <f t="shared" ca="1" si="74"/>
        <v>2000</v>
      </c>
      <c r="T394">
        <f t="shared" ca="1" si="75"/>
        <v>45133</v>
      </c>
      <c r="U394" s="2">
        <f t="shared" ca="1" si="76"/>
        <v>45835</v>
      </c>
    </row>
    <row r="395" spans="1:21">
      <c r="A395" t="str">
        <f t="shared" si="72"/>
        <v>MEM0394</v>
      </c>
      <c r="B395" t="str">
        <f ca="1">INDEX('Name pool'!A:A, RANDBETWEEN(2, COUNTA('Name pool'!A:A))) &amp; " " &amp; INDEX('Name pool'!B:B, RANDBETWEEN(2, COUNTA('Name pool'!B:B)))</f>
        <v>Harish Banerjee</v>
      </c>
      <c r="C395" t="s">
        <v>121</v>
      </c>
      <c r="D395" t="str">
        <f t="shared" ca="1" si="71"/>
        <v>BR04</v>
      </c>
      <c r="E395" t="str">
        <f t="shared" ca="1" si="66"/>
        <v>Standard</v>
      </c>
      <c r="F395" s="2">
        <v>45120</v>
      </c>
      <c r="G395" s="2">
        <v>45485</v>
      </c>
      <c r="H395">
        <v>2000</v>
      </c>
      <c r="I395">
        <f t="shared" ca="1" si="67"/>
        <v>2000</v>
      </c>
      <c r="J395">
        <v>3</v>
      </c>
      <c r="K395" t="str">
        <f t="shared" ca="1" si="68"/>
        <v>Yes</v>
      </c>
      <c r="L395" t="str">
        <f t="shared" ca="1" si="69"/>
        <v>General Fitness</v>
      </c>
      <c r="M395" t="str">
        <f t="shared" ca="1" si="70"/>
        <v>Cancelled</v>
      </c>
      <c r="N395" s="2">
        <v>45140</v>
      </c>
      <c r="Q395" t="str">
        <f ca="1">IF(RAND()&lt;0.2,
    IF(RAND()&lt;0.5, LOWER(C395), UPPER(C395)),
    C395
)</f>
        <v>MUMBAI</v>
      </c>
      <c r="R395">
        <f t="shared" ca="1" si="73"/>
        <v>3</v>
      </c>
      <c r="S395">
        <f t="shared" ca="1" si="74"/>
        <v>2000</v>
      </c>
      <c r="T395">
        <f t="shared" ca="1" si="75"/>
        <v>45417</v>
      </c>
      <c r="U395" s="2">
        <f t="shared" ca="1" si="76"/>
        <v>45151</v>
      </c>
    </row>
    <row r="396" spans="1:21">
      <c r="A396" t="str">
        <f t="shared" si="72"/>
        <v>MEM0395</v>
      </c>
      <c r="B396" t="str">
        <f ca="1">INDEX('Name pool'!A:A, RANDBETWEEN(2, COUNTA('Name pool'!A:A))) &amp; " " &amp; INDEX('Name pool'!B:B, RANDBETWEEN(2, COUNTA('Name pool'!B:B)))</f>
        <v>Sanjay Yadav</v>
      </c>
      <c r="C396" t="s">
        <v>85</v>
      </c>
      <c r="D396" t="str">
        <f t="shared" ca="1" si="71"/>
        <v>BR01</v>
      </c>
      <c r="E396" t="str">
        <f t="shared" ca="1" si="66"/>
        <v>Standard</v>
      </c>
      <c r="F396" s="2">
        <v>45630</v>
      </c>
      <c r="G396" s="2">
        <v>45995</v>
      </c>
      <c r="H396">
        <v>3500</v>
      </c>
      <c r="I396">
        <f t="shared" ca="1" si="67"/>
        <v>17500</v>
      </c>
      <c r="J396">
        <v>3</v>
      </c>
      <c r="K396" t="str">
        <f t="shared" ca="1" si="68"/>
        <v>Yes</v>
      </c>
      <c r="L396" t="str">
        <f t="shared" ca="1" si="69"/>
        <v>Weight Loss</v>
      </c>
      <c r="M396" t="str">
        <f t="shared" ca="1" si="70"/>
        <v>Cancelled</v>
      </c>
      <c r="N396" s="2">
        <v>45697</v>
      </c>
      <c r="Q396" t="str">
        <f ca="1">IF(RAND()&lt;0.2,
    IF(RAND()&lt;0.5, LOWER(C396), UPPER(C396)),
    C396
)</f>
        <v>CALICUT</v>
      </c>
      <c r="R396">
        <f t="shared" ca="1" si="73"/>
        <v>3</v>
      </c>
      <c r="S396">
        <f t="shared" ca="1" si="74"/>
        <v>3500</v>
      </c>
      <c r="T396">
        <f t="shared" ca="1" si="75"/>
        <v>44954</v>
      </c>
      <c r="U396" s="2">
        <f t="shared" ca="1" si="76"/>
        <v>45697</v>
      </c>
    </row>
    <row r="397" spans="1:21">
      <c r="A397" t="str">
        <f t="shared" si="72"/>
        <v>MEM0396</v>
      </c>
      <c r="B397" t="str">
        <f ca="1">INDEX('Name pool'!A:A, RANDBETWEEN(2, COUNTA('Name pool'!A:A))) &amp; " " &amp; INDEX('Name pool'!B:B, RANDBETWEEN(2, COUNTA('Name pool'!B:B)))</f>
        <v>Karthik Verma</v>
      </c>
      <c r="C397" t="s">
        <v>131</v>
      </c>
      <c r="D397" t="str">
        <f t="shared" ca="1" si="71"/>
        <v>BR06</v>
      </c>
      <c r="E397" t="str">
        <f t="shared" ca="1" si="66"/>
        <v>Premium</v>
      </c>
      <c r="F397" s="2">
        <v>45483</v>
      </c>
      <c r="G397" s="2">
        <v>45513</v>
      </c>
      <c r="H397">
        <v>2000</v>
      </c>
      <c r="I397">
        <f t="shared" ca="1" si="67"/>
        <v>22000</v>
      </c>
      <c r="J397">
        <v>22</v>
      </c>
      <c r="K397" t="str">
        <f t="shared" ca="1" si="68"/>
        <v>No</v>
      </c>
      <c r="L397" t="str">
        <f t="shared" ca="1" si="69"/>
        <v>Weight Loss</v>
      </c>
      <c r="M397" t="str">
        <f t="shared" ca="1" si="70"/>
        <v>Active</v>
      </c>
      <c r="N397" s="2">
        <v>45703</v>
      </c>
      <c r="Q397" t="str">
        <f ca="1">IF(RAND()&lt;0.2,
    IF(RAND()&lt;0.5, LOWER(C397), UPPER(C397)),
    C397
)</f>
        <v>BANGALORE</v>
      </c>
      <c r="R397">
        <f t="shared" ca="1" si="73"/>
        <v>22</v>
      </c>
      <c r="S397">
        <f t="shared" ca="1" si="74"/>
        <v>2000</v>
      </c>
      <c r="T397">
        <f t="shared" ca="1" si="75"/>
        <v>45869</v>
      </c>
      <c r="U397" s="2">
        <f t="shared" ca="1" si="76"/>
        <v>45703</v>
      </c>
    </row>
    <row r="398" spans="1:21">
      <c r="A398" t="str">
        <f t="shared" si="72"/>
        <v>MEM0397</v>
      </c>
      <c r="B398" t="str">
        <f ca="1">INDEX('Name pool'!A:A, RANDBETWEEN(2, COUNTA('Name pool'!A:A))) &amp; " " &amp; INDEX('Name pool'!B:B, RANDBETWEEN(2, COUNTA('Name pool'!B:B)))</f>
        <v>Meera Reddy</v>
      </c>
      <c r="C398" t="s">
        <v>75</v>
      </c>
      <c r="D398" t="str">
        <f t="shared" ca="1" si="71"/>
        <v>BR01</v>
      </c>
      <c r="E398" t="str">
        <f t="shared" ca="1" si="66"/>
        <v>Premium</v>
      </c>
      <c r="F398" s="2">
        <v>46039</v>
      </c>
      <c r="G398" s="2">
        <v>46069</v>
      </c>
      <c r="H398">
        <v>2000</v>
      </c>
      <c r="I398">
        <f t="shared" ca="1" si="67"/>
        <v>24000</v>
      </c>
      <c r="J398">
        <v>8</v>
      </c>
      <c r="K398" t="str">
        <f t="shared" ca="1" si="68"/>
        <v>Yes</v>
      </c>
      <c r="L398" t="str">
        <f t="shared" ca="1" si="69"/>
        <v>General Fitness</v>
      </c>
      <c r="M398" t="str">
        <f t="shared" ca="1" si="70"/>
        <v>Active</v>
      </c>
      <c r="N398" s="2">
        <v>46061</v>
      </c>
      <c r="Q398" t="str">
        <f ca="1">IF(RAND()&lt;0.2,
    IF(RAND()&lt;0.5, LOWER(C398), UPPER(C398)),
    C398
)</f>
        <v>Bangalore</v>
      </c>
      <c r="R398" t="str">
        <f t="shared" ca="1" si="73"/>
        <v>8 visits</v>
      </c>
      <c r="S398">
        <f t="shared" ca="1" si="74"/>
        <v>2000</v>
      </c>
      <c r="T398">
        <f t="shared" ca="1" si="75"/>
        <v>45714</v>
      </c>
      <c r="U398" s="2">
        <f t="shared" ca="1" si="76"/>
        <v>46061</v>
      </c>
    </row>
    <row r="399" spans="1:21">
      <c r="A399" t="str">
        <f t="shared" si="72"/>
        <v>MEM0398</v>
      </c>
      <c r="B399" t="str">
        <f ca="1">INDEX('Name pool'!A:A, RANDBETWEEN(2, COUNTA('Name pool'!A:A))) &amp; " " &amp; INDEX('Name pool'!B:B, RANDBETWEEN(2, COUNTA('Name pool'!B:B)))</f>
        <v>Akash Fernandes</v>
      </c>
      <c r="C399" t="s">
        <v>73</v>
      </c>
      <c r="D399" t="str">
        <f t="shared" ca="1" si="71"/>
        <v>BR02</v>
      </c>
      <c r="E399" t="str">
        <f t="shared" ca="1" si="66"/>
        <v>Standard</v>
      </c>
      <c r="F399" s="2">
        <v>45501</v>
      </c>
      <c r="G399" s="2">
        <v>45591</v>
      </c>
      <c r="H399">
        <v>2000</v>
      </c>
      <c r="I399">
        <f t="shared" ca="1" si="67"/>
        <v>12000</v>
      </c>
      <c r="J399">
        <v>7</v>
      </c>
      <c r="K399" t="str">
        <f t="shared" ca="1" si="68"/>
        <v>No</v>
      </c>
      <c r="L399" t="str">
        <f t="shared" ca="1" si="69"/>
        <v>General Fitness</v>
      </c>
      <c r="M399" t="str">
        <f t="shared" ca="1" si="70"/>
        <v>Active</v>
      </c>
      <c r="N399" s="2">
        <v>45904</v>
      </c>
      <c r="Q399" t="str">
        <f ca="1">IF(RAND()&lt;0.2,
    IF(RAND()&lt;0.5, LOWER(C399), UPPER(C399)),
    C399
)</f>
        <v>Kochi</v>
      </c>
      <c r="R399">
        <f t="shared" ca="1" si="73"/>
        <v>7</v>
      </c>
      <c r="S399" t="str">
        <f t="shared" ca="1" si="74"/>
        <v>2000</v>
      </c>
      <c r="T399">
        <f t="shared" ca="1" si="75"/>
        <v>45880</v>
      </c>
      <c r="U399" s="2">
        <f t="shared" ca="1" si="76"/>
        <v>45904</v>
      </c>
    </row>
    <row r="400" spans="1:21">
      <c r="A400" t="str">
        <f t="shared" si="72"/>
        <v>MEM0399</v>
      </c>
      <c r="B400" t="str">
        <f ca="1">INDEX('Name pool'!A:A, RANDBETWEEN(2, COUNTA('Name pool'!A:A))) &amp; " " &amp; INDEX('Name pool'!B:B, RANDBETWEEN(2, COUNTA('Name pool'!B:B)))</f>
        <v>Pooja Malhotra</v>
      </c>
      <c r="C400" t="s">
        <v>124</v>
      </c>
      <c r="D400" t="str">
        <f t="shared" ca="1" si="71"/>
        <v>BR05</v>
      </c>
      <c r="E400" t="str">
        <f t="shared" ca="1" si="66"/>
        <v>Basic</v>
      </c>
      <c r="F400" s="2">
        <v>45500</v>
      </c>
      <c r="G400" s="2">
        <v>45530</v>
      </c>
      <c r="H400">
        <v>2000</v>
      </c>
      <c r="I400">
        <f t="shared" ca="1" si="67"/>
        <v>22000</v>
      </c>
      <c r="J400">
        <v>20</v>
      </c>
      <c r="K400" t="str">
        <f t="shared" ca="1" si="68"/>
        <v>No</v>
      </c>
      <c r="L400" t="str">
        <f t="shared" ca="1" si="69"/>
        <v>General Fitness</v>
      </c>
      <c r="M400" t="str">
        <f t="shared" ca="1" si="70"/>
        <v>Active</v>
      </c>
      <c r="N400" s="2">
        <v>45643</v>
      </c>
      <c r="Q400" t="str">
        <f ca="1">IF(RAND()&lt;0.2,
    IF(RAND()&lt;0.5, LOWER(C400), UPPER(C400)),
    C400
)</f>
        <v>chennai</v>
      </c>
      <c r="R400">
        <f t="shared" ca="1" si="73"/>
        <v>20</v>
      </c>
      <c r="S400">
        <f t="shared" ca="1" si="74"/>
        <v>2000</v>
      </c>
      <c r="T400">
        <f t="shared" ca="1" si="75"/>
        <v>45320</v>
      </c>
      <c r="U400" s="2">
        <f t="shared" ca="1" si="76"/>
        <v>45643</v>
      </c>
    </row>
    <row r="401" spans="1:21">
      <c r="A401" t="str">
        <f t="shared" si="72"/>
        <v>MEM0400</v>
      </c>
      <c r="B401" t="str">
        <f ca="1">INDEX('Name pool'!A:A, RANDBETWEEN(2, COUNTA('Name pool'!A:A))) &amp; " " &amp; INDEX('Name pool'!B:B, RANDBETWEEN(2, COUNTA('Name pool'!B:B)))</f>
        <v>Nisha Nair</v>
      </c>
      <c r="C401" t="s">
        <v>81</v>
      </c>
      <c r="D401" t="str">
        <f t="shared" ca="1" si="71"/>
        <v>BR01</v>
      </c>
      <c r="E401" t="str">
        <f t="shared" ca="1" si="66"/>
        <v>Standard</v>
      </c>
      <c r="F401" s="2">
        <v>45728</v>
      </c>
      <c r="G401" s="2">
        <v>45758</v>
      </c>
      <c r="H401">
        <v>2000</v>
      </c>
      <c r="I401">
        <f t="shared" ca="1" si="67"/>
        <v>14000</v>
      </c>
      <c r="J401">
        <v>7</v>
      </c>
      <c r="K401" t="str">
        <f t="shared" ca="1" si="68"/>
        <v>No</v>
      </c>
      <c r="L401" t="str">
        <f t="shared" ca="1" si="69"/>
        <v>General Fitness</v>
      </c>
      <c r="M401" t="str">
        <f t="shared" ca="1" si="70"/>
        <v>Active</v>
      </c>
      <c r="N401" s="2">
        <v>45873</v>
      </c>
      <c r="Q401" t="str">
        <f ca="1">IF(RAND()&lt;0.2,
    IF(RAND()&lt;0.5, LOWER(C401), UPPER(C401)),
    C401
)</f>
        <v>Mumbai</v>
      </c>
      <c r="R401">
        <f t="shared" ca="1" si="73"/>
        <v>7</v>
      </c>
      <c r="S401">
        <f t="shared" ca="1" si="74"/>
        <v>2000</v>
      </c>
      <c r="T401">
        <f t="shared" ca="1" si="75"/>
        <v>45202</v>
      </c>
      <c r="U401" s="2">
        <f t="shared" ca="1" si="76"/>
        <v>45873</v>
      </c>
    </row>
    <row r="402" spans="1:21">
      <c r="A402" t="str">
        <f t="shared" si="72"/>
        <v>MEM0401</v>
      </c>
      <c r="B402" t="str">
        <f ca="1">INDEX('Name pool'!A:A, RANDBETWEEN(2, COUNTA('Name pool'!A:A))) &amp; " " &amp; INDEX('Name pool'!B:B, RANDBETWEEN(2, COUNTA('Name pool'!B:B)))</f>
        <v>Akash Fernandes</v>
      </c>
      <c r="C402" t="s">
        <v>132</v>
      </c>
      <c r="D402" t="str">
        <f t="shared" ca="1" si="71"/>
        <v>BR01</v>
      </c>
      <c r="E402" t="str">
        <f t="shared" ca="1" si="66"/>
        <v>Standard</v>
      </c>
      <c r="F402" s="2">
        <v>45162</v>
      </c>
      <c r="G402" s="2">
        <v>45192</v>
      </c>
      <c r="H402">
        <v>3500</v>
      </c>
      <c r="I402">
        <f t="shared" ca="1" si="67"/>
        <v>28000</v>
      </c>
      <c r="J402" t="s">
        <v>106</v>
      </c>
      <c r="K402" t="str">
        <f t="shared" ca="1" si="68"/>
        <v>No</v>
      </c>
      <c r="L402" t="str">
        <f t="shared" ca="1" si="69"/>
        <v>Weight Loss</v>
      </c>
      <c r="M402" t="str">
        <f t="shared" ca="1" si="70"/>
        <v>Active</v>
      </c>
      <c r="N402" s="2">
        <v>45393</v>
      </c>
      <c r="Q402" t="str">
        <f ca="1">IF(RAND()&lt;0.2,
    IF(RAND()&lt;0.5, LOWER(C402), UPPER(C402)),
    C402
)</f>
        <v>calicut</v>
      </c>
      <c r="R402" t="str">
        <f t="shared" ca="1" si="73"/>
        <v>0 visits</v>
      </c>
      <c r="S402">
        <f t="shared" ca="1" si="74"/>
        <v>3500</v>
      </c>
      <c r="T402">
        <f t="shared" ca="1" si="75"/>
        <v>44957</v>
      </c>
      <c r="U402" s="2">
        <f t="shared" ca="1" si="76"/>
        <v>45393</v>
      </c>
    </row>
    <row r="403" spans="1:21">
      <c r="A403" t="str">
        <f t="shared" si="72"/>
        <v>MEM0402</v>
      </c>
      <c r="B403" t="str">
        <f ca="1">INDEX('Name pool'!A:A, RANDBETWEEN(2, COUNTA('Name pool'!A:A))) &amp; " " &amp; INDEX('Name pool'!B:B, RANDBETWEEN(2, COUNTA('Name pool'!B:B)))</f>
        <v>Manoj Das</v>
      </c>
      <c r="C403" t="s">
        <v>77</v>
      </c>
      <c r="D403" t="str">
        <f t="shared" ca="1" si="71"/>
        <v>BR07</v>
      </c>
      <c r="E403" t="str">
        <f t="shared" ca="1" si="66"/>
        <v>Premium</v>
      </c>
      <c r="F403" s="2">
        <v>45865</v>
      </c>
      <c r="G403" s="2">
        <v>46230</v>
      </c>
      <c r="H403" t="s">
        <v>105</v>
      </c>
      <c r="I403">
        <f t="shared" ca="1" si="67"/>
        <v>24500</v>
      </c>
      <c r="J403">
        <v>21</v>
      </c>
      <c r="K403" t="str">
        <f t="shared" ca="1" si="68"/>
        <v>No</v>
      </c>
      <c r="L403" t="str">
        <f t="shared" ca="1" si="69"/>
        <v>Muscle Gain</v>
      </c>
      <c r="M403" t="str">
        <f t="shared" ca="1" si="70"/>
        <v>Active</v>
      </c>
      <c r="N403" s="2">
        <v>46082</v>
      </c>
      <c r="Q403" t="str">
        <f ca="1">IF(RAND()&lt;0.2,
    IF(RAND()&lt;0.5, LOWER(C403), UPPER(C403)),
    C403
)</f>
        <v>Chennai</v>
      </c>
      <c r="R403">
        <f t="shared" ca="1" si="73"/>
        <v>21</v>
      </c>
      <c r="S403" t="str">
        <f t="shared" ca="1" si="74"/>
        <v>3500</v>
      </c>
      <c r="T403">
        <f t="shared" ca="1" si="75"/>
        <v>45030</v>
      </c>
      <c r="U403" s="2">
        <f t="shared" ca="1" si="76"/>
        <v>46082</v>
      </c>
    </row>
    <row r="404" spans="1:21">
      <c r="A404" t="str">
        <f t="shared" si="72"/>
        <v>MEM0403</v>
      </c>
      <c r="B404" t="str">
        <f ca="1">INDEX('Name pool'!A:A, RANDBETWEEN(2, COUNTA('Name pool'!A:A))) &amp; " " &amp; INDEX('Name pool'!B:B, RANDBETWEEN(2, COUNTA('Name pool'!B:B)))</f>
        <v>Varun Verma</v>
      </c>
      <c r="C404" t="s">
        <v>81</v>
      </c>
      <c r="D404" t="str">
        <f t="shared" ca="1" si="71"/>
        <v>BR04</v>
      </c>
      <c r="E404" t="str">
        <f t="shared" ca="1" si="66"/>
        <v>Premium</v>
      </c>
      <c r="F404" s="2">
        <v>45971</v>
      </c>
      <c r="G404" s="2">
        <v>46336</v>
      </c>
      <c r="H404">
        <v>1000</v>
      </c>
      <c r="I404">
        <f t="shared" ca="1" si="67"/>
        <v>2000</v>
      </c>
      <c r="J404">
        <v>9</v>
      </c>
      <c r="K404" t="str">
        <f t="shared" ca="1" si="68"/>
        <v>Yes</v>
      </c>
      <c r="L404" t="str">
        <f t="shared" ca="1" si="69"/>
        <v>Weight Loss</v>
      </c>
      <c r="M404" t="str">
        <f t="shared" ca="1" si="70"/>
        <v>Active</v>
      </c>
      <c r="N404" s="2">
        <v>46030</v>
      </c>
      <c r="Q404" t="str">
        <f ca="1">IF(RAND()&lt;0.2,
    IF(RAND()&lt;0.5, LOWER(C404), UPPER(C404)),
    C404
)</f>
        <v>Mumbai</v>
      </c>
      <c r="R404">
        <f t="shared" ca="1" si="73"/>
        <v>9</v>
      </c>
      <c r="S404">
        <f t="shared" ca="1" si="74"/>
        <v>1000</v>
      </c>
      <c r="T404">
        <f t="shared" ca="1" si="75"/>
        <v>45973</v>
      </c>
      <c r="U404" s="2">
        <f t="shared" ca="1" si="76"/>
        <v>46030</v>
      </c>
    </row>
    <row r="405" spans="1:21">
      <c r="A405" t="str">
        <f t="shared" si="72"/>
        <v>MEM0404</v>
      </c>
      <c r="B405" t="str">
        <f ca="1">INDEX('Name pool'!A:A, RANDBETWEEN(2, COUNTA('Name pool'!A:A))) &amp; " " &amp; INDEX('Name pool'!B:B, RANDBETWEEN(2, COUNTA('Name pool'!B:B)))</f>
        <v>Shreya Yadav</v>
      </c>
      <c r="C405" t="s">
        <v>115</v>
      </c>
      <c r="D405" t="str">
        <f t="shared" ca="1" si="71"/>
        <v>BR02</v>
      </c>
      <c r="E405" t="str">
        <f t="shared" ca="1" si="66"/>
        <v>Premium</v>
      </c>
      <c r="F405" s="2">
        <v>45494</v>
      </c>
      <c r="G405" s="2">
        <v>45524</v>
      </c>
      <c r="H405">
        <v>3500</v>
      </c>
      <c r="I405">
        <f t="shared" ca="1" si="67"/>
        <v>38500</v>
      </c>
      <c r="J405">
        <v>17</v>
      </c>
      <c r="K405" t="str">
        <f t="shared" ca="1" si="68"/>
        <v>Yes</v>
      </c>
      <c r="L405" t="str">
        <f t="shared" ca="1" si="69"/>
        <v>Muscle Gain</v>
      </c>
      <c r="M405" t="str">
        <f t="shared" ca="1" si="70"/>
        <v>Active</v>
      </c>
      <c r="N405" s="2">
        <v>45832</v>
      </c>
      <c r="Q405" t="str">
        <f ca="1">IF(RAND()&lt;0.2,
    IF(RAND()&lt;0.5, LOWER(C405), UPPER(C405)),
    C405
)</f>
        <v>CHENNAI</v>
      </c>
      <c r="R405" t="str">
        <f t="shared" ca="1" si="73"/>
        <v>17 visits</v>
      </c>
      <c r="S405">
        <f t="shared" ca="1" si="74"/>
        <v>3500</v>
      </c>
      <c r="T405">
        <f t="shared" ca="1" si="75"/>
        <v>45754</v>
      </c>
      <c r="U405" s="2">
        <f t="shared" ca="1" si="76"/>
        <v>45832</v>
      </c>
    </row>
    <row r="406" spans="1:21">
      <c r="A406" t="str">
        <f t="shared" si="72"/>
        <v>MEM0405</v>
      </c>
      <c r="B406" t="str">
        <f ca="1">INDEX('Name pool'!A:A, RANDBETWEEN(2, COUNTA('Name pool'!A:A))) &amp; " " &amp; INDEX('Name pool'!B:B, RANDBETWEEN(2, COUNTA('Name pool'!B:B)))</f>
        <v>Kavya Mathew</v>
      </c>
      <c r="C406" t="s">
        <v>115</v>
      </c>
      <c r="D406" t="str">
        <f t="shared" ca="1" si="71"/>
        <v>BR02</v>
      </c>
      <c r="E406" t="str">
        <f t="shared" ca="1" si="66"/>
        <v>Standard</v>
      </c>
      <c r="F406" s="2">
        <v>45457</v>
      </c>
      <c r="G406" s="2">
        <v>45487</v>
      </c>
      <c r="H406">
        <v>3500</v>
      </c>
      <c r="I406">
        <f t="shared" ca="1" si="67"/>
        <v>7000</v>
      </c>
      <c r="J406">
        <v>7</v>
      </c>
      <c r="K406" t="str">
        <f t="shared" ca="1" si="68"/>
        <v>No</v>
      </c>
      <c r="L406" t="str">
        <f t="shared" ca="1" si="69"/>
        <v>Muscle Gain</v>
      </c>
      <c r="M406" t="str">
        <f t="shared" ca="1" si="70"/>
        <v>Active</v>
      </c>
      <c r="N406" s="2">
        <v>45725</v>
      </c>
      <c r="Q406" t="str">
        <f ca="1">IF(RAND()&lt;0.2,
    IF(RAND()&lt;0.5, LOWER(C406), UPPER(C406)),
    C406
)</f>
        <v>CHENNAI</v>
      </c>
      <c r="R406">
        <f t="shared" ca="1" si="73"/>
        <v>7</v>
      </c>
      <c r="S406">
        <f t="shared" ca="1" si="74"/>
        <v>3500</v>
      </c>
      <c r="T406">
        <f t="shared" ca="1" si="75"/>
        <v>45582</v>
      </c>
      <c r="U406" s="2">
        <f t="shared" ca="1" si="76"/>
        <v>45725</v>
      </c>
    </row>
    <row r="407" spans="1:21">
      <c r="A407" t="str">
        <f t="shared" si="72"/>
        <v>MEM0406</v>
      </c>
      <c r="B407" t="str">
        <f ca="1">INDEX('Name pool'!A:A, RANDBETWEEN(2, COUNTA('Name pool'!A:A))) &amp; " " &amp; INDEX('Name pool'!B:B, RANDBETWEEN(2, COUNTA('Name pool'!B:B)))</f>
        <v>Anu Thomas</v>
      </c>
      <c r="C407" t="s">
        <v>83</v>
      </c>
      <c r="D407" t="str">
        <f t="shared" ca="1" si="71"/>
        <v>BR01</v>
      </c>
      <c r="E407" t="str">
        <f t="shared" ca="1" si="66"/>
        <v>Premium</v>
      </c>
      <c r="F407" s="2">
        <v>45758</v>
      </c>
      <c r="G407" s="2">
        <v>45788</v>
      </c>
      <c r="H407">
        <v>3500</v>
      </c>
      <c r="I407">
        <f t="shared" ca="1" si="67"/>
        <v>10500</v>
      </c>
      <c r="J407">
        <v>25</v>
      </c>
      <c r="K407" t="str">
        <f t="shared" ca="1" si="68"/>
        <v>Yes</v>
      </c>
      <c r="L407" t="str">
        <f t="shared" ca="1" si="69"/>
        <v>Muscle Gain</v>
      </c>
      <c r="M407" t="str">
        <f t="shared" ca="1" si="70"/>
        <v>Active</v>
      </c>
      <c r="N407" s="2">
        <v>45930</v>
      </c>
      <c r="Q407" t="str">
        <f ca="1">IF(RAND()&lt;0.2,
    IF(RAND()&lt;0.5, LOWER(C407), UPPER(C407)),
    C407
)</f>
        <v>Trivandrum</v>
      </c>
      <c r="R407">
        <f t="shared" ca="1" si="73"/>
        <v>25</v>
      </c>
      <c r="S407">
        <f t="shared" ca="1" si="74"/>
        <v>3500</v>
      </c>
      <c r="T407">
        <f t="shared" ca="1" si="75"/>
        <v>46037</v>
      </c>
      <c r="U407" s="2">
        <f t="shared" ca="1" si="76"/>
        <v>45930</v>
      </c>
    </row>
    <row r="408" spans="1:21">
      <c r="A408" t="str">
        <f t="shared" si="72"/>
        <v>MEM0407</v>
      </c>
      <c r="B408" t="str">
        <f ca="1">INDEX('Name pool'!A:A, RANDBETWEEN(2, COUNTA('Name pool'!A:A))) &amp; " " &amp; INDEX('Name pool'!B:B, RANDBETWEEN(2, COUNTA('Name pool'!B:B)))</f>
        <v>Rohit Fernandes</v>
      </c>
      <c r="C408" t="s">
        <v>81</v>
      </c>
      <c r="D408" t="str">
        <f t="shared" ca="1" si="71"/>
        <v>BR02</v>
      </c>
      <c r="E408" t="str">
        <f t="shared" ca="1" si="66"/>
        <v>Premium</v>
      </c>
      <c r="F408" s="2">
        <v>45774</v>
      </c>
      <c r="G408" s="2">
        <v>45804</v>
      </c>
      <c r="H408">
        <v>2000</v>
      </c>
      <c r="I408">
        <f t="shared" ca="1" si="67"/>
        <v>2000</v>
      </c>
      <c r="J408">
        <v>3</v>
      </c>
      <c r="K408" t="str">
        <f t="shared" ca="1" si="68"/>
        <v>No</v>
      </c>
      <c r="L408" t="str">
        <f t="shared" ca="1" si="69"/>
        <v>Muscle Gain</v>
      </c>
      <c r="M408" t="str">
        <f t="shared" ca="1" si="70"/>
        <v>Cancelled</v>
      </c>
      <c r="N408" s="2">
        <v>45793</v>
      </c>
      <c r="Q408" t="str">
        <f ca="1">IF(RAND()&lt;0.2,
    IF(RAND()&lt;0.5, LOWER(C408), UPPER(C408)),
    C408
)</f>
        <v>Mumbai</v>
      </c>
      <c r="R408">
        <f t="shared" ca="1" si="73"/>
        <v>3</v>
      </c>
      <c r="S408" t="str">
        <f t="shared" ca="1" si="74"/>
        <v>2000</v>
      </c>
      <c r="T408">
        <f t="shared" ca="1" si="75"/>
        <v>45819</v>
      </c>
      <c r="U408" s="2">
        <f t="shared" ca="1" si="76"/>
        <v>45793</v>
      </c>
    </row>
    <row r="409" spans="1:21">
      <c r="A409" t="str">
        <f t="shared" si="72"/>
        <v>MEM0408</v>
      </c>
      <c r="B409" t="str">
        <f ca="1">INDEX('Name pool'!A:A, RANDBETWEEN(2, COUNTA('Name pool'!A:A))) &amp; " " &amp; INDEX('Name pool'!B:B, RANDBETWEEN(2, COUNTA('Name pool'!B:B)))</f>
        <v>Neha Iyer</v>
      </c>
      <c r="C409" t="s">
        <v>73</v>
      </c>
      <c r="D409" t="str">
        <f t="shared" ca="1" si="71"/>
        <v>BR03</v>
      </c>
      <c r="E409" t="str">
        <f t="shared" ca="1" si="66"/>
        <v>Standard</v>
      </c>
      <c r="F409" s="2">
        <v>45669</v>
      </c>
      <c r="G409" s="2">
        <v>46034</v>
      </c>
      <c r="H409">
        <v>2000</v>
      </c>
      <c r="I409">
        <f t="shared" ca="1" si="67"/>
        <v>24000</v>
      </c>
      <c r="J409">
        <v>16</v>
      </c>
      <c r="K409" t="str">
        <f t="shared" ca="1" si="68"/>
        <v>No</v>
      </c>
      <c r="L409" t="str">
        <f t="shared" ca="1" si="69"/>
        <v>Muscle Gain</v>
      </c>
      <c r="M409" t="str">
        <f t="shared" ca="1" si="70"/>
        <v>Active</v>
      </c>
      <c r="N409" s="2">
        <v>45791</v>
      </c>
      <c r="Q409" t="str">
        <f ca="1">IF(RAND()&lt;0.2,
    IF(RAND()&lt;0.5, LOWER(C409), UPPER(C409)),
    C409
)</f>
        <v>Kochi</v>
      </c>
      <c r="R409">
        <f t="shared" ca="1" si="73"/>
        <v>16</v>
      </c>
      <c r="S409">
        <f t="shared" ca="1" si="74"/>
        <v>2000</v>
      </c>
      <c r="T409">
        <f t="shared" ca="1" si="75"/>
        <v>45494</v>
      </c>
      <c r="U409" s="2">
        <f t="shared" ca="1" si="76"/>
        <v>45791</v>
      </c>
    </row>
    <row r="410" spans="1:21">
      <c r="A410" t="str">
        <f t="shared" si="72"/>
        <v>MEM0409</v>
      </c>
      <c r="B410" t="str">
        <f ca="1">INDEX('Name pool'!A:A, RANDBETWEEN(2, COUNTA('Name pool'!A:A))) &amp; " " &amp; INDEX('Name pool'!B:B, RANDBETWEEN(2, COUNTA('Name pool'!B:B)))</f>
        <v>Swathi Nair</v>
      </c>
      <c r="C410" t="s">
        <v>115</v>
      </c>
      <c r="D410" t="str">
        <f t="shared" ca="1" si="71"/>
        <v>BR01</v>
      </c>
      <c r="E410" t="str">
        <f t="shared" ca="1" si="66"/>
        <v>Standard</v>
      </c>
      <c r="F410" s="2">
        <v>45194</v>
      </c>
      <c r="G410" s="2">
        <v>45559</v>
      </c>
      <c r="H410">
        <v>2000</v>
      </c>
      <c r="I410">
        <f t="shared" ca="1" si="67"/>
        <v>10000</v>
      </c>
      <c r="J410">
        <v>9</v>
      </c>
      <c r="K410" t="str">
        <f t="shared" ca="1" si="68"/>
        <v>Yes</v>
      </c>
      <c r="L410" t="str">
        <f t="shared" ca="1" si="69"/>
        <v>Weight Loss</v>
      </c>
      <c r="M410" t="str">
        <f t="shared" ca="1" si="70"/>
        <v>Active</v>
      </c>
      <c r="N410" s="2">
        <v>45316</v>
      </c>
      <c r="Q410" t="str">
        <f ca="1">IF(RAND()&lt;0.2,
    IF(RAND()&lt;0.5, LOWER(C410), UPPER(C410)),
    C410
)</f>
        <v>CHENNAI</v>
      </c>
      <c r="R410">
        <f t="shared" ca="1" si="73"/>
        <v>9</v>
      </c>
      <c r="S410" t="str">
        <f t="shared" ca="1" si="74"/>
        <v>2000</v>
      </c>
      <c r="T410">
        <f t="shared" ca="1" si="75"/>
        <v>44958</v>
      </c>
      <c r="U410" s="2">
        <f t="shared" ca="1" si="76"/>
        <v>45316</v>
      </c>
    </row>
    <row r="411" spans="1:21">
      <c r="A411" t="str">
        <f t="shared" si="72"/>
        <v>MEM0410</v>
      </c>
      <c r="B411" t="str">
        <f ca="1">INDEX('Name pool'!A:A, RANDBETWEEN(2, COUNTA('Name pool'!A:A))) &amp; " " &amp; INDEX('Name pool'!B:B, RANDBETWEEN(2, COUNTA('Name pool'!B:B)))</f>
        <v>Kavya Fernandes</v>
      </c>
      <c r="C411" t="s">
        <v>85</v>
      </c>
      <c r="D411" t="str">
        <f t="shared" ca="1" si="71"/>
        <v>BR06</v>
      </c>
      <c r="E411" t="str">
        <f t="shared" ca="1" si="66"/>
        <v>Premium</v>
      </c>
      <c r="F411" s="2">
        <v>45127</v>
      </c>
      <c r="G411" s="2">
        <v>45492</v>
      </c>
      <c r="H411">
        <v>2000</v>
      </c>
      <c r="I411">
        <f t="shared" ca="1" si="67"/>
        <v>24000</v>
      </c>
      <c r="J411">
        <v>12</v>
      </c>
      <c r="K411" t="str">
        <f t="shared" ca="1" si="68"/>
        <v>No</v>
      </c>
      <c r="L411" t="str">
        <f t="shared" ca="1" si="69"/>
        <v>Weight Loss</v>
      </c>
      <c r="M411" t="str">
        <f t="shared" ca="1" si="70"/>
        <v>Active</v>
      </c>
      <c r="N411" s="2">
        <v>45746</v>
      </c>
      <c r="Q411" t="str">
        <f ca="1">IF(RAND()&lt;0.2,
    IF(RAND()&lt;0.5, LOWER(C411), UPPER(C411)),
    C411
)</f>
        <v>Calicut</v>
      </c>
      <c r="R411">
        <f t="shared" ca="1" si="73"/>
        <v>12</v>
      </c>
      <c r="S411">
        <f t="shared" ca="1" si="74"/>
        <v>2000</v>
      </c>
      <c r="T411">
        <f t="shared" ca="1" si="75"/>
        <v>45660</v>
      </c>
      <c r="U411" s="2">
        <f t="shared" ca="1" si="76"/>
        <v>45746</v>
      </c>
    </row>
    <row r="412" spans="1:21">
      <c r="A412" t="str">
        <f t="shared" si="72"/>
        <v>MEM0411</v>
      </c>
      <c r="B412" t="str">
        <f ca="1">INDEX('Name pool'!A:A, RANDBETWEEN(2, COUNTA('Name pool'!A:A))) &amp; " " &amp; INDEX('Name pool'!B:B, RANDBETWEEN(2, COUNTA('Name pool'!B:B)))</f>
        <v>Nisha Bhat</v>
      </c>
      <c r="C412" t="s">
        <v>77</v>
      </c>
      <c r="D412" t="str">
        <f t="shared" ca="1" si="71"/>
        <v>BR07</v>
      </c>
      <c r="E412" t="str">
        <f t="shared" ca="1" si="66"/>
        <v>Premium</v>
      </c>
      <c r="F412" s="2">
        <v>45416</v>
      </c>
      <c r="G412" s="2">
        <v>45446</v>
      </c>
      <c r="H412">
        <v>2000</v>
      </c>
      <c r="I412">
        <f t="shared" ca="1" si="67"/>
        <v>24000</v>
      </c>
      <c r="J412">
        <v>21</v>
      </c>
      <c r="K412" t="str">
        <f t="shared" ca="1" si="68"/>
        <v>No</v>
      </c>
      <c r="L412" t="str">
        <f t="shared" ca="1" si="69"/>
        <v>Muscle Gain</v>
      </c>
      <c r="M412" t="str">
        <f t="shared" ca="1" si="70"/>
        <v>Active</v>
      </c>
      <c r="N412" s="2">
        <v>45968</v>
      </c>
      <c r="Q412" t="str">
        <f ca="1">IF(RAND()&lt;0.2,
    IF(RAND()&lt;0.5, LOWER(C412), UPPER(C412)),
    C412
)</f>
        <v>CHENNAI</v>
      </c>
      <c r="R412" t="str">
        <f t="shared" ca="1" si="73"/>
        <v>21 visits</v>
      </c>
      <c r="S412">
        <f t="shared" ca="1" si="74"/>
        <v>2000</v>
      </c>
      <c r="T412">
        <f t="shared" ca="1" si="75"/>
        <v>44946</v>
      </c>
      <c r="U412" s="2">
        <f t="shared" ca="1" si="76"/>
        <v>45968</v>
      </c>
    </row>
    <row r="413" spans="1:21">
      <c r="A413" t="str">
        <f t="shared" si="72"/>
        <v>MEM0412</v>
      </c>
      <c r="B413" t="str">
        <f ca="1">INDEX('Name pool'!A:A, RANDBETWEEN(2, COUNTA('Name pool'!A:A))) &amp; " " &amp; INDEX('Name pool'!B:B, RANDBETWEEN(2, COUNTA('Name pool'!B:B)))</f>
        <v>Sneha Shetty</v>
      </c>
      <c r="C413" t="s">
        <v>79</v>
      </c>
      <c r="D413" t="str">
        <f t="shared" ca="1" si="71"/>
        <v>BR06</v>
      </c>
      <c r="E413" t="str">
        <f t="shared" ca="1" si="66"/>
        <v>Basic</v>
      </c>
      <c r="F413" s="2">
        <v>45403</v>
      </c>
      <c r="G413" s="2">
        <v>45433</v>
      </c>
      <c r="H413">
        <v>3500</v>
      </c>
      <c r="I413">
        <f t="shared" ca="1" si="67"/>
        <v>14000</v>
      </c>
      <c r="J413">
        <v>0</v>
      </c>
      <c r="K413" t="str">
        <f t="shared" ca="1" si="68"/>
        <v>No</v>
      </c>
      <c r="L413" t="str">
        <f t="shared" ca="1" si="69"/>
        <v>General Fitness</v>
      </c>
      <c r="M413" t="str">
        <f t="shared" ca="1" si="70"/>
        <v>Cancelled</v>
      </c>
      <c r="N413" s="2">
        <v>45519</v>
      </c>
      <c r="Q413" t="str">
        <f ca="1">IF(RAND()&lt;0.2,
    IF(RAND()&lt;0.5, LOWER(C413), UPPER(C413)),
    C413
)</f>
        <v>Hyderabad</v>
      </c>
      <c r="R413" t="str">
        <f t="shared" ca="1" si="73"/>
        <v>0 visits</v>
      </c>
      <c r="S413">
        <f t="shared" ca="1" si="74"/>
        <v>3500</v>
      </c>
      <c r="T413">
        <f t="shared" ca="1" si="75"/>
        <v>46012</v>
      </c>
      <c r="U413" s="2">
        <f t="shared" ca="1" si="76"/>
        <v>45415</v>
      </c>
    </row>
    <row r="414" spans="1:21">
      <c r="A414" t="str">
        <f t="shared" si="72"/>
        <v>MEM0413</v>
      </c>
      <c r="B414" t="str">
        <f ca="1">INDEX('Name pool'!A:A, RANDBETWEEN(2, COUNTA('Name pool'!A:A))) &amp; " " &amp; INDEX('Name pool'!B:B, RANDBETWEEN(2, COUNTA('Name pool'!B:B)))</f>
        <v>Ayesha Mathew</v>
      </c>
      <c r="C414" t="s">
        <v>73</v>
      </c>
      <c r="D414" t="str">
        <f t="shared" ca="1" si="71"/>
        <v>BR05</v>
      </c>
      <c r="E414" t="str">
        <f t="shared" ca="1" si="66"/>
        <v>Basic</v>
      </c>
      <c r="F414" s="2">
        <v>45704</v>
      </c>
      <c r="G414" s="2">
        <v>46069</v>
      </c>
      <c r="H414">
        <v>1000</v>
      </c>
      <c r="I414">
        <f t="shared" ca="1" si="67"/>
        <v>1000</v>
      </c>
      <c r="J414">
        <v>10</v>
      </c>
      <c r="K414" t="str">
        <f t="shared" ca="1" si="68"/>
        <v>No</v>
      </c>
      <c r="L414" t="str">
        <f t="shared" ca="1" si="69"/>
        <v>Muscle Gain</v>
      </c>
      <c r="M414" t="str">
        <f t="shared" ca="1" si="70"/>
        <v>Active</v>
      </c>
      <c r="N414" s="2">
        <v>45909</v>
      </c>
      <c r="Q414" t="str">
        <f ca="1">IF(RAND()&lt;0.2,
    IF(RAND()&lt;0.5, LOWER(C414), UPPER(C414)),
    C414
)</f>
        <v>Kochi</v>
      </c>
      <c r="R414">
        <f t="shared" ca="1" si="73"/>
        <v>10</v>
      </c>
      <c r="S414">
        <f t="shared" ca="1" si="74"/>
        <v>1000</v>
      </c>
      <c r="T414">
        <f t="shared" ca="1" si="75"/>
        <v>45904</v>
      </c>
      <c r="U414" s="2">
        <f t="shared" ca="1" si="76"/>
        <v>45909</v>
      </c>
    </row>
    <row r="415" spans="1:21">
      <c r="A415" t="str">
        <f t="shared" si="72"/>
        <v>MEM0414</v>
      </c>
      <c r="B415" t="str">
        <f ca="1">INDEX('Name pool'!A:A, RANDBETWEEN(2, COUNTA('Name pool'!A:A))) &amp; " " &amp; INDEX('Name pool'!B:B, RANDBETWEEN(2, COUNTA('Name pool'!B:B)))</f>
        <v>Ayesha Iyer</v>
      </c>
      <c r="C415" t="s">
        <v>83</v>
      </c>
      <c r="D415" t="str">
        <f t="shared" ca="1" si="71"/>
        <v>BR04</v>
      </c>
      <c r="E415" t="str">
        <f t="shared" ca="1" si="66"/>
        <v>Premium</v>
      </c>
      <c r="F415" s="2">
        <v>45867</v>
      </c>
      <c r="G415" s="2">
        <v>45897</v>
      </c>
      <c r="H415">
        <v>2000</v>
      </c>
      <c r="I415">
        <f t="shared" ca="1" si="67"/>
        <v>8000</v>
      </c>
      <c r="J415">
        <v>11</v>
      </c>
      <c r="K415" t="str">
        <f t="shared" ca="1" si="68"/>
        <v>Yes</v>
      </c>
      <c r="L415" t="str">
        <f t="shared" ca="1" si="69"/>
        <v>Weight Loss</v>
      </c>
      <c r="M415" t="str">
        <f t="shared" ca="1" si="70"/>
        <v>Active</v>
      </c>
      <c r="N415" s="2">
        <v>45887</v>
      </c>
      <c r="Q415" t="str">
        <f ca="1">IF(RAND()&lt;0.2,
    IF(RAND()&lt;0.5, LOWER(C415), UPPER(C415)),
    C415
)</f>
        <v>Trivandrum</v>
      </c>
      <c r="R415" t="str">
        <f t="shared" ca="1" si="73"/>
        <v>11 visits</v>
      </c>
      <c r="S415">
        <f t="shared" ca="1" si="74"/>
        <v>2000</v>
      </c>
      <c r="T415">
        <f t="shared" ca="1" si="75"/>
        <v>45105</v>
      </c>
      <c r="U415" s="2">
        <f t="shared" ca="1" si="76"/>
        <v>45887</v>
      </c>
    </row>
    <row r="416" spans="1:21">
      <c r="A416" t="str">
        <f t="shared" si="72"/>
        <v>MEM0415</v>
      </c>
      <c r="B416" t="str">
        <f ca="1">INDEX('Name pool'!A:A, RANDBETWEEN(2, COUNTA('Name pool'!A:A))) &amp; " " &amp; INDEX('Name pool'!B:B, RANDBETWEEN(2, COUNTA('Name pool'!B:B)))</f>
        <v>Rohit Nambiar</v>
      </c>
      <c r="C416" t="s">
        <v>83</v>
      </c>
      <c r="D416" t="str">
        <f t="shared" ca="1" si="71"/>
        <v>BR05</v>
      </c>
      <c r="E416" t="str">
        <f t="shared" ca="1" si="66"/>
        <v>Basic</v>
      </c>
      <c r="F416" s="2">
        <v>45626</v>
      </c>
      <c r="G416" s="2">
        <v>45716</v>
      </c>
      <c r="H416">
        <v>2000</v>
      </c>
      <c r="I416">
        <f t="shared" ca="1" si="67"/>
        <v>6000</v>
      </c>
      <c r="J416">
        <v>20</v>
      </c>
      <c r="K416" t="str">
        <f t="shared" ca="1" si="68"/>
        <v>No</v>
      </c>
      <c r="L416" t="str">
        <f t="shared" ca="1" si="69"/>
        <v>Muscle Gain</v>
      </c>
      <c r="M416" t="str">
        <f t="shared" ca="1" si="70"/>
        <v>Active</v>
      </c>
      <c r="N416" s="2">
        <v>45975</v>
      </c>
      <c r="Q416" t="str">
        <f ca="1">IF(RAND()&lt;0.2,
    IF(RAND()&lt;0.5, LOWER(C416), UPPER(C416)),
    C416
)</f>
        <v>Trivandrum</v>
      </c>
      <c r="R416">
        <f t="shared" ca="1" si="73"/>
        <v>20</v>
      </c>
      <c r="S416">
        <f t="shared" ca="1" si="74"/>
        <v>2000</v>
      </c>
      <c r="T416">
        <f t="shared" ca="1" si="75"/>
        <v>45426</v>
      </c>
      <c r="U416" s="2">
        <f t="shared" ca="1" si="76"/>
        <v>45975</v>
      </c>
    </row>
    <row r="417" spans="1:21">
      <c r="A417" t="str">
        <f t="shared" si="72"/>
        <v>MEM0416</v>
      </c>
      <c r="B417" t="str">
        <f ca="1">INDEX('Name pool'!A:A, RANDBETWEEN(2, COUNTA('Name pool'!A:A))) &amp; " " &amp; INDEX('Name pool'!B:B, RANDBETWEEN(2, COUNTA('Name pool'!B:B)))</f>
        <v>Ishita Bhat</v>
      </c>
      <c r="C417" t="s">
        <v>83</v>
      </c>
      <c r="D417" t="str">
        <f t="shared" ca="1" si="71"/>
        <v>BR01</v>
      </c>
      <c r="E417" t="str">
        <f t="shared" ca="1" si="66"/>
        <v>Standard</v>
      </c>
      <c r="F417" s="2">
        <v>46052</v>
      </c>
      <c r="G417" s="2">
        <v>46082</v>
      </c>
      <c r="H417">
        <v>3500</v>
      </c>
      <c r="I417">
        <f t="shared" ca="1" si="67"/>
        <v>3500</v>
      </c>
      <c r="J417">
        <v>12</v>
      </c>
      <c r="K417" t="str">
        <f t="shared" ca="1" si="68"/>
        <v>No</v>
      </c>
      <c r="L417" t="str">
        <f t="shared" ca="1" si="69"/>
        <v>General Fitness</v>
      </c>
      <c r="M417" t="str">
        <f t="shared" ca="1" si="70"/>
        <v>Active</v>
      </c>
      <c r="N417" s="2">
        <v>46073</v>
      </c>
      <c r="Q417" t="str">
        <f ca="1">IF(RAND()&lt;0.2,
    IF(RAND()&lt;0.5, LOWER(C417), UPPER(C417)),
    C417
)</f>
        <v>Trivandrum</v>
      </c>
      <c r="R417" t="str">
        <f t="shared" ca="1" si="73"/>
        <v>12 visits</v>
      </c>
      <c r="S417">
        <f t="shared" ca="1" si="74"/>
        <v>3500</v>
      </c>
      <c r="T417">
        <f t="shared" ca="1" si="75"/>
        <v>44943</v>
      </c>
      <c r="U417" s="2">
        <f t="shared" ca="1" si="76"/>
        <v>46073</v>
      </c>
    </row>
    <row r="418" spans="1:21">
      <c r="A418" t="str">
        <f t="shared" si="72"/>
        <v>MEM0417</v>
      </c>
      <c r="B418" t="str">
        <f ca="1">INDEX('Name pool'!A:A, RANDBETWEEN(2, COUNTA('Name pool'!A:A))) &amp; " " &amp; INDEX('Name pool'!B:B, RANDBETWEEN(2, COUNTA('Name pool'!B:B)))</f>
        <v>Riya Sharma</v>
      </c>
      <c r="C418" t="s">
        <v>81</v>
      </c>
      <c r="D418" t="str">
        <f t="shared" ca="1" si="71"/>
        <v>BR05</v>
      </c>
      <c r="E418" t="str">
        <f t="shared" ref="E418:E481" ca="1" si="77">CHOOSE(RANDBETWEEN(1,3),"Basic","Standard","Premium")</f>
        <v>Basic</v>
      </c>
      <c r="F418" s="2">
        <v>46021</v>
      </c>
      <c r="G418" s="2">
        <v>46111</v>
      </c>
      <c r="H418">
        <v>3500</v>
      </c>
      <c r="I418">
        <f t="shared" ref="I418:I481" ca="1" si="78">H418 * RANDBETWEEN(1,12)</f>
        <v>10500</v>
      </c>
      <c r="J418" t="s">
        <v>135</v>
      </c>
      <c r="K418" t="str">
        <f t="shared" ref="K418:K481" ca="1" si="79">CHOOSE(RANDBETWEEN(1,2),"Yes","No")</f>
        <v>Yes</v>
      </c>
      <c r="L418" t="str">
        <f t="shared" ref="L418:L481" ca="1" si="80">CHOOSE(RANDBETWEEN(1,3),"Weight Loss","Muscle Gain","General Fitness")</f>
        <v>Weight Loss</v>
      </c>
      <c r="M418" t="str">
        <f t="shared" ref="M418:M481" ca="1" si="81">IF(J418&lt;5,IF(RANDBETWEEN(1,100)&lt;70,"Cancelled","Active"),"Active")</f>
        <v>Active</v>
      </c>
      <c r="N418" s="2">
        <v>46036</v>
      </c>
      <c r="Q418" t="str">
        <f ca="1">IF(RAND()&lt;0.2,
    IF(RAND()&lt;0.5, LOWER(C418), UPPER(C418)),
    C418
)</f>
        <v>Mumbai</v>
      </c>
      <c r="R418" t="str">
        <f t="shared" ca="1" si="73"/>
        <v>16 visits</v>
      </c>
      <c r="S418">
        <f t="shared" ca="1" si="74"/>
        <v>3500</v>
      </c>
      <c r="T418">
        <f t="shared" ca="1" si="75"/>
        <v>45565</v>
      </c>
      <c r="U418" s="2">
        <f t="shared" ca="1" si="76"/>
        <v>46036</v>
      </c>
    </row>
    <row r="419" spans="1:21">
      <c r="A419" t="str">
        <f t="shared" si="72"/>
        <v>MEM0418</v>
      </c>
      <c r="B419" t="str">
        <f ca="1">INDEX('Name pool'!A:A, RANDBETWEEN(2, COUNTA('Name pool'!A:A))) &amp; " " &amp; INDEX('Name pool'!B:B, RANDBETWEEN(2, COUNTA('Name pool'!B:B)))</f>
        <v>Nisha Khan</v>
      </c>
      <c r="C419" t="s">
        <v>132</v>
      </c>
      <c r="D419" t="str">
        <f t="shared" ca="1" si="71"/>
        <v>BR05</v>
      </c>
      <c r="E419" t="str">
        <f t="shared" ca="1" si="77"/>
        <v>Standard</v>
      </c>
      <c r="F419" s="2">
        <v>45495</v>
      </c>
      <c r="G419" s="2">
        <v>45585</v>
      </c>
      <c r="H419">
        <v>2000</v>
      </c>
      <c r="I419">
        <f t="shared" ca="1" si="78"/>
        <v>4000</v>
      </c>
      <c r="J419">
        <v>18</v>
      </c>
      <c r="K419" t="str">
        <f t="shared" ca="1" si="79"/>
        <v>Yes</v>
      </c>
      <c r="L419" t="str">
        <f t="shared" ca="1" si="80"/>
        <v>General Fitness</v>
      </c>
      <c r="M419" t="str">
        <f t="shared" ca="1" si="81"/>
        <v>Active</v>
      </c>
      <c r="N419" s="2">
        <v>45566</v>
      </c>
      <c r="Q419" t="str">
        <f ca="1">IF(RAND()&lt;0.2,
    IF(RAND()&lt;0.5, LOWER(C419), UPPER(C419)),
    C419
)</f>
        <v>calicut</v>
      </c>
      <c r="R419">
        <f t="shared" ca="1" si="73"/>
        <v>18</v>
      </c>
      <c r="S419">
        <f t="shared" ca="1" si="74"/>
        <v>2000</v>
      </c>
      <c r="T419">
        <f t="shared" ca="1" si="75"/>
        <v>45775</v>
      </c>
      <c r="U419" s="2">
        <f t="shared" ca="1" si="76"/>
        <v>45566</v>
      </c>
    </row>
    <row r="420" spans="1:21">
      <c r="A420" t="str">
        <f t="shared" si="72"/>
        <v>MEM0419</v>
      </c>
      <c r="B420" t="str">
        <f ca="1">INDEX('Name pool'!A:A, RANDBETWEEN(2, COUNTA('Name pool'!A:A))) &amp; " " &amp; INDEX('Name pool'!B:B, RANDBETWEEN(2, COUNTA('Name pool'!B:B)))</f>
        <v>Priya Gupta</v>
      </c>
      <c r="C420" t="s">
        <v>81</v>
      </c>
      <c r="D420" t="str">
        <f t="shared" ca="1" si="71"/>
        <v>BR07</v>
      </c>
      <c r="E420" t="str">
        <f t="shared" ca="1" si="77"/>
        <v>Premium</v>
      </c>
      <c r="F420" s="2">
        <v>45503</v>
      </c>
      <c r="G420" s="2">
        <v>45868</v>
      </c>
      <c r="H420">
        <v>2000</v>
      </c>
      <c r="I420">
        <f t="shared" ca="1" si="78"/>
        <v>18000</v>
      </c>
      <c r="J420">
        <v>17</v>
      </c>
      <c r="K420" t="str">
        <f t="shared" ca="1" si="79"/>
        <v>No</v>
      </c>
      <c r="L420" t="str">
        <f t="shared" ca="1" si="80"/>
        <v>Weight Loss</v>
      </c>
      <c r="M420" t="str">
        <f t="shared" ca="1" si="81"/>
        <v>Active</v>
      </c>
      <c r="N420" s="2">
        <v>45870</v>
      </c>
      <c r="Q420" t="str">
        <f ca="1">IF(RAND()&lt;0.2,
    IF(RAND()&lt;0.5, LOWER(C420), UPPER(C420)),
    C420
)</f>
        <v>mumbai</v>
      </c>
      <c r="R420">
        <f t="shared" ca="1" si="73"/>
        <v>17</v>
      </c>
      <c r="S420">
        <f t="shared" ca="1" si="74"/>
        <v>2000</v>
      </c>
      <c r="T420">
        <f t="shared" ca="1" si="75"/>
        <v>45377</v>
      </c>
      <c r="U420" s="2">
        <f t="shared" ca="1" si="76"/>
        <v>45870</v>
      </c>
    </row>
    <row r="421" spans="1:21">
      <c r="A421" t="str">
        <f t="shared" si="72"/>
        <v>MEM0420</v>
      </c>
      <c r="B421" t="str">
        <f ca="1">INDEX('Name pool'!A:A, RANDBETWEEN(2, COUNTA('Name pool'!A:A))) &amp; " " &amp; INDEX('Name pool'!B:B, RANDBETWEEN(2, COUNTA('Name pool'!B:B)))</f>
        <v>Kavya Shetty</v>
      </c>
      <c r="C421" t="s">
        <v>75</v>
      </c>
      <c r="D421" t="str">
        <f t="shared" ca="1" si="71"/>
        <v>BR07</v>
      </c>
      <c r="E421" t="str">
        <f t="shared" ca="1" si="77"/>
        <v>Premium</v>
      </c>
      <c r="F421" s="2">
        <v>45622</v>
      </c>
      <c r="G421" s="2">
        <v>45652</v>
      </c>
      <c r="H421">
        <v>3500</v>
      </c>
      <c r="I421">
        <f t="shared" ca="1" si="78"/>
        <v>28000</v>
      </c>
      <c r="J421">
        <v>25</v>
      </c>
      <c r="K421" t="str">
        <f t="shared" ca="1" si="79"/>
        <v>No</v>
      </c>
      <c r="L421" t="str">
        <f t="shared" ca="1" si="80"/>
        <v>General Fitness</v>
      </c>
      <c r="M421" t="str">
        <f t="shared" ca="1" si="81"/>
        <v>Active</v>
      </c>
      <c r="N421" s="2">
        <v>46111</v>
      </c>
      <c r="Q421" t="str">
        <f ca="1">IF(RAND()&lt;0.2,
    IF(RAND()&lt;0.5, LOWER(C421), UPPER(C421)),
    C421
)</f>
        <v>Bangalore</v>
      </c>
      <c r="R421">
        <f t="shared" ca="1" si="73"/>
        <v>25</v>
      </c>
      <c r="S421">
        <f t="shared" ca="1" si="74"/>
        <v>3500</v>
      </c>
      <c r="T421">
        <f t="shared" ca="1" si="75"/>
        <v>45843</v>
      </c>
      <c r="U421" s="2">
        <f t="shared" ca="1" si="76"/>
        <v>46111</v>
      </c>
    </row>
    <row r="422" spans="1:21">
      <c r="A422" t="str">
        <f t="shared" si="72"/>
        <v>MEM0421</v>
      </c>
      <c r="B422" t="str">
        <f ca="1">INDEX('Name pool'!A:A, RANDBETWEEN(2, COUNTA('Name pool'!A:A))) &amp; " " &amp; INDEX('Name pool'!B:B, RANDBETWEEN(2, COUNTA('Name pool'!B:B)))</f>
        <v>Divya Pillai</v>
      </c>
      <c r="C422" t="s">
        <v>77</v>
      </c>
      <c r="D422" t="str">
        <f t="shared" ca="1" si="71"/>
        <v>BR07</v>
      </c>
      <c r="E422" t="str">
        <f t="shared" ca="1" si="77"/>
        <v>Standard</v>
      </c>
      <c r="F422" s="2">
        <v>45439</v>
      </c>
      <c r="G422" s="2">
        <v>45804</v>
      </c>
      <c r="H422">
        <v>1000</v>
      </c>
      <c r="I422">
        <f t="shared" ca="1" si="78"/>
        <v>10000</v>
      </c>
      <c r="J422">
        <v>10</v>
      </c>
      <c r="K422" t="str">
        <f t="shared" ca="1" si="79"/>
        <v>Yes</v>
      </c>
      <c r="L422" t="str">
        <f t="shared" ca="1" si="80"/>
        <v>Weight Loss</v>
      </c>
      <c r="M422" t="str">
        <f t="shared" ca="1" si="81"/>
        <v>Active</v>
      </c>
      <c r="N422" s="2">
        <v>46032</v>
      </c>
      <c r="Q422" t="str">
        <f ca="1">IF(RAND()&lt;0.2,
    IF(RAND()&lt;0.5, LOWER(C422), UPPER(C422)),
    C422
)</f>
        <v>Chennai</v>
      </c>
      <c r="R422">
        <f t="shared" ca="1" si="73"/>
        <v>10</v>
      </c>
      <c r="S422">
        <f t="shared" ca="1" si="74"/>
        <v>1000</v>
      </c>
      <c r="T422">
        <f t="shared" ca="1" si="75"/>
        <v>45578</v>
      </c>
      <c r="U422" s="2">
        <f t="shared" ca="1" si="76"/>
        <v>46032</v>
      </c>
    </row>
    <row r="423" spans="1:21">
      <c r="A423" t="str">
        <f t="shared" si="72"/>
        <v>MEM0422</v>
      </c>
      <c r="B423" t="str">
        <f ca="1">INDEX('Name pool'!A:A, RANDBETWEEN(2, COUNTA('Name pool'!A:A))) &amp; " " &amp; INDEX('Name pool'!B:B, RANDBETWEEN(2, COUNTA('Name pool'!B:B)))</f>
        <v>Varun Patel</v>
      </c>
      <c r="C423" t="s">
        <v>75</v>
      </c>
      <c r="D423" t="str">
        <f t="shared" ca="1" si="71"/>
        <v>BR07</v>
      </c>
      <c r="E423" t="str">
        <f t="shared" ca="1" si="77"/>
        <v>Standard</v>
      </c>
      <c r="F423" s="2">
        <v>45478</v>
      </c>
      <c r="G423" s="2">
        <v>45568</v>
      </c>
      <c r="H423">
        <v>2000</v>
      </c>
      <c r="I423">
        <f t="shared" ca="1" si="78"/>
        <v>6000</v>
      </c>
      <c r="J423">
        <v>12</v>
      </c>
      <c r="K423" t="str">
        <f t="shared" ca="1" si="79"/>
        <v>No</v>
      </c>
      <c r="L423" t="str">
        <f t="shared" ca="1" si="80"/>
        <v>General Fitness</v>
      </c>
      <c r="M423" t="str">
        <f t="shared" ca="1" si="81"/>
        <v>Active</v>
      </c>
      <c r="N423" s="2">
        <v>45909</v>
      </c>
      <c r="Q423" t="str">
        <f ca="1">IF(RAND()&lt;0.2,
    IF(RAND()&lt;0.5, LOWER(C423), UPPER(C423)),
    C423
)</f>
        <v>BANGALORE</v>
      </c>
      <c r="R423">
        <f t="shared" ca="1" si="73"/>
        <v>12</v>
      </c>
      <c r="S423">
        <f t="shared" ca="1" si="74"/>
        <v>2000</v>
      </c>
      <c r="T423">
        <f t="shared" ca="1" si="75"/>
        <v>45297</v>
      </c>
      <c r="U423" s="2">
        <f t="shared" ca="1" si="76"/>
        <v>45909</v>
      </c>
    </row>
    <row r="424" spans="1:21">
      <c r="A424" t="str">
        <f t="shared" si="72"/>
        <v>MEM0423</v>
      </c>
      <c r="B424" t="str">
        <f ca="1">INDEX('Name pool'!A:A, RANDBETWEEN(2, COUNTA('Name pool'!A:A))) &amp; " " &amp; INDEX('Name pool'!B:B, RANDBETWEEN(2, COUNTA('Name pool'!B:B)))</f>
        <v>Deepak Naidu</v>
      </c>
      <c r="C424" t="s">
        <v>85</v>
      </c>
      <c r="D424" t="str">
        <f t="shared" ca="1" si="71"/>
        <v>BR02</v>
      </c>
      <c r="E424" t="str">
        <f t="shared" ca="1" si="77"/>
        <v>Standard</v>
      </c>
      <c r="F424" s="2">
        <v>45176</v>
      </c>
      <c r="G424" s="2">
        <v>45541</v>
      </c>
      <c r="H424">
        <v>2000</v>
      </c>
      <c r="I424">
        <f t="shared" ca="1" si="78"/>
        <v>12000</v>
      </c>
      <c r="J424" t="s">
        <v>111</v>
      </c>
      <c r="K424" t="str">
        <f t="shared" ca="1" si="79"/>
        <v>No</v>
      </c>
      <c r="L424" t="str">
        <f t="shared" ca="1" si="80"/>
        <v>Weight Loss</v>
      </c>
      <c r="M424" t="str">
        <f t="shared" ca="1" si="81"/>
        <v>Active</v>
      </c>
      <c r="N424" s="2">
        <v>45473</v>
      </c>
      <c r="Q424" t="str">
        <f ca="1">IF(RAND()&lt;0.2,
    IF(RAND()&lt;0.5, LOWER(C424), UPPER(C424)),
    C424
)</f>
        <v>Calicut</v>
      </c>
      <c r="R424" t="str">
        <f t="shared" ca="1" si="73"/>
        <v>23 visits</v>
      </c>
      <c r="S424">
        <f t="shared" ca="1" si="74"/>
        <v>2000</v>
      </c>
      <c r="T424">
        <f t="shared" ca="1" si="75"/>
        <v>45467</v>
      </c>
      <c r="U424" s="2">
        <f t="shared" ca="1" si="76"/>
        <v>45473</v>
      </c>
    </row>
    <row r="425" spans="1:21">
      <c r="A425" t="str">
        <f t="shared" si="72"/>
        <v>MEM0424</v>
      </c>
      <c r="B425" t="str">
        <f ca="1">INDEX('Name pool'!A:A, RANDBETWEEN(2, COUNTA('Name pool'!A:A))) &amp; " " &amp; INDEX('Name pool'!B:B, RANDBETWEEN(2, COUNTA('Name pool'!B:B)))</f>
        <v>Deepak Chatterjee</v>
      </c>
      <c r="C425" t="s">
        <v>115</v>
      </c>
      <c r="D425" t="str">
        <f t="shared" ca="1" si="71"/>
        <v>BR04</v>
      </c>
      <c r="E425" t="str">
        <f t="shared" ca="1" si="77"/>
        <v>Standard</v>
      </c>
      <c r="F425" s="2">
        <v>45183</v>
      </c>
      <c r="G425" s="2">
        <v>45213</v>
      </c>
      <c r="H425">
        <v>1000</v>
      </c>
      <c r="I425">
        <f t="shared" ca="1" si="78"/>
        <v>11000</v>
      </c>
      <c r="J425">
        <v>1</v>
      </c>
      <c r="K425" t="str">
        <f t="shared" ca="1" si="79"/>
        <v>No</v>
      </c>
      <c r="L425" t="str">
        <f t="shared" ca="1" si="80"/>
        <v>General Fitness</v>
      </c>
      <c r="M425" t="str">
        <f t="shared" ca="1" si="81"/>
        <v>Cancelled</v>
      </c>
      <c r="N425" s="2">
        <v>45216</v>
      </c>
      <c r="Q425" t="str">
        <f ca="1">IF(RAND()&lt;0.2,
    IF(RAND()&lt;0.5, LOWER(C425), UPPER(C425)),
    C425
)</f>
        <v>CHENNAI</v>
      </c>
      <c r="R425">
        <f t="shared" ca="1" si="73"/>
        <v>1</v>
      </c>
      <c r="S425">
        <f t="shared" ca="1" si="74"/>
        <v>1000</v>
      </c>
      <c r="T425">
        <f t="shared" ca="1" si="75"/>
        <v>45315</v>
      </c>
      <c r="U425" s="2">
        <f t="shared" ca="1" si="76"/>
        <v>45231</v>
      </c>
    </row>
    <row r="426" spans="1:21">
      <c r="A426" t="str">
        <f t="shared" si="72"/>
        <v>MEM0425</v>
      </c>
      <c r="B426" t="str">
        <f ca="1">INDEX('Name pool'!A:A, RANDBETWEEN(2, COUNTA('Name pool'!A:A))) &amp; " " &amp; INDEX('Name pool'!B:B, RANDBETWEEN(2, COUNTA('Name pool'!B:B)))</f>
        <v>Divya Khan</v>
      </c>
      <c r="C426" t="s">
        <v>83</v>
      </c>
      <c r="D426" t="str">
        <f t="shared" ca="1" si="71"/>
        <v>BR01</v>
      </c>
      <c r="E426" t="str">
        <f t="shared" ca="1" si="77"/>
        <v>Standard</v>
      </c>
      <c r="F426" s="2">
        <v>45500</v>
      </c>
      <c r="G426" s="2">
        <v>45530</v>
      </c>
      <c r="H426">
        <v>3500</v>
      </c>
      <c r="I426">
        <f t="shared" ca="1" si="78"/>
        <v>7000</v>
      </c>
      <c r="J426">
        <v>5</v>
      </c>
      <c r="K426" t="str">
        <f t="shared" ca="1" si="79"/>
        <v>Yes</v>
      </c>
      <c r="L426" t="str">
        <f t="shared" ca="1" si="80"/>
        <v>General Fitness</v>
      </c>
      <c r="M426" t="str">
        <f t="shared" ca="1" si="81"/>
        <v>Active</v>
      </c>
      <c r="N426" s="2">
        <v>45750</v>
      </c>
      <c r="Q426" t="str">
        <f ca="1">IF(RAND()&lt;0.2,
    IF(RAND()&lt;0.5, LOWER(C426), UPPER(C426)),
    C426
)</f>
        <v>Trivandrum</v>
      </c>
      <c r="R426">
        <f t="shared" ca="1" si="73"/>
        <v>5</v>
      </c>
      <c r="S426">
        <f t="shared" ca="1" si="74"/>
        <v>3500</v>
      </c>
      <c r="T426">
        <f t="shared" ca="1" si="75"/>
        <v>45640</v>
      </c>
      <c r="U426" s="2">
        <f t="shared" ca="1" si="76"/>
        <v>45750</v>
      </c>
    </row>
    <row r="427" spans="1:21">
      <c r="A427" t="str">
        <f t="shared" si="72"/>
        <v>MEM0426</v>
      </c>
      <c r="B427" t="str">
        <f ca="1">INDEX('Name pool'!A:A, RANDBETWEEN(2, COUNTA('Name pool'!A:A))) &amp; " " &amp; INDEX('Name pool'!B:B, RANDBETWEEN(2, COUNTA('Name pool'!B:B)))</f>
        <v>Zara Nambiar</v>
      </c>
      <c r="C427" t="s">
        <v>81</v>
      </c>
      <c r="D427" t="str">
        <f t="shared" ca="1" si="71"/>
        <v>BR05</v>
      </c>
      <c r="E427" t="str">
        <f t="shared" ca="1" si="77"/>
        <v>Basic</v>
      </c>
      <c r="F427" s="2">
        <v>45758</v>
      </c>
      <c r="G427" s="2">
        <v>46123</v>
      </c>
      <c r="H427">
        <v>3500</v>
      </c>
      <c r="I427">
        <f t="shared" ca="1" si="78"/>
        <v>21000</v>
      </c>
      <c r="J427">
        <v>13</v>
      </c>
      <c r="K427" t="str">
        <f t="shared" ca="1" si="79"/>
        <v>Yes</v>
      </c>
      <c r="L427" t="str">
        <f t="shared" ca="1" si="80"/>
        <v>Weight Loss</v>
      </c>
      <c r="M427" t="str">
        <f t="shared" ca="1" si="81"/>
        <v>Active</v>
      </c>
      <c r="N427" s="2">
        <v>46042</v>
      </c>
      <c r="Q427" t="str">
        <f ca="1">IF(RAND()&lt;0.2,
    IF(RAND()&lt;0.5, LOWER(C427), UPPER(C427)),
    C427
)</f>
        <v>Mumbai</v>
      </c>
      <c r="R427" t="str">
        <f t="shared" ca="1" si="73"/>
        <v>13 visits</v>
      </c>
      <c r="S427">
        <f t="shared" ca="1" si="74"/>
        <v>3500</v>
      </c>
      <c r="T427">
        <f t="shared" ca="1" si="75"/>
        <v>45253</v>
      </c>
      <c r="U427" s="2">
        <f t="shared" ca="1" si="76"/>
        <v>46042</v>
      </c>
    </row>
    <row r="428" spans="1:21">
      <c r="A428" t="str">
        <f t="shared" si="72"/>
        <v>MEM0427</v>
      </c>
      <c r="B428" t="str">
        <f ca="1">INDEX('Name pool'!A:A, RANDBETWEEN(2, COUNTA('Name pool'!A:A))) &amp; " " &amp; INDEX('Name pool'!B:B, RANDBETWEEN(2, COUNTA('Name pool'!B:B)))</f>
        <v>Nikhil Naidu</v>
      </c>
      <c r="C428" t="s">
        <v>129</v>
      </c>
      <c r="D428" t="str">
        <f t="shared" ca="1" si="71"/>
        <v>BR03</v>
      </c>
      <c r="E428" t="str">
        <f t="shared" ca="1" si="77"/>
        <v>Premium</v>
      </c>
      <c r="F428" s="2">
        <v>44948</v>
      </c>
      <c r="G428" s="2">
        <v>44978</v>
      </c>
      <c r="H428">
        <v>2000</v>
      </c>
      <c r="I428">
        <f t="shared" ca="1" si="78"/>
        <v>18000</v>
      </c>
      <c r="J428">
        <v>17</v>
      </c>
      <c r="K428" t="str">
        <f t="shared" ca="1" si="79"/>
        <v>Yes</v>
      </c>
      <c r="L428" t="str">
        <f t="shared" ca="1" si="80"/>
        <v>Muscle Gain</v>
      </c>
      <c r="M428" t="str">
        <f t="shared" ca="1" si="81"/>
        <v>Active</v>
      </c>
      <c r="N428" s="2">
        <v>45810</v>
      </c>
      <c r="Q428" t="str">
        <f ca="1">IF(RAND()&lt;0.2,
    IF(RAND()&lt;0.5, LOWER(C428), UPPER(C428)),
    C428
)</f>
        <v>HYDERABAD</v>
      </c>
      <c r="R428">
        <f t="shared" ca="1" si="73"/>
        <v>17</v>
      </c>
      <c r="S428">
        <f t="shared" ca="1" si="74"/>
        <v>2000</v>
      </c>
      <c r="T428">
        <f t="shared" ca="1" si="75"/>
        <v>45654</v>
      </c>
      <c r="U428" s="2">
        <f t="shared" ca="1" si="76"/>
        <v>45810</v>
      </c>
    </row>
    <row r="429" spans="1:21">
      <c r="A429" t="str">
        <f t="shared" si="72"/>
        <v>MEM0428</v>
      </c>
      <c r="B429" t="str">
        <f ca="1">INDEX('Name pool'!A:A, RANDBETWEEN(2, COUNTA('Name pool'!A:A))) &amp; " " &amp; INDEX('Name pool'!B:B, RANDBETWEEN(2, COUNTA('Name pool'!B:B)))</f>
        <v>Anjali Chatterjee</v>
      </c>
      <c r="C429" t="s">
        <v>85</v>
      </c>
      <c r="D429" t="str">
        <f t="shared" ca="1" si="71"/>
        <v>BR07</v>
      </c>
      <c r="E429" t="str">
        <f t="shared" ca="1" si="77"/>
        <v>Premium</v>
      </c>
      <c r="F429" s="2">
        <v>45923</v>
      </c>
      <c r="G429" s="2">
        <v>45953</v>
      </c>
      <c r="H429">
        <v>2000</v>
      </c>
      <c r="I429">
        <f t="shared" ca="1" si="78"/>
        <v>14000</v>
      </c>
      <c r="J429" t="s">
        <v>143</v>
      </c>
      <c r="K429" t="str">
        <f t="shared" ca="1" si="79"/>
        <v>Yes</v>
      </c>
      <c r="L429" t="str">
        <f t="shared" ca="1" si="80"/>
        <v>Muscle Gain</v>
      </c>
      <c r="M429" t="str">
        <f t="shared" ca="1" si="81"/>
        <v>Active</v>
      </c>
      <c r="N429" s="2">
        <v>45961</v>
      </c>
      <c r="Q429" t="str">
        <f ca="1">IF(RAND()&lt;0.2,
    IF(RAND()&lt;0.5, LOWER(C429), UPPER(C429)),
    C429
)</f>
        <v>Calicut</v>
      </c>
      <c r="R429" t="str">
        <f t="shared" ca="1" si="73"/>
        <v>9 visits</v>
      </c>
      <c r="S429">
        <f t="shared" ca="1" si="74"/>
        <v>2000</v>
      </c>
      <c r="T429">
        <f t="shared" ca="1" si="75"/>
        <v>45004</v>
      </c>
      <c r="U429" s="2">
        <f t="shared" ca="1" si="76"/>
        <v>45961</v>
      </c>
    </row>
    <row r="430" spans="1:21">
      <c r="A430" t="str">
        <f t="shared" si="72"/>
        <v>MEM0429</v>
      </c>
      <c r="B430" t="str">
        <f ca="1">INDEX('Name pool'!A:A, RANDBETWEEN(2, COUNTA('Name pool'!A:A))) &amp; " " &amp; INDEX('Name pool'!B:B, RANDBETWEEN(2, COUNTA('Name pool'!B:B)))</f>
        <v>Anjali Banerjee</v>
      </c>
      <c r="C430" t="s">
        <v>121</v>
      </c>
      <c r="D430" t="str">
        <f t="shared" ca="1" si="71"/>
        <v>BR01</v>
      </c>
      <c r="E430" t="str">
        <f t="shared" ca="1" si="77"/>
        <v>Basic</v>
      </c>
      <c r="F430" s="2">
        <v>45438</v>
      </c>
      <c r="G430" s="2">
        <v>45468</v>
      </c>
      <c r="H430">
        <v>2000</v>
      </c>
      <c r="I430">
        <f t="shared" ca="1" si="78"/>
        <v>6000</v>
      </c>
      <c r="J430">
        <v>12</v>
      </c>
      <c r="K430" t="str">
        <f t="shared" ca="1" si="79"/>
        <v>Yes</v>
      </c>
      <c r="L430" t="str">
        <f t="shared" ca="1" si="80"/>
        <v>General Fitness</v>
      </c>
      <c r="M430" t="str">
        <f t="shared" ca="1" si="81"/>
        <v>Active</v>
      </c>
      <c r="N430" s="2">
        <v>45865</v>
      </c>
      <c r="Q430" t="str">
        <f ca="1">IF(RAND()&lt;0.2,
    IF(RAND()&lt;0.5, LOWER(C430), UPPER(C430)),
    C430
)</f>
        <v>MUMBAI</v>
      </c>
      <c r="R430">
        <f t="shared" ca="1" si="73"/>
        <v>12</v>
      </c>
      <c r="S430">
        <f t="shared" ca="1" si="74"/>
        <v>2000</v>
      </c>
      <c r="T430">
        <f t="shared" ca="1" si="75"/>
        <v>45065</v>
      </c>
      <c r="U430" s="2">
        <f t="shared" ca="1" si="76"/>
        <v>45865</v>
      </c>
    </row>
    <row r="431" spans="1:21">
      <c r="A431" t="str">
        <f t="shared" si="72"/>
        <v>MEM0430</v>
      </c>
      <c r="B431" t="str">
        <f ca="1">INDEX('Name pool'!A:A, RANDBETWEEN(2, COUNTA('Name pool'!A:A))) &amp; " " &amp; INDEX('Name pool'!B:B, RANDBETWEEN(2, COUNTA('Name pool'!B:B)))</f>
        <v>Rahul Varghese</v>
      </c>
      <c r="C431" t="s">
        <v>85</v>
      </c>
      <c r="D431" t="str">
        <f t="shared" ca="1" si="71"/>
        <v>BR07</v>
      </c>
      <c r="E431" t="str">
        <f t="shared" ca="1" si="77"/>
        <v>Basic</v>
      </c>
      <c r="F431" s="2">
        <v>45231</v>
      </c>
      <c r="G431" s="2">
        <v>45261</v>
      </c>
      <c r="H431">
        <v>2000</v>
      </c>
      <c r="I431">
        <f t="shared" ca="1" si="78"/>
        <v>12000</v>
      </c>
      <c r="J431">
        <v>16</v>
      </c>
      <c r="K431" t="str">
        <f t="shared" ca="1" si="79"/>
        <v>No</v>
      </c>
      <c r="L431" t="str">
        <f t="shared" ca="1" si="80"/>
        <v>Weight Loss</v>
      </c>
      <c r="M431" t="str">
        <f t="shared" ca="1" si="81"/>
        <v>Active</v>
      </c>
      <c r="N431" s="2">
        <v>46115</v>
      </c>
      <c r="Q431" t="str">
        <f ca="1">IF(RAND()&lt;0.2,
    IF(RAND()&lt;0.5, LOWER(C431), UPPER(C431)),
    C431
)</f>
        <v>Calicut</v>
      </c>
      <c r="R431">
        <f t="shared" ca="1" si="73"/>
        <v>16</v>
      </c>
      <c r="S431">
        <f t="shared" ca="1" si="74"/>
        <v>2000</v>
      </c>
      <c r="T431">
        <f t="shared" ca="1" si="75"/>
        <v>45524</v>
      </c>
      <c r="U431" s="2">
        <f t="shared" ca="1" si="76"/>
        <v>46115</v>
      </c>
    </row>
    <row r="432" spans="1:21">
      <c r="A432" t="str">
        <f t="shared" si="72"/>
        <v>MEM0431</v>
      </c>
      <c r="B432" t="str">
        <f ca="1">INDEX('Name pool'!A:A, RANDBETWEEN(2, COUNTA('Name pool'!A:A))) &amp; " " &amp; INDEX('Name pool'!B:B, RANDBETWEEN(2, COUNTA('Name pool'!B:B)))</f>
        <v>Harish Joshi</v>
      </c>
      <c r="C432" t="s">
        <v>81</v>
      </c>
      <c r="D432" t="str">
        <f t="shared" ca="1" si="71"/>
        <v>BR05</v>
      </c>
      <c r="E432" t="str">
        <f t="shared" ca="1" si="77"/>
        <v>Standard</v>
      </c>
      <c r="F432" s="2">
        <v>45506</v>
      </c>
      <c r="G432" s="2">
        <v>45871</v>
      </c>
      <c r="H432" t="s">
        <v>105</v>
      </c>
      <c r="I432">
        <f t="shared" ca="1" si="78"/>
        <v>38500</v>
      </c>
      <c r="J432">
        <v>24</v>
      </c>
      <c r="K432" t="str">
        <f t="shared" ca="1" si="79"/>
        <v>Yes</v>
      </c>
      <c r="L432" t="str">
        <f t="shared" ca="1" si="80"/>
        <v>Muscle Gain</v>
      </c>
      <c r="M432" t="str">
        <f t="shared" ca="1" si="81"/>
        <v>Active</v>
      </c>
      <c r="N432" s="2">
        <v>45530</v>
      </c>
      <c r="Q432" t="str">
        <f ca="1">IF(RAND()&lt;0.2,
    IF(RAND()&lt;0.5, LOWER(C432), UPPER(C432)),
    C432
)</f>
        <v>Mumbai</v>
      </c>
      <c r="R432">
        <f t="shared" ca="1" si="73"/>
        <v>24</v>
      </c>
      <c r="S432" t="str">
        <f t="shared" ca="1" si="74"/>
        <v>3500</v>
      </c>
      <c r="T432">
        <f t="shared" ca="1" si="75"/>
        <v>45345</v>
      </c>
      <c r="U432" s="2">
        <f t="shared" ca="1" si="76"/>
        <v>45530</v>
      </c>
    </row>
    <row r="433" spans="1:21">
      <c r="A433" t="str">
        <f t="shared" si="72"/>
        <v>MEM0432</v>
      </c>
      <c r="B433" t="str">
        <f ca="1">INDEX('Name pool'!A:A, RANDBETWEEN(2, COUNTA('Name pool'!A:A))) &amp; " " &amp; INDEX('Name pool'!B:B, RANDBETWEEN(2, COUNTA('Name pool'!B:B)))</f>
        <v>Ayesha Joshi</v>
      </c>
      <c r="C433" t="s">
        <v>79</v>
      </c>
      <c r="D433" t="str">
        <f t="shared" ca="1" si="71"/>
        <v>BR01</v>
      </c>
      <c r="E433" t="str">
        <f t="shared" ca="1" si="77"/>
        <v>Premium</v>
      </c>
      <c r="F433" s="2">
        <v>45346</v>
      </c>
      <c r="G433" s="2">
        <v>45376</v>
      </c>
      <c r="H433">
        <v>3500</v>
      </c>
      <c r="I433">
        <f t="shared" ca="1" si="78"/>
        <v>24500</v>
      </c>
      <c r="J433">
        <v>13</v>
      </c>
      <c r="K433" t="str">
        <f t="shared" ca="1" si="79"/>
        <v>No</v>
      </c>
      <c r="L433" t="str">
        <f t="shared" ca="1" si="80"/>
        <v>Muscle Gain</v>
      </c>
      <c r="M433" t="str">
        <f t="shared" ca="1" si="81"/>
        <v>Active</v>
      </c>
      <c r="N433" s="2">
        <v>45520</v>
      </c>
      <c r="Q433" t="str">
        <f ca="1">IF(RAND()&lt;0.2,
    IF(RAND()&lt;0.5, LOWER(C433), UPPER(C433)),
    C433
)</f>
        <v>Hyderabad</v>
      </c>
      <c r="R433">
        <f t="shared" ca="1" si="73"/>
        <v>13</v>
      </c>
      <c r="S433">
        <f t="shared" ca="1" si="74"/>
        <v>3500</v>
      </c>
      <c r="T433">
        <f t="shared" ca="1" si="75"/>
        <v>45768</v>
      </c>
      <c r="U433" s="2">
        <f t="shared" ca="1" si="76"/>
        <v>45520</v>
      </c>
    </row>
    <row r="434" spans="1:21">
      <c r="A434" t="str">
        <f t="shared" si="72"/>
        <v>MEM0433</v>
      </c>
      <c r="B434" t="str">
        <f ca="1">INDEX('Name pool'!A:A, RANDBETWEEN(2, COUNTA('Name pool'!A:A))) &amp; " " &amp; INDEX('Name pool'!B:B, RANDBETWEEN(2, COUNTA('Name pool'!B:B)))</f>
        <v>Siddharth Kapoor</v>
      </c>
      <c r="C434" t="s">
        <v>77</v>
      </c>
      <c r="D434" t="str">
        <f t="shared" ca="1" si="71"/>
        <v>BR07</v>
      </c>
      <c r="E434" t="str">
        <f t="shared" ca="1" si="77"/>
        <v>Basic</v>
      </c>
      <c r="F434" s="2">
        <v>45873</v>
      </c>
      <c r="G434" s="2">
        <v>45963</v>
      </c>
      <c r="H434">
        <v>2000</v>
      </c>
      <c r="I434">
        <f t="shared" ca="1" si="78"/>
        <v>20000</v>
      </c>
      <c r="J434">
        <v>17</v>
      </c>
      <c r="K434" t="str">
        <f t="shared" ca="1" si="79"/>
        <v>Yes</v>
      </c>
      <c r="L434" t="str">
        <f t="shared" ca="1" si="80"/>
        <v>General Fitness</v>
      </c>
      <c r="M434" t="str">
        <f t="shared" ca="1" si="81"/>
        <v>Active</v>
      </c>
      <c r="N434" s="2">
        <v>45949</v>
      </c>
      <c r="Q434" t="str">
        <f ca="1">IF(RAND()&lt;0.2,
    IF(RAND()&lt;0.5, LOWER(C434), UPPER(C434)),
    C434
)</f>
        <v>Chennai</v>
      </c>
      <c r="R434">
        <f t="shared" ca="1" si="73"/>
        <v>17</v>
      </c>
      <c r="S434">
        <f t="shared" ca="1" si="74"/>
        <v>2000</v>
      </c>
      <c r="T434">
        <f t="shared" ca="1" si="75"/>
        <v>45412</v>
      </c>
      <c r="U434" s="2">
        <f t="shared" ca="1" si="76"/>
        <v>45949</v>
      </c>
    </row>
    <row r="435" spans="1:21">
      <c r="A435" t="str">
        <f t="shared" si="72"/>
        <v>MEM0434</v>
      </c>
      <c r="B435" t="str">
        <f ca="1">INDEX('Name pool'!A:A, RANDBETWEEN(2, COUNTA('Name pool'!A:A))) &amp; " " &amp; INDEX('Name pool'!B:B, RANDBETWEEN(2, COUNTA('Name pool'!B:B)))</f>
        <v>Divya Khan</v>
      </c>
      <c r="C435" t="s">
        <v>75</v>
      </c>
      <c r="D435" t="str">
        <f t="shared" ca="1" si="71"/>
        <v>BR02</v>
      </c>
      <c r="E435" t="str">
        <f t="shared" ca="1" si="77"/>
        <v>Basic</v>
      </c>
      <c r="F435" s="2">
        <v>45043</v>
      </c>
      <c r="G435" s="2">
        <v>45073</v>
      </c>
      <c r="H435" t="s">
        <v>108</v>
      </c>
      <c r="I435">
        <f t="shared" ca="1" si="78"/>
        <v>1000</v>
      </c>
      <c r="J435">
        <v>15</v>
      </c>
      <c r="K435" t="str">
        <f t="shared" ca="1" si="79"/>
        <v>Yes</v>
      </c>
      <c r="L435" t="str">
        <f t="shared" ca="1" si="80"/>
        <v>General Fitness</v>
      </c>
      <c r="M435" t="str">
        <f t="shared" ca="1" si="81"/>
        <v>Active</v>
      </c>
      <c r="N435" s="2">
        <v>45618</v>
      </c>
      <c r="Q435" t="str">
        <f ca="1">IF(RAND()&lt;0.2,
    IF(RAND()&lt;0.5, LOWER(C435), UPPER(C435)),
    C435
)</f>
        <v>Bangalore</v>
      </c>
      <c r="R435">
        <f t="shared" ca="1" si="73"/>
        <v>15</v>
      </c>
      <c r="S435" t="str">
        <f t="shared" ca="1" si="74"/>
        <v>1000</v>
      </c>
      <c r="T435">
        <f t="shared" ca="1" si="75"/>
        <v>44947</v>
      </c>
      <c r="U435" s="2">
        <f t="shared" ca="1" si="76"/>
        <v>45618</v>
      </c>
    </row>
    <row r="436" spans="1:21">
      <c r="A436" t="str">
        <f t="shared" si="72"/>
        <v>MEM0435</v>
      </c>
      <c r="B436" t="str">
        <f ca="1">INDEX('Name pool'!A:A, RANDBETWEEN(2, COUNTA('Name pool'!A:A))) &amp; " " &amp; INDEX('Name pool'!B:B, RANDBETWEEN(2, COUNTA('Name pool'!B:B)))</f>
        <v>Shreya Yadav</v>
      </c>
      <c r="C436" t="s">
        <v>73</v>
      </c>
      <c r="D436" t="str">
        <f t="shared" ca="1" si="71"/>
        <v>BR01</v>
      </c>
      <c r="E436" t="str">
        <f t="shared" ca="1" si="77"/>
        <v>Basic</v>
      </c>
      <c r="F436" s="2">
        <v>45981</v>
      </c>
      <c r="G436" s="2">
        <v>46011</v>
      </c>
      <c r="H436">
        <v>3500</v>
      </c>
      <c r="I436">
        <f t="shared" ca="1" si="78"/>
        <v>7000</v>
      </c>
      <c r="J436">
        <v>17</v>
      </c>
      <c r="K436" t="str">
        <f t="shared" ca="1" si="79"/>
        <v>Yes</v>
      </c>
      <c r="L436" t="str">
        <f t="shared" ca="1" si="80"/>
        <v>General Fitness</v>
      </c>
      <c r="M436" t="str">
        <f t="shared" ca="1" si="81"/>
        <v>Active</v>
      </c>
      <c r="N436" s="2">
        <v>46117</v>
      </c>
      <c r="Q436" t="str">
        <f ca="1">IF(RAND()&lt;0.2,
    IF(RAND()&lt;0.5, LOWER(C436), UPPER(C436)),
    C436
)</f>
        <v>Kochi</v>
      </c>
      <c r="R436">
        <f t="shared" ca="1" si="73"/>
        <v>17</v>
      </c>
      <c r="S436">
        <f t="shared" ca="1" si="74"/>
        <v>3500</v>
      </c>
      <c r="T436">
        <f t="shared" ca="1" si="75"/>
        <v>45906</v>
      </c>
      <c r="U436" s="2">
        <f t="shared" ca="1" si="76"/>
        <v>46117</v>
      </c>
    </row>
    <row r="437" spans="1:21">
      <c r="A437" t="str">
        <f t="shared" si="72"/>
        <v>MEM0436</v>
      </c>
      <c r="B437" t="str">
        <f ca="1">INDEX('Name pool'!A:A, RANDBETWEEN(2, COUNTA('Name pool'!A:A))) &amp; " " &amp; INDEX('Name pool'!B:B, RANDBETWEEN(2, COUNTA('Name pool'!B:B)))</f>
        <v>Sneha Naidu</v>
      </c>
      <c r="C437" t="s">
        <v>129</v>
      </c>
      <c r="D437" t="str">
        <f t="shared" ca="1" si="71"/>
        <v>BR06</v>
      </c>
      <c r="E437" t="str">
        <f t="shared" ca="1" si="77"/>
        <v>Standard</v>
      </c>
      <c r="F437" s="2">
        <v>45282</v>
      </c>
      <c r="G437" s="2">
        <v>45312</v>
      </c>
      <c r="H437">
        <v>2000</v>
      </c>
      <c r="I437">
        <f t="shared" ca="1" si="78"/>
        <v>20000</v>
      </c>
      <c r="J437" t="s">
        <v>144</v>
      </c>
      <c r="K437" t="str">
        <f t="shared" ca="1" si="79"/>
        <v>Yes</v>
      </c>
      <c r="L437" t="str">
        <f t="shared" ca="1" si="80"/>
        <v>Muscle Gain</v>
      </c>
      <c r="M437" t="str">
        <f t="shared" ca="1" si="81"/>
        <v>Active</v>
      </c>
      <c r="N437" s="2">
        <v>45442</v>
      </c>
      <c r="Q437" t="str">
        <f ca="1">IF(RAND()&lt;0.2,
    IF(RAND()&lt;0.5, LOWER(C437), UPPER(C437)),
    C437
)</f>
        <v>hyderabad</v>
      </c>
      <c r="R437" t="str">
        <f t="shared" ca="1" si="73"/>
        <v>15 visits</v>
      </c>
      <c r="S437">
        <f t="shared" ca="1" si="74"/>
        <v>2000</v>
      </c>
      <c r="T437">
        <f t="shared" ca="1" si="75"/>
        <v>45623</v>
      </c>
      <c r="U437" s="2">
        <f t="shared" ca="1" si="76"/>
        <v>45442</v>
      </c>
    </row>
    <row r="438" spans="1:21">
      <c r="A438" t="str">
        <f t="shared" si="72"/>
        <v>MEM0437</v>
      </c>
      <c r="B438" t="str">
        <f ca="1">INDEX('Name pool'!A:A, RANDBETWEEN(2, COUNTA('Name pool'!A:A))) &amp; " " &amp; INDEX('Name pool'!B:B, RANDBETWEEN(2, COUNTA('Name pool'!B:B)))</f>
        <v>Zara Patel</v>
      </c>
      <c r="C438" t="s">
        <v>79</v>
      </c>
      <c r="D438" t="str">
        <f t="shared" ca="1" si="71"/>
        <v>BR03</v>
      </c>
      <c r="E438" t="str">
        <f t="shared" ca="1" si="77"/>
        <v>Premium</v>
      </c>
      <c r="F438" s="2">
        <v>45347</v>
      </c>
      <c r="G438" s="2">
        <v>45437</v>
      </c>
      <c r="H438">
        <v>1000</v>
      </c>
      <c r="I438">
        <f t="shared" ca="1" si="78"/>
        <v>4000</v>
      </c>
      <c r="J438">
        <v>24</v>
      </c>
      <c r="K438" t="str">
        <f t="shared" ca="1" si="79"/>
        <v>No</v>
      </c>
      <c r="L438" t="str">
        <f t="shared" ca="1" si="80"/>
        <v>General Fitness</v>
      </c>
      <c r="M438" t="str">
        <f t="shared" ca="1" si="81"/>
        <v>Active</v>
      </c>
      <c r="N438" s="2">
        <v>45956</v>
      </c>
      <c r="Q438" t="str">
        <f ca="1">IF(RAND()&lt;0.2,
    IF(RAND()&lt;0.5, LOWER(C438), UPPER(C438)),
    C438
)</f>
        <v>Hyderabad</v>
      </c>
      <c r="R438" t="str">
        <f t="shared" ca="1" si="73"/>
        <v>24 visits</v>
      </c>
      <c r="S438">
        <f t="shared" ca="1" si="74"/>
        <v>1000</v>
      </c>
      <c r="T438">
        <f t="shared" ca="1" si="75"/>
        <v>45451</v>
      </c>
      <c r="U438" s="2">
        <f t="shared" ca="1" si="76"/>
        <v>45956</v>
      </c>
    </row>
    <row r="439" spans="1:21">
      <c r="A439" t="str">
        <f t="shared" si="72"/>
        <v>MEM0438</v>
      </c>
      <c r="B439" t="str">
        <f ca="1">INDEX('Name pool'!A:A, RANDBETWEEN(2, COUNTA('Name pool'!A:A))) &amp; " " &amp; INDEX('Name pool'!B:B, RANDBETWEEN(2, COUNTA('Name pool'!B:B)))</f>
        <v>Riya Joshi</v>
      </c>
      <c r="C439" t="s">
        <v>83</v>
      </c>
      <c r="D439" t="str">
        <f t="shared" ca="1" si="71"/>
        <v>BR03</v>
      </c>
      <c r="E439" t="str">
        <f t="shared" ca="1" si="77"/>
        <v>Basic</v>
      </c>
      <c r="F439" s="2">
        <v>45457</v>
      </c>
      <c r="G439" s="2">
        <v>45822</v>
      </c>
      <c r="H439">
        <v>2000</v>
      </c>
      <c r="I439">
        <f t="shared" ca="1" si="78"/>
        <v>4000</v>
      </c>
      <c r="J439">
        <v>23</v>
      </c>
      <c r="K439" t="str">
        <f t="shared" ca="1" si="79"/>
        <v>No</v>
      </c>
      <c r="L439" t="str">
        <f t="shared" ca="1" si="80"/>
        <v>Weight Loss</v>
      </c>
      <c r="M439" t="str">
        <f t="shared" ca="1" si="81"/>
        <v>Active</v>
      </c>
      <c r="N439" s="2">
        <v>45850</v>
      </c>
      <c r="Q439" t="str">
        <f ca="1">IF(RAND()&lt;0.2,
    IF(RAND()&lt;0.5, LOWER(C439), UPPER(C439)),
    C439
)</f>
        <v>Trivandrum</v>
      </c>
      <c r="R439">
        <f t="shared" ca="1" si="73"/>
        <v>23</v>
      </c>
      <c r="S439" t="str">
        <f t="shared" ca="1" si="74"/>
        <v>2000</v>
      </c>
      <c r="T439">
        <f t="shared" ca="1" si="75"/>
        <v>45993</v>
      </c>
      <c r="U439" s="2">
        <f t="shared" ca="1" si="76"/>
        <v>45850</v>
      </c>
    </row>
    <row r="440" spans="1:21">
      <c r="A440" t="str">
        <f t="shared" si="72"/>
        <v>MEM0439</v>
      </c>
      <c r="B440" t="str">
        <f ca="1">INDEX('Name pool'!A:A, RANDBETWEEN(2, COUNTA('Name pool'!A:A))) &amp; " " &amp; INDEX('Name pool'!B:B, RANDBETWEEN(2, COUNTA('Name pool'!B:B)))</f>
        <v>Vivek Joshi</v>
      </c>
      <c r="C440" t="s">
        <v>73</v>
      </c>
      <c r="D440" t="str">
        <f t="shared" ca="1" si="71"/>
        <v>BR04</v>
      </c>
      <c r="E440" t="str">
        <f t="shared" ca="1" si="77"/>
        <v>Basic</v>
      </c>
      <c r="F440" s="2">
        <v>45443</v>
      </c>
      <c r="G440" s="2">
        <v>45533</v>
      </c>
      <c r="H440" t="s">
        <v>105</v>
      </c>
      <c r="I440">
        <f t="shared" ca="1" si="78"/>
        <v>17500</v>
      </c>
      <c r="J440">
        <v>5</v>
      </c>
      <c r="K440" t="str">
        <f t="shared" ca="1" si="79"/>
        <v>No</v>
      </c>
      <c r="L440" t="str">
        <f t="shared" ca="1" si="80"/>
        <v>General Fitness</v>
      </c>
      <c r="M440" t="str">
        <f t="shared" ca="1" si="81"/>
        <v>Active</v>
      </c>
      <c r="N440" s="2">
        <v>45938</v>
      </c>
      <c r="Q440" t="str">
        <f ca="1">IF(RAND()&lt;0.2,
    IF(RAND()&lt;0.5, LOWER(C440), UPPER(C440)),
    C440
)</f>
        <v>Kochi</v>
      </c>
      <c r="R440">
        <f t="shared" ca="1" si="73"/>
        <v>5</v>
      </c>
      <c r="S440" t="str">
        <f t="shared" ca="1" si="74"/>
        <v>3500</v>
      </c>
      <c r="T440">
        <f t="shared" ca="1" si="75"/>
        <v>45655</v>
      </c>
      <c r="U440" s="2">
        <f t="shared" ca="1" si="76"/>
        <v>45938</v>
      </c>
    </row>
    <row r="441" spans="1:21">
      <c r="A441" t="str">
        <f t="shared" si="72"/>
        <v>MEM0440</v>
      </c>
      <c r="B441" t="str">
        <f ca="1">INDEX('Name pool'!A:A, RANDBETWEEN(2, COUNTA('Name pool'!A:A))) &amp; " " &amp; INDEX('Name pool'!B:B, RANDBETWEEN(2, COUNTA('Name pool'!B:B)))</f>
        <v>Divya Menon</v>
      </c>
      <c r="C441" t="s">
        <v>119</v>
      </c>
      <c r="D441" t="str">
        <f t="shared" ca="1" si="71"/>
        <v>BR01</v>
      </c>
      <c r="E441" t="str">
        <f t="shared" ca="1" si="77"/>
        <v>Premium</v>
      </c>
      <c r="F441" s="2">
        <v>45601</v>
      </c>
      <c r="G441" s="2">
        <v>45691</v>
      </c>
      <c r="H441" t="s">
        <v>120</v>
      </c>
      <c r="I441">
        <f t="shared" ca="1" si="78"/>
        <v>12000</v>
      </c>
      <c r="J441">
        <v>18</v>
      </c>
      <c r="K441" t="str">
        <f t="shared" ca="1" si="79"/>
        <v>Yes</v>
      </c>
      <c r="L441" t="str">
        <f t="shared" ca="1" si="80"/>
        <v>General Fitness</v>
      </c>
      <c r="M441" t="str">
        <f t="shared" ca="1" si="81"/>
        <v>Active</v>
      </c>
      <c r="N441" s="2">
        <v>46086</v>
      </c>
      <c r="Q441" t="str">
        <f ca="1">IF(RAND()&lt;0.2,
    IF(RAND()&lt;0.5, LOWER(C441), UPPER(C441)),
    C441
)</f>
        <v>bangalore</v>
      </c>
      <c r="R441">
        <f t="shared" ca="1" si="73"/>
        <v>18</v>
      </c>
      <c r="S441" t="str">
        <f t="shared" ca="1" si="74"/>
        <v>2000</v>
      </c>
      <c r="T441">
        <f t="shared" ca="1" si="75"/>
        <v>45598</v>
      </c>
      <c r="U441" s="2">
        <f t="shared" ca="1" si="76"/>
        <v>46086</v>
      </c>
    </row>
    <row r="442" spans="1:21">
      <c r="A442" t="str">
        <f t="shared" si="72"/>
        <v>MEM0441</v>
      </c>
      <c r="B442" t="str">
        <f ca="1">INDEX('Name pool'!A:A, RANDBETWEEN(2, COUNTA('Name pool'!A:A))) &amp; " " &amp; INDEX('Name pool'!B:B, RANDBETWEEN(2, COUNTA('Name pool'!B:B)))</f>
        <v>Rohit Nair</v>
      </c>
      <c r="C442" t="s">
        <v>85</v>
      </c>
      <c r="D442" t="str">
        <f t="shared" ca="1" si="71"/>
        <v>BR02</v>
      </c>
      <c r="E442" t="str">
        <f t="shared" ca="1" si="77"/>
        <v>Premium</v>
      </c>
      <c r="F442" s="2">
        <v>45798</v>
      </c>
      <c r="G442" s="2">
        <v>45828</v>
      </c>
      <c r="H442">
        <v>1000</v>
      </c>
      <c r="I442">
        <f t="shared" ca="1" si="78"/>
        <v>10000</v>
      </c>
      <c r="J442">
        <v>11</v>
      </c>
      <c r="K442" t="str">
        <f t="shared" ca="1" si="79"/>
        <v>No</v>
      </c>
      <c r="L442" t="str">
        <f t="shared" ca="1" si="80"/>
        <v>Weight Loss</v>
      </c>
      <c r="M442" t="str">
        <f t="shared" ca="1" si="81"/>
        <v>Active</v>
      </c>
      <c r="N442" s="2">
        <v>45993</v>
      </c>
      <c r="Q442" t="str">
        <f ca="1">IF(RAND()&lt;0.2,
    IF(RAND()&lt;0.5, LOWER(C442), UPPER(C442)),
    C442
)</f>
        <v>Calicut</v>
      </c>
      <c r="R442">
        <f t="shared" ca="1" si="73"/>
        <v>11</v>
      </c>
      <c r="S442">
        <f t="shared" ca="1" si="74"/>
        <v>1000</v>
      </c>
      <c r="T442">
        <f t="shared" ca="1" si="75"/>
        <v>45447</v>
      </c>
      <c r="U442" s="2">
        <f t="shared" ca="1" si="76"/>
        <v>45993</v>
      </c>
    </row>
    <row r="443" spans="1:21">
      <c r="A443" t="str">
        <f t="shared" si="72"/>
        <v>MEM0442</v>
      </c>
      <c r="B443" t="str">
        <f ca="1">INDEX('Name pool'!A:A, RANDBETWEEN(2, COUNTA('Name pool'!A:A))) &amp; " " &amp; INDEX('Name pool'!B:B, RANDBETWEEN(2, COUNTA('Name pool'!B:B)))</f>
        <v>Divya Varghese</v>
      </c>
      <c r="C443" t="s">
        <v>85</v>
      </c>
      <c r="D443" t="str">
        <f t="shared" ca="1" si="71"/>
        <v>BR03</v>
      </c>
      <c r="E443" t="str">
        <f t="shared" ca="1" si="77"/>
        <v>Standard</v>
      </c>
      <c r="F443" s="2">
        <v>45623</v>
      </c>
      <c r="G443" s="2">
        <v>45653</v>
      </c>
      <c r="H443">
        <v>3500</v>
      </c>
      <c r="I443">
        <f t="shared" ca="1" si="78"/>
        <v>7000</v>
      </c>
      <c r="J443">
        <v>11</v>
      </c>
      <c r="K443" t="str">
        <f t="shared" ca="1" si="79"/>
        <v>Yes</v>
      </c>
      <c r="L443" t="str">
        <f t="shared" ca="1" si="80"/>
        <v>Weight Loss</v>
      </c>
      <c r="M443" t="str">
        <f t="shared" ca="1" si="81"/>
        <v>Active</v>
      </c>
      <c r="N443" s="2">
        <v>45897</v>
      </c>
      <c r="Q443" t="str">
        <f ca="1">IF(RAND()&lt;0.2,
    IF(RAND()&lt;0.5, LOWER(C443), UPPER(C443)),
    C443
)</f>
        <v>Calicut</v>
      </c>
      <c r="R443">
        <f t="shared" ca="1" si="73"/>
        <v>11</v>
      </c>
      <c r="S443">
        <f t="shared" ca="1" si="74"/>
        <v>3500</v>
      </c>
      <c r="T443">
        <f t="shared" ca="1" si="75"/>
        <v>45782</v>
      </c>
      <c r="U443" s="2">
        <f t="shared" ca="1" si="76"/>
        <v>45897</v>
      </c>
    </row>
    <row r="444" spans="1:21">
      <c r="A444" t="str">
        <f t="shared" si="72"/>
        <v>MEM0443</v>
      </c>
      <c r="B444" t="str">
        <f ca="1">INDEX('Name pool'!A:A, RANDBETWEEN(2, COUNTA('Name pool'!A:A))) &amp; " " &amp; INDEX('Name pool'!B:B, RANDBETWEEN(2, COUNTA('Name pool'!B:B)))</f>
        <v>Anu Lewis</v>
      </c>
      <c r="C444" t="s">
        <v>119</v>
      </c>
      <c r="D444" t="str">
        <f t="shared" ca="1" si="71"/>
        <v>BR01</v>
      </c>
      <c r="E444" t="str">
        <f t="shared" ca="1" si="77"/>
        <v>Standard</v>
      </c>
      <c r="F444" s="2">
        <v>45456</v>
      </c>
      <c r="G444" s="2">
        <v>45486</v>
      </c>
      <c r="H444">
        <v>1000</v>
      </c>
      <c r="I444">
        <f t="shared" ca="1" si="78"/>
        <v>4000</v>
      </c>
      <c r="J444">
        <v>16</v>
      </c>
      <c r="K444" t="str">
        <f t="shared" ca="1" si="79"/>
        <v>No</v>
      </c>
      <c r="L444" t="str">
        <f t="shared" ca="1" si="80"/>
        <v>General Fitness</v>
      </c>
      <c r="M444" t="str">
        <f t="shared" ca="1" si="81"/>
        <v>Active</v>
      </c>
      <c r="N444" s="2">
        <v>45937</v>
      </c>
      <c r="Q444" t="str">
        <f ca="1">IF(RAND()&lt;0.2,
    IF(RAND()&lt;0.5, LOWER(C444), UPPER(C444)),
    C444
)</f>
        <v>bangalore</v>
      </c>
      <c r="R444">
        <f t="shared" ca="1" si="73"/>
        <v>16</v>
      </c>
      <c r="S444">
        <f t="shared" ca="1" si="74"/>
        <v>1000</v>
      </c>
      <c r="T444">
        <f t="shared" ca="1" si="75"/>
        <v>45090</v>
      </c>
      <c r="U444" s="2">
        <f t="shared" ca="1" si="76"/>
        <v>45937</v>
      </c>
    </row>
    <row r="445" spans="1:21">
      <c r="A445" t="str">
        <f t="shared" si="72"/>
        <v>MEM0444</v>
      </c>
      <c r="B445" t="str">
        <f ca="1">INDEX('Name pool'!A:A, RANDBETWEEN(2, COUNTA('Name pool'!A:A))) &amp; " " &amp; INDEX('Name pool'!B:B, RANDBETWEEN(2, COUNTA('Name pool'!B:B)))</f>
        <v>Rohit Khan</v>
      </c>
      <c r="C445" t="s">
        <v>116</v>
      </c>
      <c r="D445" t="str">
        <f t="shared" ca="1" si="71"/>
        <v>BR02</v>
      </c>
      <c r="E445" t="str">
        <f t="shared" ca="1" si="77"/>
        <v>Basic</v>
      </c>
      <c r="F445" s="2">
        <v>44972</v>
      </c>
      <c r="G445" s="2">
        <v>45337</v>
      </c>
      <c r="H445">
        <v>3500</v>
      </c>
      <c r="I445">
        <f t="shared" ca="1" si="78"/>
        <v>38500</v>
      </c>
      <c r="J445" t="s">
        <v>127</v>
      </c>
      <c r="K445" t="str">
        <f t="shared" ca="1" si="79"/>
        <v>Yes</v>
      </c>
      <c r="L445" t="str">
        <f t="shared" ca="1" si="80"/>
        <v>General Fitness</v>
      </c>
      <c r="M445" t="str">
        <f t="shared" ca="1" si="81"/>
        <v>Active</v>
      </c>
      <c r="N445" s="2">
        <v>45026</v>
      </c>
      <c r="Q445" t="str">
        <f ca="1">IF(RAND()&lt;0.2,
    IF(RAND()&lt;0.5, LOWER(C445), UPPER(C445)),
    C445
)</f>
        <v>kochi</v>
      </c>
      <c r="R445" t="str">
        <f t="shared" ca="1" si="73"/>
        <v>19 visits</v>
      </c>
      <c r="S445">
        <f t="shared" ca="1" si="74"/>
        <v>3500</v>
      </c>
      <c r="T445">
        <f t="shared" ca="1" si="75"/>
        <v>45442</v>
      </c>
      <c r="U445" s="2">
        <f t="shared" ca="1" si="76"/>
        <v>45026</v>
      </c>
    </row>
    <row r="446" spans="1:21">
      <c r="A446" t="str">
        <f t="shared" si="72"/>
        <v>MEM0445</v>
      </c>
      <c r="B446" t="str">
        <f ca="1">INDEX('Name pool'!A:A, RANDBETWEEN(2, COUNTA('Name pool'!A:A))) &amp; " " &amp; INDEX('Name pool'!B:B, RANDBETWEEN(2, COUNTA('Name pool'!B:B)))</f>
        <v>Ankit Nair</v>
      </c>
      <c r="C446" t="s">
        <v>81</v>
      </c>
      <c r="D446" t="str">
        <f t="shared" ca="1" si="71"/>
        <v>BR01</v>
      </c>
      <c r="E446" t="str">
        <f t="shared" ca="1" si="77"/>
        <v>Standard</v>
      </c>
      <c r="F446" s="2">
        <v>45171</v>
      </c>
      <c r="G446" s="2">
        <v>45536</v>
      </c>
      <c r="H446">
        <v>2000</v>
      </c>
      <c r="I446">
        <f t="shared" ca="1" si="78"/>
        <v>20000</v>
      </c>
      <c r="J446">
        <v>1</v>
      </c>
      <c r="K446" t="str">
        <f t="shared" ca="1" si="79"/>
        <v>Yes</v>
      </c>
      <c r="L446" t="str">
        <f t="shared" ca="1" si="80"/>
        <v>Muscle Gain</v>
      </c>
      <c r="M446" t="str">
        <f t="shared" ca="1" si="81"/>
        <v>Cancelled</v>
      </c>
      <c r="N446" s="2">
        <v>45729</v>
      </c>
      <c r="Q446" t="str">
        <f ca="1">IF(RAND()&lt;0.2,
    IF(RAND()&lt;0.5, LOWER(C446), UPPER(C446)),
    C446
)</f>
        <v>Mumbai</v>
      </c>
      <c r="R446">
        <f t="shared" ca="1" si="73"/>
        <v>1</v>
      </c>
      <c r="S446" t="str">
        <f t="shared" ca="1" si="74"/>
        <v>2000</v>
      </c>
      <c r="T446">
        <f t="shared" ca="1" si="75"/>
        <v>45901</v>
      </c>
      <c r="U446" s="2">
        <f t="shared" ca="1" si="76"/>
        <v>45729</v>
      </c>
    </row>
    <row r="447" spans="1:21">
      <c r="A447" t="str">
        <f t="shared" si="72"/>
        <v>MEM0446</v>
      </c>
      <c r="B447" t="str">
        <f ca="1">INDEX('Name pool'!A:A, RANDBETWEEN(2, COUNTA('Name pool'!A:A))) &amp; " " &amp; INDEX('Name pool'!B:B, RANDBETWEEN(2, COUNTA('Name pool'!B:B)))</f>
        <v>Akash Malhotra</v>
      </c>
      <c r="C447" t="s">
        <v>119</v>
      </c>
      <c r="D447" t="str">
        <f t="shared" ca="1" si="71"/>
        <v>BR01</v>
      </c>
      <c r="E447" t="str">
        <f t="shared" ca="1" si="77"/>
        <v>Standard</v>
      </c>
      <c r="F447" s="2">
        <v>45381</v>
      </c>
      <c r="G447" s="2">
        <v>45471</v>
      </c>
      <c r="H447">
        <v>2000</v>
      </c>
      <c r="I447">
        <f t="shared" ca="1" si="78"/>
        <v>24000</v>
      </c>
      <c r="J447">
        <v>6</v>
      </c>
      <c r="K447" t="str">
        <f t="shared" ca="1" si="79"/>
        <v>No</v>
      </c>
      <c r="L447" t="str">
        <f t="shared" ca="1" si="80"/>
        <v>Muscle Gain</v>
      </c>
      <c r="M447" t="str">
        <f t="shared" ca="1" si="81"/>
        <v>Active</v>
      </c>
      <c r="N447" s="2">
        <v>45430</v>
      </c>
      <c r="Q447" t="str">
        <f ca="1">IF(RAND()&lt;0.2,
    IF(RAND()&lt;0.5, LOWER(C447), UPPER(C447)),
    C447
)</f>
        <v>bangalore</v>
      </c>
      <c r="R447" t="str">
        <f t="shared" ca="1" si="73"/>
        <v>6 visits</v>
      </c>
      <c r="S447">
        <f t="shared" ca="1" si="74"/>
        <v>2000</v>
      </c>
      <c r="T447">
        <f t="shared" ca="1" si="75"/>
        <v>44961</v>
      </c>
      <c r="U447" s="2">
        <f t="shared" ca="1" si="76"/>
        <v>45430</v>
      </c>
    </row>
    <row r="448" spans="1:21">
      <c r="A448" t="str">
        <f t="shared" si="72"/>
        <v>MEM0447</v>
      </c>
      <c r="B448" t="str">
        <f ca="1">INDEX('Name pool'!A:A, RANDBETWEEN(2, COUNTA('Name pool'!A:A))) &amp; " " &amp; INDEX('Name pool'!B:B, RANDBETWEEN(2, COUNTA('Name pool'!B:B)))</f>
        <v>Harish Singh</v>
      </c>
      <c r="C448" t="s">
        <v>83</v>
      </c>
      <c r="D448" t="str">
        <f t="shared" ca="1" si="71"/>
        <v>BR01</v>
      </c>
      <c r="E448" t="str">
        <f t="shared" ca="1" si="77"/>
        <v>Standard</v>
      </c>
      <c r="F448" s="2">
        <v>45062</v>
      </c>
      <c r="G448" s="2">
        <v>45092</v>
      </c>
      <c r="H448">
        <v>2000</v>
      </c>
      <c r="I448">
        <f t="shared" ca="1" si="78"/>
        <v>4000</v>
      </c>
      <c r="J448">
        <v>14</v>
      </c>
      <c r="K448" t="str">
        <f t="shared" ca="1" si="79"/>
        <v>Yes</v>
      </c>
      <c r="L448" t="str">
        <f t="shared" ca="1" si="80"/>
        <v>Weight Loss</v>
      </c>
      <c r="M448" t="str">
        <f t="shared" ca="1" si="81"/>
        <v>Active</v>
      </c>
      <c r="N448" s="2">
        <v>45151</v>
      </c>
      <c r="Q448" t="str">
        <f ca="1">IF(RAND()&lt;0.2,
    IF(RAND()&lt;0.5, LOWER(C448), UPPER(C448)),
    C448
)</f>
        <v>Trivandrum</v>
      </c>
      <c r="R448">
        <f t="shared" ca="1" si="73"/>
        <v>14</v>
      </c>
      <c r="S448">
        <f t="shared" ca="1" si="74"/>
        <v>2000</v>
      </c>
      <c r="T448">
        <f t="shared" ca="1" si="75"/>
        <v>45118</v>
      </c>
      <c r="U448" s="2">
        <f t="shared" ca="1" si="76"/>
        <v>45151</v>
      </c>
    </row>
    <row r="449" spans="1:21">
      <c r="A449" t="str">
        <f t="shared" si="72"/>
        <v>MEM0448</v>
      </c>
      <c r="B449" t="str">
        <f ca="1">INDEX('Name pool'!A:A, RANDBETWEEN(2, COUNTA('Name pool'!A:A))) &amp; " " &amp; INDEX('Name pool'!B:B, RANDBETWEEN(2, COUNTA('Name pool'!B:B)))</f>
        <v>Zara Reddy</v>
      </c>
      <c r="C449" t="s">
        <v>85</v>
      </c>
      <c r="D449" t="str">
        <f t="shared" ca="1" si="71"/>
        <v>BR05</v>
      </c>
      <c r="E449" t="str">
        <f t="shared" ca="1" si="77"/>
        <v>Premium</v>
      </c>
      <c r="F449" s="2">
        <v>46029</v>
      </c>
      <c r="G449" s="2">
        <v>46119</v>
      </c>
      <c r="H449">
        <v>1000</v>
      </c>
      <c r="I449">
        <f t="shared" ca="1" si="78"/>
        <v>12000</v>
      </c>
      <c r="J449" t="s">
        <v>144</v>
      </c>
      <c r="K449" t="str">
        <f t="shared" ca="1" si="79"/>
        <v>Yes</v>
      </c>
      <c r="L449" t="str">
        <f t="shared" ca="1" si="80"/>
        <v>General Fitness</v>
      </c>
      <c r="M449" t="str">
        <f t="shared" ca="1" si="81"/>
        <v>Active</v>
      </c>
      <c r="N449" s="2">
        <v>46052</v>
      </c>
      <c r="Q449" t="str">
        <f ca="1">IF(RAND()&lt;0.2,
    IF(RAND()&lt;0.5, LOWER(C449), UPPER(C449)),
    C449
)</f>
        <v>Calicut</v>
      </c>
      <c r="R449" t="str">
        <f t="shared" ca="1" si="73"/>
        <v>15 visits visits</v>
      </c>
      <c r="S449">
        <f t="shared" ca="1" si="74"/>
        <v>1000</v>
      </c>
      <c r="T449">
        <f t="shared" ca="1" si="75"/>
        <v>45464</v>
      </c>
      <c r="U449" s="2">
        <f t="shared" ca="1" si="76"/>
        <v>46052</v>
      </c>
    </row>
    <row r="450" spans="1:21">
      <c r="A450" t="str">
        <f t="shared" si="72"/>
        <v>MEM0449</v>
      </c>
      <c r="B450" t="str">
        <f ca="1">INDEX('Name pool'!A:A, RANDBETWEEN(2, COUNTA('Name pool'!A:A))) &amp; " " &amp; INDEX('Name pool'!B:B, RANDBETWEEN(2, COUNTA('Name pool'!B:B)))</f>
        <v>Harish Joseph</v>
      </c>
      <c r="C450" t="s">
        <v>75</v>
      </c>
      <c r="D450" t="str">
        <f t="shared" ref="D450:D513" ca="1" si="82">CHOOSE(RANDBETWEEN(1,7),"BR01","BR02","BR03","BR04","BR05","BR06","BR07")</f>
        <v>BR05</v>
      </c>
      <c r="E450" t="str">
        <f t="shared" ca="1" si="77"/>
        <v>Basic</v>
      </c>
      <c r="F450" s="2">
        <v>45608</v>
      </c>
      <c r="G450" s="2">
        <v>45638</v>
      </c>
      <c r="H450">
        <v>3500</v>
      </c>
      <c r="I450">
        <f t="shared" ca="1" si="78"/>
        <v>3500</v>
      </c>
      <c r="J450">
        <v>4</v>
      </c>
      <c r="K450" t="str">
        <f t="shared" ca="1" si="79"/>
        <v>Yes</v>
      </c>
      <c r="L450" t="str">
        <f t="shared" ca="1" si="80"/>
        <v>General Fitness</v>
      </c>
      <c r="M450" t="str">
        <f t="shared" ca="1" si="81"/>
        <v>Active</v>
      </c>
      <c r="N450" s="2">
        <v>45804</v>
      </c>
      <c r="Q450" t="str">
        <f ca="1">IF(RAND()&lt;0.2,
    IF(RAND()&lt;0.5, LOWER(C450), UPPER(C450)),
    C450
)</f>
        <v>Bangalore</v>
      </c>
      <c r="R450">
        <f t="shared" ca="1" si="73"/>
        <v>4</v>
      </c>
      <c r="S450">
        <f t="shared" ca="1" si="74"/>
        <v>3500</v>
      </c>
      <c r="T450">
        <f t="shared" ca="1" si="75"/>
        <v>46001</v>
      </c>
      <c r="U450" s="2">
        <f t="shared" ca="1" si="76"/>
        <v>45804</v>
      </c>
    </row>
    <row r="451" spans="1:21">
      <c r="A451" t="str">
        <f t="shared" ref="A451:A514" si="83">"MEM" &amp; TEXT(ROW()-1,"0000")</f>
        <v>MEM0450</v>
      </c>
      <c r="B451" t="str">
        <f ca="1">INDEX('Name pool'!A:A, RANDBETWEEN(2, COUNTA('Name pool'!A:A))) &amp; " " &amp; INDEX('Name pool'!B:B, RANDBETWEEN(2, COUNTA('Name pool'!B:B)))</f>
        <v>Swathi Malhotra</v>
      </c>
      <c r="C451" t="s">
        <v>75</v>
      </c>
      <c r="D451" t="str">
        <f t="shared" ca="1" si="82"/>
        <v>BR07</v>
      </c>
      <c r="E451" t="str">
        <f t="shared" ca="1" si="77"/>
        <v>Premium</v>
      </c>
      <c r="F451" s="2">
        <v>45635</v>
      </c>
      <c r="G451" s="2">
        <v>45725</v>
      </c>
      <c r="H451">
        <v>3500</v>
      </c>
      <c r="I451">
        <f t="shared" ca="1" si="78"/>
        <v>3500</v>
      </c>
      <c r="J451">
        <v>7</v>
      </c>
      <c r="K451" t="str">
        <f t="shared" ca="1" si="79"/>
        <v>No</v>
      </c>
      <c r="L451" t="str">
        <f t="shared" ca="1" si="80"/>
        <v>General Fitness</v>
      </c>
      <c r="M451" t="str">
        <f t="shared" ca="1" si="81"/>
        <v>Active</v>
      </c>
      <c r="N451" s="2">
        <v>45964</v>
      </c>
      <c r="Q451" t="str">
        <f ca="1">IF(RAND()&lt;0.2,
    IF(RAND()&lt;0.5, LOWER(C451), UPPER(C451)),
    C451
)</f>
        <v>Bangalore</v>
      </c>
      <c r="R451">
        <f t="shared" ref="R451:R514" ca="1" si="84">IF(RAND()&lt;0.15,
    J451 &amp; " visits",
    J451
)</f>
        <v>7</v>
      </c>
      <c r="S451">
        <f t="shared" ref="S451:S514" ca="1" si="85">IF(RAND()&lt;0.1,
    TEXT(H451,"0"),
    H451
)</f>
        <v>3500</v>
      </c>
      <c r="T451">
        <f t="shared" ref="T451:T514" ca="1" si="86">RANDBETWEEN(DATE(2023,1,1), DATE(2026,1,31))</f>
        <v>45069</v>
      </c>
      <c r="U451" s="2">
        <f t="shared" ref="U451:U514" ca="1" si="87">IF(AND(M451="Cancelled", RAND()&lt;0.5),
    F451 + RANDBETWEEN(10,50),
    N451
)</f>
        <v>45964</v>
      </c>
    </row>
    <row r="452" spans="1:21">
      <c r="A452" t="str">
        <f t="shared" si="83"/>
        <v>MEM0451</v>
      </c>
      <c r="B452" t="str">
        <f ca="1">INDEX('Name pool'!A:A, RANDBETWEEN(2, COUNTA('Name pool'!A:A))) &amp; " " &amp; INDEX('Name pool'!B:B, RANDBETWEEN(2, COUNTA('Name pool'!B:B)))</f>
        <v>Priya D’Souza</v>
      </c>
      <c r="C452" t="s">
        <v>85</v>
      </c>
      <c r="D452" t="str">
        <f t="shared" ca="1" si="82"/>
        <v>BR01</v>
      </c>
      <c r="E452" t="str">
        <f t="shared" ca="1" si="77"/>
        <v>Standard</v>
      </c>
      <c r="F452" s="2">
        <v>44985</v>
      </c>
      <c r="G452" s="2">
        <v>45075</v>
      </c>
      <c r="H452">
        <v>2000</v>
      </c>
      <c r="I452">
        <f t="shared" ca="1" si="78"/>
        <v>14000</v>
      </c>
      <c r="J452">
        <v>16</v>
      </c>
      <c r="K452" t="str">
        <f t="shared" ca="1" si="79"/>
        <v>No</v>
      </c>
      <c r="L452" t="str">
        <f t="shared" ca="1" si="80"/>
        <v>Weight Loss</v>
      </c>
      <c r="M452" t="str">
        <f t="shared" ca="1" si="81"/>
        <v>Active</v>
      </c>
      <c r="N452" s="2">
        <v>45647</v>
      </c>
      <c r="Q452" t="str">
        <f ca="1">IF(RAND()&lt;0.2,
    IF(RAND()&lt;0.5, LOWER(C452), UPPER(C452)),
    C452
)</f>
        <v>calicut</v>
      </c>
      <c r="R452">
        <f t="shared" ca="1" si="84"/>
        <v>16</v>
      </c>
      <c r="S452" t="str">
        <f t="shared" ca="1" si="85"/>
        <v>2000</v>
      </c>
      <c r="T452">
        <f t="shared" ca="1" si="86"/>
        <v>45306</v>
      </c>
      <c r="U452" s="2">
        <f t="shared" ca="1" si="87"/>
        <v>45647</v>
      </c>
    </row>
    <row r="453" spans="1:21">
      <c r="A453" t="str">
        <f t="shared" si="83"/>
        <v>MEM0452</v>
      </c>
      <c r="B453" t="str">
        <f ca="1">INDEX('Name pool'!A:A, RANDBETWEEN(2, COUNTA('Name pool'!A:A))) &amp; " " &amp; INDEX('Name pool'!B:B, RANDBETWEEN(2, COUNTA('Name pool'!B:B)))</f>
        <v>Vivek Khan</v>
      </c>
      <c r="C453" t="s">
        <v>112</v>
      </c>
      <c r="D453" t="str">
        <f t="shared" ca="1" si="82"/>
        <v>BR04</v>
      </c>
      <c r="E453" t="str">
        <f t="shared" ca="1" si="77"/>
        <v>Basic</v>
      </c>
      <c r="F453" s="2">
        <v>45278</v>
      </c>
      <c r="G453" s="2">
        <v>45308</v>
      </c>
      <c r="H453">
        <v>1000</v>
      </c>
      <c r="I453">
        <f t="shared" ca="1" si="78"/>
        <v>9000</v>
      </c>
      <c r="J453">
        <v>12</v>
      </c>
      <c r="K453" t="str">
        <f t="shared" ca="1" si="79"/>
        <v>No</v>
      </c>
      <c r="L453" t="str">
        <f t="shared" ca="1" si="80"/>
        <v>General Fitness</v>
      </c>
      <c r="M453" t="str">
        <f t="shared" ca="1" si="81"/>
        <v>Active</v>
      </c>
      <c r="N453" s="2">
        <v>45430</v>
      </c>
      <c r="Q453" t="str">
        <f ca="1">IF(RAND()&lt;0.2,
    IF(RAND()&lt;0.5, LOWER(C453), UPPER(C453)),
    C453
)</f>
        <v>HYDERABAD</v>
      </c>
      <c r="R453" t="str">
        <f t="shared" ca="1" si="84"/>
        <v>12 visits</v>
      </c>
      <c r="S453">
        <f t="shared" ca="1" si="85"/>
        <v>1000</v>
      </c>
      <c r="T453">
        <f t="shared" ca="1" si="86"/>
        <v>45813</v>
      </c>
      <c r="U453" s="2">
        <f t="shared" ca="1" si="87"/>
        <v>45430</v>
      </c>
    </row>
    <row r="454" spans="1:21">
      <c r="A454" t="str">
        <f t="shared" si="83"/>
        <v>MEM0453</v>
      </c>
      <c r="B454" t="str">
        <f ca="1">INDEX('Name pool'!A:A, RANDBETWEEN(2, COUNTA('Name pool'!A:A))) &amp; " " &amp; INDEX('Name pool'!B:B, RANDBETWEEN(2, COUNTA('Name pool'!B:B)))</f>
        <v>Riya Gupta</v>
      </c>
      <c r="C454" t="s">
        <v>85</v>
      </c>
      <c r="D454" t="str">
        <f t="shared" ca="1" si="82"/>
        <v>BR01</v>
      </c>
      <c r="E454" t="str">
        <f t="shared" ca="1" si="77"/>
        <v>Premium</v>
      </c>
      <c r="F454" s="2">
        <v>45702</v>
      </c>
      <c r="G454" s="2">
        <v>45732</v>
      </c>
      <c r="H454" t="s">
        <v>105</v>
      </c>
      <c r="I454">
        <f t="shared" ca="1" si="78"/>
        <v>7000</v>
      </c>
      <c r="J454">
        <v>21</v>
      </c>
      <c r="K454" t="str">
        <f t="shared" ca="1" si="79"/>
        <v>No</v>
      </c>
      <c r="L454" t="str">
        <f t="shared" ca="1" si="80"/>
        <v>Weight Loss</v>
      </c>
      <c r="M454" t="str">
        <f t="shared" ca="1" si="81"/>
        <v>Active</v>
      </c>
      <c r="N454" s="2">
        <v>45825</v>
      </c>
      <c r="Q454" t="str">
        <f ca="1">IF(RAND()&lt;0.2,
    IF(RAND()&lt;0.5, LOWER(C454), UPPER(C454)),
    C454
)</f>
        <v>Calicut</v>
      </c>
      <c r="R454">
        <f t="shared" ca="1" si="84"/>
        <v>21</v>
      </c>
      <c r="S454" t="str">
        <f t="shared" ca="1" si="85"/>
        <v>3500</v>
      </c>
      <c r="T454">
        <f t="shared" ca="1" si="86"/>
        <v>45288</v>
      </c>
      <c r="U454" s="2">
        <f t="shared" ca="1" si="87"/>
        <v>45825</v>
      </c>
    </row>
    <row r="455" spans="1:21">
      <c r="A455" t="str">
        <f t="shared" si="83"/>
        <v>MEM0454</v>
      </c>
      <c r="B455" t="str">
        <f ca="1">INDEX('Name pool'!A:A, RANDBETWEEN(2, COUNTA('Name pool'!A:A))) &amp; " " &amp; INDEX('Name pool'!B:B, RANDBETWEEN(2, COUNTA('Name pool'!B:B)))</f>
        <v>Vivek Malhotra</v>
      </c>
      <c r="C455" t="s">
        <v>79</v>
      </c>
      <c r="D455" t="str">
        <f t="shared" ca="1" si="82"/>
        <v>BR06</v>
      </c>
      <c r="E455" t="str">
        <f t="shared" ca="1" si="77"/>
        <v>Standard</v>
      </c>
      <c r="F455" s="2">
        <v>45575</v>
      </c>
      <c r="G455" s="2">
        <v>45605</v>
      </c>
      <c r="H455">
        <v>1000</v>
      </c>
      <c r="I455">
        <f t="shared" ca="1" si="78"/>
        <v>10000</v>
      </c>
      <c r="J455" t="s">
        <v>140</v>
      </c>
      <c r="K455" t="str">
        <f t="shared" ca="1" si="79"/>
        <v>No</v>
      </c>
      <c r="L455" t="str">
        <f t="shared" ca="1" si="80"/>
        <v>General Fitness</v>
      </c>
      <c r="M455" t="str">
        <f t="shared" ca="1" si="81"/>
        <v>Active</v>
      </c>
      <c r="N455" s="2">
        <v>45721</v>
      </c>
      <c r="Q455" t="str">
        <f ca="1">IF(RAND()&lt;0.2,
    IF(RAND()&lt;0.5, LOWER(C455), UPPER(C455)),
    C455
)</f>
        <v>Hyderabad</v>
      </c>
      <c r="R455" t="str">
        <f t="shared" ca="1" si="84"/>
        <v>18 visits</v>
      </c>
      <c r="S455">
        <f t="shared" ca="1" si="85"/>
        <v>1000</v>
      </c>
      <c r="T455">
        <f t="shared" ca="1" si="86"/>
        <v>45145</v>
      </c>
      <c r="U455" s="2">
        <f t="shared" ca="1" si="87"/>
        <v>45721</v>
      </c>
    </row>
    <row r="456" spans="1:21">
      <c r="A456" t="str">
        <f t="shared" si="83"/>
        <v>MEM0455</v>
      </c>
      <c r="B456" t="str">
        <f ca="1">INDEX('Name pool'!A:A, RANDBETWEEN(2, COUNTA('Name pool'!A:A))) &amp; " " &amp; INDEX('Name pool'!B:B, RANDBETWEEN(2, COUNTA('Name pool'!B:B)))</f>
        <v>Anu Banerjee</v>
      </c>
      <c r="C456" t="s">
        <v>73</v>
      </c>
      <c r="D456" t="str">
        <f t="shared" ca="1" si="82"/>
        <v>BR01</v>
      </c>
      <c r="E456" t="str">
        <f t="shared" ca="1" si="77"/>
        <v>Basic</v>
      </c>
      <c r="F456" s="2">
        <v>45233</v>
      </c>
      <c r="G456" s="2">
        <v>45263</v>
      </c>
      <c r="H456">
        <v>2000</v>
      </c>
      <c r="I456">
        <f t="shared" ca="1" si="78"/>
        <v>20000</v>
      </c>
      <c r="J456">
        <v>3</v>
      </c>
      <c r="K456" t="str">
        <f t="shared" ca="1" si="79"/>
        <v>Yes</v>
      </c>
      <c r="L456" t="str">
        <f t="shared" ca="1" si="80"/>
        <v>Weight Loss</v>
      </c>
      <c r="M456" t="str">
        <f t="shared" ca="1" si="81"/>
        <v>Active</v>
      </c>
      <c r="N456" s="2">
        <v>45270</v>
      </c>
      <c r="Q456" t="str">
        <f ca="1">IF(RAND()&lt;0.2,
    IF(RAND()&lt;0.5, LOWER(C456), UPPER(C456)),
    C456
)</f>
        <v>Kochi</v>
      </c>
      <c r="R456">
        <f t="shared" ca="1" si="84"/>
        <v>3</v>
      </c>
      <c r="S456">
        <f t="shared" ca="1" si="85"/>
        <v>2000</v>
      </c>
      <c r="T456">
        <f t="shared" ca="1" si="86"/>
        <v>45380</v>
      </c>
      <c r="U456" s="2">
        <f t="shared" ca="1" si="87"/>
        <v>45270</v>
      </c>
    </row>
    <row r="457" spans="1:21">
      <c r="A457" t="str">
        <f t="shared" si="83"/>
        <v>MEM0456</v>
      </c>
      <c r="B457" t="str">
        <f ca="1">INDEX('Name pool'!A:A, RANDBETWEEN(2, COUNTA('Name pool'!A:A))) &amp; " " &amp; INDEX('Name pool'!B:B, RANDBETWEEN(2, COUNTA('Name pool'!B:B)))</f>
        <v>Ishita Nair</v>
      </c>
      <c r="C457" t="s">
        <v>77</v>
      </c>
      <c r="D457" t="str">
        <f t="shared" ca="1" si="82"/>
        <v>BR03</v>
      </c>
      <c r="E457" t="str">
        <f t="shared" ca="1" si="77"/>
        <v>Standard</v>
      </c>
      <c r="F457" s="2">
        <v>45045</v>
      </c>
      <c r="G457" s="2">
        <v>45135</v>
      </c>
      <c r="H457">
        <v>1000</v>
      </c>
      <c r="I457">
        <f t="shared" ca="1" si="78"/>
        <v>6000</v>
      </c>
      <c r="J457">
        <v>19</v>
      </c>
      <c r="K457" t="str">
        <f t="shared" ca="1" si="79"/>
        <v>No</v>
      </c>
      <c r="L457" t="str">
        <f t="shared" ca="1" si="80"/>
        <v>Weight Loss</v>
      </c>
      <c r="M457" t="str">
        <f t="shared" ca="1" si="81"/>
        <v>Active</v>
      </c>
      <c r="N457" s="2">
        <v>45549</v>
      </c>
      <c r="Q457" t="str">
        <f ca="1">IF(RAND()&lt;0.2,
    IF(RAND()&lt;0.5, LOWER(C457), UPPER(C457)),
    C457
)</f>
        <v>Chennai</v>
      </c>
      <c r="R457">
        <f t="shared" ca="1" si="84"/>
        <v>19</v>
      </c>
      <c r="S457">
        <f t="shared" ca="1" si="85"/>
        <v>1000</v>
      </c>
      <c r="T457">
        <f t="shared" ca="1" si="86"/>
        <v>45673</v>
      </c>
      <c r="U457" s="2">
        <f t="shared" ca="1" si="87"/>
        <v>45549</v>
      </c>
    </row>
    <row r="458" spans="1:21">
      <c r="A458" t="str">
        <f t="shared" si="83"/>
        <v>MEM0457</v>
      </c>
      <c r="B458" t="str">
        <f ca="1">INDEX('Name pool'!A:A, RANDBETWEEN(2, COUNTA('Name pool'!A:A))) &amp; " " &amp; INDEX('Name pool'!B:B, RANDBETWEEN(2, COUNTA('Name pool'!B:B)))</f>
        <v>Siddharth Agarwal</v>
      </c>
      <c r="C458" t="s">
        <v>81</v>
      </c>
      <c r="D458" t="str">
        <f t="shared" ca="1" si="82"/>
        <v>BR03</v>
      </c>
      <c r="E458" t="str">
        <f t="shared" ca="1" si="77"/>
        <v>Premium</v>
      </c>
      <c r="F458" s="2">
        <v>45740</v>
      </c>
      <c r="G458" s="2">
        <v>45830</v>
      </c>
      <c r="H458">
        <v>2000</v>
      </c>
      <c r="I458">
        <f t="shared" ca="1" si="78"/>
        <v>16000</v>
      </c>
      <c r="J458">
        <v>16</v>
      </c>
      <c r="K458" t="str">
        <f t="shared" ca="1" si="79"/>
        <v>Yes</v>
      </c>
      <c r="L458" t="str">
        <f t="shared" ca="1" si="80"/>
        <v>Muscle Gain</v>
      </c>
      <c r="M458" t="str">
        <f t="shared" ca="1" si="81"/>
        <v>Active</v>
      </c>
      <c r="N458" s="2">
        <v>45774</v>
      </c>
      <c r="Q458" t="str">
        <f ca="1">IF(RAND()&lt;0.2,
    IF(RAND()&lt;0.5, LOWER(C458), UPPER(C458)),
    C458
)</f>
        <v>Mumbai</v>
      </c>
      <c r="R458" t="str">
        <f t="shared" ca="1" si="84"/>
        <v>16 visits</v>
      </c>
      <c r="S458">
        <f t="shared" ca="1" si="85"/>
        <v>2000</v>
      </c>
      <c r="T458">
        <f t="shared" ca="1" si="86"/>
        <v>45948</v>
      </c>
      <c r="U458" s="2">
        <f t="shared" ca="1" si="87"/>
        <v>45774</v>
      </c>
    </row>
    <row r="459" spans="1:21">
      <c r="A459" t="str">
        <f t="shared" si="83"/>
        <v>MEM0458</v>
      </c>
      <c r="B459" t="str">
        <f ca="1">INDEX('Name pool'!A:A, RANDBETWEEN(2, COUNTA('Name pool'!A:A))) &amp; " " &amp; INDEX('Name pool'!B:B, RANDBETWEEN(2, COUNTA('Name pool'!B:B)))</f>
        <v>Rahul Chatterjee</v>
      </c>
      <c r="C459" t="s">
        <v>83</v>
      </c>
      <c r="D459" t="str">
        <f t="shared" ca="1" si="82"/>
        <v>BR07</v>
      </c>
      <c r="E459" t="str">
        <f t="shared" ca="1" si="77"/>
        <v>Standard</v>
      </c>
      <c r="F459" s="2">
        <v>45560</v>
      </c>
      <c r="G459" s="2">
        <v>45650</v>
      </c>
      <c r="H459" t="s">
        <v>105</v>
      </c>
      <c r="I459">
        <f t="shared" ca="1" si="78"/>
        <v>17500</v>
      </c>
      <c r="J459">
        <v>18</v>
      </c>
      <c r="K459" t="str">
        <f t="shared" ca="1" si="79"/>
        <v>Yes</v>
      </c>
      <c r="L459" t="str">
        <f t="shared" ca="1" si="80"/>
        <v>Weight Loss</v>
      </c>
      <c r="M459" t="str">
        <f t="shared" ca="1" si="81"/>
        <v>Active</v>
      </c>
      <c r="N459" s="2">
        <v>45677</v>
      </c>
      <c r="Q459" t="str">
        <f ca="1">IF(RAND()&lt;0.2,
    IF(RAND()&lt;0.5, LOWER(C459), UPPER(C459)),
    C459
)</f>
        <v>Trivandrum</v>
      </c>
      <c r="R459">
        <f t="shared" ca="1" si="84"/>
        <v>18</v>
      </c>
      <c r="S459" t="str">
        <f t="shared" ca="1" si="85"/>
        <v>3500</v>
      </c>
      <c r="T459">
        <f t="shared" ca="1" si="86"/>
        <v>45528</v>
      </c>
      <c r="U459" s="2">
        <f t="shared" ca="1" si="87"/>
        <v>45677</v>
      </c>
    </row>
    <row r="460" spans="1:21">
      <c r="A460" t="str">
        <f t="shared" si="83"/>
        <v>MEM0459</v>
      </c>
      <c r="B460" t="str">
        <f ca="1">INDEX('Name pool'!A:A, RANDBETWEEN(2, COUNTA('Name pool'!A:A))) &amp; " " &amp; INDEX('Name pool'!B:B, RANDBETWEEN(2, COUNTA('Name pool'!B:B)))</f>
        <v>Sneha Das</v>
      </c>
      <c r="C460" t="s">
        <v>124</v>
      </c>
      <c r="D460" t="str">
        <f t="shared" ca="1" si="82"/>
        <v>BR06</v>
      </c>
      <c r="E460" t="str">
        <f t="shared" ca="1" si="77"/>
        <v>Standard</v>
      </c>
      <c r="F460" s="2">
        <v>45854</v>
      </c>
      <c r="G460" s="2">
        <v>45944</v>
      </c>
      <c r="H460" t="s">
        <v>105</v>
      </c>
      <c r="I460">
        <f t="shared" ca="1" si="78"/>
        <v>14000</v>
      </c>
      <c r="J460">
        <v>8</v>
      </c>
      <c r="K460" t="str">
        <f t="shared" ca="1" si="79"/>
        <v>No</v>
      </c>
      <c r="L460" t="str">
        <f t="shared" ca="1" si="80"/>
        <v>Weight Loss</v>
      </c>
      <c r="M460" t="str">
        <f t="shared" ca="1" si="81"/>
        <v>Active</v>
      </c>
      <c r="N460" s="2">
        <v>46075</v>
      </c>
      <c r="Q460" t="str">
        <f ca="1">IF(RAND()&lt;0.2,
    IF(RAND()&lt;0.5, LOWER(C460), UPPER(C460)),
    C460
)</f>
        <v>chennai</v>
      </c>
      <c r="R460">
        <f t="shared" ca="1" si="84"/>
        <v>8</v>
      </c>
      <c r="S460" t="str">
        <f t="shared" ca="1" si="85"/>
        <v>3500</v>
      </c>
      <c r="T460">
        <f t="shared" ca="1" si="86"/>
        <v>45138</v>
      </c>
      <c r="U460" s="2">
        <f t="shared" ca="1" si="87"/>
        <v>46075</v>
      </c>
    </row>
    <row r="461" spans="1:21">
      <c r="A461" t="str">
        <f t="shared" si="83"/>
        <v>MEM0460</v>
      </c>
      <c r="B461" t="str">
        <f ca="1">INDEX('Name pool'!A:A, RANDBETWEEN(2, COUNTA('Name pool'!A:A))) &amp; " " &amp; INDEX('Name pool'!B:B, RANDBETWEEN(2, COUNTA('Name pool'!B:B)))</f>
        <v>Kavya Menon</v>
      </c>
      <c r="C461" t="s">
        <v>75</v>
      </c>
      <c r="D461" t="str">
        <f t="shared" ca="1" si="82"/>
        <v>BR01</v>
      </c>
      <c r="E461" t="str">
        <f t="shared" ca="1" si="77"/>
        <v>Basic</v>
      </c>
      <c r="F461" s="2">
        <v>45834</v>
      </c>
      <c r="G461" s="2">
        <v>46199</v>
      </c>
      <c r="H461">
        <v>2000</v>
      </c>
      <c r="I461">
        <f t="shared" ca="1" si="78"/>
        <v>22000</v>
      </c>
      <c r="J461">
        <v>23</v>
      </c>
      <c r="K461" t="str">
        <f t="shared" ca="1" si="79"/>
        <v>No</v>
      </c>
      <c r="L461" t="str">
        <f t="shared" ca="1" si="80"/>
        <v>Weight Loss</v>
      </c>
      <c r="M461" t="str">
        <f t="shared" ca="1" si="81"/>
        <v>Active</v>
      </c>
      <c r="N461" s="2">
        <v>45994</v>
      </c>
      <c r="Q461" t="str">
        <f ca="1">IF(RAND()&lt;0.2,
    IF(RAND()&lt;0.5, LOWER(C461), UPPER(C461)),
    C461
)</f>
        <v>Bangalore</v>
      </c>
      <c r="R461">
        <f t="shared" ca="1" si="84"/>
        <v>23</v>
      </c>
      <c r="S461">
        <f t="shared" ca="1" si="85"/>
        <v>2000</v>
      </c>
      <c r="T461">
        <f t="shared" ca="1" si="86"/>
        <v>45212</v>
      </c>
      <c r="U461" s="2">
        <f t="shared" ca="1" si="87"/>
        <v>45994</v>
      </c>
    </row>
    <row r="462" spans="1:21">
      <c r="A462" t="str">
        <f t="shared" si="83"/>
        <v>MEM0461</v>
      </c>
      <c r="B462" t="str">
        <f ca="1">INDEX('Name pool'!A:A, RANDBETWEEN(2, COUNTA('Name pool'!A:A))) &amp; " " &amp; INDEX('Name pool'!B:B, RANDBETWEEN(2, COUNTA('Name pool'!B:B)))</f>
        <v>Varun Das</v>
      </c>
      <c r="C462" t="s">
        <v>83</v>
      </c>
      <c r="D462" t="str">
        <f t="shared" ca="1" si="82"/>
        <v>BR06</v>
      </c>
      <c r="E462" t="str">
        <f t="shared" ca="1" si="77"/>
        <v>Premium</v>
      </c>
      <c r="F462" s="2">
        <v>45985</v>
      </c>
      <c r="G462" s="2">
        <v>46075</v>
      </c>
      <c r="H462" t="s">
        <v>108</v>
      </c>
      <c r="I462">
        <f t="shared" ca="1" si="78"/>
        <v>2000</v>
      </c>
      <c r="J462" t="s">
        <v>145</v>
      </c>
      <c r="K462" t="str">
        <f t="shared" ca="1" si="79"/>
        <v>No</v>
      </c>
      <c r="L462" t="str">
        <f t="shared" ca="1" si="80"/>
        <v>Muscle Gain</v>
      </c>
      <c r="M462" t="str">
        <f t="shared" ca="1" si="81"/>
        <v>Active</v>
      </c>
      <c r="N462" s="2">
        <v>46088</v>
      </c>
      <c r="Q462" t="str">
        <f ca="1">IF(RAND()&lt;0.2,
    IF(RAND()&lt;0.5, LOWER(C462), UPPER(C462)),
    C462
)</f>
        <v>Trivandrum</v>
      </c>
      <c r="R462" t="str">
        <f t="shared" ca="1" si="84"/>
        <v>3 visits visits</v>
      </c>
      <c r="S462" t="str">
        <f t="shared" ca="1" si="85"/>
        <v>1000</v>
      </c>
      <c r="T462">
        <f t="shared" ca="1" si="86"/>
        <v>44976</v>
      </c>
      <c r="U462" s="2">
        <f t="shared" ca="1" si="87"/>
        <v>46088</v>
      </c>
    </row>
    <row r="463" spans="1:21">
      <c r="A463" t="str">
        <f t="shared" si="83"/>
        <v>MEM0462</v>
      </c>
      <c r="B463" t="str">
        <f ca="1">INDEX('Name pool'!A:A, RANDBETWEEN(2, COUNTA('Name pool'!A:A))) &amp; " " &amp; INDEX('Name pool'!B:B, RANDBETWEEN(2, COUNTA('Name pool'!B:B)))</f>
        <v>Rahul Varghese</v>
      </c>
      <c r="C463" t="s">
        <v>73</v>
      </c>
      <c r="D463" t="str">
        <f t="shared" ca="1" si="82"/>
        <v>BR01</v>
      </c>
      <c r="E463" t="str">
        <f t="shared" ca="1" si="77"/>
        <v>Basic</v>
      </c>
      <c r="F463" s="2">
        <v>46029</v>
      </c>
      <c r="G463" s="2">
        <v>46394</v>
      </c>
      <c r="H463">
        <v>2000</v>
      </c>
      <c r="I463">
        <f t="shared" ca="1" si="78"/>
        <v>14000</v>
      </c>
      <c r="J463" t="s">
        <v>128</v>
      </c>
      <c r="K463" t="str">
        <f t="shared" ca="1" si="79"/>
        <v>Yes</v>
      </c>
      <c r="L463" t="str">
        <f t="shared" ca="1" si="80"/>
        <v>Muscle Gain</v>
      </c>
      <c r="M463" t="str">
        <f t="shared" ca="1" si="81"/>
        <v>Active</v>
      </c>
      <c r="N463" s="2">
        <v>46042</v>
      </c>
      <c r="Q463" t="str">
        <f ca="1">IF(RAND()&lt;0.2,
    IF(RAND()&lt;0.5, LOWER(C463), UPPER(C463)),
    C463
)</f>
        <v>KOCHI</v>
      </c>
      <c r="R463" t="str">
        <f t="shared" ca="1" si="84"/>
        <v>11 visits</v>
      </c>
      <c r="S463">
        <f t="shared" ca="1" si="85"/>
        <v>2000</v>
      </c>
      <c r="T463">
        <f t="shared" ca="1" si="86"/>
        <v>45410</v>
      </c>
      <c r="U463" s="2">
        <f t="shared" ca="1" si="87"/>
        <v>46042</v>
      </c>
    </row>
    <row r="464" spans="1:21">
      <c r="A464" t="str">
        <f t="shared" si="83"/>
        <v>MEM0463</v>
      </c>
      <c r="B464" t="str">
        <f ca="1">INDEX('Name pool'!A:A, RANDBETWEEN(2, COUNTA('Name pool'!A:A))) &amp; " " &amp; INDEX('Name pool'!B:B, RANDBETWEEN(2, COUNTA('Name pool'!B:B)))</f>
        <v>Manoj D’Souza</v>
      </c>
      <c r="C464" t="s">
        <v>83</v>
      </c>
      <c r="D464" t="str">
        <f t="shared" ca="1" si="82"/>
        <v>BR02</v>
      </c>
      <c r="E464" t="str">
        <f t="shared" ca="1" si="77"/>
        <v>Basic</v>
      </c>
      <c r="F464" s="2">
        <v>45079</v>
      </c>
      <c r="G464" s="2">
        <v>45444</v>
      </c>
      <c r="H464">
        <v>2000</v>
      </c>
      <c r="I464">
        <f t="shared" ca="1" si="78"/>
        <v>8000</v>
      </c>
      <c r="J464" t="s">
        <v>146</v>
      </c>
      <c r="K464" t="str">
        <f t="shared" ca="1" si="79"/>
        <v>Yes</v>
      </c>
      <c r="L464" t="str">
        <f t="shared" ca="1" si="80"/>
        <v>Muscle Gain</v>
      </c>
      <c r="M464" t="str">
        <f t="shared" ca="1" si="81"/>
        <v>Active</v>
      </c>
      <c r="N464" s="2">
        <v>45268</v>
      </c>
      <c r="Q464" t="str">
        <f ca="1">IF(RAND()&lt;0.2,
    IF(RAND()&lt;0.5, LOWER(C464), UPPER(C464)),
    C464
)</f>
        <v>Trivandrum</v>
      </c>
      <c r="R464" t="str">
        <f t="shared" ca="1" si="84"/>
        <v>20 visits</v>
      </c>
      <c r="S464">
        <f t="shared" ca="1" si="85"/>
        <v>2000</v>
      </c>
      <c r="T464">
        <f t="shared" ca="1" si="86"/>
        <v>45556</v>
      </c>
      <c r="U464" s="2">
        <f t="shared" ca="1" si="87"/>
        <v>45268</v>
      </c>
    </row>
    <row r="465" spans="1:21">
      <c r="A465" t="str">
        <f t="shared" si="83"/>
        <v>MEM0464</v>
      </c>
      <c r="B465" t="str">
        <f ca="1">INDEX('Name pool'!A:A, RANDBETWEEN(2, COUNTA('Name pool'!A:A))) &amp; " " &amp; INDEX('Name pool'!B:B, RANDBETWEEN(2, COUNTA('Name pool'!B:B)))</f>
        <v>Vivek Pillai</v>
      </c>
      <c r="C465" t="s">
        <v>83</v>
      </c>
      <c r="D465" t="str">
        <f t="shared" ca="1" si="82"/>
        <v>BR04</v>
      </c>
      <c r="E465" t="str">
        <f t="shared" ca="1" si="77"/>
        <v>Standard</v>
      </c>
      <c r="F465" s="2">
        <v>45933</v>
      </c>
      <c r="G465" s="2">
        <v>45963</v>
      </c>
      <c r="H465">
        <v>1000</v>
      </c>
      <c r="I465">
        <f t="shared" ca="1" si="78"/>
        <v>11000</v>
      </c>
      <c r="J465">
        <v>16</v>
      </c>
      <c r="K465" t="str">
        <f t="shared" ca="1" si="79"/>
        <v>Yes</v>
      </c>
      <c r="L465" t="str">
        <f t="shared" ca="1" si="80"/>
        <v>Weight Loss</v>
      </c>
      <c r="M465" t="str">
        <f t="shared" ca="1" si="81"/>
        <v>Active</v>
      </c>
      <c r="N465" s="2">
        <v>46044</v>
      </c>
      <c r="Q465" t="str">
        <f ca="1">IF(RAND()&lt;0.2,
    IF(RAND()&lt;0.5, LOWER(C465), UPPER(C465)),
    C465
)</f>
        <v>Trivandrum</v>
      </c>
      <c r="R465">
        <f t="shared" ca="1" si="84"/>
        <v>16</v>
      </c>
      <c r="S465">
        <f t="shared" ca="1" si="85"/>
        <v>1000</v>
      </c>
      <c r="T465">
        <f t="shared" ca="1" si="86"/>
        <v>45868</v>
      </c>
      <c r="U465" s="2">
        <f t="shared" ca="1" si="87"/>
        <v>46044</v>
      </c>
    </row>
    <row r="466" spans="1:21">
      <c r="A466" t="str">
        <f t="shared" si="83"/>
        <v>MEM0465</v>
      </c>
      <c r="B466" t="str">
        <f ca="1">INDEX('Name pool'!A:A, RANDBETWEEN(2, COUNTA('Name pool'!A:A))) &amp; " " &amp; INDEX('Name pool'!B:B, RANDBETWEEN(2, COUNTA('Name pool'!B:B)))</f>
        <v>Vivek Shetty</v>
      </c>
      <c r="C466" t="s">
        <v>116</v>
      </c>
      <c r="D466" t="str">
        <f t="shared" ca="1" si="82"/>
        <v>BR07</v>
      </c>
      <c r="E466" t="str">
        <f t="shared" ca="1" si="77"/>
        <v>Premium</v>
      </c>
      <c r="F466" s="2">
        <v>45973</v>
      </c>
      <c r="G466" s="2">
        <v>46063</v>
      </c>
      <c r="H466">
        <v>2000</v>
      </c>
      <c r="I466">
        <f t="shared" ca="1" si="78"/>
        <v>8000</v>
      </c>
      <c r="J466" t="s">
        <v>110</v>
      </c>
      <c r="K466" t="str">
        <f t="shared" ca="1" si="79"/>
        <v>No</v>
      </c>
      <c r="L466" t="str">
        <f t="shared" ca="1" si="80"/>
        <v>General Fitness</v>
      </c>
      <c r="M466" t="str">
        <f t="shared" ca="1" si="81"/>
        <v>Active</v>
      </c>
      <c r="N466" s="2">
        <v>45994</v>
      </c>
      <c r="Q466" t="str">
        <f ca="1">IF(RAND()&lt;0.2,
    IF(RAND()&lt;0.5, LOWER(C466), UPPER(C466)),
    C466
)</f>
        <v>kochi</v>
      </c>
      <c r="R466" t="str">
        <f t="shared" ca="1" si="84"/>
        <v>14 visits</v>
      </c>
      <c r="S466">
        <f t="shared" ca="1" si="85"/>
        <v>2000</v>
      </c>
      <c r="T466">
        <f t="shared" ca="1" si="86"/>
        <v>45770</v>
      </c>
      <c r="U466" s="2">
        <f t="shared" ca="1" si="87"/>
        <v>45994</v>
      </c>
    </row>
    <row r="467" spans="1:21">
      <c r="A467" t="str">
        <f t="shared" si="83"/>
        <v>MEM0466</v>
      </c>
      <c r="B467" t="str">
        <f ca="1">INDEX('Name pool'!A:A, RANDBETWEEN(2, COUNTA('Name pool'!A:A))) &amp; " " &amp; INDEX('Name pool'!B:B, RANDBETWEEN(2, COUNTA('Name pool'!B:B)))</f>
        <v>Kavya Agarwal</v>
      </c>
      <c r="C467" t="s">
        <v>73</v>
      </c>
      <c r="D467" t="str">
        <f t="shared" ca="1" si="82"/>
        <v>BR04</v>
      </c>
      <c r="E467" t="str">
        <f t="shared" ca="1" si="77"/>
        <v>Premium</v>
      </c>
      <c r="F467" s="2">
        <v>45530</v>
      </c>
      <c r="G467" s="2">
        <v>45620</v>
      </c>
      <c r="H467">
        <v>1000</v>
      </c>
      <c r="I467">
        <f t="shared" ca="1" si="78"/>
        <v>5000</v>
      </c>
      <c r="J467" t="s">
        <v>106</v>
      </c>
      <c r="K467" t="str">
        <f t="shared" ca="1" si="79"/>
        <v>Yes</v>
      </c>
      <c r="L467" t="str">
        <f t="shared" ca="1" si="80"/>
        <v>Muscle Gain</v>
      </c>
      <c r="M467" t="str">
        <f t="shared" ca="1" si="81"/>
        <v>Active</v>
      </c>
      <c r="N467" s="2">
        <v>45875</v>
      </c>
      <c r="Q467" t="str">
        <f ca="1">IF(RAND()&lt;0.2,
    IF(RAND()&lt;0.5, LOWER(C467), UPPER(C467)),
    C467
)</f>
        <v>Kochi</v>
      </c>
      <c r="R467" t="str">
        <f t="shared" ca="1" si="84"/>
        <v>0 visits</v>
      </c>
      <c r="S467">
        <f t="shared" ca="1" si="85"/>
        <v>1000</v>
      </c>
      <c r="T467">
        <f t="shared" ca="1" si="86"/>
        <v>45214</v>
      </c>
      <c r="U467" s="2">
        <f t="shared" ca="1" si="87"/>
        <v>45875</v>
      </c>
    </row>
    <row r="468" spans="1:21">
      <c r="A468" t="str">
        <f t="shared" si="83"/>
        <v>MEM0467</v>
      </c>
      <c r="B468" t="str">
        <f ca="1">INDEX('Name pool'!A:A, RANDBETWEEN(2, COUNTA('Name pool'!A:A))) &amp; " " &amp; INDEX('Name pool'!B:B, RANDBETWEEN(2, COUNTA('Name pool'!B:B)))</f>
        <v>Manoj Desai</v>
      </c>
      <c r="C468" t="s">
        <v>79</v>
      </c>
      <c r="D468" t="str">
        <f t="shared" ca="1" si="82"/>
        <v>BR03</v>
      </c>
      <c r="E468" t="str">
        <f t="shared" ca="1" si="77"/>
        <v>Standard</v>
      </c>
      <c r="F468" s="2">
        <v>45236</v>
      </c>
      <c r="G468" s="2">
        <v>45266</v>
      </c>
      <c r="H468">
        <v>2000</v>
      </c>
      <c r="I468">
        <f t="shared" ca="1" si="78"/>
        <v>20000</v>
      </c>
      <c r="J468">
        <v>4</v>
      </c>
      <c r="K468" t="str">
        <f t="shared" ca="1" si="79"/>
        <v>No</v>
      </c>
      <c r="L468" t="str">
        <f t="shared" ca="1" si="80"/>
        <v>Muscle Gain</v>
      </c>
      <c r="M468" t="str">
        <f t="shared" ca="1" si="81"/>
        <v>Cancelled</v>
      </c>
      <c r="N468" s="2">
        <v>45546</v>
      </c>
      <c r="Q468" t="str">
        <f ca="1">IF(RAND()&lt;0.2,
    IF(RAND()&lt;0.5, LOWER(C468), UPPER(C468)),
    C468
)</f>
        <v>HYDERABAD</v>
      </c>
      <c r="R468" t="str">
        <f t="shared" ca="1" si="84"/>
        <v>4 visits</v>
      </c>
      <c r="S468" t="str">
        <f t="shared" ca="1" si="85"/>
        <v>2000</v>
      </c>
      <c r="T468">
        <f t="shared" ca="1" si="86"/>
        <v>45080</v>
      </c>
      <c r="U468" s="2">
        <f t="shared" ca="1" si="87"/>
        <v>45546</v>
      </c>
    </row>
    <row r="469" spans="1:21">
      <c r="A469" t="str">
        <f t="shared" si="83"/>
        <v>MEM0468</v>
      </c>
      <c r="B469" t="str">
        <f ca="1">INDEX('Name pool'!A:A, RANDBETWEEN(2, COUNTA('Name pool'!A:A))) &amp; " " &amp; INDEX('Name pool'!B:B, RANDBETWEEN(2, COUNTA('Name pool'!B:B)))</f>
        <v>Deepak Shaikh</v>
      </c>
      <c r="C469" t="s">
        <v>73</v>
      </c>
      <c r="D469" t="str">
        <f t="shared" ca="1" si="82"/>
        <v>BR05</v>
      </c>
      <c r="E469" t="str">
        <f t="shared" ca="1" si="77"/>
        <v>Premium</v>
      </c>
      <c r="F469" s="2">
        <v>46034</v>
      </c>
      <c r="G469" s="2">
        <v>46124</v>
      </c>
      <c r="H469">
        <v>3500</v>
      </c>
      <c r="I469">
        <f t="shared" ca="1" si="78"/>
        <v>14000</v>
      </c>
      <c r="J469">
        <v>20</v>
      </c>
      <c r="K469" t="str">
        <f t="shared" ca="1" si="79"/>
        <v>No</v>
      </c>
      <c r="L469" t="str">
        <f t="shared" ca="1" si="80"/>
        <v>General Fitness</v>
      </c>
      <c r="M469" t="str">
        <f t="shared" ca="1" si="81"/>
        <v>Active</v>
      </c>
      <c r="N469" s="2">
        <v>46085</v>
      </c>
      <c r="Q469" t="str">
        <f ca="1">IF(RAND()&lt;0.2,
    IF(RAND()&lt;0.5, LOWER(C469), UPPER(C469)),
    C469
)</f>
        <v>Kochi</v>
      </c>
      <c r="R469">
        <f t="shared" ca="1" si="84"/>
        <v>20</v>
      </c>
      <c r="S469">
        <f t="shared" ca="1" si="85"/>
        <v>3500</v>
      </c>
      <c r="T469">
        <f t="shared" ca="1" si="86"/>
        <v>44935</v>
      </c>
      <c r="U469" s="2">
        <f t="shared" ca="1" si="87"/>
        <v>46085</v>
      </c>
    </row>
    <row r="470" spans="1:21">
      <c r="A470" t="str">
        <f t="shared" si="83"/>
        <v>MEM0469</v>
      </c>
      <c r="B470" t="str">
        <f ca="1">INDEX('Name pool'!A:A, RANDBETWEEN(2, COUNTA('Name pool'!A:A))) &amp; " " &amp; INDEX('Name pool'!B:B, RANDBETWEEN(2, COUNTA('Name pool'!B:B)))</f>
        <v>Riya Nair</v>
      </c>
      <c r="C470" t="s">
        <v>83</v>
      </c>
      <c r="D470" t="str">
        <f t="shared" ca="1" si="82"/>
        <v>BR05</v>
      </c>
      <c r="E470" t="str">
        <f t="shared" ca="1" si="77"/>
        <v>Premium</v>
      </c>
      <c r="F470" s="2">
        <v>45742</v>
      </c>
      <c r="G470" s="2">
        <v>46107</v>
      </c>
      <c r="H470">
        <v>1000</v>
      </c>
      <c r="I470">
        <f t="shared" ca="1" si="78"/>
        <v>4000</v>
      </c>
      <c r="J470" t="s">
        <v>147</v>
      </c>
      <c r="K470" t="str">
        <f t="shared" ca="1" si="79"/>
        <v>Yes</v>
      </c>
      <c r="L470" t="str">
        <f t="shared" ca="1" si="80"/>
        <v>Muscle Gain</v>
      </c>
      <c r="M470" t="str">
        <f t="shared" ca="1" si="81"/>
        <v>Active</v>
      </c>
      <c r="N470" s="2">
        <v>45760</v>
      </c>
      <c r="Q470" t="str">
        <f ca="1">IF(RAND()&lt;0.2,
    IF(RAND()&lt;0.5, LOWER(C470), UPPER(C470)),
    C470
)</f>
        <v>TRIVANDRUM</v>
      </c>
      <c r="R470" t="str">
        <f t="shared" ca="1" si="84"/>
        <v>10 visits visits</v>
      </c>
      <c r="S470">
        <f t="shared" ca="1" si="85"/>
        <v>1000</v>
      </c>
      <c r="T470">
        <f t="shared" ca="1" si="86"/>
        <v>45978</v>
      </c>
      <c r="U470" s="2">
        <f t="shared" ca="1" si="87"/>
        <v>45760</v>
      </c>
    </row>
    <row r="471" spans="1:21">
      <c r="A471" t="str">
        <f t="shared" si="83"/>
        <v>MEM0470</v>
      </c>
      <c r="B471" t="str">
        <f ca="1">INDEX('Name pool'!A:A, RANDBETWEEN(2, COUNTA('Name pool'!A:A))) &amp; " " &amp; INDEX('Name pool'!B:B, RANDBETWEEN(2, COUNTA('Name pool'!B:B)))</f>
        <v>Siddharth Varghese</v>
      </c>
      <c r="C471" t="s">
        <v>124</v>
      </c>
      <c r="D471" t="str">
        <f t="shared" ca="1" si="82"/>
        <v>BR03</v>
      </c>
      <c r="E471" t="str">
        <f t="shared" ca="1" si="77"/>
        <v>Premium</v>
      </c>
      <c r="F471" s="2">
        <v>45647</v>
      </c>
      <c r="G471" s="2">
        <v>46012</v>
      </c>
      <c r="H471">
        <v>1000</v>
      </c>
      <c r="I471">
        <f t="shared" ca="1" si="78"/>
        <v>10000</v>
      </c>
      <c r="J471">
        <v>0</v>
      </c>
      <c r="K471" t="str">
        <f t="shared" ca="1" si="79"/>
        <v>Yes</v>
      </c>
      <c r="L471" t="str">
        <f t="shared" ca="1" si="80"/>
        <v>Weight Loss</v>
      </c>
      <c r="M471" t="str">
        <f t="shared" ca="1" si="81"/>
        <v>Active</v>
      </c>
      <c r="N471" s="2">
        <v>45666</v>
      </c>
      <c r="Q471" t="str">
        <f ca="1">IF(RAND()&lt;0.2,
    IF(RAND()&lt;0.5, LOWER(C471), UPPER(C471)),
    C471
)</f>
        <v>chennai</v>
      </c>
      <c r="R471" t="str">
        <f t="shared" ca="1" si="84"/>
        <v>0 visits</v>
      </c>
      <c r="S471">
        <f t="shared" ca="1" si="85"/>
        <v>1000</v>
      </c>
      <c r="T471">
        <f t="shared" ca="1" si="86"/>
        <v>44929</v>
      </c>
      <c r="U471" s="2">
        <f t="shared" ca="1" si="87"/>
        <v>45666</v>
      </c>
    </row>
    <row r="472" spans="1:21">
      <c r="A472" t="str">
        <f t="shared" si="83"/>
        <v>MEM0471</v>
      </c>
      <c r="B472" t="str">
        <f ca="1">INDEX('Name pool'!A:A, RANDBETWEEN(2, COUNTA('Name pool'!A:A))) &amp; " " &amp; INDEX('Name pool'!B:B, RANDBETWEEN(2, COUNTA('Name pool'!B:B)))</f>
        <v>Harish Shetty</v>
      </c>
      <c r="C472" t="s">
        <v>83</v>
      </c>
      <c r="D472" t="str">
        <f t="shared" ca="1" si="82"/>
        <v>BR02</v>
      </c>
      <c r="E472" t="str">
        <f t="shared" ca="1" si="77"/>
        <v>Standard</v>
      </c>
      <c r="F472" s="2">
        <v>45435</v>
      </c>
      <c r="G472" s="2">
        <v>45525</v>
      </c>
      <c r="H472">
        <v>2000</v>
      </c>
      <c r="I472">
        <f t="shared" ca="1" si="78"/>
        <v>8000</v>
      </c>
      <c r="J472">
        <v>24</v>
      </c>
      <c r="K472" t="str">
        <f t="shared" ca="1" si="79"/>
        <v>Yes</v>
      </c>
      <c r="L472" t="str">
        <f t="shared" ca="1" si="80"/>
        <v>Muscle Gain</v>
      </c>
      <c r="M472" t="str">
        <f t="shared" ca="1" si="81"/>
        <v>Active</v>
      </c>
      <c r="N472" s="2">
        <v>46044</v>
      </c>
      <c r="Q472" t="str">
        <f ca="1">IF(RAND()&lt;0.2,
    IF(RAND()&lt;0.5, LOWER(C472), UPPER(C472)),
    C472
)</f>
        <v>Trivandrum</v>
      </c>
      <c r="R472">
        <f t="shared" ca="1" si="84"/>
        <v>24</v>
      </c>
      <c r="S472">
        <f t="shared" ca="1" si="85"/>
        <v>2000</v>
      </c>
      <c r="T472">
        <f t="shared" ca="1" si="86"/>
        <v>45251</v>
      </c>
      <c r="U472" s="2">
        <f t="shared" ca="1" si="87"/>
        <v>46044</v>
      </c>
    </row>
    <row r="473" spans="1:21">
      <c r="A473" t="str">
        <f t="shared" si="83"/>
        <v>MEM0472</v>
      </c>
      <c r="B473" t="str">
        <f ca="1">INDEX('Name pool'!A:A, RANDBETWEEN(2, COUNTA('Name pool'!A:A))) &amp; " " &amp; INDEX('Name pool'!B:B, RANDBETWEEN(2, COUNTA('Name pool'!B:B)))</f>
        <v>Zara Lewis</v>
      </c>
      <c r="C473" t="s">
        <v>81</v>
      </c>
      <c r="D473" t="str">
        <f t="shared" ca="1" si="82"/>
        <v>BR03</v>
      </c>
      <c r="E473" t="str">
        <f t="shared" ca="1" si="77"/>
        <v>Standard</v>
      </c>
      <c r="F473" s="2">
        <v>45291</v>
      </c>
      <c r="G473" s="2">
        <v>45321</v>
      </c>
      <c r="H473">
        <v>1000</v>
      </c>
      <c r="I473">
        <f t="shared" ca="1" si="78"/>
        <v>10000</v>
      </c>
      <c r="J473" t="s">
        <v>110</v>
      </c>
      <c r="K473" t="str">
        <f t="shared" ca="1" si="79"/>
        <v>No</v>
      </c>
      <c r="L473" t="str">
        <f t="shared" ca="1" si="80"/>
        <v>General Fitness</v>
      </c>
      <c r="M473" t="str">
        <f t="shared" ca="1" si="81"/>
        <v>Active</v>
      </c>
      <c r="N473" s="2">
        <v>45715</v>
      </c>
      <c r="Q473" t="str">
        <f ca="1">IF(RAND()&lt;0.2,
    IF(RAND()&lt;0.5, LOWER(C473), UPPER(C473)),
    C473
)</f>
        <v>Mumbai</v>
      </c>
      <c r="R473" t="str">
        <f t="shared" ca="1" si="84"/>
        <v>14 visits</v>
      </c>
      <c r="S473">
        <f t="shared" ca="1" si="85"/>
        <v>1000</v>
      </c>
      <c r="T473">
        <f t="shared" ca="1" si="86"/>
        <v>44938</v>
      </c>
      <c r="U473" s="2">
        <f t="shared" ca="1" si="87"/>
        <v>45715</v>
      </c>
    </row>
    <row r="474" spans="1:21">
      <c r="A474" t="str">
        <f t="shared" si="83"/>
        <v>MEM0473</v>
      </c>
      <c r="B474" t="str">
        <f ca="1">INDEX('Name pool'!A:A, RANDBETWEEN(2, COUNTA('Name pool'!A:A))) &amp; " " &amp; INDEX('Name pool'!B:B, RANDBETWEEN(2, COUNTA('Name pool'!B:B)))</f>
        <v>Priya Khan</v>
      </c>
      <c r="C474" t="s">
        <v>85</v>
      </c>
      <c r="D474" t="str">
        <f t="shared" ca="1" si="82"/>
        <v>BR02</v>
      </c>
      <c r="E474" t="str">
        <f t="shared" ca="1" si="77"/>
        <v>Premium</v>
      </c>
      <c r="F474" s="2">
        <v>45863</v>
      </c>
      <c r="G474" s="2">
        <v>46228</v>
      </c>
      <c r="H474">
        <v>3500</v>
      </c>
      <c r="I474">
        <f t="shared" ca="1" si="78"/>
        <v>42000</v>
      </c>
      <c r="J474">
        <v>20</v>
      </c>
      <c r="K474" t="str">
        <f t="shared" ca="1" si="79"/>
        <v>Yes</v>
      </c>
      <c r="L474" t="str">
        <f t="shared" ca="1" si="80"/>
        <v>Weight Loss</v>
      </c>
      <c r="M474" t="str">
        <f t="shared" ca="1" si="81"/>
        <v>Active</v>
      </c>
      <c r="N474" s="2">
        <v>46051</v>
      </c>
      <c r="Q474" t="str">
        <f ca="1">IF(RAND()&lt;0.2,
    IF(RAND()&lt;0.5, LOWER(C474), UPPER(C474)),
    C474
)</f>
        <v>Calicut</v>
      </c>
      <c r="R474">
        <f t="shared" ca="1" si="84"/>
        <v>20</v>
      </c>
      <c r="S474" t="str">
        <f t="shared" ca="1" si="85"/>
        <v>3500</v>
      </c>
      <c r="T474">
        <f t="shared" ca="1" si="86"/>
        <v>45732</v>
      </c>
      <c r="U474" s="2">
        <f t="shared" ca="1" si="87"/>
        <v>46051</v>
      </c>
    </row>
    <row r="475" spans="1:21">
      <c r="A475" t="str">
        <f t="shared" si="83"/>
        <v>MEM0474</v>
      </c>
      <c r="B475" t="str">
        <f ca="1">INDEX('Name pool'!A:A, RANDBETWEEN(2, COUNTA('Name pool'!A:A))) &amp; " " &amp; INDEX('Name pool'!B:B, RANDBETWEEN(2, COUNTA('Name pool'!B:B)))</f>
        <v>Fatima Chatterjee</v>
      </c>
      <c r="C475" t="s">
        <v>73</v>
      </c>
      <c r="D475" t="str">
        <f t="shared" ca="1" si="82"/>
        <v>BR03</v>
      </c>
      <c r="E475" t="str">
        <f t="shared" ca="1" si="77"/>
        <v>Basic</v>
      </c>
      <c r="F475" s="2">
        <v>45217</v>
      </c>
      <c r="G475" s="2">
        <v>45582</v>
      </c>
      <c r="H475">
        <v>1000</v>
      </c>
      <c r="I475">
        <f t="shared" ca="1" si="78"/>
        <v>8000</v>
      </c>
      <c r="J475">
        <v>4</v>
      </c>
      <c r="K475" t="str">
        <f t="shared" ca="1" si="79"/>
        <v>Yes</v>
      </c>
      <c r="L475" t="str">
        <f t="shared" ca="1" si="80"/>
        <v>Weight Loss</v>
      </c>
      <c r="M475" t="str">
        <f t="shared" ca="1" si="81"/>
        <v>Cancelled</v>
      </c>
      <c r="N475" s="2">
        <v>45643</v>
      </c>
      <c r="Q475" t="str">
        <f ca="1">IF(RAND()&lt;0.2,
    IF(RAND()&lt;0.5, LOWER(C475), UPPER(C475)),
    C475
)</f>
        <v>Kochi</v>
      </c>
      <c r="R475">
        <f t="shared" ca="1" si="84"/>
        <v>4</v>
      </c>
      <c r="S475">
        <f t="shared" ca="1" si="85"/>
        <v>1000</v>
      </c>
      <c r="T475">
        <f t="shared" ca="1" si="86"/>
        <v>45519</v>
      </c>
      <c r="U475" s="2">
        <f t="shared" ca="1" si="87"/>
        <v>45230</v>
      </c>
    </row>
    <row r="476" spans="1:21">
      <c r="A476" t="str">
        <f t="shared" si="83"/>
        <v>MEM0475</v>
      </c>
      <c r="B476" t="str">
        <f ca="1">INDEX('Name pool'!A:A, RANDBETWEEN(2, COUNTA('Name pool'!A:A))) &amp; " " &amp; INDEX('Name pool'!B:B, RANDBETWEEN(2, COUNTA('Name pool'!B:B)))</f>
        <v>Sanjay Nair</v>
      </c>
      <c r="C476" t="s">
        <v>81</v>
      </c>
      <c r="D476" t="str">
        <f t="shared" ca="1" si="82"/>
        <v>BR01</v>
      </c>
      <c r="E476" t="str">
        <f t="shared" ca="1" si="77"/>
        <v>Premium</v>
      </c>
      <c r="F476" s="2">
        <v>45600</v>
      </c>
      <c r="G476" s="2">
        <v>45690</v>
      </c>
      <c r="H476">
        <v>3500</v>
      </c>
      <c r="I476">
        <f t="shared" ca="1" si="78"/>
        <v>17500</v>
      </c>
      <c r="J476">
        <v>25</v>
      </c>
      <c r="K476" t="str">
        <f t="shared" ca="1" si="79"/>
        <v>No</v>
      </c>
      <c r="L476" t="str">
        <f t="shared" ca="1" si="80"/>
        <v>General Fitness</v>
      </c>
      <c r="M476" t="str">
        <f t="shared" ca="1" si="81"/>
        <v>Active</v>
      </c>
      <c r="N476" s="2">
        <v>45919</v>
      </c>
      <c r="Q476" t="str">
        <f ca="1">IF(RAND()&lt;0.2,
    IF(RAND()&lt;0.5, LOWER(C476), UPPER(C476)),
    C476
)</f>
        <v>Mumbai</v>
      </c>
      <c r="R476">
        <f t="shared" ca="1" si="84"/>
        <v>25</v>
      </c>
      <c r="S476">
        <f t="shared" ca="1" si="85"/>
        <v>3500</v>
      </c>
      <c r="T476">
        <f t="shared" ca="1" si="86"/>
        <v>45752</v>
      </c>
      <c r="U476" s="2">
        <f t="shared" ca="1" si="87"/>
        <v>45919</v>
      </c>
    </row>
    <row r="477" spans="1:21">
      <c r="A477" t="str">
        <f t="shared" si="83"/>
        <v>MEM0476</v>
      </c>
      <c r="B477" t="str">
        <f ca="1">INDEX('Name pool'!A:A, RANDBETWEEN(2, COUNTA('Name pool'!A:A))) &amp; " " &amp; INDEX('Name pool'!B:B, RANDBETWEEN(2, COUNTA('Name pool'!B:B)))</f>
        <v>Anjali Naidu</v>
      </c>
      <c r="C477" t="s">
        <v>83</v>
      </c>
      <c r="D477" t="str">
        <f t="shared" ca="1" si="82"/>
        <v>BR06</v>
      </c>
      <c r="E477" t="str">
        <f t="shared" ca="1" si="77"/>
        <v>Premium</v>
      </c>
      <c r="F477" s="2">
        <v>44991</v>
      </c>
      <c r="G477" s="2">
        <v>45081</v>
      </c>
      <c r="H477">
        <v>1000</v>
      </c>
      <c r="I477">
        <f t="shared" ca="1" si="78"/>
        <v>3000</v>
      </c>
      <c r="J477">
        <v>6</v>
      </c>
      <c r="K477" t="str">
        <f t="shared" ca="1" si="79"/>
        <v>No</v>
      </c>
      <c r="L477" t="str">
        <f t="shared" ca="1" si="80"/>
        <v>Weight Loss</v>
      </c>
      <c r="M477" t="str">
        <f t="shared" ca="1" si="81"/>
        <v>Active</v>
      </c>
      <c r="N477" s="2">
        <v>46121</v>
      </c>
      <c r="Q477" t="str">
        <f ca="1">IF(RAND()&lt;0.2,
    IF(RAND()&lt;0.5, LOWER(C477), UPPER(C477)),
    C477
)</f>
        <v>trivandrum</v>
      </c>
      <c r="R477">
        <f t="shared" ca="1" si="84"/>
        <v>6</v>
      </c>
      <c r="S477">
        <f t="shared" ca="1" si="85"/>
        <v>1000</v>
      </c>
      <c r="T477">
        <f t="shared" ca="1" si="86"/>
        <v>45325</v>
      </c>
      <c r="U477" s="2">
        <f t="shared" ca="1" si="87"/>
        <v>46121</v>
      </c>
    </row>
    <row r="478" spans="1:21">
      <c r="A478" t="str">
        <f t="shared" si="83"/>
        <v>MEM0477</v>
      </c>
      <c r="B478" t="str">
        <f ca="1">INDEX('Name pool'!A:A, RANDBETWEEN(2, COUNTA('Name pool'!A:A))) &amp; " " &amp; INDEX('Name pool'!B:B, RANDBETWEEN(2, COUNTA('Name pool'!B:B)))</f>
        <v>Swathi Kapoor</v>
      </c>
      <c r="C478" t="s">
        <v>73</v>
      </c>
      <c r="D478" t="str">
        <f t="shared" ca="1" si="82"/>
        <v>BR05</v>
      </c>
      <c r="E478" t="str">
        <f t="shared" ca="1" si="77"/>
        <v>Basic</v>
      </c>
      <c r="F478" s="2">
        <v>45379</v>
      </c>
      <c r="G478" s="2">
        <v>45744</v>
      </c>
      <c r="H478">
        <v>1000</v>
      </c>
      <c r="I478">
        <f t="shared" ca="1" si="78"/>
        <v>5000</v>
      </c>
      <c r="J478">
        <v>24</v>
      </c>
      <c r="K478" t="str">
        <f t="shared" ca="1" si="79"/>
        <v>Yes</v>
      </c>
      <c r="L478" t="str">
        <f t="shared" ca="1" si="80"/>
        <v>General Fitness</v>
      </c>
      <c r="M478" t="str">
        <f t="shared" ca="1" si="81"/>
        <v>Active</v>
      </c>
      <c r="N478" s="2">
        <v>45783</v>
      </c>
      <c r="Q478" t="str">
        <f ca="1">IF(RAND()&lt;0.2,
    IF(RAND()&lt;0.5, LOWER(C478), UPPER(C478)),
    C478
)</f>
        <v>KOCHI</v>
      </c>
      <c r="R478">
        <f t="shared" ca="1" si="84"/>
        <v>24</v>
      </c>
      <c r="S478" t="str">
        <f t="shared" ca="1" si="85"/>
        <v>1000</v>
      </c>
      <c r="T478">
        <f t="shared" ca="1" si="86"/>
        <v>45689</v>
      </c>
      <c r="U478" s="2">
        <f t="shared" ca="1" si="87"/>
        <v>45783</v>
      </c>
    </row>
    <row r="479" spans="1:21">
      <c r="A479" t="str">
        <f t="shared" si="83"/>
        <v>MEM0478</v>
      </c>
      <c r="B479" t="str">
        <f ca="1">INDEX('Name pool'!A:A, RANDBETWEEN(2, COUNTA('Name pool'!A:A))) &amp; " " &amp; INDEX('Name pool'!B:B, RANDBETWEEN(2, COUNTA('Name pool'!B:B)))</f>
        <v>Meera George</v>
      </c>
      <c r="C479" t="s">
        <v>73</v>
      </c>
      <c r="D479" t="str">
        <f t="shared" ca="1" si="82"/>
        <v>BR05</v>
      </c>
      <c r="E479" t="str">
        <f t="shared" ca="1" si="77"/>
        <v>Basic</v>
      </c>
      <c r="F479" s="2">
        <v>45524</v>
      </c>
      <c r="G479" s="2">
        <v>45614</v>
      </c>
      <c r="H479">
        <v>1000</v>
      </c>
      <c r="I479">
        <f t="shared" ca="1" si="78"/>
        <v>2000</v>
      </c>
      <c r="J479">
        <v>25</v>
      </c>
      <c r="K479" t="str">
        <f t="shared" ca="1" si="79"/>
        <v>Yes</v>
      </c>
      <c r="L479" t="str">
        <f t="shared" ca="1" si="80"/>
        <v>Muscle Gain</v>
      </c>
      <c r="M479" t="str">
        <f t="shared" ca="1" si="81"/>
        <v>Active</v>
      </c>
      <c r="N479" s="2">
        <v>45959</v>
      </c>
      <c r="Q479" t="str">
        <f ca="1">IF(RAND()&lt;0.2,
    IF(RAND()&lt;0.5, LOWER(C479), UPPER(C479)),
    C479
)</f>
        <v>Kochi</v>
      </c>
      <c r="R479">
        <f t="shared" ca="1" si="84"/>
        <v>25</v>
      </c>
      <c r="S479">
        <f t="shared" ca="1" si="85"/>
        <v>1000</v>
      </c>
      <c r="T479">
        <f t="shared" ca="1" si="86"/>
        <v>45994</v>
      </c>
      <c r="U479" s="2">
        <f t="shared" ca="1" si="87"/>
        <v>45959</v>
      </c>
    </row>
    <row r="480" spans="1:21">
      <c r="A480" t="str">
        <f t="shared" si="83"/>
        <v>MEM0479</v>
      </c>
      <c r="B480" t="str">
        <f ca="1">INDEX('Name pool'!A:A, RANDBETWEEN(2, COUNTA('Name pool'!A:A))) &amp; " " &amp; INDEX('Name pool'!B:B, RANDBETWEEN(2, COUNTA('Name pool'!B:B)))</f>
        <v>Zara Joseph</v>
      </c>
      <c r="C480" t="s">
        <v>77</v>
      </c>
      <c r="D480" t="str">
        <f t="shared" ca="1" si="82"/>
        <v>BR02</v>
      </c>
      <c r="E480" t="str">
        <f t="shared" ca="1" si="77"/>
        <v>Premium</v>
      </c>
      <c r="F480" s="2">
        <v>45143</v>
      </c>
      <c r="G480" s="2">
        <v>45173</v>
      </c>
      <c r="H480">
        <v>2000</v>
      </c>
      <c r="I480">
        <f t="shared" ca="1" si="78"/>
        <v>18000</v>
      </c>
      <c r="J480">
        <v>21</v>
      </c>
      <c r="K480" t="str">
        <f t="shared" ca="1" si="79"/>
        <v>Yes</v>
      </c>
      <c r="L480" t="str">
        <f t="shared" ca="1" si="80"/>
        <v>General Fitness</v>
      </c>
      <c r="M480" t="str">
        <f t="shared" ca="1" si="81"/>
        <v>Active</v>
      </c>
      <c r="N480" s="2">
        <v>46085</v>
      </c>
      <c r="Q480" t="str">
        <f ca="1">IF(RAND()&lt;0.2,
    IF(RAND()&lt;0.5, LOWER(C480), UPPER(C480)),
    C480
)</f>
        <v>Chennai</v>
      </c>
      <c r="R480">
        <f t="shared" ca="1" si="84"/>
        <v>21</v>
      </c>
      <c r="S480">
        <f t="shared" ca="1" si="85"/>
        <v>2000</v>
      </c>
      <c r="T480">
        <f t="shared" ca="1" si="86"/>
        <v>45130</v>
      </c>
      <c r="U480" s="2">
        <f t="shared" ca="1" si="87"/>
        <v>46085</v>
      </c>
    </row>
    <row r="481" spans="1:21">
      <c r="A481" t="str">
        <f t="shared" si="83"/>
        <v>MEM0480</v>
      </c>
      <c r="B481" t="str">
        <f ca="1">INDEX('Name pool'!A:A, RANDBETWEEN(2, COUNTA('Name pool'!A:A))) &amp; " " &amp; INDEX('Name pool'!B:B, RANDBETWEEN(2, COUNTA('Name pool'!B:B)))</f>
        <v>Anjali Kulkarni</v>
      </c>
      <c r="C481" t="s">
        <v>77</v>
      </c>
      <c r="D481" t="str">
        <f t="shared" ca="1" si="82"/>
        <v>BR01</v>
      </c>
      <c r="E481" t="str">
        <f t="shared" ca="1" si="77"/>
        <v>Standard</v>
      </c>
      <c r="F481" s="2">
        <v>45424</v>
      </c>
      <c r="G481" s="2">
        <v>45789</v>
      </c>
      <c r="H481">
        <v>3500</v>
      </c>
      <c r="I481">
        <f t="shared" ca="1" si="78"/>
        <v>31500</v>
      </c>
      <c r="J481">
        <v>8</v>
      </c>
      <c r="K481" t="str">
        <f t="shared" ca="1" si="79"/>
        <v>No</v>
      </c>
      <c r="L481" t="str">
        <f t="shared" ca="1" si="80"/>
        <v>Weight Loss</v>
      </c>
      <c r="M481" t="str">
        <f t="shared" ca="1" si="81"/>
        <v>Active</v>
      </c>
      <c r="N481" s="2">
        <v>46070</v>
      </c>
      <c r="Q481" t="str">
        <f ca="1">IF(RAND()&lt;0.2,
    IF(RAND()&lt;0.5, LOWER(C481), UPPER(C481)),
    C481
)</f>
        <v>CHENNAI</v>
      </c>
      <c r="R481" t="str">
        <f t="shared" ca="1" si="84"/>
        <v>8 visits</v>
      </c>
      <c r="S481">
        <f t="shared" ca="1" si="85"/>
        <v>3500</v>
      </c>
      <c r="T481">
        <f t="shared" ca="1" si="86"/>
        <v>45227</v>
      </c>
      <c r="U481" s="2">
        <f t="shared" ca="1" si="87"/>
        <v>46070</v>
      </c>
    </row>
    <row r="482" spans="1:21">
      <c r="A482" t="str">
        <f t="shared" si="83"/>
        <v>MEM0481</v>
      </c>
      <c r="B482" t="str">
        <f ca="1">INDEX('Name pool'!A:A, RANDBETWEEN(2, COUNTA('Name pool'!A:A))) &amp; " " &amp; INDEX('Name pool'!B:B, RANDBETWEEN(2, COUNTA('Name pool'!B:B)))</f>
        <v>Kavya Das</v>
      </c>
      <c r="C482" t="s">
        <v>75</v>
      </c>
      <c r="D482" t="str">
        <f t="shared" ca="1" si="82"/>
        <v>BR05</v>
      </c>
      <c r="E482" t="str">
        <f t="shared" ref="E482:E545" ca="1" si="88">CHOOSE(RANDBETWEEN(1,3),"Basic","Standard","Premium")</f>
        <v>Premium</v>
      </c>
      <c r="F482" s="2">
        <v>45781</v>
      </c>
      <c r="G482" s="2">
        <v>46146</v>
      </c>
      <c r="H482">
        <v>3500</v>
      </c>
      <c r="I482">
        <f t="shared" ref="I482:I545" ca="1" si="89">H482 * RANDBETWEEN(1,12)</f>
        <v>17500</v>
      </c>
      <c r="J482">
        <v>17</v>
      </c>
      <c r="K482" t="str">
        <f t="shared" ref="K482:K545" ca="1" si="90">CHOOSE(RANDBETWEEN(1,2),"Yes","No")</f>
        <v>No</v>
      </c>
      <c r="L482" t="str">
        <f t="shared" ref="L482:L545" ca="1" si="91">CHOOSE(RANDBETWEEN(1,3),"Weight Loss","Muscle Gain","General Fitness")</f>
        <v>General Fitness</v>
      </c>
      <c r="M482" t="str">
        <f t="shared" ref="M482:M545" ca="1" si="92">IF(J482&lt;5,IF(RANDBETWEEN(1,100)&lt;70,"Cancelled","Active"),"Active")</f>
        <v>Active</v>
      </c>
      <c r="N482" s="2">
        <v>46073</v>
      </c>
      <c r="Q482" t="str">
        <f ca="1">IF(RAND()&lt;0.2,
    IF(RAND()&lt;0.5, LOWER(C482), UPPER(C482)),
    C482
)</f>
        <v>BANGALORE</v>
      </c>
      <c r="R482" t="str">
        <f t="shared" ca="1" si="84"/>
        <v>17 visits</v>
      </c>
      <c r="S482">
        <f t="shared" ca="1" si="85"/>
        <v>3500</v>
      </c>
      <c r="T482">
        <f t="shared" ca="1" si="86"/>
        <v>45008</v>
      </c>
      <c r="U482" s="2">
        <f t="shared" ca="1" si="87"/>
        <v>46073</v>
      </c>
    </row>
    <row r="483" spans="1:21">
      <c r="A483" t="str">
        <f t="shared" si="83"/>
        <v>MEM0482</v>
      </c>
      <c r="B483" t="str">
        <f ca="1">INDEX('Name pool'!A:A, RANDBETWEEN(2, COUNTA('Name pool'!A:A))) &amp; " " &amp; INDEX('Name pool'!B:B, RANDBETWEEN(2, COUNTA('Name pool'!B:B)))</f>
        <v>Ankit Verma</v>
      </c>
      <c r="C483" t="s">
        <v>81</v>
      </c>
      <c r="D483" t="str">
        <f t="shared" ca="1" si="82"/>
        <v>BR01</v>
      </c>
      <c r="E483" t="str">
        <f t="shared" ca="1" si="88"/>
        <v>Basic</v>
      </c>
      <c r="F483" s="2">
        <v>44994</v>
      </c>
      <c r="G483" s="2">
        <v>45024</v>
      </c>
      <c r="H483">
        <v>3500</v>
      </c>
      <c r="I483">
        <f t="shared" ca="1" si="89"/>
        <v>28000</v>
      </c>
      <c r="J483">
        <v>6</v>
      </c>
      <c r="K483" t="str">
        <f t="shared" ca="1" si="90"/>
        <v>Yes</v>
      </c>
      <c r="L483" t="str">
        <f t="shared" ca="1" si="91"/>
        <v>General Fitness</v>
      </c>
      <c r="M483" t="str">
        <f t="shared" ca="1" si="92"/>
        <v>Active</v>
      </c>
      <c r="N483" s="2">
        <v>45103</v>
      </c>
      <c r="Q483" t="str">
        <f ca="1">IF(RAND()&lt;0.2,
    IF(RAND()&lt;0.5, LOWER(C483), UPPER(C483)),
    C483
)</f>
        <v>mumbai</v>
      </c>
      <c r="R483">
        <f t="shared" ca="1" si="84"/>
        <v>6</v>
      </c>
      <c r="S483">
        <f t="shared" ca="1" si="85"/>
        <v>3500</v>
      </c>
      <c r="T483">
        <f t="shared" ca="1" si="86"/>
        <v>45284</v>
      </c>
      <c r="U483" s="2">
        <f t="shared" ca="1" si="87"/>
        <v>45103</v>
      </c>
    </row>
    <row r="484" spans="1:21">
      <c r="A484" t="str">
        <f t="shared" si="83"/>
        <v>MEM0483</v>
      </c>
      <c r="B484" t="str">
        <f ca="1">INDEX('Name pool'!A:A, RANDBETWEEN(2, COUNTA('Name pool'!A:A))) &amp; " " &amp; INDEX('Name pool'!B:B, RANDBETWEEN(2, COUNTA('Name pool'!B:B)))</f>
        <v>Aditya Kulkarni</v>
      </c>
      <c r="C484" t="s">
        <v>73</v>
      </c>
      <c r="D484" t="str">
        <f t="shared" ca="1" si="82"/>
        <v>BR02</v>
      </c>
      <c r="E484" t="str">
        <f t="shared" ca="1" si="88"/>
        <v>Basic</v>
      </c>
      <c r="F484" s="2">
        <v>45754</v>
      </c>
      <c r="G484" s="2">
        <v>45784</v>
      </c>
      <c r="H484">
        <v>2000</v>
      </c>
      <c r="I484">
        <f t="shared" ca="1" si="89"/>
        <v>6000</v>
      </c>
      <c r="J484">
        <v>15</v>
      </c>
      <c r="K484" t="str">
        <f t="shared" ca="1" si="90"/>
        <v>Yes</v>
      </c>
      <c r="L484" t="str">
        <f t="shared" ca="1" si="91"/>
        <v>Muscle Gain</v>
      </c>
      <c r="M484" t="str">
        <f t="shared" ca="1" si="92"/>
        <v>Active</v>
      </c>
      <c r="N484" s="2">
        <v>45802</v>
      </c>
      <c r="Q484" t="str">
        <f ca="1">IF(RAND()&lt;0.2,
    IF(RAND()&lt;0.5, LOWER(C484), UPPER(C484)),
    C484
)</f>
        <v>Kochi</v>
      </c>
      <c r="R484">
        <f t="shared" ca="1" si="84"/>
        <v>15</v>
      </c>
      <c r="S484">
        <f t="shared" ca="1" si="85"/>
        <v>2000</v>
      </c>
      <c r="T484">
        <f t="shared" ca="1" si="86"/>
        <v>45194</v>
      </c>
      <c r="U484" s="2">
        <f t="shared" ca="1" si="87"/>
        <v>45802</v>
      </c>
    </row>
    <row r="485" spans="1:21">
      <c r="A485" t="str">
        <f t="shared" si="83"/>
        <v>MEM0484</v>
      </c>
      <c r="B485" t="str">
        <f ca="1">INDEX('Name pool'!A:A, RANDBETWEEN(2, COUNTA('Name pool'!A:A))) &amp; " " &amp; INDEX('Name pool'!B:B, RANDBETWEEN(2, COUNTA('Name pool'!B:B)))</f>
        <v>Varun Lewis</v>
      </c>
      <c r="C485" t="s">
        <v>83</v>
      </c>
      <c r="D485" t="str">
        <f t="shared" ca="1" si="82"/>
        <v>BR03</v>
      </c>
      <c r="E485" t="str">
        <f t="shared" ca="1" si="88"/>
        <v>Basic</v>
      </c>
      <c r="F485" s="2">
        <v>45255</v>
      </c>
      <c r="G485" s="2">
        <v>45285</v>
      </c>
      <c r="H485">
        <v>2000</v>
      </c>
      <c r="I485">
        <f t="shared" ca="1" si="89"/>
        <v>16000</v>
      </c>
      <c r="J485" t="s">
        <v>109</v>
      </c>
      <c r="K485" t="str">
        <f t="shared" ca="1" si="90"/>
        <v>No</v>
      </c>
      <c r="L485" t="str">
        <f t="shared" ca="1" si="91"/>
        <v>Muscle Gain</v>
      </c>
      <c r="M485" t="str">
        <f t="shared" ca="1" si="92"/>
        <v>Active</v>
      </c>
      <c r="N485" s="2">
        <v>46055</v>
      </c>
      <c r="Q485" t="str">
        <f ca="1">IF(RAND()&lt;0.2,
    IF(RAND()&lt;0.5, LOWER(C485), UPPER(C485)),
    C485
)</f>
        <v>Trivandrum</v>
      </c>
      <c r="R485" t="str">
        <f t="shared" ca="1" si="84"/>
        <v>8 visits</v>
      </c>
      <c r="S485">
        <f t="shared" ca="1" si="85"/>
        <v>2000</v>
      </c>
      <c r="T485">
        <f t="shared" ca="1" si="86"/>
        <v>46012</v>
      </c>
      <c r="U485" s="2">
        <f t="shared" ca="1" si="87"/>
        <v>46055</v>
      </c>
    </row>
    <row r="486" spans="1:21">
      <c r="A486" t="str">
        <f t="shared" si="83"/>
        <v>MEM0485</v>
      </c>
      <c r="B486" t="str">
        <f ca="1">INDEX('Name pool'!A:A, RANDBETWEEN(2, COUNTA('Name pool'!A:A))) &amp; " " &amp; INDEX('Name pool'!B:B, RANDBETWEEN(2, COUNTA('Name pool'!B:B)))</f>
        <v>Zara Shaikh</v>
      </c>
      <c r="C486" t="s">
        <v>81</v>
      </c>
      <c r="D486" t="str">
        <f t="shared" ca="1" si="82"/>
        <v>BR05</v>
      </c>
      <c r="E486" t="str">
        <f t="shared" ca="1" si="88"/>
        <v>Standard</v>
      </c>
      <c r="F486" s="2">
        <v>45223</v>
      </c>
      <c r="G486" s="2">
        <v>45588</v>
      </c>
      <c r="H486" t="s">
        <v>120</v>
      </c>
      <c r="I486">
        <f t="shared" ca="1" si="89"/>
        <v>18000</v>
      </c>
      <c r="J486">
        <v>5</v>
      </c>
      <c r="K486" t="str">
        <f t="shared" ca="1" si="90"/>
        <v>No</v>
      </c>
      <c r="L486" t="str">
        <f t="shared" ca="1" si="91"/>
        <v>Weight Loss</v>
      </c>
      <c r="M486" t="str">
        <f t="shared" ca="1" si="92"/>
        <v>Active</v>
      </c>
      <c r="N486" s="2">
        <v>45458</v>
      </c>
      <c r="Q486" t="str">
        <f ca="1">IF(RAND()&lt;0.2,
    IF(RAND()&lt;0.5, LOWER(C486), UPPER(C486)),
    C486
)</f>
        <v>Mumbai</v>
      </c>
      <c r="R486">
        <f t="shared" ca="1" si="84"/>
        <v>5</v>
      </c>
      <c r="S486" t="str">
        <f t="shared" ca="1" si="85"/>
        <v>2000</v>
      </c>
      <c r="T486">
        <f t="shared" ca="1" si="86"/>
        <v>45304</v>
      </c>
      <c r="U486" s="2">
        <f t="shared" ca="1" si="87"/>
        <v>45458</v>
      </c>
    </row>
    <row r="487" spans="1:21">
      <c r="A487" t="str">
        <f t="shared" si="83"/>
        <v>MEM0486</v>
      </c>
      <c r="B487" t="str">
        <f ca="1">INDEX('Name pool'!A:A, RANDBETWEEN(2, COUNTA('Name pool'!A:A))) &amp; " " &amp; INDEX('Name pool'!B:B, RANDBETWEEN(2, COUNTA('Name pool'!B:B)))</f>
        <v>Arjun George</v>
      </c>
      <c r="C487" t="s">
        <v>75</v>
      </c>
      <c r="D487" t="str">
        <f t="shared" ca="1" si="82"/>
        <v>BR05</v>
      </c>
      <c r="E487" t="str">
        <f t="shared" ca="1" si="88"/>
        <v>Premium</v>
      </c>
      <c r="F487" s="2">
        <v>45911</v>
      </c>
      <c r="G487" s="2">
        <v>46001</v>
      </c>
      <c r="H487">
        <v>3500</v>
      </c>
      <c r="I487">
        <f t="shared" ca="1" si="89"/>
        <v>7000</v>
      </c>
      <c r="J487">
        <v>10</v>
      </c>
      <c r="K487" t="str">
        <f t="shared" ca="1" si="90"/>
        <v>Yes</v>
      </c>
      <c r="L487" t="str">
        <f t="shared" ca="1" si="91"/>
        <v>Weight Loss</v>
      </c>
      <c r="M487" t="str">
        <f t="shared" ca="1" si="92"/>
        <v>Active</v>
      </c>
      <c r="N487" s="2">
        <v>45930</v>
      </c>
      <c r="Q487" t="str">
        <f ca="1">IF(RAND()&lt;0.2,
    IF(RAND()&lt;0.5, LOWER(C487), UPPER(C487)),
    C487
)</f>
        <v>bangalore</v>
      </c>
      <c r="R487">
        <f t="shared" ca="1" si="84"/>
        <v>10</v>
      </c>
      <c r="S487">
        <f t="shared" ca="1" si="85"/>
        <v>3500</v>
      </c>
      <c r="T487">
        <f t="shared" ca="1" si="86"/>
        <v>45109</v>
      </c>
      <c r="U487" s="2">
        <f t="shared" ca="1" si="87"/>
        <v>45930</v>
      </c>
    </row>
    <row r="488" spans="1:21">
      <c r="A488" t="str">
        <f t="shared" si="83"/>
        <v>MEM0487</v>
      </c>
      <c r="B488" t="str">
        <f ca="1">INDEX('Name pool'!A:A, RANDBETWEEN(2, COUNTA('Name pool'!A:A))) &amp; " " &amp; INDEX('Name pool'!B:B, RANDBETWEEN(2, COUNTA('Name pool'!B:B)))</f>
        <v>Anu Joshi</v>
      </c>
      <c r="C488" t="s">
        <v>83</v>
      </c>
      <c r="D488" t="str">
        <f t="shared" ca="1" si="82"/>
        <v>BR05</v>
      </c>
      <c r="E488" t="str">
        <f t="shared" ca="1" si="88"/>
        <v>Premium</v>
      </c>
      <c r="F488" s="2">
        <v>45128</v>
      </c>
      <c r="G488" s="2">
        <v>45493</v>
      </c>
      <c r="H488">
        <v>1000</v>
      </c>
      <c r="I488">
        <f t="shared" ca="1" si="89"/>
        <v>10000</v>
      </c>
      <c r="J488">
        <v>13</v>
      </c>
      <c r="K488" t="str">
        <f t="shared" ca="1" si="90"/>
        <v>No</v>
      </c>
      <c r="L488" t="str">
        <f t="shared" ca="1" si="91"/>
        <v>Weight Loss</v>
      </c>
      <c r="M488" t="str">
        <f t="shared" ca="1" si="92"/>
        <v>Active</v>
      </c>
      <c r="N488" s="2">
        <v>45298</v>
      </c>
      <c r="Q488" t="str">
        <f ca="1">IF(RAND()&lt;0.2,
    IF(RAND()&lt;0.5, LOWER(C488), UPPER(C488)),
    C488
)</f>
        <v>Trivandrum</v>
      </c>
      <c r="R488">
        <f t="shared" ca="1" si="84"/>
        <v>13</v>
      </c>
      <c r="S488">
        <f t="shared" ca="1" si="85"/>
        <v>1000</v>
      </c>
      <c r="T488">
        <f t="shared" ca="1" si="86"/>
        <v>45884</v>
      </c>
      <c r="U488" s="2">
        <f t="shared" ca="1" si="87"/>
        <v>45298</v>
      </c>
    </row>
    <row r="489" spans="1:21">
      <c r="A489" t="str">
        <f t="shared" si="83"/>
        <v>MEM0488</v>
      </c>
      <c r="B489" t="str">
        <f ca="1">INDEX('Name pool'!A:A, RANDBETWEEN(2, COUNTA('Name pool'!A:A))) &amp; " " &amp; INDEX('Name pool'!B:B, RANDBETWEEN(2, COUNTA('Name pool'!B:B)))</f>
        <v>Harish Joseph</v>
      </c>
      <c r="C489" t="s">
        <v>77</v>
      </c>
      <c r="D489" t="str">
        <f t="shared" ca="1" si="82"/>
        <v>BR02</v>
      </c>
      <c r="E489" t="str">
        <f t="shared" ca="1" si="88"/>
        <v>Premium</v>
      </c>
      <c r="F489" s="2">
        <v>45590</v>
      </c>
      <c r="G489" s="2">
        <v>45620</v>
      </c>
      <c r="H489">
        <v>1000</v>
      </c>
      <c r="I489">
        <f t="shared" ca="1" si="89"/>
        <v>2000</v>
      </c>
      <c r="J489" t="s">
        <v>141</v>
      </c>
      <c r="K489" t="str">
        <f t="shared" ca="1" si="90"/>
        <v>No</v>
      </c>
      <c r="L489" t="str">
        <f t="shared" ca="1" si="91"/>
        <v>Muscle Gain</v>
      </c>
      <c r="M489" t="str">
        <f t="shared" ca="1" si="92"/>
        <v>Active</v>
      </c>
      <c r="N489" s="2">
        <v>45935</v>
      </c>
      <c r="Q489" t="str">
        <f ca="1">IF(RAND()&lt;0.2,
    IF(RAND()&lt;0.5, LOWER(C489), UPPER(C489)),
    C489
)</f>
        <v>Chennai</v>
      </c>
      <c r="R489" t="str">
        <f t="shared" ca="1" si="84"/>
        <v>7 visits</v>
      </c>
      <c r="S489">
        <f t="shared" ca="1" si="85"/>
        <v>1000</v>
      </c>
      <c r="T489">
        <f t="shared" ca="1" si="86"/>
        <v>46022</v>
      </c>
      <c r="U489" s="2">
        <f t="shared" ca="1" si="87"/>
        <v>45935</v>
      </c>
    </row>
    <row r="490" spans="1:21">
      <c r="A490" t="str">
        <f t="shared" si="83"/>
        <v>MEM0489</v>
      </c>
      <c r="B490" t="str">
        <f ca="1">INDEX('Name pool'!A:A, RANDBETWEEN(2, COUNTA('Name pool'!A:A))) &amp; " " &amp; INDEX('Name pool'!B:B, RANDBETWEEN(2, COUNTA('Name pool'!B:B)))</f>
        <v>Tanvi Joshi</v>
      </c>
      <c r="C490" t="s">
        <v>83</v>
      </c>
      <c r="D490" t="str">
        <f t="shared" ca="1" si="82"/>
        <v>BR01</v>
      </c>
      <c r="E490" t="str">
        <f t="shared" ca="1" si="88"/>
        <v>Standard</v>
      </c>
      <c r="F490" s="2">
        <v>45422</v>
      </c>
      <c r="G490" s="2">
        <v>45512</v>
      </c>
      <c r="H490">
        <v>2000</v>
      </c>
      <c r="I490">
        <f t="shared" ca="1" si="89"/>
        <v>16000</v>
      </c>
      <c r="J490">
        <v>18</v>
      </c>
      <c r="K490" t="str">
        <f t="shared" ca="1" si="90"/>
        <v>Yes</v>
      </c>
      <c r="L490" t="str">
        <f t="shared" ca="1" si="91"/>
        <v>Weight Loss</v>
      </c>
      <c r="M490" t="str">
        <f t="shared" ca="1" si="92"/>
        <v>Active</v>
      </c>
      <c r="N490" s="2">
        <v>45444</v>
      </c>
      <c r="Q490" t="str">
        <f ca="1">IF(RAND()&lt;0.2,
    IF(RAND()&lt;0.5, LOWER(C490), UPPER(C490)),
    C490
)</f>
        <v>Trivandrum</v>
      </c>
      <c r="R490">
        <f t="shared" ca="1" si="84"/>
        <v>18</v>
      </c>
      <c r="S490">
        <f t="shared" ca="1" si="85"/>
        <v>2000</v>
      </c>
      <c r="T490">
        <f t="shared" ca="1" si="86"/>
        <v>45691</v>
      </c>
      <c r="U490" s="2">
        <f t="shared" ca="1" si="87"/>
        <v>45444</v>
      </c>
    </row>
    <row r="491" spans="1:21">
      <c r="A491" t="str">
        <f t="shared" si="83"/>
        <v>MEM0490</v>
      </c>
      <c r="B491" t="str">
        <f ca="1">INDEX('Name pool'!A:A, RANDBETWEEN(2, COUNTA('Name pool'!A:A))) &amp; " " &amp; INDEX('Name pool'!B:B, RANDBETWEEN(2, COUNTA('Name pool'!B:B)))</f>
        <v>Lakshmi Kapoor</v>
      </c>
      <c r="C491" t="s">
        <v>112</v>
      </c>
      <c r="D491" t="str">
        <f t="shared" ca="1" si="82"/>
        <v>BR07</v>
      </c>
      <c r="E491" t="str">
        <f t="shared" ca="1" si="88"/>
        <v>Premium</v>
      </c>
      <c r="F491" s="2">
        <v>45767</v>
      </c>
      <c r="G491" s="2">
        <v>45857</v>
      </c>
      <c r="H491">
        <v>2000</v>
      </c>
      <c r="I491">
        <f t="shared" ca="1" si="89"/>
        <v>16000</v>
      </c>
      <c r="J491">
        <v>24</v>
      </c>
      <c r="K491" t="str">
        <f t="shared" ca="1" si="90"/>
        <v>No</v>
      </c>
      <c r="L491" t="str">
        <f t="shared" ca="1" si="91"/>
        <v>General Fitness</v>
      </c>
      <c r="M491" t="str">
        <f t="shared" ca="1" si="92"/>
        <v>Active</v>
      </c>
      <c r="N491" s="2">
        <v>45923</v>
      </c>
      <c r="Q491" t="str">
        <f ca="1">IF(RAND()&lt;0.2,
    IF(RAND()&lt;0.5, LOWER(C491), UPPER(C491)),
    C491
)</f>
        <v>HYDERABAD</v>
      </c>
      <c r="R491">
        <f t="shared" ca="1" si="84"/>
        <v>24</v>
      </c>
      <c r="S491" t="str">
        <f t="shared" ca="1" si="85"/>
        <v>2000</v>
      </c>
      <c r="T491">
        <f t="shared" ca="1" si="86"/>
        <v>45082</v>
      </c>
      <c r="U491" s="2">
        <f t="shared" ca="1" si="87"/>
        <v>45923</v>
      </c>
    </row>
    <row r="492" spans="1:21">
      <c r="A492" t="str">
        <f t="shared" si="83"/>
        <v>MEM0491</v>
      </c>
      <c r="B492" t="str">
        <f ca="1">INDEX('Name pool'!A:A, RANDBETWEEN(2, COUNTA('Name pool'!A:A))) &amp; " " &amp; INDEX('Name pool'!B:B, RANDBETWEEN(2, COUNTA('Name pool'!B:B)))</f>
        <v>Aditya Singh</v>
      </c>
      <c r="C492" t="s">
        <v>75</v>
      </c>
      <c r="D492" t="str">
        <f t="shared" ca="1" si="82"/>
        <v>BR06</v>
      </c>
      <c r="E492" t="str">
        <f t="shared" ca="1" si="88"/>
        <v>Standard</v>
      </c>
      <c r="F492" s="2">
        <v>46031</v>
      </c>
      <c r="G492" s="2">
        <v>46061</v>
      </c>
      <c r="H492">
        <v>2000</v>
      </c>
      <c r="I492">
        <f t="shared" ca="1" si="89"/>
        <v>24000</v>
      </c>
      <c r="J492">
        <v>8</v>
      </c>
      <c r="K492" t="str">
        <f t="shared" ca="1" si="90"/>
        <v>Yes</v>
      </c>
      <c r="L492" t="str">
        <f t="shared" ca="1" si="91"/>
        <v>Muscle Gain</v>
      </c>
      <c r="M492" t="str">
        <f t="shared" ca="1" si="92"/>
        <v>Active</v>
      </c>
      <c r="N492" s="2">
        <v>46100</v>
      </c>
      <c r="Q492" t="str">
        <f ca="1">IF(RAND()&lt;0.2,
    IF(RAND()&lt;0.5, LOWER(C492), UPPER(C492)),
    C492
)</f>
        <v>Bangalore</v>
      </c>
      <c r="R492">
        <f t="shared" ca="1" si="84"/>
        <v>8</v>
      </c>
      <c r="S492">
        <f t="shared" ca="1" si="85"/>
        <v>2000</v>
      </c>
      <c r="T492">
        <f t="shared" ca="1" si="86"/>
        <v>45325</v>
      </c>
      <c r="U492" s="2">
        <f t="shared" ca="1" si="87"/>
        <v>46100</v>
      </c>
    </row>
    <row r="493" spans="1:21">
      <c r="A493" t="str">
        <f t="shared" si="83"/>
        <v>MEM0492</v>
      </c>
      <c r="B493" t="str">
        <f ca="1">INDEX('Name pool'!A:A, RANDBETWEEN(2, COUNTA('Name pool'!A:A))) &amp; " " &amp; INDEX('Name pool'!B:B, RANDBETWEEN(2, COUNTA('Name pool'!B:B)))</f>
        <v>Fatima Desai</v>
      </c>
      <c r="C493" t="s">
        <v>75</v>
      </c>
      <c r="D493" t="str">
        <f t="shared" ca="1" si="82"/>
        <v>BR03</v>
      </c>
      <c r="E493" t="str">
        <f t="shared" ca="1" si="88"/>
        <v>Standard</v>
      </c>
      <c r="F493" s="2">
        <v>45446</v>
      </c>
      <c r="G493" s="2">
        <v>45536</v>
      </c>
      <c r="H493" t="s">
        <v>108</v>
      </c>
      <c r="I493">
        <f t="shared" ca="1" si="89"/>
        <v>12000</v>
      </c>
      <c r="J493">
        <v>13</v>
      </c>
      <c r="K493" t="str">
        <f t="shared" ca="1" si="90"/>
        <v>No</v>
      </c>
      <c r="L493" t="str">
        <f t="shared" ca="1" si="91"/>
        <v>Weight Loss</v>
      </c>
      <c r="M493" t="str">
        <f t="shared" ca="1" si="92"/>
        <v>Active</v>
      </c>
      <c r="N493" s="2">
        <v>45735</v>
      </c>
      <c r="Q493" t="str">
        <f ca="1">IF(RAND()&lt;0.2,
    IF(RAND()&lt;0.5, LOWER(C493), UPPER(C493)),
    C493
)</f>
        <v>Bangalore</v>
      </c>
      <c r="R493">
        <f t="shared" ca="1" si="84"/>
        <v>13</v>
      </c>
      <c r="S493" t="str">
        <f t="shared" ca="1" si="85"/>
        <v>1000</v>
      </c>
      <c r="T493">
        <f t="shared" ca="1" si="86"/>
        <v>45896</v>
      </c>
      <c r="U493" s="2">
        <f t="shared" ca="1" si="87"/>
        <v>45735</v>
      </c>
    </row>
    <row r="494" spans="1:21">
      <c r="A494" t="str">
        <f t="shared" si="83"/>
        <v>MEM0493</v>
      </c>
      <c r="B494" t="str">
        <f ca="1">INDEX('Name pool'!A:A, RANDBETWEEN(2, COUNTA('Name pool'!A:A))) &amp; " " &amp; INDEX('Name pool'!B:B, RANDBETWEEN(2, COUNTA('Name pool'!B:B)))</f>
        <v>Ankit Pillai</v>
      </c>
      <c r="C494" t="s">
        <v>81</v>
      </c>
      <c r="D494" t="str">
        <f t="shared" ca="1" si="82"/>
        <v>BR06</v>
      </c>
      <c r="E494" t="str">
        <f t="shared" ca="1" si="88"/>
        <v>Basic</v>
      </c>
      <c r="F494" s="2">
        <v>46031</v>
      </c>
      <c r="G494" s="2">
        <v>46396</v>
      </c>
      <c r="H494">
        <v>3500</v>
      </c>
      <c r="I494">
        <f t="shared" ca="1" si="89"/>
        <v>21000</v>
      </c>
      <c r="J494">
        <v>7</v>
      </c>
      <c r="K494" t="str">
        <f t="shared" ca="1" si="90"/>
        <v>Yes</v>
      </c>
      <c r="L494" t="str">
        <f t="shared" ca="1" si="91"/>
        <v>Muscle Gain</v>
      </c>
      <c r="M494" t="str">
        <f t="shared" ca="1" si="92"/>
        <v>Active</v>
      </c>
      <c r="N494" s="2">
        <v>46036</v>
      </c>
      <c r="Q494" t="str">
        <f ca="1">IF(RAND()&lt;0.2,
    IF(RAND()&lt;0.5, LOWER(C494), UPPER(C494)),
    C494
)</f>
        <v>Mumbai</v>
      </c>
      <c r="R494">
        <f t="shared" ca="1" si="84"/>
        <v>7</v>
      </c>
      <c r="S494">
        <f t="shared" ca="1" si="85"/>
        <v>3500</v>
      </c>
      <c r="T494">
        <f t="shared" ca="1" si="86"/>
        <v>45901</v>
      </c>
      <c r="U494" s="2">
        <f t="shared" ca="1" si="87"/>
        <v>46036</v>
      </c>
    </row>
    <row r="495" spans="1:21">
      <c r="A495" t="str">
        <f t="shared" si="83"/>
        <v>MEM0494</v>
      </c>
      <c r="B495" t="str">
        <f ca="1">INDEX('Name pool'!A:A, RANDBETWEEN(2, COUNTA('Name pool'!A:A))) &amp; " " &amp; INDEX('Name pool'!B:B, RANDBETWEEN(2, COUNTA('Name pool'!B:B)))</f>
        <v>Siddharth George</v>
      </c>
      <c r="C495" t="s">
        <v>83</v>
      </c>
      <c r="D495" t="str">
        <f t="shared" ca="1" si="82"/>
        <v>BR01</v>
      </c>
      <c r="E495" t="str">
        <f t="shared" ca="1" si="88"/>
        <v>Basic</v>
      </c>
      <c r="F495" s="2">
        <v>45474</v>
      </c>
      <c r="G495" s="2">
        <v>45504</v>
      </c>
      <c r="H495">
        <v>2000</v>
      </c>
      <c r="I495">
        <f t="shared" ca="1" si="89"/>
        <v>2000</v>
      </c>
      <c r="J495">
        <v>16</v>
      </c>
      <c r="K495" t="str">
        <f t="shared" ca="1" si="90"/>
        <v>Yes</v>
      </c>
      <c r="L495" t="str">
        <f t="shared" ca="1" si="91"/>
        <v>Weight Loss</v>
      </c>
      <c r="M495" t="str">
        <f t="shared" ca="1" si="92"/>
        <v>Active</v>
      </c>
      <c r="N495" s="2">
        <v>46021</v>
      </c>
      <c r="Q495" t="str">
        <f ca="1">IF(RAND()&lt;0.2,
    IF(RAND()&lt;0.5, LOWER(C495), UPPER(C495)),
    C495
)</f>
        <v>TRIVANDRUM</v>
      </c>
      <c r="R495">
        <f t="shared" ca="1" si="84"/>
        <v>16</v>
      </c>
      <c r="S495">
        <f t="shared" ca="1" si="85"/>
        <v>2000</v>
      </c>
      <c r="T495">
        <f t="shared" ca="1" si="86"/>
        <v>45450</v>
      </c>
      <c r="U495" s="2">
        <f t="shared" ca="1" si="87"/>
        <v>46021</v>
      </c>
    </row>
    <row r="496" spans="1:21">
      <c r="A496" t="str">
        <f t="shared" si="83"/>
        <v>MEM0495</v>
      </c>
      <c r="B496" t="str">
        <f ca="1">INDEX('Name pool'!A:A, RANDBETWEEN(2, COUNTA('Name pool'!A:A))) &amp; " " &amp; INDEX('Name pool'!B:B, RANDBETWEEN(2, COUNTA('Name pool'!B:B)))</f>
        <v>Meera Menon</v>
      </c>
      <c r="C496" t="s">
        <v>79</v>
      </c>
      <c r="D496" t="str">
        <f t="shared" ca="1" si="82"/>
        <v>BR06</v>
      </c>
      <c r="E496" t="str">
        <f t="shared" ca="1" si="88"/>
        <v>Basic</v>
      </c>
      <c r="F496" s="2">
        <v>45632</v>
      </c>
      <c r="G496" s="2">
        <v>45997</v>
      </c>
      <c r="H496">
        <v>1000</v>
      </c>
      <c r="I496">
        <f t="shared" ca="1" si="89"/>
        <v>5000</v>
      </c>
      <c r="J496">
        <v>17</v>
      </c>
      <c r="K496" t="str">
        <f t="shared" ca="1" si="90"/>
        <v>Yes</v>
      </c>
      <c r="L496" t="str">
        <f t="shared" ca="1" si="91"/>
        <v>Weight Loss</v>
      </c>
      <c r="M496" t="str">
        <f t="shared" ca="1" si="92"/>
        <v>Active</v>
      </c>
      <c r="N496" s="2">
        <v>45834</v>
      </c>
      <c r="Q496" t="str">
        <f ca="1">IF(RAND()&lt;0.2,
    IF(RAND()&lt;0.5, LOWER(C496), UPPER(C496)),
    C496
)</f>
        <v>Hyderabad</v>
      </c>
      <c r="R496" t="str">
        <f t="shared" ca="1" si="84"/>
        <v>17 visits</v>
      </c>
      <c r="S496">
        <f t="shared" ca="1" si="85"/>
        <v>1000</v>
      </c>
      <c r="T496">
        <f t="shared" ca="1" si="86"/>
        <v>45891</v>
      </c>
      <c r="U496" s="2">
        <f t="shared" ca="1" si="87"/>
        <v>45834</v>
      </c>
    </row>
    <row r="497" spans="1:21">
      <c r="A497" t="str">
        <f t="shared" si="83"/>
        <v>MEM0496</v>
      </c>
      <c r="B497" t="str">
        <f ca="1">INDEX('Name pool'!A:A, RANDBETWEEN(2, COUNTA('Name pool'!A:A))) &amp; " " &amp; INDEX('Name pool'!B:B, RANDBETWEEN(2, COUNTA('Name pool'!B:B)))</f>
        <v>Deepak Varghese</v>
      </c>
      <c r="C497" t="s">
        <v>75</v>
      </c>
      <c r="D497" t="str">
        <f t="shared" ca="1" si="82"/>
        <v>BR02</v>
      </c>
      <c r="E497" t="str">
        <f t="shared" ca="1" si="88"/>
        <v>Premium</v>
      </c>
      <c r="F497" s="2">
        <v>44995</v>
      </c>
      <c r="G497" s="2">
        <v>45085</v>
      </c>
      <c r="H497">
        <v>1000</v>
      </c>
      <c r="I497">
        <f t="shared" ca="1" si="89"/>
        <v>10000</v>
      </c>
      <c r="J497">
        <v>18</v>
      </c>
      <c r="K497" t="str">
        <f t="shared" ca="1" si="90"/>
        <v>Yes</v>
      </c>
      <c r="L497" t="str">
        <f t="shared" ca="1" si="91"/>
        <v>General Fitness</v>
      </c>
      <c r="M497" t="str">
        <f t="shared" ca="1" si="92"/>
        <v>Active</v>
      </c>
      <c r="N497" s="2">
        <v>45929</v>
      </c>
      <c r="Q497" t="str">
        <f ca="1">IF(RAND()&lt;0.2,
    IF(RAND()&lt;0.5, LOWER(C497), UPPER(C497)),
    C497
)</f>
        <v>Bangalore</v>
      </c>
      <c r="R497" t="str">
        <f t="shared" ca="1" si="84"/>
        <v>18 visits</v>
      </c>
      <c r="S497">
        <f t="shared" ca="1" si="85"/>
        <v>1000</v>
      </c>
      <c r="T497">
        <f t="shared" ca="1" si="86"/>
        <v>46052</v>
      </c>
      <c r="U497" s="2">
        <f t="shared" ca="1" si="87"/>
        <v>45929</v>
      </c>
    </row>
    <row r="498" spans="1:21">
      <c r="A498" t="str">
        <f t="shared" si="83"/>
        <v>MEM0497</v>
      </c>
      <c r="B498" t="str">
        <f ca="1">INDEX('Name pool'!A:A, RANDBETWEEN(2, COUNTA('Name pool'!A:A))) &amp; " " &amp; INDEX('Name pool'!B:B, RANDBETWEEN(2, COUNTA('Name pool'!B:B)))</f>
        <v>Swathi Kulkarni</v>
      </c>
      <c r="C498" t="s">
        <v>85</v>
      </c>
      <c r="D498" t="str">
        <f t="shared" ca="1" si="82"/>
        <v>BR03</v>
      </c>
      <c r="E498" t="str">
        <f t="shared" ca="1" si="88"/>
        <v>Premium</v>
      </c>
      <c r="F498" s="2">
        <v>45461</v>
      </c>
      <c r="G498" s="2">
        <v>45826</v>
      </c>
      <c r="H498">
        <v>2000</v>
      </c>
      <c r="I498">
        <f t="shared" ca="1" si="89"/>
        <v>18000</v>
      </c>
      <c r="J498">
        <v>5</v>
      </c>
      <c r="K498" t="str">
        <f t="shared" ca="1" si="90"/>
        <v>Yes</v>
      </c>
      <c r="L498" t="str">
        <f t="shared" ca="1" si="91"/>
        <v>General Fitness</v>
      </c>
      <c r="M498" t="str">
        <f t="shared" ca="1" si="92"/>
        <v>Active</v>
      </c>
      <c r="N498" s="2">
        <v>45776</v>
      </c>
      <c r="Q498" t="str">
        <f ca="1">IF(RAND()&lt;0.2,
    IF(RAND()&lt;0.5, LOWER(C498), UPPER(C498)),
    C498
)</f>
        <v>Calicut</v>
      </c>
      <c r="R498">
        <f t="shared" ca="1" si="84"/>
        <v>5</v>
      </c>
      <c r="S498">
        <f t="shared" ca="1" si="85"/>
        <v>2000</v>
      </c>
      <c r="T498">
        <f t="shared" ca="1" si="86"/>
        <v>45129</v>
      </c>
      <c r="U498" s="2">
        <f t="shared" ca="1" si="87"/>
        <v>45776</v>
      </c>
    </row>
    <row r="499" spans="1:21">
      <c r="A499" t="str">
        <f t="shared" si="83"/>
        <v>MEM0498</v>
      </c>
      <c r="B499" t="str">
        <f ca="1">INDEX('Name pool'!A:A, RANDBETWEEN(2, COUNTA('Name pool'!A:A))) &amp; " " &amp; INDEX('Name pool'!B:B, RANDBETWEEN(2, COUNTA('Name pool'!B:B)))</f>
        <v>Meera Menon</v>
      </c>
      <c r="C499" t="s">
        <v>132</v>
      </c>
      <c r="D499" t="str">
        <f t="shared" ca="1" si="82"/>
        <v>BR04</v>
      </c>
      <c r="E499" t="str">
        <f t="shared" ca="1" si="88"/>
        <v>Standard</v>
      </c>
      <c r="F499" s="2">
        <v>45140</v>
      </c>
      <c r="G499" s="2">
        <v>45505</v>
      </c>
      <c r="H499" t="s">
        <v>105</v>
      </c>
      <c r="I499">
        <f t="shared" ca="1" si="89"/>
        <v>31500</v>
      </c>
      <c r="J499">
        <v>14</v>
      </c>
      <c r="K499" t="str">
        <f t="shared" ca="1" si="90"/>
        <v>Yes</v>
      </c>
      <c r="L499" t="str">
        <f t="shared" ca="1" si="91"/>
        <v>Weight Loss</v>
      </c>
      <c r="M499" t="str">
        <f t="shared" ca="1" si="92"/>
        <v>Active</v>
      </c>
      <c r="N499" s="2">
        <v>45745</v>
      </c>
      <c r="Q499" t="str">
        <f ca="1">IF(RAND()&lt;0.2,
    IF(RAND()&lt;0.5, LOWER(C499), UPPER(C499)),
    C499
)</f>
        <v>CALICUT</v>
      </c>
      <c r="R499">
        <f t="shared" ca="1" si="84"/>
        <v>14</v>
      </c>
      <c r="S499" t="str">
        <f t="shared" ca="1" si="85"/>
        <v>3500</v>
      </c>
      <c r="T499">
        <f t="shared" ca="1" si="86"/>
        <v>45135</v>
      </c>
      <c r="U499" s="2">
        <f t="shared" ca="1" si="87"/>
        <v>45745</v>
      </c>
    </row>
    <row r="500" spans="1:21">
      <c r="A500" t="str">
        <f t="shared" si="83"/>
        <v>MEM0499</v>
      </c>
      <c r="B500" t="str">
        <f ca="1">INDEX('Name pool'!A:A, RANDBETWEEN(2, COUNTA('Name pool'!A:A))) &amp; " " &amp; INDEX('Name pool'!B:B, RANDBETWEEN(2, COUNTA('Name pool'!B:B)))</f>
        <v>Arjun Singh</v>
      </c>
      <c r="C500" t="s">
        <v>79</v>
      </c>
      <c r="D500" t="str">
        <f t="shared" ca="1" si="82"/>
        <v>BR05</v>
      </c>
      <c r="E500" t="str">
        <f t="shared" ca="1" si="88"/>
        <v>Basic</v>
      </c>
      <c r="F500" s="2">
        <v>45159</v>
      </c>
      <c r="G500" s="2">
        <v>45524</v>
      </c>
      <c r="H500">
        <v>1000</v>
      </c>
      <c r="I500">
        <f t="shared" ca="1" si="89"/>
        <v>12000</v>
      </c>
      <c r="J500">
        <v>6</v>
      </c>
      <c r="K500" t="str">
        <f t="shared" ca="1" si="90"/>
        <v>No</v>
      </c>
      <c r="L500" t="str">
        <f t="shared" ca="1" si="91"/>
        <v>Weight Loss</v>
      </c>
      <c r="M500" t="str">
        <f t="shared" ca="1" si="92"/>
        <v>Active</v>
      </c>
      <c r="N500" s="2">
        <v>45485</v>
      </c>
      <c r="Q500" t="str">
        <f ca="1">IF(RAND()&lt;0.2,
    IF(RAND()&lt;0.5, LOWER(C500), UPPER(C500)),
    C500
)</f>
        <v>Hyderabad</v>
      </c>
      <c r="R500" t="str">
        <f t="shared" ca="1" si="84"/>
        <v>6 visits</v>
      </c>
      <c r="S500" t="str">
        <f t="shared" ca="1" si="85"/>
        <v>1000</v>
      </c>
      <c r="T500">
        <f t="shared" ca="1" si="86"/>
        <v>45076</v>
      </c>
      <c r="U500" s="2">
        <f t="shared" ca="1" si="87"/>
        <v>45485</v>
      </c>
    </row>
    <row r="501" spans="1:21">
      <c r="A501" t="str">
        <f t="shared" si="83"/>
        <v>MEM0500</v>
      </c>
      <c r="B501" t="str">
        <f ca="1">INDEX('Name pool'!A:A, RANDBETWEEN(2, COUNTA('Name pool'!A:A))) &amp; " " &amp; INDEX('Name pool'!B:B, RANDBETWEEN(2, COUNTA('Name pool'!B:B)))</f>
        <v>Harish Nair</v>
      </c>
      <c r="C501" t="s">
        <v>85</v>
      </c>
      <c r="D501" t="str">
        <f t="shared" ca="1" si="82"/>
        <v>BR03</v>
      </c>
      <c r="E501" t="str">
        <f t="shared" ca="1" si="88"/>
        <v>Premium</v>
      </c>
      <c r="F501" s="2">
        <v>45417</v>
      </c>
      <c r="G501" s="2">
        <v>45447</v>
      </c>
      <c r="H501">
        <v>3500</v>
      </c>
      <c r="I501">
        <f t="shared" ca="1" si="89"/>
        <v>38500</v>
      </c>
      <c r="J501">
        <v>4</v>
      </c>
      <c r="K501" t="str">
        <f t="shared" ca="1" si="90"/>
        <v>Yes</v>
      </c>
      <c r="L501" t="str">
        <f t="shared" ca="1" si="91"/>
        <v>Muscle Gain</v>
      </c>
      <c r="M501" t="str">
        <f t="shared" ca="1" si="92"/>
        <v>Cancelled</v>
      </c>
      <c r="N501" s="2">
        <v>45434</v>
      </c>
      <c r="Q501" t="str">
        <f ca="1">IF(RAND()&lt;0.2,
    IF(RAND()&lt;0.5, LOWER(C501), UPPER(C501)),
    C501
)</f>
        <v>Calicut</v>
      </c>
      <c r="R501">
        <f t="shared" ca="1" si="84"/>
        <v>4</v>
      </c>
      <c r="S501" t="str">
        <f t="shared" ca="1" si="85"/>
        <v>3500</v>
      </c>
      <c r="T501">
        <f t="shared" ca="1" si="86"/>
        <v>45083</v>
      </c>
      <c r="U501" s="2">
        <f t="shared" ca="1" si="87"/>
        <v>45434</v>
      </c>
    </row>
    <row r="502" spans="1:21">
      <c r="A502" t="str">
        <f t="shared" si="83"/>
        <v>MEM0501</v>
      </c>
      <c r="B502" t="str">
        <f ca="1">INDEX('Name pool'!A:A, RANDBETWEEN(2, COUNTA('Name pool'!A:A))) &amp; " " &amp; INDEX('Name pool'!B:B, RANDBETWEEN(2, COUNTA('Name pool'!B:B)))</f>
        <v>Akash Shetty</v>
      </c>
      <c r="C502" t="s">
        <v>85</v>
      </c>
      <c r="D502" t="str">
        <f t="shared" ca="1" si="82"/>
        <v>BR07</v>
      </c>
      <c r="E502" t="str">
        <f t="shared" ca="1" si="88"/>
        <v>Standard</v>
      </c>
      <c r="F502" s="2">
        <v>45297</v>
      </c>
      <c r="G502" s="2">
        <v>45327</v>
      </c>
      <c r="H502">
        <v>1000</v>
      </c>
      <c r="I502">
        <f t="shared" ca="1" si="89"/>
        <v>8000</v>
      </c>
      <c r="J502">
        <v>6</v>
      </c>
      <c r="K502" t="str">
        <f t="shared" ca="1" si="90"/>
        <v>Yes</v>
      </c>
      <c r="L502" t="str">
        <f t="shared" ca="1" si="91"/>
        <v>General Fitness</v>
      </c>
      <c r="M502" t="str">
        <f t="shared" ca="1" si="92"/>
        <v>Active</v>
      </c>
      <c r="N502" s="2">
        <v>45857</v>
      </c>
      <c r="Q502" t="str">
        <f ca="1">IF(RAND()&lt;0.2,
    IF(RAND()&lt;0.5, LOWER(C502), UPPER(C502)),
    C502
)</f>
        <v>Calicut</v>
      </c>
      <c r="R502">
        <f t="shared" ca="1" si="84"/>
        <v>6</v>
      </c>
      <c r="S502">
        <f t="shared" ca="1" si="85"/>
        <v>1000</v>
      </c>
      <c r="T502">
        <f t="shared" ca="1" si="86"/>
        <v>45650</v>
      </c>
      <c r="U502" s="2">
        <f t="shared" ca="1" si="87"/>
        <v>45857</v>
      </c>
    </row>
    <row r="503" spans="1:21">
      <c r="A503" t="str">
        <f t="shared" si="83"/>
        <v>MEM0502</v>
      </c>
      <c r="B503" t="str">
        <f ca="1">INDEX('Name pool'!A:A, RANDBETWEEN(2, COUNTA('Name pool'!A:A))) &amp; " " &amp; INDEX('Name pool'!B:B, RANDBETWEEN(2, COUNTA('Name pool'!B:B)))</f>
        <v>Nisha Gupta</v>
      </c>
      <c r="C503" t="s">
        <v>81</v>
      </c>
      <c r="D503" t="str">
        <f t="shared" ca="1" si="82"/>
        <v>BR05</v>
      </c>
      <c r="E503" t="str">
        <f t="shared" ca="1" si="88"/>
        <v>Standard</v>
      </c>
      <c r="F503" s="2">
        <v>45548</v>
      </c>
      <c r="G503" s="2">
        <v>45913</v>
      </c>
      <c r="H503">
        <v>1000</v>
      </c>
      <c r="I503">
        <f t="shared" ca="1" si="89"/>
        <v>2000</v>
      </c>
      <c r="J503">
        <v>10</v>
      </c>
      <c r="K503" t="str">
        <f t="shared" ca="1" si="90"/>
        <v>No</v>
      </c>
      <c r="L503" t="str">
        <f t="shared" ca="1" si="91"/>
        <v>General Fitness</v>
      </c>
      <c r="M503" t="str">
        <f t="shared" ca="1" si="92"/>
        <v>Active</v>
      </c>
      <c r="N503" s="2">
        <v>45746</v>
      </c>
      <c r="Q503" t="str">
        <f ca="1">IF(RAND()&lt;0.2,
    IF(RAND()&lt;0.5, LOWER(C503), UPPER(C503)),
    C503
)</f>
        <v>Mumbai</v>
      </c>
      <c r="R503">
        <f t="shared" ca="1" si="84"/>
        <v>10</v>
      </c>
      <c r="S503">
        <f t="shared" ca="1" si="85"/>
        <v>1000</v>
      </c>
      <c r="T503">
        <f t="shared" ca="1" si="86"/>
        <v>45415</v>
      </c>
      <c r="U503" s="2">
        <f t="shared" ca="1" si="87"/>
        <v>45746</v>
      </c>
    </row>
    <row r="504" spans="1:21">
      <c r="A504" t="str">
        <f t="shared" si="83"/>
        <v>MEM0503</v>
      </c>
      <c r="B504" t="str">
        <f ca="1">INDEX('Name pool'!A:A, RANDBETWEEN(2, COUNTA('Name pool'!A:A))) &amp; " " &amp; INDEX('Name pool'!B:B, RANDBETWEEN(2, COUNTA('Name pool'!B:B)))</f>
        <v>Lakshmi Patel</v>
      </c>
      <c r="C504" t="s">
        <v>75</v>
      </c>
      <c r="D504" t="str">
        <f t="shared" ca="1" si="82"/>
        <v>BR01</v>
      </c>
      <c r="E504" t="str">
        <f t="shared" ca="1" si="88"/>
        <v>Standard</v>
      </c>
      <c r="F504" s="2">
        <v>45696</v>
      </c>
      <c r="G504" s="2">
        <v>45726</v>
      </c>
      <c r="H504">
        <v>1000</v>
      </c>
      <c r="I504">
        <f t="shared" ca="1" si="89"/>
        <v>10000</v>
      </c>
      <c r="J504">
        <v>0</v>
      </c>
      <c r="K504" t="str">
        <f t="shared" ca="1" si="90"/>
        <v>No</v>
      </c>
      <c r="L504" t="str">
        <f t="shared" ca="1" si="91"/>
        <v>Weight Loss</v>
      </c>
      <c r="M504" t="str">
        <f t="shared" ca="1" si="92"/>
        <v>Cancelled</v>
      </c>
      <c r="N504" s="2">
        <v>45744</v>
      </c>
      <c r="Q504" t="str">
        <f ca="1">IF(RAND()&lt;0.2,
    IF(RAND()&lt;0.5, LOWER(C504), UPPER(C504)),
    C504
)</f>
        <v>Bangalore</v>
      </c>
      <c r="R504">
        <f t="shared" ca="1" si="84"/>
        <v>0</v>
      </c>
      <c r="S504">
        <f t="shared" ca="1" si="85"/>
        <v>1000</v>
      </c>
      <c r="T504">
        <f t="shared" ca="1" si="86"/>
        <v>45668</v>
      </c>
      <c r="U504" s="2">
        <f t="shared" ca="1" si="87"/>
        <v>45719</v>
      </c>
    </row>
    <row r="505" spans="1:21">
      <c r="A505" t="str">
        <f t="shared" si="83"/>
        <v>MEM0504</v>
      </c>
      <c r="B505" t="str">
        <f ca="1">INDEX('Name pool'!A:A, RANDBETWEEN(2, COUNTA('Name pool'!A:A))) &amp; " " &amp; INDEX('Name pool'!B:B, RANDBETWEEN(2, COUNTA('Name pool'!B:B)))</f>
        <v>Arjun Mathew</v>
      </c>
      <c r="C505" t="s">
        <v>85</v>
      </c>
      <c r="D505" t="str">
        <f t="shared" ca="1" si="82"/>
        <v>BR04</v>
      </c>
      <c r="E505" t="str">
        <f t="shared" ca="1" si="88"/>
        <v>Premium</v>
      </c>
      <c r="F505" s="2">
        <v>45284</v>
      </c>
      <c r="G505" s="2">
        <v>45649</v>
      </c>
      <c r="H505">
        <v>2000</v>
      </c>
      <c r="I505">
        <f t="shared" ca="1" si="89"/>
        <v>4000</v>
      </c>
      <c r="J505">
        <v>14</v>
      </c>
      <c r="K505" t="str">
        <f t="shared" ca="1" si="90"/>
        <v>No</v>
      </c>
      <c r="L505" t="str">
        <f t="shared" ca="1" si="91"/>
        <v>Muscle Gain</v>
      </c>
      <c r="M505" t="str">
        <f t="shared" ca="1" si="92"/>
        <v>Active</v>
      </c>
      <c r="N505" s="2">
        <v>45386</v>
      </c>
      <c r="Q505" t="str">
        <f ca="1">IF(RAND()&lt;0.2,
    IF(RAND()&lt;0.5, LOWER(C505), UPPER(C505)),
    C505
)</f>
        <v>Calicut</v>
      </c>
      <c r="R505">
        <f t="shared" ca="1" si="84"/>
        <v>14</v>
      </c>
      <c r="S505">
        <f t="shared" ca="1" si="85"/>
        <v>2000</v>
      </c>
      <c r="T505">
        <f t="shared" ca="1" si="86"/>
        <v>45865</v>
      </c>
      <c r="U505" s="2">
        <f t="shared" ca="1" si="87"/>
        <v>45386</v>
      </c>
    </row>
    <row r="506" spans="1:21">
      <c r="A506" t="str">
        <f t="shared" si="83"/>
        <v>MEM0505</v>
      </c>
      <c r="B506" t="str">
        <f ca="1">INDEX('Name pool'!A:A, RANDBETWEEN(2, COUNTA('Name pool'!A:A))) &amp; " " &amp; INDEX('Name pool'!B:B, RANDBETWEEN(2, COUNTA('Name pool'!B:B)))</f>
        <v>Fatima Gupta</v>
      </c>
      <c r="C506" t="s">
        <v>73</v>
      </c>
      <c r="D506" t="str">
        <f t="shared" ca="1" si="82"/>
        <v>BR05</v>
      </c>
      <c r="E506" t="str">
        <f t="shared" ca="1" si="88"/>
        <v>Premium</v>
      </c>
      <c r="F506" s="2">
        <v>45457</v>
      </c>
      <c r="G506" s="2">
        <v>45547</v>
      </c>
      <c r="H506">
        <v>1000</v>
      </c>
      <c r="I506">
        <f t="shared" ca="1" si="89"/>
        <v>9000</v>
      </c>
      <c r="J506">
        <v>3</v>
      </c>
      <c r="K506" t="str">
        <f t="shared" ca="1" si="90"/>
        <v>Yes</v>
      </c>
      <c r="L506" t="str">
        <f t="shared" ca="1" si="91"/>
        <v>Weight Loss</v>
      </c>
      <c r="M506" t="str">
        <f t="shared" ca="1" si="92"/>
        <v>Active</v>
      </c>
      <c r="N506" s="2">
        <v>45705</v>
      </c>
      <c r="Q506" t="str">
        <f ca="1">IF(RAND()&lt;0.2,
    IF(RAND()&lt;0.5, LOWER(C506), UPPER(C506)),
    C506
)</f>
        <v>Kochi</v>
      </c>
      <c r="R506">
        <f t="shared" ca="1" si="84"/>
        <v>3</v>
      </c>
      <c r="S506">
        <f t="shared" ca="1" si="85"/>
        <v>1000</v>
      </c>
      <c r="T506">
        <f t="shared" ca="1" si="86"/>
        <v>45239</v>
      </c>
      <c r="U506" s="2">
        <f t="shared" ca="1" si="87"/>
        <v>45705</v>
      </c>
    </row>
    <row r="507" spans="1:21">
      <c r="A507" t="str">
        <f t="shared" si="83"/>
        <v>MEM0506</v>
      </c>
      <c r="B507" t="str">
        <f ca="1">INDEX('Name pool'!A:A, RANDBETWEEN(2, COUNTA('Name pool'!A:A))) &amp; " " &amp; INDEX('Name pool'!B:B, RANDBETWEEN(2, COUNTA('Name pool'!B:B)))</f>
        <v>Swathi Nair</v>
      </c>
      <c r="C507" t="s">
        <v>85</v>
      </c>
      <c r="D507" t="str">
        <f t="shared" ca="1" si="82"/>
        <v>BR06</v>
      </c>
      <c r="E507" t="str">
        <f t="shared" ca="1" si="88"/>
        <v>Premium</v>
      </c>
      <c r="F507" s="2">
        <v>45101</v>
      </c>
      <c r="G507" s="2">
        <v>45131</v>
      </c>
      <c r="H507">
        <v>3500</v>
      </c>
      <c r="I507">
        <f t="shared" ca="1" si="89"/>
        <v>17500</v>
      </c>
      <c r="J507">
        <v>14</v>
      </c>
      <c r="K507" t="str">
        <f t="shared" ca="1" si="90"/>
        <v>No</v>
      </c>
      <c r="L507" t="str">
        <f t="shared" ca="1" si="91"/>
        <v>General Fitness</v>
      </c>
      <c r="M507" t="str">
        <f t="shared" ca="1" si="92"/>
        <v>Active</v>
      </c>
      <c r="N507" s="2">
        <v>45804</v>
      </c>
      <c r="Q507" t="str">
        <f ca="1">IF(RAND()&lt;0.2,
    IF(RAND()&lt;0.5, LOWER(C507), UPPER(C507)),
    C507
)</f>
        <v>Calicut</v>
      </c>
      <c r="R507">
        <f t="shared" ca="1" si="84"/>
        <v>14</v>
      </c>
      <c r="S507">
        <f t="shared" ca="1" si="85"/>
        <v>3500</v>
      </c>
      <c r="T507">
        <f t="shared" ca="1" si="86"/>
        <v>45490</v>
      </c>
      <c r="U507" s="2">
        <f t="shared" ca="1" si="87"/>
        <v>45804</v>
      </c>
    </row>
    <row r="508" spans="1:21">
      <c r="A508" t="str">
        <f t="shared" si="83"/>
        <v>MEM0507</v>
      </c>
      <c r="B508" t="str">
        <f ca="1">INDEX('Name pool'!A:A, RANDBETWEEN(2, COUNTA('Name pool'!A:A))) &amp; " " &amp; INDEX('Name pool'!B:B, RANDBETWEEN(2, COUNTA('Name pool'!B:B)))</f>
        <v>Rahul Naidu</v>
      </c>
      <c r="C508" t="s">
        <v>83</v>
      </c>
      <c r="D508" t="str">
        <f t="shared" ca="1" si="82"/>
        <v>BR02</v>
      </c>
      <c r="E508" t="str">
        <f t="shared" ca="1" si="88"/>
        <v>Basic</v>
      </c>
      <c r="F508" s="2">
        <v>45156</v>
      </c>
      <c r="G508" s="2">
        <v>45246</v>
      </c>
      <c r="H508" t="s">
        <v>105</v>
      </c>
      <c r="I508">
        <f t="shared" ca="1" si="89"/>
        <v>42000</v>
      </c>
      <c r="J508">
        <v>12</v>
      </c>
      <c r="K508" t="str">
        <f t="shared" ca="1" si="90"/>
        <v>Yes</v>
      </c>
      <c r="L508" t="str">
        <f t="shared" ca="1" si="91"/>
        <v>General Fitness</v>
      </c>
      <c r="M508" t="str">
        <f t="shared" ca="1" si="92"/>
        <v>Active</v>
      </c>
      <c r="N508" s="2">
        <v>45925</v>
      </c>
      <c r="Q508" t="str">
        <f ca="1">IF(RAND()&lt;0.2,
    IF(RAND()&lt;0.5, LOWER(C508), UPPER(C508)),
    C508
)</f>
        <v>Trivandrum</v>
      </c>
      <c r="R508">
        <f t="shared" ca="1" si="84"/>
        <v>12</v>
      </c>
      <c r="S508" t="str">
        <f t="shared" ca="1" si="85"/>
        <v>3500</v>
      </c>
      <c r="T508">
        <f t="shared" ca="1" si="86"/>
        <v>45086</v>
      </c>
      <c r="U508" s="2">
        <f t="shared" ca="1" si="87"/>
        <v>45925</v>
      </c>
    </row>
    <row r="509" spans="1:21">
      <c r="A509" t="str">
        <f t="shared" si="83"/>
        <v>MEM0508</v>
      </c>
      <c r="B509" t="str">
        <f ca="1">INDEX('Name pool'!A:A, RANDBETWEEN(2, COUNTA('Name pool'!A:A))) &amp; " " &amp; INDEX('Name pool'!B:B, RANDBETWEEN(2, COUNTA('Name pool'!B:B)))</f>
        <v>Sneha Bhat</v>
      </c>
      <c r="C509" t="s">
        <v>75</v>
      </c>
      <c r="D509" t="str">
        <f t="shared" ca="1" si="82"/>
        <v>BR02</v>
      </c>
      <c r="E509" t="str">
        <f t="shared" ca="1" si="88"/>
        <v>Basic</v>
      </c>
      <c r="F509" s="2">
        <v>45651</v>
      </c>
      <c r="G509" s="2">
        <v>46016</v>
      </c>
      <c r="H509" t="s">
        <v>108</v>
      </c>
      <c r="I509">
        <f t="shared" ca="1" si="89"/>
        <v>2000</v>
      </c>
      <c r="J509">
        <v>12</v>
      </c>
      <c r="K509" t="str">
        <f t="shared" ca="1" si="90"/>
        <v>Yes</v>
      </c>
      <c r="L509" t="str">
        <f t="shared" ca="1" si="91"/>
        <v>Muscle Gain</v>
      </c>
      <c r="M509" t="str">
        <f t="shared" ca="1" si="92"/>
        <v>Active</v>
      </c>
      <c r="N509" s="2">
        <v>45984</v>
      </c>
      <c r="Q509" t="str">
        <f ca="1">IF(RAND()&lt;0.2,
    IF(RAND()&lt;0.5, LOWER(C509), UPPER(C509)),
    C509
)</f>
        <v>BANGALORE</v>
      </c>
      <c r="R509">
        <f t="shared" ca="1" si="84"/>
        <v>12</v>
      </c>
      <c r="S509" t="str">
        <f t="shared" ca="1" si="85"/>
        <v>1000</v>
      </c>
      <c r="T509">
        <f t="shared" ca="1" si="86"/>
        <v>45293</v>
      </c>
      <c r="U509" s="2">
        <f t="shared" ca="1" si="87"/>
        <v>45984</v>
      </c>
    </row>
    <row r="510" spans="1:21">
      <c r="A510" t="str">
        <f t="shared" si="83"/>
        <v>MEM0509</v>
      </c>
      <c r="B510" t="str">
        <f ca="1">INDEX('Name pool'!A:A, RANDBETWEEN(2, COUNTA('Name pool'!A:A))) &amp; " " &amp; INDEX('Name pool'!B:B, RANDBETWEEN(2, COUNTA('Name pool'!B:B)))</f>
        <v>Akash Gupta</v>
      </c>
      <c r="C510" t="s">
        <v>85</v>
      </c>
      <c r="D510" t="str">
        <f t="shared" ca="1" si="82"/>
        <v>BR05</v>
      </c>
      <c r="E510" t="str">
        <f t="shared" ca="1" si="88"/>
        <v>Basic</v>
      </c>
      <c r="F510" s="2">
        <v>45020</v>
      </c>
      <c r="G510" s="2">
        <v>45385</v>
      </c>
      <c r="H510">
        <v>1000</v>
      </c>
      <c r="I510">
        <f t="shared" ca="1" si="89"/>
        <v>10000</v>
      </c>
      <c r="J510">
        <v>13</v>
      </c>
      <c r="K510" t="str">
        <f t="shared" ca="1" si="90"/>
        <v>No</v>
      </c>
      <c r="L510" t="str">
        <f t="shared" ca="1" si="91"/>
        <v>Muscle Gain</v>
      </c>
      <c r="M510" t="str">
        <f t="shared" ca="1" si="92"/>
        <v>Active</v>
      </c>
      <c r="N510" s="2">
        <v>45313</v>
      </c>
      <c r="Q510" t="str">
        <f ca="1">IF(RAND()&lt;0.2,
    IF(RAND()&lt;0.5, LOWER(C510), UPPER(C510)),
    C510
)</f>
        <v>Calicut</v>
      </c>
      <c r="R510">
        <f t="shared" ca="1" si="84"/>
        <v>13</v>
      </c>
      <c r="S510">
        <f t="shared" ca="1" si="85"/>
        <v>1000</v>
      </c>
      <c r="T510">
        <f t="shared" ca="1" si="86"/>
        <v>45084</v>
      </c>
      <c r="U510" s="2">
        <f t="shared" ca="1" si="87"/>
        <v>45313</v>
      </c>
    </row>
    <row r="511" spans="1:21">
      <c r="A511" t="str">
        <f t="shared" si="83"/>
        <v>MEM0510</v>
      </c>
      <c r="B511" t="str">
        <f ca="1">INDEX('Name pool'!A:A, RANDBETWEEN(2, COUNTA('Name pool'!A:A))) &amp; " " &amp; INDEX('Name pool'!B:B, RANDBETWEEN(2, COUNTA('Name pool'!B:B)))</f>
        <v>Neha Nair</v>
      </c>
      <c r="C511" t="s">
        <v>73</v>
      </c>
      <c r="D511" t="str">
        <f t="shared" ca="1" si="82"/>
        <v>BR04</v>
      </c>
      <c r="E511" t="str">
        <f t="shared" ca="1" si="88"/>
        <v>Basic</v>
      </c>
      <c r="F511" s="2">
        <v>45157</v>
      </c>
      <c r="G511" s="2">
        <v>45247</v>
      </c>
      <c r="H511">
        <v>3500</v>
      </c>
      <c r="I511">
        <f t="shared" ca="1" si="89"/>
        <v>21000</v>
      </c>
      <c r="J511">
        <v>24</v>
      </c>
      <c r="K511" t="str">
        <f t="shared" ca="1" si="90"/>
        <v>No</v>
      </c>
      <c r="L511" t="str">
        <f t="shared" ca="1" si="91"/>
        <v>Muscle Gain</v>
      </c>
      <c r="M511" t="str">
        <f t="shared" ca="1" si="92"/>
        <v>Active</v>
      </c>
      <c r="N511" s="2">
        <v>46120</v>
      </c>
      <c r="Q511" t="str">
        <f ca="1">IF(RAND()&lt;0.2,
    IF(RAND()&lt;0.5, LOWER(C511), UPPER(C511)),
    C511
)</f>
        <v>Kochi</v>
      </c>
      <c r="R511">
        <f t="shared" ca="1" si="84"/>
        <v>24</v>
      </c>
      <c r="S511">
        <f t="shared" ca="1" si="85"/>
        <v>3500</v>
      </c>
      <c r="T511">
        <f t="shared" ca="1" si="86"/>
        <v>45983</v>
      </c>
      <c r="U511" s="2">
        <f t="shared" ca="1" si="87"/>
        <v>46120</v>
      </c>
    </row>
    <row r="512" spans="1:21">
      <c r="A512" t="str">
        <f t="shared" si="83"/>
        <v>MEM0511</v>
      </c>
      <c r="B512" t="str">
        <f ca="1">INDEX('Name pool'!A:A, RANDBETWEEN(2, COUNTA('Name pool'!A:A))) &amp; " " &amp; INDEX('Name pool'!B:B, RANDBETWEEN(2, COUNTA('Name pool'!B:B)))</f>
        <v>Rahul Desai</v>
      </c>
      <c r="C512" t="s">
        <v>114</v>
      </c>
      <c r="D512" t="str">
        <f t="shared" ca="1" si="82"/>
        <v>BR03</v>
      </c>
      <c r="E512" t="str">
        <f t="shared" ca="1" si="88"/>
        <v>Basic</v>
      </c>
      <c r="F512" s="2">
        <v>45614</v>
      </c>
      <c r="G512" s="2">
        <v>45979</v>
      </c>
      <c r="H512">
        <v>3500</v>
      </c>
      <c r="I512">
        <f t="shared" ca="1" si="89"/>
        <v>7000</v>
      </c>
      <c r="J512">
        <v>23</v>
      </c>
      <c r="K512" t="str">
        <f t="shared" ca="1" si="90"/>
        <v>Yes</v>
      </c>
      <c r="L512" t="str">
        <f t="shared" ca="1" si="91"/>
        <v>General Fitness</v>
      </c>
      <c r="M512" t="str">
        <f t="shared" ca="1" si="92"/>
        <v>Active</v>
      </c>
      <c r="N512" s="2">
        <v>45939</v>
      </c>
      <c r="Q512" t="str">
        <f ca="1">IF(RAND()&lt;0.2,
    IF(RAND()&lt;0.5, LOWER(C512), UPPER(C512)),
    C512
)</f>
        <v>trivandrum</v>
      </c>
      <c r="R512">
        <f t="shared" ca="1" si="84"/>
        <v>23</v>
      </c>
      <c r="S512">
        <f t="shared" ca="1" si="85"/>
        <v>3500</v>
      </c>
      <c r="T512">
        <f t="shared" ca="1" si="86"/>
        <v>45761</v>
      </c>
      <c r="U512" s="2">
        <f t="shared" ca="1" si="87"/>
        <v>45939</v>
      </c>
    </row>
    <row r="513" spans="1:21">
      <c r="A513" t="str">
        <f t="shared" si="83"/>
        <v>MEM0512</v>
      </c>
      <c r="B513" t="str">
        <f ca="1">INDEX('Name pool'!A:A, RANDBETWEEN(2, COUNTA('Name pool'!A:A))) &amp; " " &amp; INDEX('Name pool'!B:B, RANDBETWEEN(2, COUNTA('Name pool'!B:B)))</f>
        <v>Divya Yadav</v>
      </c>
      <c r="C513" t="s">
        <v>115</v>
      </c>
      <c r="D513" t="str">
        <f t="shared" ca="1" si="82"/>
        <v>BR06</v>
      </c>
      <c r="E513" t="str">
        <f t="shared" ca="1" si="88"/>
        <v>Standard</v>
      </c>
      <c r="F513" s="2">
        <v>45526</v>
      </c>
      <c r="G513" s="2">
        <v>45891</v>
      </c>
      <c r="H513">
        <v>3500</v>
      </c>
      <c r="I513">
        <f t="shared" ca="1" si="89"/>
        <v>28000</v>
      </c>
      <c r="J513">
        <v>4</v>
      </c>
      <c r="K513" t="str">
        <f t="shared" ca="1" si="90"/>
        <v>No</v>
      </c>
      <c r="L513" t="str">
        <f t="shared" ca="1" si="91"/>
        <v>Muscle Gain</v>
      </c>
      <c r="M513" t="str">
        <f t="shared" ca="1" si="92"/>
        <v>Cancelled</v>
      </c>
      <c r="N513" s="2">
        <v>45546</v>
      </c>
      <c r="Q513" t="str">
        <f ca="1">IF(RAND()&lt;0.2,
    IF(RAND()&lt;0.5, LOWER(C513), UPPER(C513)),
    C513
)</f>
        <v>CHENNAI</v>
      </c>
      <c r="R513">
        <f t="shared" ca="1" si="84"/>
        <v>4</v>
      </c>
      <c r="S513">
        <f t="shared" ca="1" si="85"/>
        <v>3500</v>
      </c>
      <c r="T513">
        <f t="shared" ca="1" si="86"/>
        <v>45722</v>
      </c>
      <c r="U513" s="2">
        <f t="shared" ca="1" si="87"/>
        <v>45562</v>
      </c>
    </row>
    <row r="514" spans="1:21">
      <c r="A514" t="str">
        <f t="shared" si="83"/>
        <v>MEM0513</v>
      </c>
      <c r="B514" t="str">
        <f ca="1">INDEX('Name pool'!A:A, RANDBETWEEN(2, COUNTA('Name pool'!A:A))) &amp; " " &amp; INDEX('Name pool'!B:B, RANDBETWEEN(2, COUNTA('Name pool'!B:B)))</f>
        <v>Anjali Kulkarni</v>
      </c>
      <c r="C514" t="s">
        <v>132</v>
      </c>
      <c r="D514" t="str">
        <f t="shared" ref="D514:D577" ca="1" si="93">CHOOSE(RANDBETWEEN(1,7),"BR01","BR02","BR03","BR04","BR05","BR06","BR07")</f>
        <v>BR01</v>
      </c>
      <c r="E514" t="str">
        <f t="shared" ca="1" si="88"/>
        <v>Premium</v>
      </c>
      <c r="F514" s="2">
        <v>45865</v>
      </c>
      <c r="G514" s="2">
        <v>46230</v>
      </c>
      <c r="H514">
        <v>2000</v>
      </c>
      <c r="I514">
        <f t="shared" ca="1" si="89"/>
        <v>20000</v>
      </c>
      <c r="J514">
        <v>9</v>
      </c>
      <c r="K514" t="str">
        <f t="shared" ca="1" si="90"/>
        <v>Yes</v>
      </c>
      <c r="L514" t="str">
        <f t="shared" ca="1" si="91"/>
        <v>Weight Loss</v>
      </c>
      <c r="M514" t="str">
        <f t="shared" ca="1" si="92"/>
        <v>Active</v>
      </c>
      <c r="N514" s="2">
        <v>45929</v>
      </c>
      <c r="Q514" t="str">
        <f ca="1">IF(RAND()&lt;0.2,
    IF(RAND()&lt;0.5, LOWER(C514), UPPER(C514)),
    C514
)</f>
        <v>calicut</v>
      </c>
      <c r="R514">
        <f t="shared" ca="1" si="84"/>
        <v>9</v>
      </c>
      <c r="S514" t="str">
        <f t="shared" ca="1" si="85"/>
        <v>2000</v>
      </c>
      <c r="T514">
        <f t="shared" ca="1" si="86"/>
        <v>45249</v>
      </c>
      <c r="U514" s="2">
        <f t="shared" ca="1" si="87"/>
        <v>45929</v>
      </c>
    </row>
    <row r="515" spans="1:21">
      <c r="A515" t="str">
        <f t="shared" ref="A515:A578" si="94">"MEM" &amp; TEXT(ROW()-1,"0000")</f>
        <v>MEM0514</v>
      </c>
      <c r="B515" t="str">
        <f ca="1">INDEX('Name pool'!A:A, RANDBETWEEN(2, COUNTA('Name pool'!A:A))) &amp; " " &amp; INDEX('Name pool'!B:B, RANDBETWEEN(2, COUNTA('Name pool'!B:B)))</f>
        <v>Lakshmi Bhat</v>
      </c>
      <c r="C515" t="s">
        <v>73</v>
      </c>
      <c r="D515" t="str">
        <f t="shared" ca="1" si="93"/>
        <v>BR06</v>
      </c>
      <c r="E515" t="str">
        <f t="shared" ca="1" si="88"/>
        <v>Basic</v>
      </c>
      <c r="F515" s="2">
        <v>45694</v>
      </c>
      <c r="G515" s="2">
        <v>46059</v>
      </c>
      <c r="H515" t="s">
        <v>108</v>
      </c>
      <c r="I515">
        <f t="shared" ca="1" si="89"/>
        <v>4000</v>
      </c>
      <c r="J515">
        <v>0</v>
      </c>
      <c r="K515" t="str">
        <f t="shared" ca="1" si="90"/>
        <v>Yes</v>
      </c>
      <c r="L515" t="str">
        <f t="shared" ca="1" si="91"/>
        <v>Muscle Gain</v>
      </c>
      <c r="M515" t="str">
        <f t="shared" ca="1" si="92"/>
        <v>Active</v>
      </c>
      <c r="N515" s="2">
        <v>45740</v>
      </c>
      <c r="Q515" t="str">
        <f ca="1">IF(RAND()&lt;0.2,
    IF(RAND()&lt;0.5, LOWER(C515), UPPER(C515)),
    C515
)</f>
        <v>Kochi</v>
      </c>
      <c r="R515">
        <f t="shared" ref="R515:R578" ca="1" si="95">IF(RAND()&lt;0.15,
    J515 &amp; " visits",
    J515
)</f>
        <v>0</v>
      </c>
      <c r="S515" t="str">
        <f t="shared" ref="S515:S578" ca="1" si="96">IF(RAND()&lt;0.1,
    TEXT(H515,"0"),
    H515
)</f>
        <v>1000</v>
      </c>
      <c r="T515">
        <f t="shared" ref="T515:T578" ca="1" si="97">RANDBETWEEN(DATE(2023,1,1), DATE(2026,1,31))</f>
        <v>45833</v>
      </c>
      <c r="U515" s="2">
        <f t="shared" ref="U515:U578" ca="1" si="98">IF(AND(M515="Cancelled", RAND()&lt;0.5),
    F515 + RANDBETWEEN(10,50),
    N515
)</f>
        <v>45740</v>
      </c>
    </row>
    <row r="516" spans="1:21">
      <c r="A516" t="str">
        <f t="shared" si="94"/>
        <v>MEM0515</v>
      </c>
      <c r="B516" t="str">
        <f ca="1">INDEX('Name pool'!A:A, RANDBETWEEN(2, COUNTA('Name pool'!A:A))) &amp; " " &amp; INDEX('Name pool'!B:B, RANDBETWEEN(2, COUNTA('Name pool'!B:B)))</f>
        <v>Nisha Joshi</v>
      </c>
      <c r="C516" t="s">
        <v>129</v>
      </c>
      <c r="D516" t="str">
        <f t="shared" ca="1" si="93"/>
        <v>BR03</v>
      </c>
      <c r="E516" t="str">
        <f t="shared" ca="1" si="88"/>
        <v>Premium</v>
      </c>
      <c r="F516" s="2">
        <v>45316</v>
      </c>
      <c r="G516" s="2">
        <v>45346</v>
      </c>
      <c r="H516">
        <v>2000</v>
      </c>
      <c r="I516">
        <f t="shared" ca="1" si="89"/>
        <v>14000</v>
      </c>
      <c r="J516">
        <v>24</v>
      </c>
      <c r="K516" t="str">
        <f t="shared" ca="1" si="90"/>
        <v>Yes</v>
      </c>
      <c r="L516" t="str">
        <f t="shared" ca="1" si="91"/>
        <v>General Fitness</v>
      </c>
      <c r="M516" t="str">
        <f t="shared" ca="1" si="92"/>
        <v>Active</v>
      </c>
      <c r="N516" s="2">
        <v>45870</v>
      </c>
      <c r="Q516" t="str">
        <f ca="1">IF(RAND()&lt;0.2,
    IF(RAND()&lt;0.5, LOWER(C516), UPPER(C516)),
    C516
)</f>
        <v>hyderabad</v>
      </c>
      <c r="R516" t="str">
        <f t="shared" ca="1" si="95"/>
        <v>24 visits</v>
      </c>
      <c r="S516">
        <f t="shared" ca="1" si="96"/>
        <v>2000</v>
      </c>
      <c r="T516">
        <f t="shared" ca="1" si="97"/>
        <v>45102</v>
      </c>
      <c r="U516" s="2">
        <f t="shared" ca="1" si="98"/>
        <v>45870</v>
      </c>
    </row>
    <row r="517" spans="1:21">
      <c r="A517" t="str">
        <f t="shared" si="94"/>
        <v>MEM0516</v>
      </c>
      <c r="B517" t="str">
        <f ca="1">INDEX('Name pool'!A:A, RANDBETWEEN(2, COUNTA('Name pool'!A:A))) &amp; " " &amp; INDEX('Name pool'!B:B, RANDBETWEEN(2, COUNTA('Name pool'!B:B)))</f>
        <v>Priya Menon</v>
      </c>
      <c r="C517" t="s">
        <v>112</v>
      </c>
      <c r="D517" t="str">
        <f t="shared" ca="1" si="93"/>
        <v>BR07</v>
      </c>
      <c r="E517" t="str">
        <f t="shared" ca="1" si="88"/>
        <v>Standard</v>
      </c>
      <c r="F517" s="2">
        <v>45623</v>
      </c>
      <c r="G517" s="2">
        <v>45713</v>
      </c>
      <c r="H517">
        <v>1000</v>
      </c>
      <c r="I517">
        <f t="shared" ca="1" si="89"/>
        <v>10000</v>
      </c>
      <c r="J517">
        <v>13</v>
      </c>
      <c r="K517" t="str">
        <f t="shared" ca="1" si="90"/>
        <v>No</v>
      </c>
      <c r="L517" t="str">
        <f t="shared" ca="1" si="91"/>
        <v>Weight Loss</v>
      </c>
      <c r="M517" t="str">
        <f t="shared" ca="1" si="92"/>
        <v>Active</v>
      </c>
      <c r="N517" s="2">
        <v>45718</v>
      </c>
      <c r="Q517" t="str">
        <f ca="1">IF(RAND()&lt;0.2,
    IF(RAND()&lt;0.5, LOWER(C517), UPPER(C517)),
    C517
)</f>
        <v>HYDERABAD</v>
      </c>
      <c r="R517">
        <f t="shared" ca="1" si="95"/>
        <v>13</v>
      </c>
      <c r="S517">
        <f t="shared" ca="1" si="96"/>
        <v>1000</v>
      </c>
      <c r="T517">
        <f t="shared" ca="1" si="97"/>
        <v>45123</v>
      </c>
      <c r="U517" s="2">
        <f t="shared" ca="1" si="98"/>
        <v>45718</v>
      </c>
    </row>
    <row r="518" spans="1:21">
      <c r="A518" t="str">
        <f t="shared" si="94"/>
        <v>MEM0517</v>
      </c>
      <c r="B518" t="str">
        <f ca="1">INDEX('Name pool'!A:A, RANDBETWEEN(2, COUNTA('Name pool'!A:A))) &amp; " " &amp; INDEX('Name pool'!B:B, RANDBETWEEN(2, COUNTA('Name pool'!B:B)))</f>
        <v>Anu Mathew</v>
      </c>
      <c r="C518" t="s">
        <v>132</v>
      </c>
      <c r="D518" t="str">
        <f t="shared" ca="1" si="93"/>
        <v>BR04</v>
      </c>
      <c r="E518" t="str">
        <f t="shared" ca="1" si="88"/>
        <v>Premium</v>
      </c>
      <c r="F518" s="2">
        <v>45776</v>
      </c>
      <c r="G518" s="2">
        <v>45806</v>
      </c>
      <c r="H518">
        <v>1000</v>
      </c>
      <c r="I518">
        <f t="shared" ca="1" si="89"/>
        <v>8000</v>
      </c>
      <c r="J518">
        <v>4</v>
      </c>
      <c r="K518" t="str">
        <f t="shared" ca="1" si="90"/>
        <v>Yes</v>
      </c>
      <c r="L518" t="str">
        <f t="shared" ca="1" si="91"/>
        <v>General Fitness</v>
      </c>
      <c r="M518" t="str">
        <f t="shared" ca="1" si="92"/>
        <v>Cancelled</v>
      </c>
      <c r="N518" s="2">
        <v>45895</v>
      </c>
      <c r="Q518" t="str">
        <f ca="1">IF(RAND()&lt;0.2,
    IF(RAND()&lt;0.5, LOWER(C518), UPPER(C518)),
    C518
)</f>
        <v>calicut</v>
      </c>
      <c r="R518">
        <f t="shared" ca="1" si="95"/>
        <v>4</v>
      </c>
      <c r="S518">
        <f t="shared" ca="1" si="96"/>
        <v>1000</v>
      </c>
      <c r="T518">
        <f t="shared" ca="1" si="97"/>
        <v>45794</v>
      </c>
      <c r="U518" s="2">
        <f t="shared" ca="1" si="98"/>
        <v>45787</v>
      </c>
    </row>
    <row r="519" spans="1:21">
      <c r="A519" t="str">
        <f t="shared" si="94"/>
        <v>MEM0518</v>
      </c>
      <c r="B519" t="str">
        <f ca="1">INDEX('Name pool'!A:A, RANDBETWEEN(2, COUNTA('Name pool'!A:A))) &amp; " " &amp; INDEX('Name pool'!B:B, RANDBETWEEN(2, COUNTA('Name pool'!B:B)))</f>
        <v>Priya Bhat</v>
      </c>
      <c r="C519" t="s">
        <v>129</v>
      </c>
      <c r="D519" t="str">
        <f t="shared" ca="1" si="93"/>
        <v>BR05</v>
      </c>
      <c r="E519" t="str">
        <f t="shared" ca="1" si="88"/>
        <v>Basic</v>
      </c>
      <c r="F519" s="2">
        <v>45661</v>
      </c>
      <c r="G519" s="2">
        <v>46026</v>
      </c>
      <c r="H519">
        <v>3500</v>
      </c>
      <c r="I519">
        <f t="shared" ca="1" si="89"/>
        <v>24500</v>
      </c>
      <c r="J519">
        <v>19</v>
      </c>
      <c r="K519" t="str">
        <f t="shared" ca="1" si="90"/>
        <v>No</v>
      </c>
      <c r="L519" t="str">
        <f t="shared" ca="1" si="91"/>
        <v>Muscle Gain</v>
      </c>
      <c r="M519" t="str">
        <f t="shared" ca="1" si="92"/>
        <v>Active</v>
      </c>
      <c r="N519" s="2">
        <v>45917</v>
      </c>
      <c r="Q519" t="str">
        <f ca="1">IF(RAND()&lt;0.2,
    IF(RAND()&lt;0.5, LOWER(C519), UPPER(C519)),
    C519
)</f>
        <v>hyderabad</v>
      </c>
      <c r="R519">
        <f t="shared" ca="1" si="95"/>
        <v>19</v>
      </c>
      <c r="S519">
        <f t="shared" ca="1" si="96"/>
        <v>3500</v>
      </c>
      <c r="T519">
        <f t="shared" ca="1" si="97"/>
        <v>45119</v>
      </c>
      <c r="U519" s="2">
        <f t="shared" ca="1" si="98"/>
        <v>45917</v>
      </c>
    </row>
    <row r="520" spans="1:21">
      <c r="A520" t="str">
        <f t="shared" si="94"/>
        <v>MEM0519</v>
      </c>
      <c r="B520" t="str">
        <f ca="1">INDEX('Name pool'!A:A, RANDBETWEEN(2, COUNTA('Name pool'!A:A))) &amp; " " &amp; INDEX('Name pool'!B:B, RANDBETWEEN(2, COUNTA('Name pool'!B:B)))</f>
        <v>Sanjay Singh</v>
      </c>
      <c r="C520" t="s">
        <v>132</v>
      </c>
      <c r="D520" t="str">
        <f t="shared" ca="1" si="93"/>
        <v>BR03</v>
      </c>
      <c r="E520" t="str">
        <f t="shared" ca="1" si="88"/>
        <v>Premium</v>
      </c>
      <c r="F520" s="2">
        <v>46006</v>
      </c>
      <c r="G520" s="2">
        <v>46036</v>
      </c>
      <c r="H520" t="s">
        <v>120</v>
      </c>
      <c r="I520">
        <f t="shared" ca="1" si="89"/>
        <v>4000</v>
      </c>
      <c r="J520">
        <v>8</v>
      </c>
      <c r="K520" t="str">
        <f t="shared" ca="1" si="90"/>
        <v>No</v>
      </c>
      <c r="L520" t="str">
        <f t="shared" ca="1" si="91"/>
        <v>Weight Loss</v>
      </c>
      <c r="M520" t="str">
        <f t="shared" ca="1" si="92"/>
        <v>Active</v>
      </c>
      <c r="N520" s="2">
        <v>46045</v>
      </c>
      <c r="Q520" t="str">
        <f ca="1">IF(RAND()&lt;0.2,
    IF(RAND()&lt;0.5, LOWER(C520), UPPER(C520)),
    C520
)</f>
        <v>CALICUT</v>
      </c>
      <c r="R520">
        <f t="shared" ca="1" si="95"/>
        <v>8</v>
      </c>
      <c r="S520" t="str">
        <f t="shared" ca="1" si="96"/>
        <v>2000</v>
      </c>
      <c r="T520">
        <f t="shared" ca="1" si="97"/>
        <v>45692</v>
      </c>
      <c r="U520" s="2">
        <f t="shared" ca="1" si="98"/>
        <v>46045</v>
      </c>
    </row>
    <row r="521" spans="1:21">
      <c r="A521" t="str">
        <f t="shared" si="94"/>
        <v>MEM0520</v>
      </c>
      <c r="B521" t="str">
        <f ca="1">INDEX('Name pool'!A:A, RANDBETWEEN(2, COUNTA('Name pool'!A:A))) &amp; " " &amp; INDEX('Name pool'!B:B, RANDBETWEEN(2, COUNTA('Name pool'!B:B)))</f>
        <v>Neha Shaikh</v>
      </c>
      <c r="C521" t="s">
        <v>85</v>
      </c>
      <c r="D521" t="str">
        <f t="shared" ca="1" si="93"/>
        <v>BR03</v>
      </c>
      <c r="E521" t="str">
        <f t="shared" ca="1" si="88"/>
        <v>Premium</v>
      </c>
      <c r="F521" s="2">
        <v>45419</v>
      </c>
      <c r="G521" s="2">
        <v>45449</v>
      </c>
      <c r="H521">
        <v>3500</v>
      </c>
      <c r="I521">
        <f t="shared" ca="1" si="89"/>
        <v>28000</v>
      </c>
      <c r="J521">
        <v>24</v>
      </c>
      <c r="K521" t="str">
        <f t="shared" ca="1" si="90"/>
        <v>No</v>
      </c>
      <c r="L521" t="str">
        <f t="shared" ca="1" si="91"/>
        <v>General Fitness</v>
      </c>
      <c r="M521" t="str">
        <f t="shared" ca="1" si="92"/>
        <v>Active</v>
      </c>
      <c r="N521" s="2">
        <v>45661</v>
      </c>
      <c r="Q521" t="str">
        <f ca="1">IF(RAND()&lt;0.2,
    IF(RAND()&lt;0.5, LOWER(C521), UPPER(C521)),
    C521
)</f>
        <v>Calicut</v>
      </c>
      <c r="R521">
        <f t="shared" ca="1" si="95"/>
        <v>24</v>
      </c>
      <c r="S521">
        <f t="shared" ca="1" si="96"/>
        <v>3500</v>
      </c>
      <c r="T521">
        <f t="shared" ca="1" si="97"/>
        <v>45933</v>
      </c>
      <c r="U521" s="2">
        <f t="shared" ca="1" si="98"/>
        <v>45661</v>
      </c>
    </row>
    <row r="522" spans="1:21">
      <c r="A522" t="str">
        <f t="shared" si="94"/>
        <v>MEM0521</v>
      </c>
      <c r="B522" t="str">
        <f ca="1">INDEX('Name pool'!A:A, RANDBETWEEN(2, COUNTA('Name pool'!A:A))) &amp; " " &amp; INDEX('Name pool'!B:B, RANDBETWEEN(2, COUNTA('Name pool'!B:B)))</f>
        <v>Nisha Joshi</v>
      </c>
      <c r="C522" t="s">
        <v>115</v>
      </c>
      <c r="D522" t="str">
        <f t="shared" ca="1" si="93"/>
        <v>BR07</v>
      </c>
      <c r="E522" t="str">
        <f t="shared" ca="1" si="88"/>
        <v>Premium</v>
      </c>
      <c r="F522" s="2">
        <v>45023</v>
      </c>
      <c r="G522" s="2">
        <v>45053</v>
      </c>
      <c r="H522">
        <v>1000</v>
      </c>
      <c r="I522">
        <f t="shared" ca="1" si="89"/>
        <v>4000</v>
      </c>
      <c r="J522">
        <v>12</v>
      </c>
      <c r="K522" t="str">
        <f t="shared" ca="1" si="90"/>
        <v>No</v>
      </c>
      <c r="L522" t="str">
        <f t="shared" ca="1" si="91"/>
        <v>Muscle Gain</v>
      </c>
      <c r="M522" t="str">
        <f t="shared" ca="1" si="92"/>
        <v>Active</v>
      </c>
      <c r="N522" s="2">
        <v>45311</v>
      </c>
      <c r="Q522" t="str">
        <f ca="1">IF(RAND()&lt;0.2,
    IF(RAND()&lt;0.5, LOWER(C522), UPPER(C522)),
    C522
)</f>
        <v>CHENNAI</v>
      </c>
      <c r="R522">
        <f t="shared" ca="1" si="95"/>
        <v>12</v>
      </c>
      <c r="S522">
        <f t="shared" ca="1" si="96"/>
        <v>1000</v>
      </c>
      <c r="T522">
        <f t="shared" ca="1" si="97"/>
        <v>46038</v>
      </c>
      <c r="U522" s="2">
        <f t="shared" ca="1" si="98"/>
        <v>45311</v>
      </c>
    </row>
    <row r="523" spans="1:21">
      <c r="A523" t="str">
        <f t="shared" si="94"/>
        <v>MEM0522</v>
      </c>
      <c r="B523" t="str">
        <f ca="1">INDEX('Name pool'!A:A, RANDBETWEEN(2, COUNTA('Name pool'!A:A))) &amp; " " &amp; INDEX('Name pool'!B:B, RANDBETWEEN(2, COUNTA('Name pool'!B:B)))</f>
        <v>Arjun George</v>
      </c>
      <c r="C523" t="s">
        <v>115</v>
      </c>
      <c r="D523" t="str">
        <f t="shared" ca="1" si="93"/>
        <v>BR07</v>
      </c>
      <c r="E523" t="str">
        <f t="shared" ca="1" si="88"/>
        <v>Basic</v>
      </c>
      <c r="F523" s="2">
        <v>45239</v>
      </c>
      <c r="G523" s="2">
        <v>45604</v>
      </c>
      <c r="H523">
        <v>2000</v>
      </c>
      <c r="I523">
        <f t="shared" ca="1" si="89"/>
        <v>24000</v>
      </c>
      <c r="J523">
        <v>19</v>
      </c>
      <c r="K523" t="str">
        <f t="shared" ca="1" si="90"/>
        <v>No</v>
      </c>
      <c r="L523" t="str">
        <f t="shared" ca="1" si="91"/>
        <v>General Fitness</v>
      </c>
      <c r="M523" t="str">
        <f t="shared" ca="1" si="92"/>
        <v>Active</v>
      </c>
      <c r="N523" s="2">
        <v>45662</v>
      </c>
      <c r="Q523" t="str">
        <f ca="1">IF(RAND()&lt;0.2,
    IF(RAND()&lt;0.5, LOWER(C523), UPPER(C523)),
    C523
)</f>
        <v>chennai</v>
      </c>
      <c r="R523">
        <f t="shared" ca="1" si="95"/>
        <v>19</v>
      </c>
      <c r="S523">
        <f t="shared" ca="1" si="96"/>
        <v>2000</v>
      </c>
      <c r="T523">
        <f t="shared" ca="1" si="97"/>
        <v>46010</v>
      </c>
      <c r="U523" s="2">
        <f t="shared" ca="1" si="98"/>
        <v>45662</v>
      </c>
    </row>
    <row r="524" spans="1:21">
      <c r="A524" t="str">
        <f t="shared" si="94"/>
        <v>MEM0523</v>
      </c>
      <c r="B524" t="str">
        <f ca="1">INDEX('Name pool'!A:A, RANDBETWEEN(2, COUNTA('Name pool'!A:A))) &amp; " " &amp; INDEX('Name pool'!B:B, RANDBETWEEN(2, COUNTA('Name pool'!B:B)))</f>
        <v>Rohit Thomas</v>
      </c>
      <c r="C524" t="s">
        <v>77</v>
      </c>
      <c r="D524" t="str">
        <f t="shared" ca="1" si="93"/>
        <v>BR05</v>
      </c>
      <c r="E524" t="str">
        <f t="shared" ca="1" si="88"/>
        <v>Premium</v>
      </c>
      <c r="F524" s="2">
        <v>45578</v>
      </c>
      <c r="G524" s="2">
        <v>45943</v>
      </c>
      <c r="H524">
        <v>2000</v>
      </c>
      <c r="I524">
        <f t="shared" ca="1" si="89"/>
        <v>2000</v>
      </c>
      <c r="J524">
        <v>22</v>
      </c>
      <c r="K524" t="str">
        <f t="shared" ca="1" si="90"/>
        <v>No</v>
      </c>
      <c r="L524" t="str">
        <f t="shared" ca="1" si="91"/>
        <v>Muscle Gain</v>
      </c>
      <c r="M524" t="str">
        <f t="shared" ca="1" si="92"/>
        <v>Active</v>
      </c>
      <c r="N524" s="2">
        <v>45812</v>
      </c>
      <c r="Q524" t="str">
        <f ca="1">IF(RAND()&lt;0.2,
    IF(RAND()&lt;0.5, LOWER(C524), UPPER(C524)),
    C524
)</f>
        <v>Chennai</v>
      </c>
      <c r="R524">
        <f t="shared" ca="1" si="95"/>
        <v>22</v>
      </c>
      <c r="S524">
        <f t="shared" ca="1" si="96"/>
        <v>2000</v>
      </c>
      <c r="T524">
        <f t="shared" ca="1" si="97"/>
        <v>45485</v>
      </c>
      <c r="U524" s="2">
        <f t="shared" ca="1" si="98"/>
        <v>45812</v>
      </c>
    </row>
    <row r="525" spans="1:21">
      <c r="A525" t="str">
        <f t="shared" si="94"/>
        <v>MEM0524</v>
      </c>
      <c r="B525" t="str">
        <f ca="1">INDEX('Name pool'!A:A, RANDBETWEEN(2, COUNTA('Name pool'!A:A))) &amp; " " &amp; INDEX('Name pool'!B:B, RANDBETWEEN(2, COUNTA('Name pool'!B:B)))</f>
        <v>Riya Bhat</v>
      </c>
      <c r="C525" t="s">
        <v>81</v>
      </c>
      <c r="D525" t="str">
        <f t="shared" ca="1" si="93"/>
        <v>BR03</v>
      </c>
      <c r="E525" t="str">
        <f t="shared" ca="1" si="88"/>
        <v>Premium</v>
      </c>
      <c r="F525" s="2">
        <v>45577</v>
      </c>
      <c r="G525" s="2">
        <v>45607</v>
      </c>
      <c r="H525">
        <v>1000</v>
      </c>
      <c r="I525">
        <f t="shared" ca="1" si="89"/>
        <v>4000</v>
      </c>
      <c r="J525">
        <v>22</v>
      </c>
      <c r="K525" t="str">
        <f t="shared" ca="1" si="90"/>
        <v>Yes</v>
      </c>
      <c r="L525" t="str">
        <f t="shared" ca="1" si="91"/>
        <v>Weight Loss</v>
      </c>
      <c r="M525" t="str">
        <f t="shared" ca="1" si="92"/>
        <v>Active</v>
      </c>
      <c r="N525" s="2">
        <v>45907</v>
      </c>
      <c r="Q525" t="str">
        <f ca="1">IF(RAND()&lt;0.2,
    IF(RAND()&lt;0.5, LOWER(C525), UPPER(C525)),
    C525
)</f>
        <v>Mumbai</v>
      </c>
      <c r="R525">
        <f t="shared" ca="1" si="95"/>
        <v>22</v>
      </c>
      <c r="S525">
        <f t="shared" ca="1" si="96"/>
        <v>1000</v>
      </c>
      <c r="T525">
        <f t="shared" ca="1" si="97"/>
        <v>45522</v>
      </c>
      <c r="U525" s="2">
        <f t="shared" ca="1" si="98"/>
        <v>45907</v>
      </c>
    </row>
    <row r="526" spans="1:21">
      <c r="A526" t="str">
        <f t="shared" si="94"/>
        <v>MEM0525</v>
      </c>
      <c r="B526" t="str">
        <f ca="1">INDEX('Name pool'!A:A, RANDBETWEEN(2, COUNTA('Name pool'!A:A))) &amp; " " &amp; INDEX('Name pool'!B:B, RANDBETWEEN(2, COUNTA('Name pool'!B:B)))</f>
        <v>Rohit Fernandes</v>
      </c>
      <c r="C526" t="s">
        <v>123</v>
      </c>
      <c r="D526" t="str">
        <f t="shared" ca="1" si="93"/>
        <v>BR07</v>
      </c>
      <c r="E526" t="str">
        <f t="shared" ca="1" si="88"/>
        <v>Premium</v>
      </c>
      <c r="F526" s="2">
        <v>45196</v>
      </c>
      <c r="G526" s="2">
        <v>45286</v>
      </c>
      <c r="H526">
        <v>1000</v>
      </c>
      <c r="I526">
        <f t="shared" ca="1" si="89"/>
        <v>4000</v>
      </c>
      <c r="J526">
        <v>13</v>
      </c>
      <c r="K526" t="str">
        <f t="shared" ca="1" si="90"/>
        <v>No</v>
      </c>
      <c r="L526" t="str">
        <f t="shared" ca="1" si="91"/>
        <v>Weight Loss</v>
      </c>
      <c r="M526" t="str">
        <f t="shared" ca="1" si="92"/>
        <v>Active</v>
      </c>
      <c r="N526" s="2">
        <v>45629</v>
      </c>
      <c r="Q526" t="str">
        <f ca="1">IF(RAND()&lt;0.2,
    IF(RAND()&lt;0.5, LOWER(C526), UPPER(C526)),
    C526
)</f>
        <v>KOCHI</v>
      </c>
      <c r="R526">
        <f t="shared" ca="1" si="95"/>
        <v>13</v>
      </c>
      <c r="S526">
        <f t="shared" ca="1" si="96"/>
        <v>1000</v>
      </c>
      <c r="T526">
        <f t="shared" ca="1" si="97"/>
        <v>45747</v>
      </c>
      <c r="U526" s="2">
        <f t="shared" ca="1" si="98"/>
        <v>45629</v>
      </c>
    </row>
    <row r="527" spans="1:21">
      <c r="A527" t="str">
        <f t="shared" si="94"/>
        <v>MEM0526</v>
      </c>
      <c r="B527" t="str">
        <f ca="1">INDEX('Name pool'!A:A, RANDBETWEEN(2, COUNTA('Name pool'!A:A))) &amp; " " &amp; INDEX('Name pool'!B:B, RANDBETWEEN(2, COUNTA('Name pool'!B:B)))</f>
        <v>Meera Nambiar</v>
      </c>
      <c r="C527" t="s">
        <v>114</v>
      </c>
      <c r="D527" t="str">
        <f t="shared" ca="1" si="93"/>
        <v>BR01</v>
      </c>
      <c r="E527" t="str">
        <f t="shared" ca="1" si="88"/>
        <v>Basic</v>
      </c>
      <c r="F527" s="2">
        <v>45534</v>
      </c>
      <c r="G527" s="2">
        <v>45624</v>
      </c>
      <c r="H527">
        <v>3500</v>
      </c>
      <c r="I527">
        <f t="shared" ca="1" si="89"/>
        <v>7000</v>
      </c>
      <c r="J527">
        <v>11</v>
      </c>
      <c r="K527" t="str">
        <f t="shared" ca="1" si="90"/>
        <v>No</v>
      </c>
      <c r="L527" t="str">
        <f t="shared" ca="1" si="91"/>
        <v>Muscle Gain</v>
      </c>
      <c r="M527" t="str">
        <f t="shared" ca="1" si="92"/>
        <v>Active</v>
      </c>
      <c r="N527" s="2">
        <v>45713</v>
      </c>
      <c r="Q527" t="str">
        <f ca="1">IF(RAND()&lt;0.2,
    IF(RAND()&lt;0.5, LOWER(C527), UPPER(C527)),
    C527
)</f>
        <v>trivandrum</v>
      </c>
      <c r="R527">
        <f t="shared" ca="1" si="95"/>
        <v>11</v>
      </c>
      <c r="S527">
        <f t="shared" ca="1" si="96"/>
        <v>3500</v>
      </c>
      <c r="T527">
        <f t="shared" ca="1" si="97"/>
        <v>45976</v>
      </c>
      <c r="U527" s="2">
        <f t="shared" ca="1" si="98"/>
        <v>45713</v>
      </c>
    </row>
    <row r="528" spans="1:21">
      <c r="A528" t="str">
        <f t="shared" si="94"/>
        <v>MEM0527</v>
      </c>
      <c r="B528" t="str">
        <f ca="1">INDEX('Name pool'!A:A, RANDBETWEEN(2, COUNTA('Name pool'!A:A))) &amp; " " &amp; INDEX('Name pool'!B:B, RANDBETWEEN(2, COUNTA('Name pool'!B:B)))</f>
        <v>Sneha Malhotra</v>
      </c>
      <c r="C528" t="s">
        <v>83</v>
      </c>
      <c r="D528" t="str">
        <f t="shared" ca="1" si="93"/>
        <v>BR05</v>
      </c>
      <c r="E528" t="str">
        <f t="shared" ca="1" si="88"/>
        <v>Standard</v>
      </c>
      <c r="F528" s="2">
        <v>45333</v>
      </c>
      <c r="G528" s="2">
        <v>45423</v>
      </c>
      <c r="H528">
        <v>1000</v>
      </c>
      <c r="I528">
        <f t="shared" ca="1" si="89"/>
        <v>8000</v>
      </c>
      <c r="J528">
        <v>3</v>
      </c>
      <c r="K528" t="str">
        <f t="shared" ca="1" si="90"/>
        <v>No</v>
      </c>
      <c r="L528" t="str">
        <f t="shared" ca="1" si="91"/>
        <v>Weight Loss</v>
      </c>
      <c r="M528" t="str">
        <f t="shared" ca="1" si="92"/>
        <v>Cancelled</v>
      </c>
      <c r="N528" s="2">
        <v>45383</v>
      </c>
      <c r="Q528" t="str">
        <f ca="1">IF(RAND()&lt;0.2,
    IF(RAND()&lt;0.5, LOWER(C528), UPPER(C528)),
    C528
)</f>
        <v>Trivandrum</v>
      </c>
      <c r="R528">
        <f t="shared" ca="1" si="95"/>
        <v>3</v>
      </c>
      <c r="S528">
        <f t="shared" ca="1" si="96"/>
        <v>1000</v>
      </c>
      <c r="T528">
        <f t="shared" ca="1" si="97"/>
        <v>44968</v>
      </c>
      <c r="U528" s="2">
        <f t="shared" ca="1" si="98"/>
        <v>45383</v>
      </c>
    </row>
    <row r="529" spans="1:21">
      <c r="A529" t="str">
        <f t="shared" si="94"/>
        <v>MEM0528</v>
      </c>
      <c r="B529" t="str">
        <f ca="1">INDEX('Name pool'!A:A, RANDBETWEEN(2, COUNTA('Name pool'!A:A))) &amp; " " &amp; INDEX('Name pool'!B:B, RANDBETWEEN(2, COUNTA('Name pool'!B:B)))</f>
        <v>Ankit Nambiar</v>
      </c>
      <c r="C529" t="s">
        <v>85</v>
      </c>
      <c r="D529" t="str">
        <f t="shared" ca="1" si="93"/>
        <v>BR03</v>
      </c>
      <c r="E529" t="str">
        <f t="shared" ca="1" si="88"/>
        <v>Basic</v>
      </c>
      <c r="F529" s="2">
        <v>45522</v>
      </c>
      <c r="G529" s="2">
        <v>45612</v>
      </c>
      <c r="H529">
        <v>2000</v>
      </c>
      <c r="I529">
        <f t="shared" ca="1" si="89"/>
        <v>16000</v>
      </c>
      <c r="J529">
        <v>18</v>
      </c>
      <c r="K529" t="str">
        <f t="shared" ca="1" si="90"/>
        <v>Yes</v>
      </c>
      <c r="L529" t="str">
        <f t="shared" ca="1" si="91"/>
        <v>Muscle Gain</v>
      </c>
      <c r="M529" t="str">
        <f t="shared" ca="1" si="92"/>
        <v>Active</v>
      </c>
      <c r="N529" s="2">
        <v>45932</v>
      </c>
      <c r="Q529" t="str">
        <f ca="1">IF(RAND()&lt;0.2,
    IF(RAND()&lt;0.5, LOWER(C529), UPPER(C529)),
    C529
)</f>
        <v>Calicut</v>
      </c>
      <c r="R529">
        <f t="shared" ca="1" si="95"/>
        <v>18</v>
      </c>
      <c r="S529">
        <f t="shared" ca="1" si="96"/>
        <v>2000</v>
      </c>
      <c r="T529">
        <f t="shared" ca="1" si="97"/>
        <v>44971</v>
      </c>
      <c r="U529" s="2">
        <f t="shared" ca="1" si="98"/>
        <v>45932</v>
      </c>
    </row>
    <row r="530" spans="1:21">
      <c r="A530" t="str">
        <f t="shared" si="94"/>
        <v>MEM0529</v>
      </c>
      <c r="B530" t="str">
        <f ca="1">INDEX('Name pool'!A:A, RANDBETWEEN(2, COUNTA('Name pool'!A:A))) &amp; " " &amp; INDEX('Name pool'!B:B, RANDBETWEEN(2, COUNTA('Name pool'!B:B)))</f>
        <v>Ishita Banerjee</v>
      </c>
      <c r="C530" t="s">
        <v>81</v>
      </c>
      <c r="D530" t="str">
        <f t="shared" ca="1" si="93"/>
        <v>BR05</v>
      </c>
      <c r="E530" t="str">
        <f t="shared" ca="1" si="88"/>
        <v>Standard</v>
      </c>
      <c r="F530" s="2">
        <v>45146</v>
      </c>
      <c r="G530" s="2">
        <v>45176</v>
      </c>
      <c r="H530">
        <v>3500</v>
      </c>
      <c r="I530">
        <f t="shared" ca="1" si="89"/>
        <v>3500</v>
      </c>
      <c r="J530">
        <v>0</v>
      </c>
      <c r="K530" t="str">
        <f t="shared" ca="1" si="90"/>
        <v>Yes</v>
      </c>
      <c r="L530" t="str">
        <f t="shared" ca="1" si="91"/>
        <v>Weight Loss</v>
      </c>
      <c r="M530" t="str">
        <f t="shared" ca="1" si="92"/>
        <v>Active</v>
      </c>
      <c r="N530" s="2">
        <v>45176</v>
      </c>
      <c r="Q530" t="str">
        <f ca="1">IF(RAND()&lt;0.2,
    IF(RAND()&lt;0.5, LOWER(C530), UPPER(C530)),
    C530
)</f>
        <v>Mumbai</v>
      </c>
      <c r="R530">
        <f t="shared" ca="1" si="95"/>
        <v>0</v>
      </c>
      <c r="S530">
        <f t="shared" ca="1" si="96"/>
        <v>3500</v>
      </c>
      <c r="T530">
        <f t="shared" ca="1" si="97"/>
        <v>45718</v>
      </c>
      <c r="U530" s="2">
        <f t="shared" ca="1" si="98"/>
        <v>45176</v>
      </c>
    </row>
    <row r="531" spans="1:21">
      <c r="A531" t="str">
        <f t="shared" si="94"/>
        <v>MEM0530</v>
      </c>
      <c r="B531" t="str">
        <f ca="1">INDEX('Name pool'!A:A, RANDBETWEEN(2, COUNTA('Name pool'!A:A))) &amp; " " &amp; INDEX('Name pool'!B:B, RANDBETWEEN(2, COUNTA('Name pool'!B:B)))</f>
        <v>Rahul Das</v>
      </c>
      <c r="C531" t="s">
        <v>77</v>
      </c>
      <c r="D531" t="str">
        <f t="shared" ca="1" si="93"/>
        <v>BR03</v>
      </c>
      <c r="E531" t="str">
        <f t="shared" ca="1" si="88"/>
        <v>Standard</v>
      </c>
      <c r="F531" s="2">
        <v>45045</v>
      </c>
      <c r="G531" s="2">
        <v>45410</v>
      </c>
      <c r="H531">
        <v>3500</v>
      </c>
      <c r="I531">
        <f t="shared" ca="1" si="89"/>
        <v>17500</v>
      </c>
      <c r="J531">
        <v>6</v>
      </c>
      <c r="K531" t="str">
        <f t="shared" ca="1" si="90"/>
        <v>No</v>
      </c>
      <c r="L531" t="str">
        <f t="shared" ca="1" si="91"/>
        <v>Muscle Gain</v>
      </c>
      <c r="M531" t="str">
        <f t="shared" ca="1" si="92"/>
        <v>Active</v>
      </c>
      <c r="N531" s="2">
        <v>45237</v>
      </c>
      <c r="Q531" t="str">
        <f ca="1">IF(RAND()&lt;0.2,
    IF(RAND()&lt;0.5, LOWER(C531), UPPER(C531)),
    C531
)</f>
        <v>Chennai</v>
      </c>
      <c r="R531">
        <f t="shared" ca="1" si="95"/>
        <v>6</v>
      </c>
      <c r="S531" t="str">
        <f t="shared" ca="1" si="96"/>
        <v>3500</v>
      </c>
      <c r="T531">
        <f t="shared" ca="1" si="97"/>
        <v>45455</v>
      </c>
      <c r="U531" s="2">
        <f t="shared" ca="1" si="98"/>
        <v>45237</v>
      </c>
    </row>
    <row r="532" spans="1:21">
      <c r="A532" t="str">
        <f t="shared" si="94"/>
        <v>MEM0531</v>
      </c>
      <c r="B532" t="str">
        <f ca="1">INDEX('Name pool'!A:A, RANDBETWEEN(2, COUNTA('Name pool'!A:A))) &amp; " " &amp; INDEX('Name pool'!B:B, RANDBETWEEN(2, COUNTA('Name pool'!B:B)))</f>
        <v>Priya Varghese</v>
      </c>
      <c r="C532" t="s">
        <v>116</v>
      </c>
      <c r="D532" t="str">
        <f t="shared" ca="1" si="93"/>
        <v>BR01</v>
      </c>
      <c r="E532" t="str">
        <f t="shared" ca="1" si="88"/>
        <v>Premium</v>
      </c>
      <c r="F532" s="2">
        <v>44960</v>
      </c>
      <c r="G532" s="2">
        <v>44990</v>
      </c>
      <c r="H532">
        <v>3500</v>
      </c>
      <c r="I532">
        <f t="shared" ca="1" si="89"/>
        <v>28000</v>
      </c>
      <c r="J532">
        <v>2</v>
      </c>
      <c r="K532" t="str">
        <f t="shared" ca="1" si="90"/>
        <v>No</v>
      </c>
      <c r="L532" t="str">
        <f t="shared" ca="1" si="91"/>
        <v>General Fitness</v>
      </c>
      <c r="M532" t="str">
        <f t="shared" ca="1" si="92"/>
        <v>Cancelled</v>
      </c>
      <c r="N532" s="2">
        <v>44980</v>
      </c>
      <c r="Q532" t="str">
        <f ca="1">IF(RAND()&lt;0.2,
    IF(RAND()&lt;0.5, LOWER(C532), UPPER(C532)),
    C532
)</f>
        <v>kochi</v>
      </c>
      <c r="R532">
        <f t="shared" ca="1" si="95"/>
        <v>2</v>
      </c>
      <c r="S532">
        <f t="shared" ca="1" si="96"/>
        <v>3500</v>
      </c>
      <c r="T532">
        <f t="shared" ca="1" si="97"/>
        <v>45345</v>
      </c>
      <c r="U532" s="2">
        <f t="shared" ca="1" si="98"/>
        <v>44980</v>
      </c>
    </row>
    <row r="533" spans="1:21">
      <c r="A533" t="str">
        <f t="shared" si="94"/>
        <v>MEM0532</v>
      </c>
      <c r="B533" t="str">
        <f ca="1">INDEX('Name pool'!A:A, RANDBETWEEN(2, COUNTA('Name pool'!A:A))) &amp; " " &amp; INDEX('Name pool'!B:B, RANDBETWEEN(2, COUNTA('Name pool'!B:B)))</f>
        <v>Vivek D’Souza</v>
      </c>
      <c r="C533" t="s">
        <v>124</v>
      </c>
      <c r="D533" t="str">
        <f t="shared" ca="1" si="93"/>
        <v>BR01</v>
      </c>
      <c r="E533" t="str">
        <f t="shared" ca="1" si="88"/>
        <v>Premium</v>
      </c>
      <c r="F533" s="2">
        <v>45934</v>
      </c>
      <c r="G533" s="2">
        <v>46299</v>
      </c>
      <c r="H533">
        <v>3500</v>
      </c>
      <c r="I533">
        <f t="shared" ca="1" si="89"/>
        <v>7000</v>
      </c>
      <c r="J533">
        <v>5</v>
      </c>
      <c r="K533" t="str">
        <f t="shared" ca="1" si="90"/>
        <v>Yes</v>
      </c>
      <c r="L533" t="str">
        <f t="shared" ca="1" si="91"/>
        <v>Muscle Gain</v>
      </c>
      <c r="M533" t="str">
        <f t="shared" ca="1" si="92"/>
        <v>Active</v>
      </c>
      <c r="N533" s="2">
        <v>45978</v>
      </c>
      <c r="Q533" t="str">
        <f ca="1">IF(RAND()&lt;0.2,
    IF(RAND()&lt;0.5, LOWER(C533), UPPER(C533)),
    C533
)</f>
        <v>chennai</v>
      </c>
      <c r="R533">
        <f t="shared" ca="1" si="95"/>
        <v>5</v>
      </c>
      <c r="S533">
        <f t="shared" ca="1" si="96"/>
        <v>3500</v>
      </c>
      <c r="T533">
        <f t="shared" ca="1" si="97"/>
        <v>45276</v>
      </c>
      <c r="U533" s="2">
        <f t="shared" ca="1" si="98"/>
        <v>45978</v>
      </c>
    </row>
    <row r="534" spans="1:21">
      <c r="A534" t="str">
        <f t="shared" si="94"/>
        <v>MEM0533</v>
      </c>
      <c r="B534" t="str">
        <f ca="1">INDEX('Name pool'!A:A, RANDBETWEEN(2, COUNTA('Name pool'!A:A))) &amp; " " &amp; INDEX('Name pool'!B:B, RANDBETWEEN(2, COUNTA('Name pool'!B:B)))</f>
        <v>Varun Reddy</v>
      </c>
      <c r="C534" t="s">
        <v>77</v>
      </c>
      <c r="D534" t="str">
        <f t="shared" ca="1" si="93"/>
        <v>BR06</v>
      </c>
      <c r="E534" t="str">
        <f t="shared" ca="1" si="88"/>
        <v>Standard</v>
      </c>
      <c r="F534" s="2">
        <v>44949</v>
      </c>
      <c r="G534" s="2">
        <v>45314</v>
      </c>
      <c r="H534">
        <v>1000</v>
      </c>
      <c r="I534">
        <f t="shared" ca="1" si="89"/>
        <v>2000</v>
      </c>
      <c r="J534" t="s">
        <v>141</v>
      </c>
      <c r="K534" t="str">
        <f t="shared" ca="1" si="90"/>
        <v>No</v>
      </c>
      <c r="L534" t="str">
        <f t="shared" ca="1" si="91"/>
        <v>Muscle Gain</v>
      </c>
      <c r="M534" t="str">
        <f t="shared" ca="1" si="92"/>
        <v>Active</v>
      </c>
      <c r="N534" s="2">
        <v>45020</v>
      </c>
      <c r="Q534" t="str">
        <f ca="1">IF(RAND()&lt;0.2,
    IF(RAND()&lt;0.5, LOWER(C534), UPPER(C534)),
    C534
)</f>
        <v>Chennai</v>
      </c>
      <c r="R534" t="str">
        <f t="shared" ca="1" si="95"/>
        <v>7 visits</v>
      </c>
      <c r="S534">
        <f t="shared" ca="1" si="96"/>
        <v>1000</v>
      </c>
      <c r="T534">
        <f t="shared" ca="1" si="97"/>
        <v>45340</v>
      </c>
      <c r="U534" s="2">
        <f t="shared" ca="1" si="98"/>
        <v>45020</v>
      </c>
    </row>
    <row r="535" spans="1:21">
      <c r="A535" t="str">
        <f t="shared" si="94"/>
        <v>MEM0534</v>
      </c>
      <c r="B535" t="str">
        <f ca="1">INDEX('Name pool'!A:A, RANDBETWEEN(2, COUNTA('Name pool'!A:A))) &amp; " " &amp; INDEX('Name pool'!B:B, RANDBETWEEN(2, COUNTA('Name pool'!B:B)))</f>
        <v>Kavya Gupta</v>
      </c>
      <c r="C535" t="s">
        <v>119</v>
      </c>
      <c r="D535" t="str">
        <f t="shared" ca="1" si="93"/>
        <v>BR07</v>
      </c>
      <c r="E535" t="str">
        <f t="shared" ca="1" si="88"/>
        <v>Standard</v>
      </c>
      <c r="F535" s="2">
        <v>46034</v>
      </c>
      <c r="G535" s="2">
        <v>46064</v>
      </c>
      <c r="H535">
        <v>3500</v>
      </c>
      <c r="I535">
        <f t="shared" ca="1" si="89"/>
        <v>31500</v>
      </c>
      <c r="J535">
        <v>14</v>
      </c>
      <c r="K535" t="str">
        <f t="shared" ca="1" si="90"/>
        <v>No</v>
      </c>
      <c r="L535" t="str">
        <f t="shared" ca="1" si="91"/>
        <v>Muscle Gain</v>
      </c>
      <c r="M535" t="str">
        <f t="shared" ca="1" si="92"/>
        <v>Active</v>
      </c>
      <c r="N535" s="2">
        <v>46113</v>
      </c>
      <c r="Q535" t="str">
        <f ca="1">IF(RAND()&lt;0.2,
    IF(RAND()&lt;0.5, LOWER(C535), UPPER(C535)),
    C535
)</f>
        <v>bangalore</v>
      </c>
      <c r="R535">
        <f t="shared" ca="1" si="95"/>
        <v>14</v>
      </c>
      <c r="S535">
        <f t="shared" ca="1" si="96"/>
        <v>3500</v>
      </c>
      <c r="T535">
        <f t="shared" ca="1" si="97"/>
        <v>45270</v>
      </c>
      <c r="U535" s="2">
        <f t="shared" ca="1" si="98"/>
        <v>46113</v>
      </c>
    </row>
    <row r="536" spans="1:21">
      <c r="A536" t="str">
        <f t="shared" si="94"/>
        <v>MEM0535</v>
      </c>
      <c r="B536" t="str">
        <f ca="1">INDEX('Name pool'!A:A, RANDBETWEEN(2, COUNTA('Name pool'!A:A))) &amp; " " &amp; INDEX('Name pool'!B:B, RANDBETWEEN(2, COUNTA('Name pool'!B:B)))</f>
        <v>Ayesha Joshi</v>
      </c>
      <c r="C536" t="s">
        <v>75</v>
      </c>
      <c r="D536" t="str">
        <f t="shared" ca="1" si="93"/>
        <v>BR06</v>
      </c>
      <c r="E536" t="str">
        <f t="shared" ca="1" si="88"/>
        <v>Premium</v>
      </c>
      <c r="F536" s="2">
        <v>45246</v>
      </c>
      <c r="G536" s="2">
        <v>45611</v>
      </c>
      <c r="H536">
        <v>1000</v>
      </c>
      <c r="I536">
        <f t="shared" ca="1" si="89"/>
        <v>12000</v>
      </c>
      <c r="J536">
        <v>13</v>
      </c>
      <c r="K536" t="str">
        <f t="shared" ca="1" si="90"/>
        <v>Yes</v>
      </c>
      <c r="L536" t="str">
        <f t="shared" ca="1" si="91"/>
        <v>Muscle Gain</v>
      </c>
      <c r="M536" t="str">
        <f t="shared" ca="1" si="92"/>
        <v>Active</v>
      </c>
      <c r="N536" s="2">
        <v>45320</v>
      </c>
      <c r="Q536" t="str">
        <f ca="1">IF(RAND()&lt;0.2,
    IF(RAND()&lt;0.5, LOWER(C536), UPPER(C536)),
    C536
)</f>
        <v>BANGALORE</v>
      </c>
      <c r="R536">
        <f t="shared" ca="1" si="95"/>
        <v>13</v>
      </c>
      <c r="S536">
        <f t="shared" ca="1" si="96"/>
        <v>1000</v>
      </c>
      <c r="T536">
        <f t="shared" ca="1" si="97"/>
        <v>45473</v>
      </c>
      <c r="U536" s="2">
        <f t="shared" ca="1" si="98"/>
        <v>45320</v>
      </c>
    </row>
    <row r="537" spans="1:21">
      <c r="A537" t="str">
        <f t="shared" si="94"/>
        <v>MEM0536</v>
      </c>
      <c r="B537" t="str">
        <f ca="1">INDEX('Name pool'!A:A, RANDBETWEEN(2, COUNTA('Name pool'!A:A))) &amp; " " &amp; INDEX('Name pool'!B:B, RANDBETWEEN(2, COUNTA('Name pool'!B:B)))</f>
        <v>Priya Reddy</v>
      </c>
      <c r="C537" t="s">
        <v>77</v>
      </c>
      <c r="D537" t="str">
        <f t="shared" ca="1" si="93"/>
        <v>BR04</v>
      </c>
      <c r="E537" t="str">
        <f t="shared" ca="1" si="88"/>
        <v>Basic</v>
      </c>
      <c r="F537" s="2">
        <v>45912</v>
      </c>
      <c r="G537" s="2">
        <v>46002</v>
      </c>
      <c r="H537">
        <v>3500</v>
      </c>
      <c r="I537">
        <f t="shared" ca="1" si="89"/>
        <v>42000</v>
      </c>
      <c r="J537">
        <v>22</v>
      </c>
      <c r="K537" t="str">
        <f t="shared" ca="1" si="90"/>
        <v>No</v>
      </c>
      <c r="L537" t="str">
        <f t="shared" ca="1" si="91"/>
        <v>Weight Loss</v>
      </c>
      <c r="M537" t="str">
        <f t="shared" ca="1" si="92"/>
        <v>Active</v>
      </c>
      <c r="N537" s="2">
        <v>46054</v>
      </c>
      <c r="Q537" t="str">
        <f ca="1">IF(RAND()&lt;0.2,
    IF(RAND()&lt;0.5, LOWER(C537), UPPER(C537)),
    C537
)</f>
        <v>CHENNAI</v>
      </c>
      <c r="R537">
        <f t="shared" ca="1" si="95"/>
        <v>22</v>
      </c>
      <c r="S537" t="str">
        <f t="shared" ca="1" si="96"/>
        <v>3500</v>
      </c>
      <c r="T537">
        <f t="shared" ca="1" si="97"/>
        <v>45629</v>
      </c>
      <c r="U537" s="2">
        <f t="shared" ca="1" si="98"/>
        <v>46054</v>
      </c>
    </row>
    <row r="538" spans="1:21">
      <c r="A538" t="str">
        <f t="shared" si="94"/>
        <v>MEM0537</v>
      </c>
      <c r="B538" t="str">
        <f ca="1">INDEX('Name pool'!A:A, RANDBETWEEN(2, COUNTA('Name pool'!A:A))) &amp; " " &amp; INDEX('Name pool'!B:B, RANDBETWEEN(2, COUNTA('Name pool'!B:B)))</f>
        <v>Divya Shaikh</v>
      </c>
      <c r="C538" t="s">
        <v>75</v>
      </c>
      <c r="D538" t="str">
        <f t="shared" ca="1" si="93"/>
        <v>BR05</v>
      </c>
      <c r="E538" t="str">
        <f t="shared" ca="1" si="88"/>
        <v>Premium</v>
      </c>
      <c r="F538" s="2">
        <v>45694</v>
      </c>
      <c r="G538" s="2">
        <v>45724</v>
      </c>
      <c r="H538">
        <v>2000</v>
      </c>
      <c r="I538">
        <f t="shared" ca="1" si="89"/>
        <v>4000</v>
      </c>
      <c r="J538" t="s">
        <v>113</v>
      </c>
      <c r="K538" t="str">
        <f t="shared" ca="1" si="90"/>
        <v>No</v>
      </c>
      <c r="L538" t="str">
        <f t="shared" ca="1" si="91"/>
        <v>Weight Loss</v>
      </c>
      <c r="M538" t="str">
        <f t="shared" ca="1" si="92"/>
        <v>Active</v>
      </c>
      <c r="N538" s="2">
        <v>46090</v>
      </c>
      <c r="Q538" t="str">
        <f ca="1">IF(RAND()&lt;0.2,
    IF(RAND()&lt;0.5, LOWER(C538), UPPER(C538)),
    C538
)</f>
        <v>Bangalore</v>
      </c>
      <c r="R538" t="str">
        <f t="shared" ca="1" si="95"/>
        <v>17 visits</v>
      </c>
      <c r="S538">
        <f t="shared" ca="1" si="96"/>
        <v>2000</v>
      </c>
      <c r="T538">
        <f t="shared" ca="1" si="97"/>
        <v>45668</v>
      </c>
      <c r="U538" s="2">
        <f t="shared" ca="1" si="98"/>
        <v>46090</v>
      </c>
    </row>
    <row r="539" spans="1:21">
      <c r="A539" t="str">
        <f t="shared" si="94"/>
        <v>MEM0538</v>
      </c>
      <c r="B539" t="str">
        <f ca="1">INDEX('Name pool'!A:A, RANDBETWEEN(2, COUNTA('Name pool'!A:A))) &amp; " " &amp; INDEX('Name pool'!B:B, RANDBETWEEN(2, COUNTA('Name pool'!B:B)))</f>
        <v>Manoj Menon</v>
      </c>
      <c r="C539" t="s">
        <v>77</v>
      </c>
      <c r="D539" t="str">
        <f t="shared" ca="1" si="93"/>
        <v>BR06</v>
      </c>
      <c r="E539" t="str">
        <f t="shared" ca="1" si="88"/>
        <v>Standard</v>
      </c>
      <c r="F539" s="2">
        <v>45459</v>
      </c>
      <c r="G539" s="2">
        <v>45549</v>
      </c>
      <c r="H539">
        <v>3500</v>
      </c>
      <c r="I539">
        <f t="shared" ca="1" si="89"/>
        <v>42000</v>
      </c>
      <c r="J539">
        <v>3</v>
      </c>
      <c r="K539" t="str">
        <f t="shared" ca="1" si="90"/>
        <v>Yes</v>
      </c>
      <c r="L539" t="str">
        <f t="shared" ca="1" si="91"/>
        <v>Weight Loss</v>
      </c>
      <c r="M539" t="str">
        <f t="shared" ca="1" si="92"/>
        <v>Active</v>
      </c>
      <c r="N539" s="2">
        <v>46033</v>
      </c>
      <c r="Q539" t="str">
        <f ca="1">IF(RAND()&lt;0.2,
    IF(RAND()&lt;0.5, LOWER(C539), UPPER(C539)),
    C539
)</f>
        <v>Chennai</v>
      </c>
      <c r="R539" t="str">
        <f t="shared" ca="1" si="95"/>
        <v>3 visits</v>
      </c>
      <c r="S539">
        <f t="shared" ca="1" si="96"/>
        <v>3500</v>
      </c>
      <c r="T539">
        <f t="shared" ca="1" si="97"/>
        <v>44994</v>
      </c>
      <c r="U539" s="2">
        <f t="shared" ca="1" si="98"/>
        <v>46033</v>
      </c>
    </row>
    <row r="540" spans="1:21">
      <c r="A540" t="str">
        <f t="shared" si="94"/>
        <v>MEM0539</v>
      </c>
      <c r="B540" t="str">
        <f ca="1">INDEX('Name pool'!A:A, RANDBETWEEN(2, COUNTA('Name pool'!A:A))) &amp; " " &amp; INDEX('Name pool'!B:B, RANDBETWEEN(2, COUNTA('Name pool'!B:B)))</f>
        <v>Karthik Varghese</v>
      </c>
      <c r="C540" t="s">
        <v>79</v>
      </c>
      <c r="D540" t="str">
        <f t="shared" ca="1" si="93"/>
        <v>BR03</v>
      </c>
      <c r="E540" t="str">
        <f t="shared" ca="1" si="88"/>
        <v>Standard</v>
      </c>
      <c r="F540" s="2">
        <v>45414</v>
      </c>
      <c r="G540" s="2">
        <v>45504</v>
      </c>
      <c r="H540">
        <v>1000</v>
      </c>
      <c r="I540">
        <f t="shared" ca="1" si="89"/>
        <v>10000</v>
      </c>
      <c r="J540">
        <v>19</v>
      </c>
      <c r="K540" t="str">
        <f t="shared" ca="1" si="90"/>
        <v>No</v>
      </c>
      <c r="L540" t="str">
        <f t="shared" ca="1" si="91"/>
        <v>Weight Loss</v>
      </c>
      <c r="M540" t="str">
        <f t="shared" ca="1" si="92"/>
        <v>Active</v>
      </c>
      <c r="N540" s="2">
        <v>45421</v>
      </c>
      <c r="Q540" t="str">
        <f ca="1">IF(RAND()&lt;0.2,
    IF(RAND()&lt;0.5, LOWER(C540), UPPER(C540)),
    C540
)</f>
        <v>Hyderabad</v>
      </c>
      <c r="R540">
        <f t="shared" ca="1" si="95"/>
        <v>19</v>
      </c>
      <c r="S540">
        <f t="shared" ca="1" si="96"/>
        <v>1000</v>
      </c>
      <c r="T540">
        <f t="shared" ca="1" si="97"/>
        <v>45574</v>
      </c>
      <c r="U540" s="2">
        <f t="shared" ca="1" si="98"/>
        <v>45421</v>
      </c>
    </row>
    <row r="541" spans="1:21">
      <c r="A541" t="str">
        <f t="shared" si="94"/>
        <v>MEM0540</v>
      </c>
      <c r="B541" t="str">
        <f ca="1">INDEX('Name pool'!A:A, RANDBETWEEN(2, COUNTA('Name pool'!A:A))) &amp; " " &amp; INDEX('Name pool'!B:B, RANDBETWEEN(2, COUNTA('Name pool'!B:B)))</f>
        <v>Nikhil Joshi</v>
      </c>
      <c r="C541" t="s">
        <v>79</v>
      </c>
      <c r="D541" t="str">
        <f t="shared" ca="1" si="93"/>
        <v>BR07</v>
      </c>
      <c r="E541" t="str">
        <f t="shared" ca="1" si="88"/>
        <v>Basic</v>
      </c>
      <c r="F541" s="2">
        <v>45376</v>
      </c>
      <c r="G541" s="2">
        <v>45406</v>
      </c>
      <c r="H541">
        <v>1000</v>
      </c>
      <c r="I541">
        <f t="shared" ca="1" si="89"/>
        <v>8000</v>
      </c>
      <c r="J541">
        <v>25</v>
      </c>
      <c r="K541" t="str">
        <f t="shared" ca="1" si="90"/>
        <v>No</v>
      </c>
      <c r="L541" t="str">
        <f t="shared" ca="1" si="91"/>
        <v>General Fitness</v>
      </c>
      <c r="M541" t="str">
        <f t="shared" ca="1" si="92"/>
        <v>Active</v>
      </c>
      <c r="N541" s="2">
        <v>45718</v>
      </c>
      <c r="Q541" t="str">
        <f ca="1">IF(RAND()&lt;0.2,
    IF(RAND()&lt;0.5, LOWER(C541), UPPER(C541)),
    C541
)</f>
        <v>Hyderabad</v>
      </c>
      <c r="R541">
        <f t="shared" ca="1" si="95"/>
        <v>25</v>
      </c>
      <c r="S541">
        <f t="shared" ca="1" si="96"/>
        <v>1000</v>
      </c>
      <c r="T541">
        <f t="shared" ca="1" si="97"/>
        <v>45075</v>
      </c>
      <c r="U541" s="2">
        <f t="shared" ca="1" si="98"/>
        <v>45718</v>
      </c>
    </row>
    <row r="542" spans="1:21">
      <c r="A542" t="str">
        <f t="shared" si="94"/>
        <v>MEM0541</v>
      </c>
      <c r="B542" t="str">
        <f ca="1">INDEX('Name pool'!A:A, RANDBETWEEN(2, COUNTA('Name pool'!A:A))) &amp; " " &amp; INDEX('Name pool'!B:B, RANDBETWEEN(2, COUNTA('Name pool'!B:B)))</f>
        <v>Varun Mathew</v>
      </c>
      <c r="C542" t="s">
        <v>79</v>
      </c>
      <c r="D542" t="str">
        <f t="shared" ca="1" si="93"/>
        <v>BR05</v>
      </c>
      <c r="E542" t="str">
        <f t="shared" ca="1" si="88"/>
        <v>Basic</v>
      </c>
      <c r="F542" s="2">
        <v>45400</v>
      </c>
      <c r="G542" s="2">
        <v>45765</v>
      </c>
      <c r="H542">
        <v>2000</v>
      </c>
      <c r="I542">
        <f t="shared" ca="1" si="89"/>
        <v>24000</v>
      </c>
      <c r="J542">
        <v>6</v>
      </c>
      <c r="K542" t="str">
        <f t="shared" ca="1" si="90"/>
        <v>Yes</v>
      </c>
      <c r="L542" t="str">
        <f t="shared" ca="1" si="91"/>
        <v>General Fitness</v>
      </c>
      <c r="M542" t="str">
        <f t="shared" ca="1" si="92"/>
        <v>Active</v>
      </c>
      <c r="N542" s="2">
        <v>45658</v>
      </c>
      <c r="Q542" t="str">
        <f ca="1">IF(RAND()&lt;0.2,
    IF(RAND()&lt;0.5, LOWER(C542), UPPER(C542)),
    C542
)</f>
        <v>Hyderabad</v>
      </c>
      <c r="R542">
        <f t="shared" ca="1" si="95"/>
        <v>6</v>
      </c>
      <c r="S542">
        <f t="shared" ca="1" si="96"/>
        <v>2000</v>
      </c>
      <c r="T542">
        <f t="shared" ca="1" si="97"/>
        <v>45961</v>
      </c>
      <c r="U542" s="2">
        <f t="shared" ca="1" si="98"/>
        <v>45658</v>
      </c>
    </row>
    <row r="543" spans="1:21">
      <c r="A543" t="str">
        <f t="shared" si="94"/>
        <v>MEM0542</v>
      </c>
      <c r="B543" t="str">
        <f ca="1">INDEX('Name pool'!A:A, RANDBETWEEN(2, COUNTA('Name pool'!A:A))) &amp; " " &amp; INDEX('Name pool'!B:B, RANDBETWEEN(2, COUNTA('Name pool'!B:B)))</f>
        <v>Ankit Bhat</v>
      </c>
      <c r="C543" t="s">
        <v>81</v>
      </c>
      <c r="D543" t="str">
        <f t="shared" ca="1" si="93"/>
        <v>BR04</v>
      </c>
      <c r="E543" t="str">
        <f t="shared" ca="1" si="88"/>
        <v>Premium</v>
      </c>
      <c r="F543" s="2">
        <v>45446</v>
      </c>
      <c r="G543" s="2">
        <v>45476</v>
      </c>
      <c r="H543">
        <v>3500</v>
      </c>
      <c r="I543">
        <f t="shared" ca="1" si="89"/>
        <v>10500</v>
      </c>
      <c r="J543" t="s">
        <v>109</v>
      </c>
      <c r="K543" t="str">
        <f t="shared" ca="1" si="90"/>
        <v>No</v>
      </c>
      <c r="L543" t="str">
        <f t="shared" ca="1" si="91"/>
        <v>Muscle Gain</v>
      </c>
      <c r="M543" t="str">
        <f t="shared" ca="1" si="92"/>
        <v>Active</v>
      </c>
      <c r="N543" s="2">
        <v>45516</v>
      </c>
      <c r="Q543" t="str">
        <f ca="1">IF(RAND()&lt;0.2,
    IF(RAND()&lt;0.5, LOWER(C543), UPPER(C543)),
    C543
)</f>
        <v>Mumbai</v>
      </c>
      <c r="R543" t="str">
        <f t="shared" ca="1" si="95"/>
        <v>8 visits</v>
      </c>
      <c r="S543">
        <f t="shared" ca="1" si="96"/>
        <v>3500</v>
      </c>
      <c r="T543">
        <f t="shared" ca="1" si="97"/>
        <v>45876</v>
      </c>
      <c r="U543" s="2">
        <f t="shared" ca="1" si="98"/>
        <v>45516</v>
      </c>
    </row>
    <row r="544" spans="1:21">
      <c r="A544" t="str">
        <f t="shared" si="94"/>
        <v>MEM0543</v>
      </c>
      <c r="B544" t="str">
        <f ca="1">INDEX('Name pool'!A:A, RANDBETWEEN(2, COUNTA('Name pool'!A:A))) &amp; " " &amp; INDEX('Name pool'!B:B, RANDBETWEEN(2, COUNTA('Name pool'!B:B)))</f>
        <v>Swathi Joseph</v>
      </c>
      <c r="C544" t="s">
        <v>83</v>
      </c>
      <c r="D544" t="str">
        <f t="shared" ca="1" si="93"/>
        <v>BR06</v>
      </c>
      <c r="E544" t="str">
        <f t="shared" ca="1" si="88"/>
        <v>Basic</v>
      </c>
      <c r="F544" s="2">
        <v>45347</v>
      </c>
      <c r="G544" s="2">
        <v>45712</v>
      </c>
      <c r="H544">
        <v>2000</v>
      </c>
      <c r="I544">
        <f t="shared" ca="1" si="89"/>
        <v>10000</v>
      </c>
      <c r="J544">
        <v>12</v>
      </c>
      <c r="K544" t="str">
        <f t="shared" ca="1" si="90"/>
        <v>Yes</v>
      </c>
      <c r="L544" t="str">
        <f t="shared" ca="1" si="91"/>
        <v>Muscle Gain</v>
      </c>
      <c r="M544" t="str">
        <f t="shared" ca="1" si="92"/>
        <v>Active</v>
      </c>
      <c r="N544" s="2">
        <v>45587</v>
      </c>
      <c r="Q544" t="str">
        <f ca="1">IF(RAND()&lt;0.2,
    IF(RAND()&lt;0.5, LOWER(C544), UPPER(C544)),
    C544
)</f>
        <v>Trivandrum</v>
      </c>
      <c r="R544">
        <f t="shared" ca="1" si="95"/>
        <v>12</v>
      </c>
      <c r="S544">
        <f t="shared" ca="1" si="96"/>
        <v>2000</v>
      </c>
      <c r="T544">
        <f t="shared" ca="1" si="97"/>
        <v>44949</v>
      </c>
      <c r="U544" s="2">
        <f t="shared" ca="1" si="98"/>
        <v>45587</v>
      </c>
    </row>
    <row r="545" spans="1:21">
      <c r="A545" t="str">
        <f t="shared" si="94"/>
        <v>MEM0544</v>
      </c>
      <c r="B545" t="str">
        <f ca="1">INDEX('Name pool'!A:A, RANDBETWEEN(2, COUNTA('Name pool'!A:A))) &amp; " " &amp; INDEX('Name pool'!B:B, RANDBETWEEN(2, COUNTA('Name pool'!B:B)))</f>
        <v>Lakshmi Kapoor</v>
      </c>
      <c r="C545" t="s">
        <v>81</v>
      </c>
      <c r="D545" t="str">
        <f t="shared" ca="1" si="93"/>
        <v>BR07</v>
      </c>
      <c r="E545" t="str">
        <f t="shared" ca="1" si="88"/>
        <v>Standard</v>
      </c>
      <c r="F545" s="2">
        <v>45412</v>
      </c>
      <c r="G545" s="2">
        <v>45777</v>
      </c>
      <c r="H545">
        <v>2000</v>
      </c>
      <c r="I545">
        <f t="shared" ca="1" si="89"/>
        <v>16000</v>
      </c>
      <c r="J545">
        <v>6</v>
      </c>
      <c r="K545" t="str">
        <f t="shared" ca="1" si="90"/>
        <v>No</v>
      </c>
      <c r="L545" t="str">
        <f t="shared" ca="1" si="91"/>
        <v>Muscle Gain</v>
      </c>
      <c r="M545" t="str">
        <f t="shared" ca="1" si="92"/>
        <v>Active</v>
      </c>
      <c r="N545" s="2">
        <v>45494</v>
      </c>
      <c r="Q545" t="str">
        <f ca="1">IF(RAND()&lt;0.2,
    IF(RAND()&lt;0.5, LOWER(C545), UPPER(C545)),
    C545
)</f>
        <v>Mumbai</v>
      </c>
      <c r="R545">
        <f t="shared" ca="1" si="95"/>
        <v>6</v>
      </c>
      <c r="S545" t="str">
        <f t="shared" ca="1" si="96"/>
        <v>2000</v>
      </c>
      <c r="T545">
        <f t="shared" ca="1" si="97"/>
        <v>45710</v>
      </c>
      <c r="U545" s="2">
        <f t="shared" ca="1" si="98"/>
        <v>45494</v>
      </c>
    </row>
    <row r="546" spans="1:21">
      <c r="A546" t="str">
        <f t="shared" si="94"/>
        <v>MEM0545</v>
      </c>
      <c r="B546" t="str">
        <f ca="1">INDEX('Name pool'!A:A, RANDBETWEEN(2, COUNTA('Name pool'!A:A))) &amp; " " &amp; INDEX('Name pool'!B:B, RANDBETWEEN(2, COUNTA('Name pool'!B:B)))</f>
        <v>Nikhil Naidu</v>
      </c>
      <c r="C546" t="s">
        <v>81</v>
      </c>
      <c r="D546" t="str">
        <f t="shared" ca="1" si="93"/>
        <v>BR07</v>
      </c>
      <c r="E546" t="str">
        <f t="shared" ref="E546:E609" ca="1" si="99">CHOOSE(RANDBETWEEN(1,3),"Basic","Standard","Premium")</f>
        <v>Basic</v>
      </c>
      <c r="F546" s="2">
        <v>45985</v>
      </c>
      <c r="G546" s="2">
        <v>46350</v>
      </c>
      <c r="H546">
        <v>3500</v>
      </c>
      <c r="I546">
        <f t="shared" ref="I546:I609" ca="1" si="100">H546 * RANDBETWEEN(1,12)</f>
        <v>17500</v>
      </c>
      <c r="J546">
        <v>10</v>
      </c>
      <c r="K546" t="str">
        <f t="shared" ref="K546:K609" ca="1" si="101">CHOOSE(RANDBETWEEN(1,2),"Yes","No")</f>
        <v>Yes</v>
      </c>
      <c r="L546" t="str">
        <f t="shared" ref="L546:L609" ca="1" si="102">CHOOSE(RANDBETWEEN(1,3),"Weight Loss","Muscle Gain","General Fitness")</f>
        <v>General Fitness</v>
      </c>
      <c r="M546" t="str">
        <f t="shared" ref="M546:M609" ca="1" si="103">IF(J546&lt;5,IF(RANDBETWEEN(1,100)&lt;70,"Cancelled","Active"),"Active")</f>
        <v>Active</v>
      </c>
      <c r="N546" s="2">
        <v>46099</v>
      </c>
      <c r="Q546" t="str">
        <f ca="1">IF(RAND()&lt;0.2,
    IF(RAND()&lt;0.5, LOWER(C546), UPPER(C546)),
    C546
)</f>
        <v>Mumbai</v>
      </c>
      <c r="R546">
        <f t="shared" ca="1" si="95"/>
        <v>10</v>
      </c>
      <c r="S546">
        <f t="shared" ca="1" si="96"/>
        <v>3500</v>
      </c>
      <c r="T546">
        <f t="shared" ca="1" si="97"/>
        <v>45809</v>
      </c>
      <c r="U546" s="2">
        <f t="shared" ca="1" si="98"/>
        <v>46099</v>
      </c>
    </row>
    <row r="547" spans="1:21">
      <c r="A547" t="str">
        <f t="shared" si="94"/>
        <v>MEM0546</v>
      </c>
      <c r="B547" t="str">
        <f ca="1">INDEX('Name pool'!A:A, RANDBETWEEN(2, COUNTA('Name pool'!A:A))) &amp; " " &amp; INDEX('Name pool'!B:B, RANDBETWEEN(2, COUNTA('Name pool'!B:B)))</f>
        <v>Divya Desai</v>
      </c>
      <c r="C547" t="s">
        <v>77</v>
      </c>
      <c r="D547" t="str">
        <f t="shared" ca="1" si="93"/>
        <v>BR03</v>
      </c>
      <c r="E547" t="str">
        <f t="shared" ca="1" si="99"/>
        <v>Basic</v>
      </c>
      <c r="F547" s="2">
        <v>45237</v>
      </c>
      <c r="G547" s="2">
        <v>45602</v>
      </c>
      <c r="H547">
        <v>2000</v>
      </c>
      <c r="I547">
        <f t="shared" ca="1" si="100"/>
        <v>20000</v>
      </c>
      <c r="J547" t="s">
        <v>143</v>
      </c>
      <c r="K547" t="str">
        <f t="shared" ca="1" si="101"/>
        <v>Yes</v>
      </c>
      <c r="L547" t="str">
        <f t="shared" ca="1" si="102"/>
        <v>General Fitness</v>
      </c>
      <c r="M547" t="str">
        <f t="shared" ca="1" si="103"/>
        <v>Active</v>
      </c>
      <c r="N547" s="2">
        <v>45258</v>
      </c>
      <c r="Q547" t="str">
        <f ca="1">IF(RAND()&lt;0.2,
    IF(RAND()&lt;0.5, LOWER(C547), UPPER(C547)),
    C547
)</f>
        <v>Chennai</v>
      </c>
      <c r="R547" t="str">
        <f t="shared" ca="1" si="95"/>
        <v>9 visits</v>
      </c>
      <c r="S547">
        <f t="shared" ca="1" si="96"/>
        <v>2000</v>
      </c>
      <c r="T547">
        <f t="shared" ca="1" si="97"/>
        <v>45359</v>
      </c>
      <c r="U547" s="2">
        <f t="shared" ca="1" si="98"/>
        <v>45258</v>
      </c>
    </row>
    <row r="548" spans="1:21">
      <c r="A548" t="str">
        <f t="shared" si="94"/>
        <v>MEM0547</v>
      </c>
      <c r="B548" t="str">
        <f ca="1">INDEX('Name pool'!A:A, RANDBETWEEN(2, COUNTA('Name pool'!A:A))) &amp; " " &amp; INDEX('Name pool'!B:B, RANDBETWEEN(2, COUNTA('Name pool'!B:B)))</f>
        <v>Anjali Shaikh</v>
      </c>
      <c r="C548" t="s">
        <v>77</v>
      </c>
      <c r="D548" t="str">
        <f t="shared" ca="1" si="93"/>
        <v>BR01</v>
      </c>
      <c r="E548" t="str">
        <f t="shared" ca="1" si="99"/>
        <v>Premium</v>
      </c>
      <c r="F548" s="2">
        <v>45629</v>
      </c>
      <c r="G548" s="2">
        <v>45659</v>
      </c>
      <c r="H548">
        <v>2000</v>
      </c>
      <c r="I548">
        <f t="shared" ca="1" si="100"/>
        <v>6000</v>
      </c>
      <c r="J548">
        <v>2</v>
      </c>
      <c r="K548" t="str">
        <f t="shared" ca="1" si="101"/>
        <v>Yes</v>
      </c>
      <c r="L548" t="str">
        <f t="shared" ca="1" si="102"/>
        <v>General Fitness</v>
      </c>
      <c r="M548" t="str">
        <f t="shared" ca="1" si="103"/>
        <v>Cancelled</v>
      </c>
      <c r="N548" s="2">
        <v>45655</v>
      </c>
      <c r="Q548" t="str">
        <f ca="1">IF(RAND()&lt;0.2,
    IF(RAND()&lt;0.5, LOWER(C548), UPPER(C548)),
    C548
)</f>
        <v>Chennai</v>
      </c>
      <c r="R548">
        <f t="shared" ca="1" si="95"/>
        <v>2</v>
      </c>
      <c r="S548">
        <f t="shared" ca="1" si="96"/>
        <v>2000</v>
      </c>
      <c r="T548">
        <f t="shared" ca="1" si="97"/>
        <v>46006</v>
      </c>
      <c r="U548" s="2">
        <f t="shared" ca="1" si="98"/>
        <v>45655</v>
      </c>
    </row>
    <row r="549" spans="1:21">
      <c r="A549" t="str">
        <f t="shared" si="94"/>
        <v>MEM0548</v>
      </c>
      <c r="B549" t="str">
        <f ca="1">INDEX('Name pool'!A:A, RANDBETWEEN(2, COUNTA('Name pool'!A:A))) &amp; " " &amp; INDEX('Name pool'!B:B, RANDBETWEEN(2, COUNTA('Name pool'!B:B)))</f>
        <v>Kavya Patel</v>
      </c>
      <c r="C549" t="s">
        <v>77</v>
      </c>
      <c r="D549" t="str">
        <f t="shared" ca="1" si="93"/>
        <v>BR05</v>
      </c>
      <c r="E549" t="str">
        <f t="shared" ca="1" si="99"/>
        <v>Premium</v>
      </c>
      <c r="F549" s="2">
        <v>45646</v>
      </c>
      <c r="G549" s="2">
        <v>45736</v>
      </c>
      <c r="H549">
        <v>1000</v>
      </c>
      <c r="I549">
        <f t="shared" ca="1" si="100"/>
        <v>8000</v>
      </c>
      <c r="J549">
        <v>21</v>
      </c>
      <c r="K549" t="str">
        <f t="shared" ca="1" si="101"/>
        <v>Yes</v>
      </c>
      <c r="L549" t="str">
        <f t="shared" ca="1" si="102"/>
        <v>Weight Loss</v>
      </c>
      <c r="M549" t="str">
        <f t="shared" ca="1" si="103"/>
        <v>Active</v>
      </c>
      <c r="N549" s="2">
        <v>45679</v>
      </c>
      <c r="Q549" t="str">
        <f ca="1">IF(RAND()&lt;0.2,
    IF(RAND()&lt;0.5, LOWER(C549), UPPER(C549)),
    C549
)</f>
        <v>Chennai</v>
      </c>
      <c r="R549" t="str">
        <f t="shared" ca="1" si="95"/>
        <v>21 visits</v>
      </c>
      <c r="S549">
        <f t="shared" ca="1" si="96"/>
        <v>1000</v>
      </c>
      <c r="T549">
        <f t="shared" ca="1" si="97"/>
        <v>45533</v>
      </c>
      <c r="U549" s="2">
        <f t="shared" ca="1" si="98"/>
        <v>45679</v>
      </c>
    </row>
    <row r="550" spans="1:21">
      <c r="A550" t="str">
        <f t="shared" si="94"/>
        <v>MEM0549</v>
      </c>
      <c r="B550" t="str">
        <f ca="1">INDEX('Name pool'!A:A, RANDBETWEEN(2, COUNTA('Name pool'!A:A))) &amp; " " &amp; INDEX('Name pool'!B:B, RANDBETWEEN(2, COUNTA('Name pool'!B:B)))</f>
        <v>Lakshmi George</v>
      </c>
      <c r="C550" t="s">
        <v>85</v>
      </c>
      <c r="D550" t="str">
        <f t="shared" ca="1" si="93"/>
        <v>BR05</v>
      </c>
      <c r="E550" t="str">
        <f t="shared" ca="1" si="99"/>
        <v>Standard</v>
      </c>
      <c r="F550" s="2">
        <v>45110</v>
      </c>
      <c r="G550" s="2">
        <v>45200</v>
      </c>
      <c r="H550">
        <v>2000</v>
      </c>
      <c r="I550">
        <f t="shared" ca="1" si="100"/>
        <v>22000</v>
      </c>
      <c r="J550">
        <v>2</v>
      </c>
      <c r="K550" t="str">
        <f t="shared" ca="1" si="101"/>
        <v>No</v>
      </c>
      <c r="L550" t="str">
        <f t="shared" ca="1" si="102"/>
        <v>Weight Loss</v>
      </c>
      <c r="M550" t="str">
        <f t="shared" ca="1" si="103"/>
        <v>Active</v>
      </c>
      <c r="N550" s="2">
        <v>45462</v>
      </c>
      <c r="Q550" t="str">
        <f ca="1">IF(RAND()&lt;0.2,
    IF(RAND()&lt;0.5, LOWER(C550), UPPER(C550)),
    C550
)</f>
        <v>Calicut</v>
      </c>
      <c r="R550">
        <f t="shared" ca="1" si="95"/>
        <v>2</v>
      </c>
      <c r="S550">
        <f t="shared" ca="1" si="96"/>
        <v>2000</v>
      </c>
      <c r="T550">
        <f t="shared" ca="1" si="97"/>
        <v>45435</v>
      </c>
      <c r="U550" s="2">
        <f t="shared" ca="1" si="98"/>
        <v>45462</v>
      </c>
    </row>
    <row r="551" spans="1:21">
      <c r="A551" t="str">
        <f t="shared" si="94"/>
        <v>MEM0550</v>
      </c>
      <c r="B551" t="str">
        <f ca="1">INDEX('Name pool'!A:A, RANDBETWEEN(2, COUNTA('Name pool'!A:A))) &amp; " " &amp; INDEX('Name pool'!B:B, RANDBETWEEN(2, COUNTA('Name pool'!B:B)))</f>
        <v>Akash Banerjee</v>
      </c>
      <c r="C551" t="s">
        <v>77</v>
      </c>
      <c r="D551" t="str">
        <f t="shared" ca="1" si="93"/>
        <v>BR05</v>
      </c>
      <c r="E551" t="str">
        <f t="shared" ca="1" si="99"/>
        <v>Standard</v>
      </c>
      <c r="F551" s="2">
        <v>45431</v>
      </c>
      <c r="G551" s="2">
        <v>45461</v>
      </c>
      <c r="H551">
        <v>3500</v>
      </c>
      <c r="I551">
        <f t="shared" ca="1" si="100"/>
        <v>21000</v>
      </c>
      <c r="J551" t="s">
        <v>126</v>
      </c>
      <c r="K551" t="str">
        <f t="shared" ca="1" si="101"/>
        <v>No</v>
      </c>
      <c r="L551" t="str">
        <f t="shared" ca="1" si="102"/>
        <v>Muscle Gain</v>
      </c>
      <c r="M551" t="str">
        <f t="shared" ca="1" si="103"/>
        <v>Active</v>
      </c>
      <c r="N551" s="2">
        <v>45783</v>
      </c>
      <c r="Q551" t="str">
        <f ca="1">IF(RAND()&lt;0.2,
    IF(RAND()&lt;0.5, LOWER(C551), UPPER(C551)),
    C551
)</f>
        <v>Chennai</v>
      </c>
      <c r="R551" t="str">
        <f t="shared" ca="1" si="95"/>
        <v>13 visits</v>
      </c>
      <c r="S551">
        <f t="shared" ca="1" si="96"/>
        <v>3500</v>
      </c>
      <c r="T551">
        <f t="shared" ca="1" si="97"/>
        <v>45273</v>
      </c>
      <c r="U551" s="2">
        <f t="shared" ca="1" si="98"/>
        <v>45783</v>
      </c>
    </row>
    <row r="552" spans="1:21">
      <c r="A552" t="str">
        <f t="shared" si="94"/>
        <v>MEM0551</v>
      </c>
      <c r="B552" t="str">
        <f ca="1">INDEX('Name pool'!A:A, RANDBETWEEN(2, COUNTA('Name pool'!A:A))) &amp; " " &amp; INDEX('Name pool'!B:B, RANDBETWEEN(2, COUNTA('Name pool'!B:B)))</f>
        <v>Riya Gupta</v>
      </c>
      <c r="C552" t="s">
        <v>81</v>
      </c>
      <c r="D552" t="str">
        <f t="shared" ca="1" si="93"/>
        <v>BR05</v>
      </c>
      <c r="E552" t="str">
        <f t="shared" ca="1" si="99"/>
        <v>Premium</v>
      </c>
      <c r="F552" s="2">
        <v>45174</v>
      </c>
      <c r="G552" s="2">
        <v>45204</v>
      </c>
      <c r="H552">
        <v>3500</v>
      </c>
      <c r="I552">
        <f t="shared" ca="1" si="100"/>
        <v>24500</v>
      </c>
      <c r="J552">
        <v>4</v>
      </c>
      <c r="K552" t="str">
        <f t="shared" ca="1" si="101"/>
        <v>No</v>
      </c>
      <c r="L552" t="str">
        <f t="shared" ca="1" si="102"/>
        <v>General Fitness</v>
      </c>
      <c r="M552" t="str">
        <f t="shared" ca="1" si="103"/>
        <v>Cancelled</v>
      </c>
      <c r="N552" s="2">
        <v>46113</v>
      </c>
      <c r="Q552" t="str">
        <f ca="1">IF(RAND()&lt;0.2,
    IF(RAND()&lt;0.5, LOWER(C552), UPPER(C552)),
    C552
)</f>
        <v>mumbai</v>
      </c>
      <c r="R552">
        <f t="shared" ca="1" si="95"/>
        <v>4</v>
      </c>
      <c r="S552">
        <f t="shared" ca="1" si="96"/>
        <v>3500</v>
      </c>
      <c r="T552">
        <f t="shared" ca="1" si="97"/>
        <v>46050</v>
      </c>
      <c r="U552" s="2">
        <f t="shared" ca="1" si="98"/>
        <v>45187</v>
      </c>
    </row>
    <row r="553" spans="1:21">
      <c r="A553" t="str">
        <f t="shared" si="94"/>
        <v>MEM0552</v>
      </c>
      <c r="B553" t="str">
        <f ca="1">INDEX('Name pool'!A:A, RANDBETWEEN(2, COUNTA('Name pool'!A:A))) &amp; " " &amp; INDEX('Name pool'!B:B, RANDBETWEEN(2, COUNTA('Name pool'!B:B)))</f>
        <v>Anjali Shaikh</v>
      </c>
      <c r="C553" t="s">
        <v>83</v>
      </c>
      <c r="D553" t="str">
        <f t="shared" ca="1" si="93"/>
        <v>BR05</v>
      </c>
      <c r="E553" t="str">
        <f t="shared" ca="1" si="99"/>
        <v>Premium</v>
      </c>
      <c r="F553" s="2">
        <v>45275</v>
      </c>
      <c r="G553" s="2">
        <v>45640</v>
      </c>
      <c r="H553">
        <v>3500</v>
      </c>
      <c r="I553">
        <f t="shared" ca="1" si="100"/>
        <v>28000</v>
      </c>
      <c r="J553">
        <v>14</v>
      </c>
      <c r="K553" t="str">
        <f t="shared" ca="1" si="101"/>
        <v>Yes</v>
      </c>
      <c r="L553" t="str">
        <f t="shared" ca="1" si="102"/>
        <v>Weight Loss</v>
      </c>
      <c r="M553" t="str">
        <f t="shared" ca="1" si="103"/>
        <v>Active</v>
      </c>
      <c r="N553" s="2">
        <v>46004</v>
      </c>
      <c r="Q553" t="str">
        <f ca="1">IF(RAND()&lt;0.2,
    IF(RAND()&lt;0.5, LOWER(C553), UPPER(C553)),
    C553
)</f>
        <v>Trivandrum</v>
      </c>
      <c r="R553">
        <f t="shared" ca="1" si="95"/>
        <v>14</v>
      </c>
      <c r="S553">
        <f t="shared" ca="1" si="96"/>
        <v>3500</v>
      </c>
      <c r="T553">
        <f t="shared" ca="1" si="97"/>
        <v>45577</v>
      </c>
      <c r="U553" s="2">
        <f t="shared" ca="1" si="98"/>
        <v>46004</v>
      </c>
    </row>
    <row r="554" spans="1:21">
      <c r="A554" t="str">
        <f t="shared" si="94"/>
        <v>MEM0553</v>
      </c>
      <c r="B554" t="str">
        <f ca="1">INDEX('Name pool'!A:A, RANDBETWEEN(2, COUNTA('Name pool'!A:A))) &amp; " " &amp; INDEX('Name pool'!B:B, RANDBETWEEN(2, COUNTA('Name pool'!B:B)))</f>
        <v>Sanjay D’Souza</v>
      </c>
      <c r="C554" t="s">
        <v>83</v>
      </c>
      <c r="D554" t="str">
        <f t="shared" ca="1" si="93"/>
        <v>BR02</v>
      </c>
      <c r="E554" t="str">
        <f t="shared" ca="1" si="99"/>
        <v>Basic</v>
      </c>
      <c r="F554" s="2">
        <v>45383</v>
      </c>
      <c r="G554" s="2">
        <v>45748</v>
      </c>
      <c r="H554">
        <v>3500</v>
      </c>
      <c r="I554">
        <f t="shared" ca="1" si="100"/>
        <v>31500</v>
      </c>
      <c r="J554">
        <v>10</v>
      </c>
      <c r="K554" t="str">
        <f t="shared" ca="1" si="101"/>
        <v>Yes</v>
      </c>
      <c r="L554" t="str">
        <f t="shared" ca="1" si="102"/>
        <v>Weight Loss</v>
      </c>
      <c r="M554" t="str">
        <f t="shared" ca="1" si="103"/>
        <v>Active</v>
      </c>
      <c r="N554" s="2">
        <v>46124</v>
      </c>
      <c r="Q554" t="str">
        <f ca="1">IF(RAND()&lt;0.2,
    IF(RAND()&lt;0.5, LOWER(C554), UPPER(C554)),
    C554
)</f>
        <v>Trivandrum</v>
      </c>
      <c r="R554" t="str">
        <f t="shared" ca="1" si="95"/>
        <v>10 visits</v>
      </c>
      <c r="S554">
        <f t="shared" ca="1" si="96"/>
        <v>3500</v>
      </c>
      <c r="T554">
        <f t="shared" ca="1" si="97"/>
        <v>45791</v>
      </c>
      <c r="U554" s="2">
        <f t="shared" ca="1" si="98"/>
        <v>46124</v>
      </c>
    </row>
    <row r="555" spans="1:21">
      <c r="A555" t="str">
        <f t="shared" si="94"/>
        <v>MEM0554</v>
      </c>
      <c r="B555" t="str">
        <f ca="1">INDEX('Name pool'!A:A, RANDBETWEEN(2, COUNTA('Name pool'!A:A))) &amp; " " &amp; INDEX('Name pool'!B:B, RANDBETWEEN(2, COUNTA('Name pool'!B:B)))</f>
        <v>Aditya Kapoor</v>
      </c>
      <c r="C555" t="s">
        <v>81</v>
      </c>
      <c r="D555" t="str">
        <f t="shared" ca="1" si="93"/>
        <v>BR04</v>
      </c>
      <c r="E555" t="str">
        <f t="shared" ca="1" si="99"/>
        <v>Basic</v>
      </c>
      <c r="F555" s="2">
        <v>46005</v>
      </c>
      <c r="G555" s="2">
        <v>46370</v>
      </c>
      <c r="H555">
        <v>1000</v>
      </c>
      <c r="I555">
        <f t="shared" ca="1" si="100"/>
        <v>2000</v>
      </c>
      <c r="J555">
        <v>11</v>
      </c>
      <c r="K555" t="str">
        <f t="shared" ca="1" si="101"/>
        <v>No</v>
      </c>
      <c r="L555" t="str">
        <f t="shared" ca="1" si="102"/>
        <v>Muscle Gain</v>
      </c>
      <c r="M555" t="str">
        <f t="shared" ca="1" si="103"/>
        <v>Active</v>
      </c>
      <c r="N555" s="2">
        <v>46115</v>
      </c>
      <c r="Q555" t="str">
        <f ca="1">IF(RAND()&lt;0.2,
    IF(RAND()&lt;0.5, LOWER(C555), UPPER(C555)),
    C555
)</f>
        <v>Mumbai</v>
      </c>
      <c r="R555" t="str">
        <f t="shared" ca="1" si="95"/>
        <v>11 visits</v>
      </c>
      <c r="S555">
        <f t="shared" ca="1" si="96"/>
        <v>1000</v>
      </c>
      <c r="T555">
        <f t="shared" ca="1" si="97"/>
        <v>46006</v>
      </c>
      <c r="U555" s="2">
        <f t="shared" ca="1" si="98"/>
        <v>46115</v>
      </c>
    </row>
    <row r="556" spans="1:21">
      <c r="A556" t="str">
        <f t="shared" si="94"/>
        <v>MEM0555</v>
      </c>
      <c r="B556" t="str">
        <f ca="1">INDEX('Name pool'!A:A, RANDBETWEEN(2, COUNTA('Name pool'!A:A))) &amp; " " &amp; INDEX('Name pool'!B:B, RANDBETWEEN(2, COUNTA('Name pool'!B:B)))</f>
        <v>Ishita Verma</v>
      </c>
      <c r="C556" t="s">
        <v>117</v>
      </c>
      <c r="D556" t="str">
        <f t="shared" ca="1" si="93"/>
        <v>BR05</v>
      </c>
      <c r="E556" t="str">
        <f t="shared" ca="1" si="99"/>
        <v>Basic</v>
      </c>
      <c r="F556" s="2">
        <v>45757</v>
      </c>
      <c r="G556" s="2">
        <v>45847</v>
      </c>
      <c r="H556">
        <v>1000</v>
      </c>
      <c r="I556">
        <f t="shared" ca="1" si="100"/>
        <v>10000</v>
      </c>
      <c r="J556">
        <v>1</v>
      </c>
      <c r="K556" t="str">
        <f t="shared" ca="1" si="101"/>
        <v>Yes</v>
      </c>
      <c r="L556" t="str">
        <f t="shared" ca="1" si="102"/>
        <v>General Fitness</v>
      </c>
      <c r="M556" t="str">
        <f t="shared" ca="1" si="103"/>
        <v>Active</v>
      </c>
      <c r="N556" s="2">
        <v>45862</v>
      </c>
      <c r="Q556" t="str">
        <f ca="1">IF(RAND()&lt;0.2,
    IF(RAND()&lt;0.5, LOWER(C556), UPPER(C556)),
    C556
)</f>
        <v>mumbai</v>
      </c>
      <c r="R556">
        <f t="shared" ca="1" si="95"/>
        <v>1</v>
      </c>
      <c r="S556">
        <f t="shared" ca="1" si="96"/>
        <v>1000</v>
      </c>
      <c r="T556">
        <f t="shared" ca="1" si="97"/>
        <v>45777</v>
      </c>
      <c r="U556" s="2">
        <f t="shared" ca="1" si="98"/>
        <v>45862</v>
      </c>
    </row>
    <row r="557" spans="1:21">
      <c r="A557" t="str">
        <f t="shared" si="94"/>
        <v>MEM0556</v>
      </c>
      <c r="B557" t="str">
        <f ca="1">INDEX('Name pool'!A:A, RANDBETWEEN(2, COUNTA('Name pool'!A:A))) &amp; " " &amp; INDEX('Name pool'!B:B, RANDBETWEEN(2, COUNTA('Name pool'!B:B)))</f>
        <v>Siddharth Shaikh</v>
      </c>
      <c r="C557" t="s">
        <v>129</v>
      </c>
      <c r="D557" t="str">
        <f t="shared" ca="1" si="93"/>
        <v>BR07</v>
      </c>
      <c r="E557" t="str">
        <f t="shared" ca="1" si="99"/>
        <v>Basic</v>
      </c>
      <c r="F557" s="2">
        <v>45702</v>
      </c>
      <c r="G557" s="2">
        <v>45732</v>
      </c>
      <c r="H557">
        <v>3500</v>
      </c>
      <c r="I557">
        <f t="shared" ca="1" si="100"/>
        <v>14000</v>
      </c>
      <c r="J557">
        <v>16</v>
      </c>
      <c r="K557" t="str">
        <f t="shared" ca="1" si="101"/>
        <v>No</v>
      </c>
      <c r="L557" t="str">
        <f t="shared" ca="1" si="102"/>
        <v>General Fitness</v>
      </c>
      <c r="M557" t="str">
        <f t="shared" ca="1" si="103"/>
        <v>Active</v>
      </c>
      <c r="N557" s="2">
        <v>45894</v>
      </c>
      <c r="Q557" t="str">
        <f ca="1">IF(RAND()&lt;0.2,
    IF(RAND()&lt;0.5, LOWER(C557), UPPER(C557)),
    C557
)</f>
        <v>hyderabad</v>
      </c>
      <c r="R557">
        <f t="shared" ca="1" si="95"/>
        <v>16</v>
      </c>
      <c r="S557" t="str">
        <f t="shared" ca="1" si="96"/>
        <v>3500</v>
      </c>
      <c r="T557">
        <f t="shared" ca="1" si="97"/>
        <v>45165</v>
      </c>
      <c r="U557" s="2">
        <f t="shared" ca="1" si="98"/>
        <v>45894</v>
      </c>
    </row>
    <row r="558" spans="1:21">
      <c r="A558" t="str">
        <f t="shared" si="94"/>
        <v>MEM0557</v>
      </c>
      <c r="B558" t="str">
        <f ca="1">INDEX('Name pool'!A:A, RANDBETWEEN(2, COUNTA('Name pool'!A:A))) &amp; " " &amp; INDEX('Name pool'!B:B, RANDBETWEEN(2, COUNTA('Name pool'!B:B)))</f>
        <v>Meera Nambiar</v>
      </c>
      <c r="C558" t="s">
        <v>77</v>
      </c>
      <c r="D558" t="str">
        <f t="shared" ca="1" si="93"/>
        <v>BR03</v>
      </c>
      <c r="E558" t="str">
        <f t="shared" ca="1" si="99"/>
        <v>Premium</v>
      </c>
      <c r="F558" s="2">
        <v>45682</v>
      </c>
      <c r="G558" s="2">
        <v>46047</v>
      </c>
      <c r="H558">
        <v>2000</v>
      </c>
      <c r="I558">
        <f t="shared" ca="1" si="100"/>
        <v>22000</v>
      </c>
      <c r="J558">
        <v>13</v>
      </c>
      <c r="K558" t="str">
        <f t="shared" ca="1" si="101"/>
        <v>Yes</v>
      </c>
      <c r="L558" t="str">
        <f t="shared" ca="1" si="102"/>
        <v>Muscle Gain</v>
      </c>
      <c r="M558" t="str">
        <f t="shared" ca="1" si="103"/>
        <v>Active</v>
      </c>
      <c r="N558" s="2">
        <v>46000</v>
      </c>
      <c r="Q558" t="str">
        <f ca="1">IF(RAND()&lt;0.2,
    IF(RAND()&lt;0.5, LOWER(C558), UPPER(C558)),
    C558
)</f>
        <v>Chennai</v>
      </c>
      <c r="R558">
        <f t="shared" ca="1" si="95"/>
        <v>13</v>
      </c>
      <c r="S558">
        <f t="shared" ca="1" si="96"/>
        <v>2000</v>
      </c>
      <c r="T558">
        <f t="shared" ca="1" si="97"/>
        <v>45810</v>
      </c>
      <c r="U558" s="2">
        <f t="shared" ca="1" si="98"/>
        <v>46000</v>
      </c>
    </row>
    <row r="559" spans="1:21">
      <c r="A559" t="str">
        <f t="shared" si="94"/>
        <v>MEM0558</v>
      </c>
      <c r="B559" t="str">
        <f ca="1">INDEX('Name pool'!A:A, RANDBETWEEN(2, COUNTA('Name pool'!A:A))) &amp; " " &amp; INDEX('Name pool'!B:B, RANDBETWEEN(2, COUNTA('Name pool'!B:B)))</f>
        <v>Priya Chatterjee</v>
      </c>
      <c r="C559" t="s">
        <v>77</v>
      </c>
      <c r="D559" t="str">
        <f t="shared" ca="1" si="93"/>
        <v>BR02</v>
      </c>
      <c r="E559" t="str">
        <f t="shared" ca="1" si="99"/>
        <v>Standard</v>
      </c>
      <c r="F559" s="2">
        <v>45215</v>
      </c>
      <c r="G559" s="2">
        <v>45580</v>
      </c>
      <c r="H559">
        <v>2000</v>
      </c>
      <c r="I559">
        <f t="shared" ca="1" si="100"/>
        <v>20000</v>
      </c>
      <c r="J559">
        <v>14</v>
      </c>
      <c r="K559" t="str">
        <f t="shared" ca="1" si="101"/>
        <v>Yes</v>
      </c>
      <c r="L559" t="str">
        <f t="shared" ca="1" si="102"/>
        <v>General Fitness</v>
      </c>
      <c r="M559" t="str">
        <f t="shared" ca="1" si="103"/>
        <v>Active</v>
      </c>
      <c r="N559" s="2">
        <v>46076</v>
      </c>
      <c r="Q559" t="str">
        <f ca="1">IF(RAND()&lt;0.2,
    IF(RAND()&lt;0.5, LOWER(C559), UPPER(C559)),
    C559
)</f>
        <v>Chennai</v>
      </c>
      <c r="R559" t="str">
        <f t="shared" ca="1" si="95"/>
        <v>14 visits</v>
      </c>
      <c r="S559">
        <f t="shared" ca="1" si="96"/>
        <v>2000</v>
      </c>
      <c r="T559">
        <f t="shared" ca="1" si="97"/>
        <v>45463</v>
      </c>
      <c r="U559" s="2">
        <f t="shared" ca="1" si="98"/>
        <v>46076</v>
      </c>
    </row>
    <row r="560" spans="1:21">
      <c r="A560" t="str">
        <f t="shared" si="94"/>
        <v>MEM0559</v>
      </c>
      <c r="B560" t="str">
        <f ca="1">INDEX('Name pool'!A:A, RANDBETWEEN(2, COUNTA('Name pool'!A:A))) &amp; " " &amp; INDEX('Name pool'!B:B, RANDBETWEEN(2, COUNTA('Name pool'!B:B)))</f>
        <v>Harish Agarwal</v>
      </c>
      <c r="C560" t="s">
        <v>124</v>
      </c>
      <c r="D560" t="str">
        <f t="shared" ca="1" si="93"/>
        <v>BR06</v>
      </c>
      <c r="E560" t="str">
        <f t="shared" ca="1" si="99"/>
        <v>Standard</v>
      </c>
      <c r="F560" s="2">
        <v>45322</v>
      </c>
      <c r="G560" s="2">
        <v>45352</v>
      </c>
      <c r="H560">
        <v>1000</v>
      </c>
      <c r="I560">
        <f t="shared" ca="1" si="100"/>
        <v>7000</v>
      </c>
      <c r="J560">
        <v>3</v>
      </c>
      <c r="K560" t="str">
        <f t="shared" ca="1" si="101"/>
        <v>No</v>
      </c>
      <c r="L560" t="str">
        <f t="shared" ca="1" si="102"/>
        <v>Weight Loss</v>
      </c>
      <c r="M560" t="str">
        <f t="shared" ca="1" si="103"/>
        <v>Cancelled</v>
      </c>
      <c r="N560" s="2">
        <v>45984</v>
      </c>
      <c r="Q560" t="str">
        <f ca="1">IF(RAND()&lt;0.2,
    IF(RAND()&lt;0.5, LOWER(C560), UPPER(C560)),
    C560
)</f>
        <v>CHENNAI</v>
      </c>
      <c r="R560">
        <f t="shared" ca="1" si="95"/>
        <v>3</v>
      </c>
      <c r="S560">
        <f t="shared" ca="1" si="96"/>
        <v>1000</v>
      </c>
      <c r="T560">
        <f t="shared" ca="1" si="97"/>
        <v>45679</v>
      </c>
      <c r="U560" s="2">
        <f t="shared" ca="1" si="98"/>
        <v>45343</v>
      </c>
    </row>
    <row r="561" spans="1:21">
      <c r="A561" t="str">
        <f t="shared" si="94"/>
        <v>MEM0560</v>
      </c>
      <c r="B561" t="str">
        <f ca="1">INDEX('Name pool'!A:A, RANDBETWEEN(2, COUNTA('Name pool'!A:A))) &amp; " " &amp; INDEX('Name pool'!B:B, RANDBETWEEN(2, COUNTA('Name pool'!B:B)))</f>
        <v>Rahul D’Souza</v>
      </c>
      <c r="C561" t="s">
        <v>85</v>
      </c>
      <c r="D561" t="str">
        <f t="shared" ca="1" si="93"/>
        <v>BR04</v>
      </c>
      <c r="E561" t="str">
        <f t="shared" ca="1" si="99"/>
        <v>Standard</v>
      </c>
      <c r="F561" s="2">
        <v>45281</v>
      </c>
      <c r="G561" s="2">
        <v>45311</v>
      </c>
      <c r="H561">
        <v>2000</v>
      </c>
      <c r="I561">
        <f t="shared" ca="1" si="100"/>
        <v>16000</v>
      </c>
      <c r="J561">
        <v>1</v>
      </c>
      <c r="K561" t="str">
        <f t="shared" ca="1" si="101"/>
        <v>Yes</v>
      </c>
      <c r="L561" t="str">
        <f t="shared" ca="1" si="102"/>
        <v>Weight Loss</v>
      </c>
      <c r="M561" t="str">
        <f t="shared" ca="1" si="103"/>
        <v>Active</v>
      </c>
      <c r="N561" s="2">
        <v>46066</v>
      </c>
      <c r="Q561" t="str">
        <f ca="1">IF(RAND()&lt;0.2,
    IF(RAND()&lt;0.5, LOWER(C561), UPPER(C561)),
    C561
)</f>
        <v>Calicut</v>
      </c>
      <c r="R561">
        <f t="shared" ca="1" si="95"/>
        <v>1</v>
      </c>
      <c r="S561" t="str">
        <f t="shared" ca="1" si="96"/>
        <v>2000</v>
      </c>
      <c r="T561">
        <f t="shared" ca="1" si="97"/>
        <v>45377</v>
      </c>
      <c r="U561" s="2">
        <f t="shared" ca="1" si="98"/>
        <v>46066</v>
      </c>
    </row>
    <row r="562" spans="1:21">
      <c r="A562" t="str">
        <f t="shared" si="94"/>
        <v>MEM0561</v>
      </c>
      <c r="B562" t="str">
        <f ca="1">INDEX('Name pool'!A:A, RANDBETWEEN(2, COUNTA('Name pool'!A:A))) &amp; " " &amp; INDEX('Name pool'!B:B, RANDBETWEEN(2, COUNTA('Name pool'!B:B)))</f>
        <v>Sanjay Yadav</v>
      </c>
      <c r="C562" t="s">
        <v>112</v>
      </c>
      <c r="D562" t="str">
        <f t="shared" ca="1" si="93"/>
        <v>BR05</v>
      </c>
      <c r="E562" t="str">
        <f t="shared" ca="1" si="99"/>
        <v>Basic</v>
      </c>
      <c r="F562" s="2">
        <v>45317</v>
      </c>
      <c r="G562" s="2">
        <v>45347</v>
      </c>
      <c r="H562">
        <v>2000</v>
      </c>
      <c r="I562">
        <f t="shared" ca="1" si="100"/>
        <v>2000</v>
      </c>
      <c r="J562">
        <v>4</v>
      </c>
      <c r="K562" t="str">
        <f t="shared" ca="1" si="101"/>
        <v>No</v>
      </c>
      <c r="L562" t="str">
        <f t="shared" ca="1" si="102"/>
        <v>General Fitness</v>
      </c>
      <c r="M562" t="str">
        <f t="shared" ca="1" si="103"/>
        <v>Cancelled</v>
      </c>
      <c r="N562" s="2">
        <v>45341</v>
      </c>
      <c r="Q562" t="str">
        <f ca="1">IF(RAND()&lt;0.2,
    IF(RAND()&lt;0.5, LOWER(C562), UPPER(C562)),
    C562
)</f>
        <v>HYDERABAD</v>
      </c>
      <c r="R562">
        <f t="shared" ca="1" si="95"/>
        <v>4</v>
      </c>
      <c r="S562">
        <f t="shared" ca="1" si="96"/>
        <v>2000</v>
      </c>
      <c r="T562">
        <f t="shared" ca="1" si="97"/>
        <v>45869</v>
      </c>
      <c r="U562" s="2">
        <f t="shared" ca="1" si="98"/>
        <v>45362</v>
      </c>
    </row>
    <row r="563" spans="1:21">
      <c r="A563" t="str">
        <f t="shared" si="94"/>
        <v>MEM0562</v>
      </c>
      <c r="B563" t="str">
        <f ca="1">INDEX('Name pool'!A:A, RANDBETWEEN(2, COUNTA('Name pool'!A:A))) &amp; " " &amp; INDEX('Name pool'!B:B, RANDBETWEEN(2, COUNTA('Name pool'!B:B)))</f>
        <v>Nikhil Nair</v>
      </c>
      <c r="C563" t="s">
        <v>85</v>
      </c>
      <c r="D563" t="str">
        <f t="shared" ca="1" si="93"/>
        <v>BR04</v>
      </c>
      <c r="E563" t="str">
        <f t="shared" ca="1" si="99"/>
        <v>Premium</v>
      </c>
      <c r="F563" s="2">
        <v>45963</v>
      </c>
      <c r="G563" s="2">
        <v>45993</v>
      </c>
      <c r="H563">
        <v>2000</v>
      </c>
      <c r="I563">
        <f t="shared" ca="1" si="100"/>
        <v>2000</v>
      </c>
      <c r="J563">
        <v>8</v>
      </c>
      <c r="K563" t="str">
        <f t="shared" ca="1" si="101"/>
        <v>Yes</v>
      </c>
      <c r="L563" t="str">
        <f t="shared" ca="1" si="102"/>
        <v>General Fitness</v>
      </c>
      <c r="M563" t="str">
        <f t="shared" ca="1" si="103"/>
        <v>Active</v>
      </c>
      <c r="N563" s="2">
        <v>46081</v>
      </c>
      <c r="Q563" t="str">
        <f ca="1">IF(RAND()&lt;0.2,
    IF(RAND()&lt;0.5, LOWER(C563), UPPER(C563)),
    C563
)</f>
        <v>Calicut</v>
      </c>
      <c r="R563">
        <f t="shared" ca="1" si="95"/>
        <v>8</v>
      </c>
      <c r="S563">
        <f t="shared" ca="1" si="96"/>
        <v>2000</v>
      </c>
      <c r="T563">
        <f t="shared" ca="1" si="97"/>
        <v>44978</v>
      </c>
      <c r="U563" s="2">
        <f t="shared" ca="1" si="98"/>
        <v>46081</v>
      </c>
    </row>
    <row r="564" spans="1:21">
      <c r="A564" t="str">
        <f t="shared" si="94"/>
        <v>MEM0563</v>
      </c>
      <c r="B564" t="str">
        <f ca="1">INDEX('Name pool'!A:A, RANDBETWEEN(2, COUNTA('Name pool'!A:A))) &amp; " " &amp; INDEX('Name pool'!B:B, RANDBETWEEN(2, COUNTA('Name pool'!B:B)))</f>
        <v>Deepak Joseph</v>
      </c>
      <c r="C564" t="s">
        <v>85</v>
      </c>
      <c r="D564" t="str">
        <f t="shared" ca="1" si="93"/>
        <v>BR07</v>
      </c>
      <c r="E564" t="str">
        <f t="shared" ca="1" si="99"/>
        <v>Premium</v>
      </c>
      <c r="F564" s="2">
        <v>45958</v>
      </c>
      <c r="G564" s="2">
        <v>46048</v>
      </c>
      <c r="H564">
        <v>2000</v>
      </c>
      <c r="I564">
        <f t="shared" ca="1" si="100"/>
        <v>12000</v>
      </c>
      <c r="J564">
        <v>20</v>
      </c>
      <c r="K564" t="str">
        <f t="shared" ca="1" si="101"/>
        <v>No</v>
      </c>
      <c r="L564" t="str">
        <f t="shared" ca="1" si="102"/>
        <v>General Fitness</v>
      </c>
      <c r="M564" t="str">
        <f t="shared" ca="1" si="103"/>
        <v>Active</v>
      </c>
      <c r="N564" s="2">
        <v>46043</v>
      </c>
      <c r="Q564" t="str">
        <f ca="1">IF(RAND()&lt;0.2,
    IF(RAND()&lt;0.5, LOWER(C564), UPPER(C564)),
    C564
)</f>
        <v>Calicut</v>
      </c>
      <c r="R564">
        <f t="shared" ca="1" si="95"/>
        <v>20</v>
      </c>
      <c r="S564">
        <f t="shared" ca="1" si="96"/>
        <v>2000</v>
      </c>
      <c r="T564">
        <f t="shared" ca="1" si="97"/>
        <v>45923</v>
      </c>
      <c r="U564" s="2">
        <f t="shared" ca="1" si="98"/>
        <v>46043</v>
      </c>
    </row>
    <row r="565" spans="1:21">
      <c r="A565" t="str">
        <f t="shared" si="94"/>
        <v>MEM0564</v>
      </c>
      <c r="B565" t="str">
        <f ca="1">INDEX('Name pool'!A:A, RANDBETWEEN(2, COUNTA('Name pool'!A:A))) &amp; " " &amp; INDEX('Name pool'!B:B, RANDBETWEEN(2, COUNTA('Name pool'!B:B)))</f>
        <v>Meera Shaikh</v>
      </c>
      <c r="C565" t="s">
        <v>73</v>
      </c>
      <c r="D565" t="str">
        <f t="shared" ca="1" si="93"/>
        <v>BR01</v>
      </c>
      <c r="E565" t="str">
        <f t="shared" ca="1" si="99"/>
        <v>Standard</v>
      </c>
      <c r="F565" s="2">
        <v>44999</v>
      </c>
      <c r="G565" s="2">
        <v>45089</v>
      </c>
      <c r="H565">
        <v>2000</v>
      </c>
      <c r="I565">
        <f t="shared" ca="1" si="100"/>
        <v>20000</v>
      </c>
      <c r="J565">
        <v>1</v>
      </c>
      <c r="K565" t="str">
        <f t="shared" ca="1" si="101"/>
        <v>Yes</v>
      </c>
      <c r="L565" t="str">
        <f t="shared" ca="1" si="102"/>
        <v>Weight Loss</v>
      </c>
      <c r="M565" t="str">
        <f t="shared" ca="1" si="103"/>
        <v>Cancelled</v>
      </c>
      <c r="N565" s="2">
        <v>45084</v>
      </c>
      <c r="Q565" t="str">
        <f ca="1">IF(RAND()&lt;0.2,
    IF(RAND()&lt;0.5, LOWER(C565), UPPER(C565)),
    C565
)</f>
        <v>kochi</v>
      </c>
      <c r="R565">
        <f t="shared" ca="1" si="95"/>
        <v>1</v>
      </c>
      <c r="S565" t="str">
        <f t="shared" ca="1" si="96"/>
        <v>2000</v>
      </c>
      <c r="T565">
        <f t="shared" ca="1" si="97"/>
        <v>45365</v>
      </c>
      <c r="U565" s="2">
        <f t="shared" ca="1" si="98"/>
        <v>45084</v>
      </c>
    </row>
    <row r="566" spans="1:21">
      <c r="A566" t="str">
        <f t="shared" si="94"/>
        <v>MEM0565</v>
      </c>
      <c r="B566" t="str">
        <f ca="1">INDEX('Name pool'!A:A, RANDBETWEEN(2, COUNTA('Name pool'!A:A))) &amp; " " &amp; INDEX('Name pool'!B:B, RANDBETWEEN(2, COUNTA('Name pool'!B:B)))</f>
        <v>Shreya Verma</v>
      </c>
      <c r="C566" t="s">
        <v>77</v>
      </c>
      <c r="D566" t="str">
        <f t="shared" ca="1" si="93"/>
        <v>BR06</v>
      </c>
      <c r="E566" t="str">
        <f t="shared" ca="1" si="99"/>
        <v>Premium</v>
      </c>
      <c r="F566" s="2">
        <v>45826</v>
      </c>
      <c r="G566" s="2">
        <v>45856</v>
      </c>
      <c r="H566">
        <v>3500</v>
      </c>
      <c r="I566">
        <f t="shared" ca="1" si="100"/>
        <v>10500</v>
      </c>
      <c r="J566">
        <v>21</v>
      </c>
      <c r="K566" t="str">
        <f t="shared" ca="1" si="101"/>
        <v>No</v>
      </c>
      <c r="L566" t="str">
        <f t="shared" ca="1" si="102"/>
        <v>Weight Loss</v>
      </c>
      <c r="M566" t="str">
        <f t="shared" ca="1" si="103"/>
        <v>Active</v>
      </c>
      <c r="N566" s="2">
        <v>45901</v>
      </c>
      <c r="Q566" t="str">
        <f ca="1">IF(RAND()&lt;0.2,
    IF(RAND()&lt;0.5, LOWER(C566), UPPER(C566)),
    C566
)</f>
        <v>chennai</v>
      </c>
      <c r="R566">
        <f t="shared" ca="1" si="95"/>
        <v>21</v>
      </c>
      <c r="S566">
        <f t="shared" ca="1" si="96"/>
        <v>3500</v>
      </c>
      <c r="T566">
        <f t="shared" ca="1" si="97"/>
        <v>45515</v>
      </c>
      <c r="U566" s="2">
        <f t="shared" ca="1" si="98"/>
        <v>45901</v>
      </c>
    </row>
    <row r="567" spans="1:21">
      <c r="A567" t="str">
        <f t="shared" si="94"/>
        <v>MEM0566</v>
      </c>
      <c r="B567" t="str">
        <f ca="1">INDEX('Name pool'!A:A, RANDBETWEEN(2, COUNTA('Name pool'!A:A))) &amp; " " &amp; INDEX('Name pool'!B:B, RANDBETWEEN(2, COUNTA('Name pool'!B:B)))</f>
        <v>Siddharth Khan</v>
      </c>
      <c r="C567" t="s">
        <v>77</v>
      </c>
      <c r="D567" t="str">
        <f t="shared" ca="1" si="93"/>
        <v>BR07</v>
      </c>
      <c r="E567" t="str">
        <f t="shared" ca="1" si="99"/>
        <v>Basic</v>
      </c>
      <c r="F567" s="2">
        <v>45317</v>
      </c>
      <c r="G567" s="2">
        <v>45347</v>
      </c>
      <c r="H567">
        <v>1000</v>
      </c>
      <c r="I567">
        <f t="shared" ca="1" si="100"/>
        <v>12000</v>
      </c>
      <c r="J567">
        <v>5</v>
      </c>
      <c r="K567" t="str">
        <f t="shared" ca="1" si="101"/>
        <v>No</v>
      </c>
      <c r="L567" t="str">
        <f t="shared" ca="1" si="102"/>
        <v>General Fitness</v>
      </c>
      <c r="M567" t="str">
        <f t="shared" ca="1" si="103"/>
        <v>Active</v>
      </c>
      <c r="N567" s="2">
        <v>45582</v>
      </c>
      <c r="Q567" t="str">
        <f ca="1">IF(RAND()&lt;0.2,
    IF(RAND()&lt;0.5, LOWER(C567), UPPER(C567)),
    C567
)</f>
        <v>Chennai</v>
      </c>
      <c r="R567">
        <f t="shared" ca="1" si="95"/>
        <v>5</v>
      </c>
      <c r="S567">
        <f t="shared" ca="1" si="96"/>
        <v>1000</v>
      </c>
      <c r="T567">
        <f t="shared" ca="1" si="97"/>
        <v>45948</v>
      </c>
      <c r="U567" s="2">
        <f t="shared" ca="1" si="98"/>
        <v>45582</v>
      </c>
    </row>
    <row r="568" spans="1:21">
      <c r="A568" t="str">
        <f t="shared" si="94"/>
        <v>MEM0567</v>
      </c>
      <c r="B568" t="str">
        <f ca="1">INDEX('Name pool'!A:A, RANDBETWEEN(2, COUNTA('Name pool'!A:A))) &amp; " " &amp; INDEX('Name pool'!B:B, RANDBETWEEN(2, COUNTA('Name pool'!B:B)))</f>
        <v>Neha Kapoor</v>
      </c>
      <c r="C568" t="s">
        <v>79</v>
      </c>
      <c r="D568" t="str">
        <f t="shared" ca="1" si="93"/>
        <v>BR01</v>
      </c>
      <c r="E568" t="str">
        <f t="shared" ca="1" si="99"/>
        <v>Basic</v>
      </c>
      <c r="F568" s="2">
        <v>45564</v>
      </c>
      <c r="G568" s="2">
        <v>45594</v>
      </c>
      <c r="H568">
        <v>1000</v>
      </c>
      <c r="I568">
        <f t="shared" ca="1" si="100"/>
        <v>11000</v>
      </c>
      <c r="J568">
        <v>21</v>
      </c>
      <c r="K568" t="str">
        <f t="shared" ca="1" si="101"/>
        <v>No</v>
      </c>
      <c r="L568" t="str">
        <f t="shared" ca="1" si="102"/>
        <v>General Fitness</v>
      </c>
      <c r="M568" t="str">
        <f t="shared" ca="1" si="103"/>
        <v>Active</v>
      </c>
      <c r="N568" s="2">
        <v>45763</v>
      </c>
      <c r="Q568" t="str">
        <f ca="1">IF(RAND()&lt;0.2,
    IF(RAND()&lt;0.5, LOWER(C568), UPPER(C568)),
    C568
)</f>
        <v>Hyderabad</v>
      </c>
      <c r="R568">
        <f t="shared" ca="1" si="95"/>
        <v>21</v>
      </c>
      <c r="S568" t="str">
        <f t="shared" ca="1" si="96"/>
        <v>1000</v>
      </c>
      <c r="T568">
        <f t="shared" ca="1" si="97"/>
        <v>45025</v>
      </c>
      <c r="U568" s="2">
        <f t="shared" ca="1" si="98"/>
        <v>45763</v>
      </c>
    </row>
    <row r="569" spans="1:21">
      <c r="A569" t="str">
        <f t="shared" si="94"/>
        <v>MEM0568</v>
      </c>
      <c r="B569" t="str">
        <f ca="1">INDEX('Name pool'!A:A, RANDBETWEEN(2, COUNTA('Name pool'!A:A))) &amp; " " &amp; INDEX('Name pool'!B:B, RANDBETWEEN(2, COUNTA('Name pool'!B:B)))</f>
        <v>Fatima Lewis</v>
      </c>
      <c r="C569" t="s">
        <v>107</v>
      </c>
      <c r="D569" t="str">
        <f t="shared" ca="1" si="93"/>
        <v>BR01</v>
      </c>
      <c r="E569" t="str">
        <f t="shared" ca="1" si="99"/>
        <v>Premium</v>
      </c>
      <c r="F569" s="2">
        <v>46053</v>
      </c>
      <c r="G569" s="2">
        <v>46083</v>
      </c>
      <c r="H569">
        <v>3500</v>
      </c>
      <c r="I569">
        <f t="shared" ca="1" si="100"/>
        <v>7000</v>
      </c>
      <c r="J569">
        <v>16</v>
      </c>
      <c r="K569" t="str">
        <f t="shared" ca="1" si="101"/>
        <v>Yes</v>
      </c>
      <c r="L569" t="str">
        <f t="shared" ca="1" si="102"/>
        <v>Weight Loss</v>
      </c>
      <c r="M569" t="str">
        <f t="shared" ca="1" si="103"/>
        <v>Active</v>
      </c>
      <c r="N569" s="2">
        <v>46114</v>
      </c>
      <c r="Q569" t="str">
        <f ca="1">IF(RAND()&lt;0.2,
    IF(RAND()&lt;0.5, LOWER(C569), UPPER(C569)),
    C569
)</f>
        <v>TRIVANDRUM</v>
      </c>
      <c r="R569">
        <f t="shared" ca="1" si="95"/>
        <v>16</v>
      </c>
      <c r="S569" t="str">
        <f t="shared" ca="1" si="96"/>
        <v>3500</v>
      </c>
      <c r="T569">
        <f t="shared" ca="1" si="97"/>
        <v>45405</v>
      </c>
      <c r="U569" s="2">
        <f t="shared" ca="1" si="98"/>
        <v>46114</v>
      </c>
    </row>
    <row r="570" spans="1:21">
      <c r="A570" t="str">
        <f t="shared" si="94"/>
        <v>MEM0569</v>
      </c>
      <c r="B570" t="str">
        <f ca="1">INDEX('Name pool'!A:A, RANDBETWEEN(2, COUNTA('Name pool'!A:A))) &amp; " " &amp; INDEX('Name pool'!B:B, RANDBETWEEN(2, COUNTA('Name pool'!B:B)))</f>
        <v>Riya Gupta</v>
      </c>
      <c r="C570" t="s">
        <v>81</v>
      </c>
      <c r="D570" t="str">
        <f t="shared" ca="1" si="93"/>
        <v>BR06</v>
      </c>
      <c r="E570" t="str">
        <f t="shared" ca="1" si="99"/>
        <v>Basic</v>
      </c>
      <c r="F570" s="2">
        <v>45582</v>
      </c>
      <c r="G570" s="2">
        <v>45947</v>
      </c>
      <c r="H570">
        <v>3500</v>
      </c>
      <c r="I570">
        <f t="shared" ca="1" si="100"/>
        <v>14000</v>
      </c>
      <c r="J570">
        <v>25</v>
      </c>
      <c r="K570" t="str">
        <f t="shared" ca="1" si="101"/>
        <v>Yes</v>
      </c>
      <c r="L570" t="str">
        <f t="shared" ca="1" si="102"/>
        <v>General Fitness</v>
      </c>
      <c r="M570" t="str">
        <f t="shared" ca="1" si="103"/>
        <v>Active</v>
      </c>
      <c r="N570" s="2">
        <v>45862</v>
      </c>
      <c r="Q570" t="str">
        <f ca="1">IF(RAND()&lt;0.2,
    IF(RAND()&lt;0.5, LOWER(C570), UPPER(C570)),
    C570
)</f>
        <v>Mumbai</v>
      </c>
      <c r="R570">
        <f t="shared" ca="1" si="95"/>
        <v>25</v>
      </c>
      <c r="S570">
        <f t="shared" ca="1" si="96"/>
        <v>3500</v>
      </c>
      <c r="T570">
        <f t="shared" ca="1" si="97"/>
        <v>45483</v>
      </c>
      <c r="U570" s="2">
        <f t="shared" ca="1" si="98"/>
        <v>45862</v>
      </c>
    </row>
    <row r="571" spans="1:21">
      <c r="A571" t="str">
        <f t="shared" si="94"/>
        <v>MEM0570</v>
      </c>
      <c r="B571" t="str">
        <f ca="1">INDEX('Name pool'!A:A, RANDBETWEEN(2, COUNTA('Name pool'!A:A))) &amp; " " &amp; INDEX('Name pool'!B:B, RANDBETWEEN(2, COUNTA('Name pool'!B:B)))</f>
        <v>Karthik Menon</v>
      </c>
      <c r="C571" t="s">
        <v>75</v>
      </c>
      <c r="D571" t="str">
        <f t="shared" ca="1" si="93"/>
        <v>BR02</v>
      </c>
      <c r="E571" t="str">
        <f t="shared" ca="1" si="99"/>
        <v>Basic</v>
      </c>
      <c r="F571" s="2">
        <v>45649</v>
      </c>
      <c r="G571" s="2">
        <v>46014</v>
      </c>
      <c r="H571">
        <v>2000</v>
      </c>
      <c r="I571">
        <f t="shared" ca="1" si="100"/>
        <v>22000</v>
      </c>
      <c r="J571">
        <v>21</v>
      </c>
      <c r="K571" t="str">
        <f t="shared" ca="1" si="101"/>
        <v>No</v>
      </c>
      <c r="L571" t="str">
        <f t="shared" ca="1" si="102"/>
        <v>Muscle Gain</v>
      </c>
      <c r="M571" t="str">
        <f t="shared" ca="1" si="103"/>
        <v>Active</v>
      </c>
      <c r="N571" s="2">
        <v>45903</v>
      </c>
      <c r="Q571" t="str">
        <f ca="1">IF(RAND()&lt;0.2,
    IF(RAND()&lt;0.5, LOWER(C571), UPPER(C571)),
    C571
)</f>
        <v>Bangalore</v>
      </c>
      <c r="R571">
        <f t="shared" ca="1" si="95"/>
        <v>21</v>
      </c>
      <c r="S571">
        <f t="shared" ca="1" si="96"/>
        <v>2000</v>
      </c>
      <c r="T571">
        <f t="shared" ca="1" si="97"/>
        <v>45545</v>
      </c>
      <c r="U571" s="2">
        <f t="shared" ca="1" si="98"/>
        <v>45903</v>
      </c>
    </row>
    <row r="572" spans="1:21">
      <c r="A572" t="str">
        <f t="shared" si="94"/>
        <v>MEM0571</v>
      </c>
      <c r="B572" t="str">
        <f ca="1">INDEX('Name pool'!A:A, RANDBETWEEN(2, COUNTA('Name pool'!A:A))) &amp; " " &amp; INDEX('Name pool'!B:B, RANDBETWEEN(2, COUNTA('Name pool'!B:B)))</f>
        <v>Nisha Lewis</v>
      </c>
      <c r="C572" t="s">
        <v>83</v>
      </c>
      <c r="D572" t="str">
        <f t="shared" ca="1" si="93"/>
        <v>BR07</v>
      </c>
      <c r="E572" t="str">
        <f t="shared" ca="1" si="99"/>
        <v>Basic</v>
      </c>
      <c r="F572" s="2">
        <v>45848</v>
      </c>
      <c r="G572" s="2">
        <v>45938</v>
      </c>
      <c r="H572">
        <v>2000</v>
      </c>
      <c r="I572">
        <f t="shared" ca="1" si="100"/>
        <v>22000</v>
      </c>
      <c r="J572">
        <v>9</v>
      </c>
      <c r="K572" t="str">
        <f t="shared" ca="1" si="101"/>
        <v>No</v>
      </c>
      <c r="L572" t="str">
        <f t="shared" ca="1" si="102"/>
        <v>Muscle Gain</v>
      </c>
      <c r="M572" t="str">
        <f t="shared" ca="1" si="103"/>
        <v>Active</v>
      </c>
      <c r="N572" s="2">
        <v>46039</v>
      </c>
      <c r="Q572" t="str">
        <f ca="1">IF(RAND()&lt;0.2,
    IF(RAND()&lt;0.5, LOWER(C572), UPPER(C572)),
    C572
)</f>
        <v>Trivandrum</v>
      </c>
      <c r="R572">
        <f t="shared" ca="1" si="95"/>
        <v>9</v>
      </c>
      <c r="S572">
        <f t="shared" ca="1" si="96"/>
        <v>2000</v>
      </c>
      <c r="T572">
        <f t="shared" ca="1" si="97"/>
        <v>45780</v>
      </c>
      <c r="U572" s="2">
        <f t="shared" ca="1" si="98"/>
        <v>46039</v>
      </c>
    </row>
    <row r="573" spans="1:21">
      <c r="A573" t="str">
        <f t="shared" si="94"/>
        <v>MEM0572</v>
      </c>
      <c r="B573" t="str">
        <f ca="1">INDEX('Name pool'!A:A, RANDBETWEEN(2, COUNTA('Name pool'!A:A))) &amp; " " &amp; INDEX('Name pool'!B:B, RANDBETWEEN(2, COUNTA('Name pool'!B:B)))</f>
        <v>Pooja Sharma</v>
      </c>
      <c r="C573" t="s">
        <v>75</v>
      </c>
      <c r="D573" t="str">
        <f t="shared" ca="1" si="93"/>
        <v>BR01</v>
      </c>
      <c r="E573" t="str">
        <f t="shared" ca="1" si="99"/>
        <v>Basic</v>
      </c>
      <c r="F573" s="2">
        <v>45999</v>
      </c>
      <c r="G573" s="2">
        <v>46029</v>
      </c>
      <c r="H573">
        <v>3500</v>
      </c>
      <c r="I573">
        <f t="shared" ca="1" si="100"/>
        <v>7000</v>
      </c>
      <c r="J573">
        <v>25</v>
      </c>
      <c r="K573" t="str">
        <f t="shared" ca="1" si="101"/>
        <v>No</v>
      </c>
      <c r="L573" t="str">
        <f t="shared" ca="1" si="102"/>
        <v>Muscle Gain</v>
      </c>
      <c r="M573" t="str">
        <f t="shared" ca="1" si="103"/>
        <v>Active</v>
      </c>
      <c r="N573" s="2">
        <v>46014</v>
      </c>
      <c r="Q573" t="str">
        <f ca="1">IF(RAND()&lt;0.2,
    IF(RAND()&lt;0.5, LOWER(C573), UPPER(C573)),
    C573
)</f>
        <v>Bangalore</v>
      </c>
      <c r="R573">
        <f t="shared" ca="1" si="95"/>
        <v>25</v>
      </c>
      <c r="S573">
        <f t="shared" ca="1" si="96"/>
        <v>3500</v>
      </c>
      <c r="T573">
        <f t="shared" ca="1" si="97"/>
        <v>45623</v>
      </c>
      <c r="U573" s="2">
        <f t="shared" ca="1" si="98"/>
        <v>46014</v>
      </c>
    </row>
    <row r="574" spans="1:21">
      <c r="A574" t="str">
        <f t="shared" si="94"/>
        <v>MEM0573</v>
      </c>
      <c r="B574" t="str">
        <f ca="1">INDEX('Name pool'!A:A, RANDBETWEEN(2, COUNTA('Name pool'!A:A))) &amp; " " &amp; INDEX('Name pool'!B:B, RANDBETWEEN(2, COUNTA('Name pool'!B:B)))</f>
        <v>Nikhil Joseph</v>
      </c>
      <c r="C574" t="s">
        <v>81</v>
      </c>
      <c r="D574" t="str">
        <f t="shared" ca="1" si="93"/>
        <v>BR05</v>
      </c>
      <c r="E574" t="str">
        <f t="shared" ca="1" si="99"/>
        <v>Basic</v>
      </c>
      <c r="F574" s="2">
        <v>45480</v>
      </c>
      <c r="G574" s="2">
        <v>45510</v>
      </c>
      <c r="H574">
        <v>1000</v>
      </c>
      <c r="I574">
        <f t="shared" ca="1" si="100"/>
        <v>11000</v>
      </c>
      <c r="J574">
        <v>18</v>
      </c>
      <c r="K574" t="str">
        <f t="shared" ca="1" si="101"/>
        <v>Yes</v>
      </c>
      <c r="L574" t="str">
        <f t="shared" ca="1" si="102"/>
        <v>General Fitness</v>
      </c>
      <c r="M574" t="str">
        <f t="shared" ca="1" si="103"/>
        <v>Active</v>
      </c>
      <c r="N574" s="2">
        <v>45903</v>
      </c>
      <c r="Q574" t="str">
        <f ca="1">IF(RAND()&lt;0.2,
    IF(RAND()&lt;0.5, LOWER(C574), UPPER(C574)),
    C574
)</f>
        <v>Mumbai</v>
      </c>
      <c r="R574" t="str">
        <f t="shared" ca="1" si="95"/>
        <v>18 visits</v>
      </c>
      <c r="S574">
        <f t="shared" ca="1" si="96"/>
        <v>1000</v>
      </c>
      <c r="T574">
        <f t="shared" ca="1" si="97"/>
        <v>45130</v>
      </c>
      <c r="U574" s="2">
        <f t="shared" ca="1" si="98"/>
        <v>45903</v>
      </c>
    </row>
    <row r="575" spans="1:21">
      <c r="A575" t="str">
        <f t="shared" si="94"/>
        <v>MEM0574</v>
      </c>
      <c r="B575" t="str">
        <f ca="1">INDEX('Name pool'!A:A, RANDBETWEEN(2, COUNTA('Name pool'!A:A))) &amp; " " &amp; INDEX('Name pool'!B:B, RANDBETWEEN(2, COUNTA('Name pool'!B:B)))</f>
        <v>Ayesha Varghese</v>
      </c>
      <c r="C575" t="s">
        <v>81</v>
      </c>
      <c r="D575" t="str">
        <f t="shared" ca="1" si="93"/>
        <v>BR02</v>
      </c>
      <c r="E575" t="str">
        <f t="shared" ca="1" si="99"/>
        <v>Basic</v>
      </c>
      <c r="F575" s="2">
        <v>45067</v>
      </c>
      <c r="G575" s="2">
        <v>45432</v>
      </c>
      <c r="H575">
        <v>2000</v>
      </c>
      <c r="I575">
        <f t="shared" ca="1" si="100"/>
        <v>16000</v>
      </c>
      <c r="J575">
        <v>10</v>
      </c>
      <c r="K575" t="str">
        <f t="shared" ca="1" si="101"/>
        <v>No</v>
      </c>
      <c r="L575" t="str">
        <f t="shared" ca="1" si="102"/>
        <v>General Fitness</v>
      </c>
      <c r="M575" t="str">
        <f t="shared" ca="1" si="103"/>
        <v>Active</v>
      </c>
      <c r="N575" s="2">
        <v>45937</v>
      </c>
      <c r="Q575" t="str">
        <f ca="1">IF(RAND()&lt;0.2,
    IF(RAND()&lt;0.5, LOWER(C575), UPPER(C575)),
    C575
)</f>
        <v>Mumbai</v>
      </c>
      <c r="R575">
        <f t="shared" ca="1" si="95"/>
        <v>10</v>
      </c>
      <c r="S575">
        <f t="shared" ca="1" si="96"/>
        <v>2000</v>
      </c>
      <c r="T575">
        <f t="shared" ca="1" si="97"/>
        <v>45071</v>
      </c>
      <c r="U575" s="2">
        <f t="shared" ca="1" si="98"/>
        <v>45937</v>
      </c>
    </row>
    <row r="576" spans="1:21">
      <c r="A576" t="str">
        <f t="shared" si="94"/>
        <v>MEM0575</v>
      </c>
      <c r="B576" t="str">
        <f ca="1">INDEX('Name pool'!A:A, RANDBETWEEN(2, COUNTA('Name pool'!A:A))) &amp; " " &amp; INDEX('Name pool'!B:B, RANDBETWEEN(2, COUNTA('Name pool'!B:B)))</f>
        <v>Manoj Iyer</v>
      </c>
      <c r="C576" t="s">
        <v>137</v>
      </c>
      <c r="D576" t="str">
        <f t="shared" ca="1" si="93"/>
        <v>BR06</v>
      </c>
      <c r="E576" t="str">
        <f t="shared" ca="1" si="99"/>
        <v>Standard</v>
      </c>
      <c r="F576" s="2">
        <v>44952</v>
      </c>
      <c r="G576" s="2">
        <v>45042</v>
      </c>
      <c r="H576">
        <v>1000</v>
      </c>
      <c r="I576">
        <f t="shared" ca="1" si="100"/>
        <v>3000</v>
      </c>
      <c r="J576">
        <v>22</v>
      </c>
      <c r="K576" t="str">
        <f t="shared" ca="1" si="101"/>
        <v>No</v>
      </c>
      <c r="L576" t="str">
        <f t="shared" ca="1" si="102"/>
        <v>Muscle Gain</v>
      </c>
      <c r="M576" t="str">
        <f t="shared" ca="1" si="103"/>
        <v>Active</v>
      </c>
      <c r="N576" s="2">
        <v>45829</v>
      </c>
      <c r="Q576" t="str">
        <f ca="1">IF(RAND()&lt;0.2,
    IF(RAND()&lt;0.5, LOWER(C576), UPPER(C576)),
    C576
)</f>
        <v>CALICUT</v>
      </c>
      <c r="R576">
        <f t="shared" ca="1" si="95"/>
        <v>22</v>
      </c>
      <c r="S576">
        <f t="shared" ca="1" si="96"/>
        <v>1000</v>
      </c>
      <c r="T576">
        <f t="shared" ca="1" si="97"/>
        <v>45388</v>
      </c>
      <c r="U576" s="2">
        <f t="shared" ca="1" si="98"/>
        <v>45829</v>
      </c>
    </row>
    <row r="577" spans="1:21">
      <c r="A577" t="str">
        <f t="shared" si="94"/>
        <v>MEM0576</v>
      </c>
      <c r="B577" t="str">
        <f ca="1">INDEX('Name pool'!A:A, RANDBETWEEN(2, COUNTA('Name pool'!A:A))) &amp; " " &amp; INDEX('Name pool'!B:B, RANDBETWEEN(2, COUNTA('Name pool'!B:B)))</f>
        <v>Ankit Lewis</v>
      </c>
      <c r="C577" t="s">
        <v>79</v>
      </c>
      <c r="D577" t="str">
        <f t="shared" ca="1" si="93"/>
        <v>BR05</v>
      </c>
      <c r="E577" t="str">
        <f t="shared" ca="1" si="99"/>
        <v>Basic</v>
      </c>
      <c r="F577" s="2">
        <v>45949</v>
      </c>
      <c r="G577" s="2">
        <v>46314</v>
      </c>
      <c r="H577">
        <v>3500</v>
      </c>
      <c r="I577">
        <f t="shared" ca="1" si="100"/>
        <v>24500</v>
      </c>
      <c r="J577">
        <v>21</v>
      </c>
      <c r="K577" t="str">
        <f t="shared" ca="1" si="101"/>
        <v>Yes</v>
      </c>
      <c r="L577" t="str">
        <f t="shared" ca="1" si="102"/>
        <v>Muscle Gain</v>
      </c>
      <c r="M577" t="str">
        <f t="shared" ca="1" si="103"/>
        <v>Active</v>
      </c>
      <c r="N577" s="2">
        <v>46061</v>
      </c>
      <c r="Q577" t="str">
        <f ca="1">IF(RAND()&lt;0.2,
    IF(RAND()&lt;0.5, LOWER(C577), UPPER(C577)),
    C577
)</f>
        <v>Hyderabad</v>
      </c>
      <c r="R577">
        <f t="shared" ca="1" si="95"/>
        <v>21</v>
      </c>
      <c r="S577" t="str">
        <f t="shared" ca="1" si="96"/>
        <v>3500</v>
      </c>
      <c r="T577">
        <f t="shared" ca="1" si="97"/>
        <v>45789</v>
      </c>
      <c r="U577" s="2">
        <f t="shared" ca="1" si="98"/>
        <v>46061</v>
      </c>
    </row>
    <row r="578" spans="1:21">
      <c r="A578" t="str">
        <f t="shared" si="94"/>
        <v>MEM0577</v>
      </c>
      <c r="B578" t="str">
        <f ca="1">INDEX('Name pool'!A:A, RANDBETWEEN(2, COUNTA('Name pool'!A:A))) &amp; " " &amp; INDEX('Name pool'!B:B, RANDBETWEEN(2, COUNTA('Name pool'!B:B)))</f>
        <v>Swathi Mathew</v>
      </c>
      <c r="C578" t="s">
        <v>75</v>
      </c>
      <c r="D578" t="str">
        <f t="shared" ref="D578:D641" ca="1" si="104">CHOOSE(RANDBETWEEN(1,7),"BR01","BR02","BR03","BR04","BR05","BR06","BR07")</f>
        <v>BR01</v>
      </c>
      <c r="E578" t="str">
        <f t="shared" ca="1" si="99"/>
        <v>Premium</v>
      </c>
      <c r="F578" s="2">
        <v>45734</v>
      </c>
      <c r="G578" s="2">
        <v>45764</v>
      </c>
      <c r="H578">
        <v>2000</v>
      </c>
      <c r="I578">
        <f t="shared" ca="1" si="100"/>
        <v>18000</v>
      </c>
      <c r="J578">
        <v>1</v>
      </c>
      <c r="K578" t="str">
        <f t="shared" ca="1" si="101"/>
        <v>No</v>
      </c>
      <c r="L578" t="str">
        <f t="shared" ca="1" si="102"/>
        <v>General Fitness</v>
      </c>
      <c r="M578" t="str">
        <f t="shared" ca="1" si="103"/>
        <v>Active</v>
      </c>
      <c r="N578" s="2">
        <v>45777</v>
      </c>
      <c r="Q578" t="str">
        <f ca="1">IF(RAND()&lt;0.2,
    IF(RAND()&lt;0.5, LOWER(C578), UPPER(C578)),
    C578
)</f>
        <v>Bangalore</v>
      </c>
      <c r="R578">
        <f t="shared" ca="1" si="95"/>
        <v>1</v>
      </c>
      <c r="S578">
        <f t="shared" ca="1" si="96"/>
        <v>2000</v>
      </c>
      <c r="T578">
        <f t="shared" ca="1" si="97"/>
        <v>45030</v>
      </c>
      <c r="U578" s="2">
        <f t="shared" ca="1" si="98"/>
        <v>45777</v>
      </c>
    </row>
    <row r="579" spans="1:21">
      <c r="A579" t="str">
        <f t="shared" ref="A579:A642" si="105">"MEM" &amp; TEXT(ROW()-1,"0000")</f>
        <v>MEM0578</v>
      </c>
      <c r="B579" t="str">
        <f ca="1">INDEX('Name pool'!A:A, RANDBETWEEN(2, COUNTA('Name pool'!A:A))) &amp; " " &amp; INDEX('Name pool'!B:B, RANDBETWEEN(2, COUNTA('Name pool'!B:B)))</f>
        <v>Rohit Malhotra</v>
      </c>
      <c r="C579" t="s">
        <v>114</v>
      </c>
      <c r="D579" t="str">
        <f t="shared" ca="1" si="104"/>
        <v>BR04</v>
      </c>
      <c r="E579" t="str">
        <f t="shared" ca="1" si="99"/>
        <v>Standard</v>
      </c>
      <c r="F579" s="2">
        <v>45533</v>
      </c>
      <c r="G579" s="2">
        <v>45898</v>
      </c>
      <c r="H579">
        <v>1000</v>
      </c>
      <c r="I579">
        <f t="shared" ca="1" si="100"/>
        <v>7000</v>
      </c>
      <c r="J579">
        <v>6</v>
      </c>
      <c r="K579" t="str">
        <f t="shared" ca="1" si="101"/>
        <v>No</v>
      </c>
      <c r="L579" t="str">
        <f t="shared" ca="1" si="102"/>
        <v>Weight Loss</v>
      </c>
      <c r="M579" t="str">
        <f t="shared" ca="1" si="103"/>
        <v>Active</v>
      </c>
      <c r="N579" s="2">
        <v>46081</v>
      </c>
      <c r="Q579" t="str">
        <f ca="1">IF(RAND()&lt;0.2,
    IF(RAND()&lt;0.5, LOWER(C579), UPPER(C579)),
    C579
)</f>
        <v>trivandrum</v>
      </c>
      <c r="R579">
        <f t="shared" ref="R579:R642" ca="1" si="106">IF(RAND()&lt;0.15,
    J579 &amp; " visits",
    J579
)</f>
        <v>6</v>
      </c>
      <c r="S579">
        <f t="shared" ref="S579:S642" ca="1" si="107">IF(RAND()&lt;0.1,
    TEXT(H579,"0"),
    H579
)</f>
        <v>1000</v>
      </c>
      <c r="T579">
        <f t="shared" ref="T579:T642" ca="1" si="108">RANDBETWEEN(DATE(2023,1,1), DATE(2026,1,31))</f>
        <v>45834</v>
      </c>
      <c r="U579" s="2">
        <f t="shared" ref="U579:U642" ca="1" si="109">IF(AND(M579="Cancelled", RAND()&lt;0.5),
    F579 + RANDBETWEEN(10,50),
    N579
)</f>
        <v>46081</v>
      </c>
    </row>
    <row r="580" spans="1:21">
      <c r="A580" t="str">
        <f t="shared" si="105"/>
        <v>MEM0579</v>
      </c>
      <c r="B580" t="str">
        <f ca="1">INDEX('Name pool'!A:A, RANDBETWEEN(2, COUNTA('Name pool'!A:A))) &amp; " " &amp; INDEX('Name pool'!B:B, RANDBETWEEN(2, COUNTA('Name pool'!B:B)))</f>
        <v>Lakshmi Lewis</v>
      </c>
      <c r="C580" t="s">
        <v>117</v>
      </c>
      <c r="D580" t="str">
        <f t="shared" ca="1" si="104"/>
        <v>BR05</v>
      </c>
      <c r="E580" t="str">
        <f t="shared" ca="1" si="99"/>
        <v>Basic</v>
      </c>
      <c r="F580" s="2">
        <v>45357</v>
      </c>
      <c r="G580" s="2">
        <v>45447</v>
      </c>
      <c r="H580">
        <v>2000</v>
      </c>
      <c r="I580">
        <f t="shared" ca="1" si="100"/>
        <v>14000</v>
      </c>
      <c r="J580">
        <v>3</v>
      </c>
      <c r="K580" t="str">
        <f t="shared" ca="1" si="101"/>
        <v>Yes</v>
      </c>
      <c r="L580" t="str">
        <f t="shared" ca="1" si="102"/>
        <v>Weight Loss</v>
      </c>
      <c r="M580" t="str">
        <f t="shared" ca="1" si="103"/>
        <v>Cancelled</v>
      </c>
      <c r="N580" s="2">
        <v>46078</v>
      </c>
      <c r="Q580" t="str">
        <f ca="1">IF(RAND()&lt;0.2,
    IF(RAND()&lt;0.5, LOWER(C580), UPPER(C580)),
    C580
)</f>
        <v>mumbai</v>
      </c>
      <c r="R580">
        <f t="shared" ca="1" si="106"/>
        <v>3</v>
      </c>
      <c r="S580" t="str">
        <f t="shared" ca="1" si="107"/>
        <v>2000</v>
      </c>
      <c r="T580">
        <f t="shared" ca="1" si="108"/>
        <v>45556</v>
      </c>
      <c r="U580" s="2">
        <f t="shared" ca="1" si="109"/>
        <v>46078</v>
      </c>
    </row>
    <row r="581" spans="1:21">
      <c r="A581" t="str">
        <f t="shared" si="105"/>
        <v>MEM0580</v>
      </c>
      <c r="B581" t="str">
        <f ca="1">INDEX('Name pool'!A:A, RANDBETWEEN(2, COUNTA('Name pool'!A:A))) &amp; " " &amp; INDEX('Name pool'!B:B, RANDBETWEEN(2, COUNTA('Name pool'!B:B)))</f>
        <v>Aditya Shetty</v>
      </c>
      <c r="C581" t="s">
        <v>75</v>
      </c>
      <c r="D581" t="str">
        <f t="shared" ca="1" si="104"/>
        <v>BR03</v>
      </c>
      <c r="E581" t="str">
        <f t="shared" ca="1" si="99"/>
        <v>Premium</v>
      </c>
      <c r="F581" s="2">
        <v>45928</v>
      </c>
      <c r="G581" s="2">
        <v>46018</v>
      </c>
      <c r="H581">
        <v>1000</v>
      </c>
      <c r="I581">
        <f t="shared" ca="1" si="100"/>
        <v>3000</v>
      </c>
      <c r="J581">
        <v>6</v>
      </c>
      <c r="K581" t="str">
        <f t="shared" ca="1" si="101"/>
        <v>Yes</v>
      </c>
      <c r="L581" t="str">
        <f t="shared" ca="1" si="102"/>
        <v>General Fitness</v>
      </c>
      <c r="M581" t="str">
        <f t="shared" ca="1" si="103"/>
        <v>Active</v>
      </c>
      <c r="N581" s="2">
        <v>46093</v>
      </c>
      <c r="Q581" t="str">
        <f ca="1">IF(RAND()&lt;0.2,
    IF(RAND()&lt;0.5, LOWER(C581), UPPER(C581)),
    C581
)</f>
        <v>Bangalore</v>
      </c>
      <c r="R581">
        <f t="shared" ca="1" si="106"/>
        <v>6</v>
      </c>
      <c r="S581">
        <f t="shared" ca="1" si="107"/>
        <v>1000</v>
      </c>
      <c r="T581">
        <f t="shared" ca="1" si="108"/>
        <v>45054</v>
      </c>
      <c r="U581" s="2">
        <f t="shared" ca="1" si="109"/>
        <v>46093</v>
      </c>
    </row>
    <row r="582" spans="1:21">
      <c r="A582" t="str">
        <f t="shared" si="105"/>
        <v>MEM0581</v>
      </c>
      <c r="B582" t="str">
        <f ca="1">INDEX('Name pool'!A:A, RANDBETWEEN(2, COUNTA('Name pool'!A:A))) &amp; " " &amp; INDEX('Name pool'!B:B, RANDBETWEEN(2, COUNTA('Name pool'!B:B)))</f>
        <v>Arjun Reddy</v>
      </c>
      <c r="C582" t="s">
        <v>119</v>
      </c>
      <c r="D582" t="str">
        <f t="shared" ca="1" si="104"/>
        <v>BR03</v>
      </c>
      <c r="E582" t="str">
        <f t="shared" ca="1" si="99"/>
        <v>Premium</v>
      </c>
      <c r="F582" s="2">
        <v>45734</v>
      </c>
      <c r="G582" s="2">
        <v>46099</v>
      </c>
      <c r="H582" t="s">
        <v>108</v>
      </c>
      <c r="I582">
        <f t="shared" ca="1" si="100"/>
        <v>2000</v>
      </c>
      <c r="J582">
        <v>25</v>
      </c>
      <c r="K582" t="str">
        <f t="shared" ca="1" si="101"/>
        <v>Yes</v>
      </c>
      <c r="L582" t="str">
        <f t="shared" ca="1" si="102"/>
        <v>General Fitness</v>
      </c>
      <c r="M582" t="str">
        <f t="shared" ca="1" si="103"/>
        <v>Active</v>
      </c>
      <c r="N582" s="2">
        <v>45857</v>
      </c>
      <c r="Q582" t="str">
        <f ca="1">IF(RAND()&lt;0.2,
    IF(RAND()&lt;0.5, LOWER(C582), UPPER(C582)),
    C582
)</f>
        <v>BANGALORE</v>
      </c>
      <c r="R582">
        <f t="shared" ca="1" si="106"/>
        <v>25</v>
      </c>
      <c r="S582" t="str">
        <f t="shared" ca="1" si="107"/>
        <v>1000</v>
      </c>
      <c r="T582">
        <f t="shared" ca="1" si="108"/>
        <v>45770</v>
      </c>
      <c r="U582" s="2">
        <f t="shared" ca="1" si="109"/>
        <v>45857</v>
      </c>
    </row>
    <row r="583" spans="1:21">
      <c r="A583" t="str">
        <f t="shared" si="105"/>
        <v>MEM0582</v>
      </c>
      <c r="B583" t="str">
        <f ca="1">INDEX('Name pool'!A:A, RANDBETWEEN(2, COUNTA('Name pool'!A:A))) &amp; " " &amp; INDEX('Name pool'!B:B, RANDBETWEEN(2, COUNTA('Name pool'!B:B)))</f>
        <v>Swathi Banerjee</v>
      </c>
      <c r="C583" t="s">
        <v>83</v>
      </c>
      <c r="D583" t="str">
        <f t="shared" ca="1" si="104"/>
        <v>BR06</v>
      </c>
      <c r="E583" t="str">
        <f t="shared" ca="1" si="99"/>
        <v>Standard</v>
      </c>
      <c r="F583" s="2">
        <v>45268</v>
      </c>
      <c r="G583" s="2">
        <v>45298</v>
      </c>
      <c r="H583">
        <v>2000</v>
      </c>
      <c r="I583">
        <f t="shared" ca="1" si="100"/>
        <v>12000</v>
      </c>
      <c r="J583">
        <v>21</v>
      </c>
      <c r="K583" t="str">
        <f t="shared" ca="1" si="101"/>
        <v>No</v>
      </c>
      <c r="L583" t="str">
        <f t="shared" ca="1" si="102"/>
        <v>General Fitness</v>
      </c>
      <c r="M583" t="str">
        <f t="shared" ca="1" si="103"/>
        <v>Active</v>
      </c>
      <c r="N583" s="2">
        <v>45750</v>
      </c>
      <c r="Q583" t="str">
        <f ca="1">IF(RAND()&lt;0.2,
    IF(RAND()&lt;0.5, LOWER(C583), UPPER(C583)),
    C583
)</f>
        <v>Trivandrum</v>
      </c>
      <c r="R583">
        <f t="shared" ca="1" si="106"/>
        <v>21</v>
      </c>
      <c r="S583">
        <f t="shared" ca="1" si="107"/>
        <v>2000</v>
      </c>
      <c r="T583">
        <f t="shared" ca="1" si="108"/>
        <v>44971</v>
      </c>
      <c r="U583" s="2">
        <f t="shared" ca="1" si="109"/>
        <v>45750</v>
      </c>
    </row>
    <row r="584" spans="1:21">
      <c r="A584" t="str">
        <f t="shared" si="105"/>
        <v>MEM0583</v>
      </c>
      <c r="B584" t="str">
        <f ca="1">INDEX('Name pool'!A:A, RANDBETWEEN(2, COUNTA('Name pool'!A:A))) &amp; " " &amp; INDEX('Name pool'!B:B, RANDBETWEEN(2, COUNTA('Name pool'!B:B)))</f>
        <v>Manoj Iyer</v>
      </c>
      <c r="C584" t="s">
        <v>77</v>
      </c>
      <c r="D584" t="str">
        <f t="shared" ca="1" si="104"/>
        <v>BR02</v>
      </c>
      <c r="E584" t="str">
        <f t="shared" ca="1" si="99"/>
        <v>Standard</v>
      </c>
      <c r="F584" s="2">
        <v>45448</v>
      </c>
      <c r="G584" s="2">
        <v>45813</v>
      </c>
      <c r="H584">
        <v>2000</v>
      </c>
      <c r="I584">
        <f t="shared" ca="1" si="100"/>
        <v>10000</v>
      </c>
      <c r="J584">
        <v>12</v>
      </c>
      <c r="K584" t="str">
        <f t="shared" ca="1" si="101"/>
        <v>No</v>
      </c>
      <c r="L584" t="str">
        <f t="shared" ca="1" si="102"/>
        <v>Muscle Gain</v>
      </c>
      <c r="M584" t="str">
        <f t="shared" ca="1" si="103"/>
        <v>Active</v>
      </c>
      <c r="N584" s="2">
        <v>45859</v>
      </c>
      <c r="Q584" t="str">
        <f ca="1">IF(RAND()&lt;0.2,
    IF(RAND()&lt;0.5, LOWER(C584), UPPER(C584)),
    C584
)</f>
        <v>Chennai</v>
      </c>
      <c r="R584">
        <f t="shared" ca="1" si="106"/>
        <v>12</v>
      </c>
      <c r="S584">
        <f t="shared" ca="1" si="107"/>
        <v>2000</v>
      </c>
      <c r="T584">
        <f t="shared" ca="1" si="108"/>
        <v>45635</v>
      </c>
      <c r="U584" s="2">
        <f t="shared" ca="1" si="109"/>
        <v>45859</v>
      </c>
    </row>
    <row r="585" spans="1:21">
      <c r="A585" t="str">
        <f t="shared" si="105"/>
        <v>MEM0584</v>
      </c>
      <c r="B585" t="str">
        <f ca="1">INDEX('Name pool'!A:A, RANDBETWEEN(2, COUNTA('Name pool'!A:A))) &amp; " " &amp; INDEX('Name pool'!B:B, RANDBETWEEN(2, COUNTA('Name pool'!B:B)))</f>
        <v>Swathi Agarwal</v>
      </c>
      <c r="C585" t="s">
        <v>75</v>
      </c>
      <c r="D585" t="str">
        <f t="shared" ca="1" si="104"/>
        <v>BR06</v>
      </c>
      <c r="E585" t="str">
        <f t="shared" ca="1" si="99"/>
        <v>Basic</v>
      </c>
      <c r="F585" s="2">
        <v>45828</v>
      </c>
      <c r="G585" s="2">
        <v>45918</v>
      </c>
      <c r="H585">
        <v>2000</v>
      </c>
      <c r="I585">
        <f t="shared" ca="1" si="100"/>
        <v>24000</v>
      </c>
      <c r="J585">
        <v>2</v>
      </c>
      <c r="K585" t="str">
        <f t="shared" ca="1" si="101"/>
        <v>No</v>
      </c>
      <c r="L585" t="str">
        <f t="shared" ca="1" si="102"/>
        <v>Muscle Gain</v>
      </c>
      <c r="M585" t="str">
        <f t="shared" ca="1" si="103"/>
        <v>Cancelled</v>
      </c>
      <c r="N585" s="2">
        <v>45974</v>
      </c>
      <c r="Q585" t="str">
        <f ca="1">IF(RAND()&lt;0.2,
    IF(RAND()&lt;0.5, LOWER(C585), UPPER(C585)),
    C585
)</f>
        <v>Bangalore</v>
      </c>
      <c r="R585">
        <f t="shared" ca="1" si="106"/>
        <v>2</v>
      </c>
      <c r="S585">
        <f t="shared" ca="1" si="107"/>
        <v>2000</v>
      </c>
      <c r="T585">
        <f t="shared" ca="1" si="108"/>
        <v>45101</v>
      </c>
      <c r="U585" s="2">
        <f t="shared" ca="1" si="109"/>
        <v>45859</v>
      </c>
    </row>
    <row r="586" spans="1:21">
      <c r="A586" t="str">
        <f t="shared" si="105"/>
        <v>MEM0585</v>
      </c>
      <c r="B586" t="str">
        <f ca="1">INDEX('Name pool'!A:A, RANDBETWEEN(2, COUNTA('Name pool'!A:A))) &amp; " " &amp; INDEX('Name pool'!B:B, RANDBETWEEN(2, COUNTA('Name pool'!B:B)))</f>
        <v>Riya Varghese</v>
      </c>
      <c r="C586" t="s">
        <v>77</v>
      </c>
      <c r="D586" t="str">
        <f t="shared" ca="1" si="104"/>
        <v>BR01</v>
      </c>
      <c r="E586" t="str">
        <f t="shared" ca="1" si="99"/>
        <v>Standard</v>
      </c>
      <c r="F586" s="2">
        <v>45890</v>
      </c>
      <c r="G586" s="2">
        <v>45920</v>
      </c>
      <c r="H586">
        <v>2000</v>
      </c>
      <c r="I586">
        <f t="shared" ca="1" si="100"/>
        <v>2000</v>
      </c>
      <c r="J586">
        <v>21</v>
      </c>
      <c r="K586" t="str">
        <f t="shared" ca="1" si="101"/>
        <v>Yes</v>
      </c>
      <c r="L586" t="str">
        <f t="shared" ca="1" si="102"/>
        <v>Weight Loss</v>
      </c>
      <c r="M586" t="str">
        <f t="shared" ca="1" si="103"/>
        <v>Active</v>
      </c>
      <c r="N586" s="2">
        <v>46002</v>
      </c>
      <c r="Q586" t="str">
        <f ca="1">IF(RAND()&lt;0.2,
    IF(RAND()&lt;0.5, LOWER(C586), UPPER(C586)),
    C586
)</f>
        <v>Chennai</v>
      </c>
      <c r="R586">
        <f t="shared" ca="1" si="106"/>
        <v>21</v>
      </c>
      <c r="S586">
        <f t="shared" ca="1" si="107"/>
        <v>2000</v>
      </c>
      <c r="T586">
        <f t="shared" ca="1" si="108"/>
        <v>45073</v>
      </c>
      <c r="U586" s="2">
        <f t="shared" ca="1" si="109"/>
        <v>46002</v>
      </c>
    </row>
    <row r="587" spans="1:21">
      <c r="A587" t="str">
        <f t="shared" si="105"/>
        <v>MEM0586</v>
      </c>
      <c r="B587" t="str">
        <f ca="1">INDEX('Name pool'!A:A, RANDBETWEEN(2, COUNTA('Name pool'!A:A))) &amp; " " &amp; INDEX('Name pool'!B:B, RANDBETWEEN(2, COUNTA('Name pool'!B:B)))</f>
        <v>Priya Malhotra</v>
      </c>
      <c r="C587" t="s">
        <v>85</v>
      </c>
      <c r="D587" t="str">
        <f t="shared" ca="1" si="104"/>
        <v>BR07</v>
      </c>
      <c r="E587" t="str">
        <f t="shared" ca="1" si="99"/>
        <v>Standard</v>
      </c>
      <c r="F587" s="2">
        <v>45260</v>
      </c>
      <c r="G587" s="2">
        <v>45350</v>
      </c>
      <c r="H587">
        <v>3500</v>
      </c>
      <c r="I587">
        <f t="shared" ca="1" si="100"/>
        <v>28000</v>
      </c>
      <c r="J587">
        <v>14</v>
      </c>
      <c r="K587" t="str">
        <f t="shared" ca="1" si="101"/>
        <v>Yes</v>
      </c>
      <c r="L587" t="str">
        <f t="shared" ca="1" si="102"/>
        <v>Muscle Gain</v>
      </c>
      <c r="M587" t="str">
        <f t="shared" ca="1" si="103"/>
        <v>Active</v>
      </c>
      <c r="N587" s="2">
        <v>45266</v>
      </c>
      <c r="Q587" t="str">
        <f ca="1">IF(RAND()&lt;0.2,
    IF(RAND()&lt;0.5, LOWER(C587), UPPER(C587)),
    C587
)</f>
        <v>CALICUT</v>
      </c>
      <c r="R587">
        <f t="shared" ca="1" si="106"/>
        <v>14</v>
      </c>
      <c r="S587">
        <f t="shared" ca="1" si="107"/>
        <v>3500</v>
      </c>
      <c r="T587">
        <f t="shared" ca="1" si="108"/>
        <v>45681</v>
      </c>
      <c r="U587" s="2">
        <f t="shared" ca="1" si="109"/>
        <v>45266</v>
      </c>
    </row>
    <row r="588" spans="1:21">
      <c r="A588" t="str">
        <f t="shared" si="105"/>
        <v>MEM0587</v>
      </c>
      <c r="B588" t="str">
        <f ca="1">INDEX('Name pool'!A:A, RANDBETWEEN(2, COUNTA('Name pool'!A:A))) &amp; " " &amp; INDEX('Name pool'!B:B, RANDBETWEEN(2, COUNTA('Name pool'!B:B)))</f>
        <v>Pooja Nair</v>
      </c>
      <c r="C588" t="s">
        <v>73</v>
      </c>
      <c r="D588" t="str">
        <f t="shared" ca="1" si="104"/>
        <v>BR06</v>
      </c>
      <c r="E588" t="str">
        <f t="shared" ca="1" si="99"/>
        <v>Standard</v>
      </c>
      <c r="F588" s="2">
        <v>45049</v>
      </c>
      <c r="G588" s="2">
        <v>45079</v>
      </c>
      <c r="H588">
        <v>3500</v>
      </c>
      <c r="I588">
        <f t="shared" ca="1" si="100"/>
        <v>7000</v>
      </c>
      <c r="J588">
        <v>5</v>
      </c>
      <c r="K588" t="str">
        <f t="shared" ca="1" si="101"/>
        <v>No</v>
      </c>
      <c r="L588" t="str">
        <f t="shared" ca="1" si="102"/>
        <v>General Fitness</v>
      </c>
      <c r="M588" t="str">
        <f t="shared" ca="1" si="103"/>
        <v>Active</v>
      </c>
      <c r="N588" s="2">
        <v>45380</v>
      </c>
      <c r="Q588" t="str">
        <f ca="1">IF(RAND()&lt;0.2,
    IF(RAND()&lt;0.5, LOWER(C588), UPPER(C588)),
    C588
)</f>
        <v>KOCHI</v>
      </c>
      <c r="R588">
        <f t="shared" ca="1" si="106"/>
        <v>5</v>
      </c>
      <c r="S588">
        <f t="shared" ca="1" si="107"/>
        <v>3500</v>
      </c>
      <c r="T588">
        <f t="shared" ca="1" si="108"/>
        <v>45161</v>
      </c>
      <c r="U588" s="2">
        <f t="shared" ca="1" si="109"/>
        <v>45380</v>
      </c>
    </row>
    <row r="589" spans="1:21">
      <c r="A589" t="str">
        <f t="shared" si="105"/>
        <v>MEM0588</v>
      </c>
      <c r="B589" t="str">
        <f ca="1">INDEX('Name pool'!A:A, RANDBETWEEN(2, COUNTA('Name pool'!A:A))) &amp; " " &amp; INDEX('Name pool'!B:B, RANDBETWEEN(2, COUNTA('Name pool'!B:B)))</f>
        <v>Shreya Nair</v>
      </c>
      <c r="C589" t="s">
        <v>112</v>
      </c>
      <c r="D589" t="str">
        <f t="shared" ca="1" si="104"/>
        <v>BR04</v>
      </c>
      <c r="E589" t="str">
        <f t="shared" ca="1" si="99"/>
        <v>Standard</v>
      </c>
      <c r="F589" s="2">
        <v>45660</v>
      </c>
      <c r="G589" s="2">
        <v>45690</v>
      </c>
      <c r="H589">
        <v>1000</v>
      </c>
      <c r="I589">
        <f t="shared" ca="1" si="100"/>
        <v>11000</v>
      </c>
      <c r="J589">
        <v>25</v>
      </c>
      <c r="K589" t="str">
        <f t="shared" ca="1" si="101"/>
        <v>Yes</v>
      </c>
      <c r="L589" t="str">
        <f t="shared" ca="1" si="102"/>
        <v>General Fitness</v>
      </c>
      <c r="M589" t="str">
        <f t="shared" ca="1" si="103"/>
        <v>Active</v>
      </c>
      <c r="N589" s="2">
        <v>45988</v>
      </c>
      <c r="Q589" t="str">
        <f ca="1">IF(RAND()&lt;0.2,
    IF(RAND()&lt;0.5, LOWER(C589), UPPER(C589)),
    C589
)</f>
        <v>HYDERABAD</v>
      </c>
      <c r="R589">
        <f t="shared" ca="1" si="106"/>
        <v>25</v>
      </c>
      <c r="S589">
        <f t="shared" ca="1" si="107"/>
        <v>1000</v>
      </c>
      <c r="T589">
        <f t="shared" ca="1" si="108"/>
        <v>46013</v>
      </c>
      <c r="U589" s="2">
        <f t="shared" ca="1" si="109"/>
        <v>45988</v>
      </c>
    </row>
    <row r="590" spans="1:21">
      <c r="A590" t="str">
        <f t="shared" si="105"/>
        <v>MEM0589</v>
      </c>
      <c r="B590" t="str">
        <f ca="1">INDEX('Name pool'!A:A, RANDBETWEEN(2, COUNTA('Name pool'!A:A))) &amp; " " &amp; INDEX('Name pool'!B:B, RANDBETWEEN(2, COUNTA('Name pool'!B:B)))</f>
        <v>Akash Varghese</v>
      </c>
      <c r="C590" t="s">
        <v>107</v>
      </c>
      <c r="D590" t="str">
        <f t="shared" ca="1" si="104"/>
        <v>BR05</v>
      </c>
      <c r="E590" t="str">
        <f t="shared" ca="1" si="99"/>
        <v>Standard</v>
      </c>
      <c r="F590" s="2">
        <v>45569</v>
      </c>
      <c r="G590" s="2">
        <v>45599</v>
      </c>
      <c r="H590">
        <v>2000</v>
      </c>
      <c r="I590">
        <f t="shared" ca="1" si="100"/>
        <v>22000</v>
      </c>
      <c r="J590">
        <v>4</v>
      </c>
      <c r="K590" t="str">
        <f t="shared" ca="1" si="101"/>
        <v>Yes</v>
      </c>
      <c r="L590" t="str">
        <f t="shared" ca="1" si="102"/>
        <v>General Fitness</v>
      </c>
      <c r="M590" t="str">
        <f t="shared" ca="1" si="103"/>
        <v>Cancelled</v>
      </c>
      <c r="N590" s="2">
        <v>45650</v>
      </c>
      <c r="Q590" t="str">
        <f ca="1">IF(RAND()&lt;0.2,
    IF(RAND()&lt;0.5, LOWER(C590), UPPER(C590)),
    C590
)</f>
        <v>TRIVANDRUM</v>
      </c>
      <c r="R590">
        <f t="shared" ca="1" si="106"/>
        <v>4</v>
      </c>
      <c r="S590">
        <f t="shared" ca="1" si="107"/>
        <v>2000</v>
      </c>
      <c r="T590">
        <f t="shared" ca="1" si="108"/>
        <v>45508</v>
      </c>
      <c r="U590" s="2">
        <f t="shared" ca="1" si="109"/>
        <v>45650</v>
      </c>
    </row>
    <row r="591" spans="1:21">
      <c r="A591" t="str">
        <f t="shared" si="105"/>
        <v>MEM0590</v>
      </c>
      <c r="B591" t="str">
        <f ca="1">INDEX('Name pool'!A:A, RANDBETWEEN(2, COUNTA('Name pool'!A:A))) &amp; " " &amp; INDEX('Name pool'!B:B, RANDBETWEEN(2, COUNTA('Name pool'!B:B)))</f>
        <v>Ishita Banerjee</v>
      </c>
      <c r="C591" t="s">
        <v>79</v>
      </c>
      <c r="D591" t="str">
        <f t="shared" ca="1" si="104"/>
        <v>BR03</v>
      </c>
      <c r="E591" t="str">
        <f t="shared" ca="1" si="99"/>
        <v>Premium</v>
      </c>
      <c r="F591" s="2">
        <v>45102</v>
      </c>
      <c r="G591" s="2">
        <v>45132</v>
      </c>
      <c r="H591">
        <v>2000</v>
      </c>
      <c r="I591">
        <f t="shared" ca="1" si="100"/>
        <v>10000</v>
      </c>
      <c r="J591" t="s">
        <v>110</v>
      </c>
      <c r="K591" t="str">
        <f t="shared" ca="1" si="101"/>
        <v>Yes</v>
      </c>
      <c r="L591" t="str">
        <f t="shared" ca="1" si="102"/>
        <v>General Fitness</v>
      </c>
      <c r="M591" t="str">
        <f t="shared" ca="1" si="103"/>
        <v>Active</v>
      </c>
      <c r="N591" s="2">
        <v>45971</v>
      </c>
      <c r="Q591" t="str">
        <f ca="1">IF(RAND()&lt;0.2,
    IF(RAND()&lt;0.5, LOWER(C591), UPPER(C591)),
    C591
)</f>
        <v>Hyderabad</v>
      </c>
      <c r="R591" t="str">
        <f t="shared" ca="1" si="106"/>
        <v>14 visits</v>
      </c>
      <c r="S591">
        <f t="shared" ca="1" si="107"/>
        <v>2000</v>
      </c>
      <c r="T591">
        <f t="shared" ca="1" si="108"/>
        <v>45656</v>
      </c>
      <c r="U591" s="2">
        <f t="shared" ca="1" si="109"/>
        <v>45971</v>
      </c>
    </row>
    <row r="592" spans="1:21">
      <c r="A592" t="str">
        <f t="shared" si="105"/>
        <v>MEM0591</v>
      </c>
      <c r="B592" t="str">
        <f ca="1">INDEX('Name pool'!A:A, RANDBETWEEN(2, COUNTA('Name pool'!A:A))) &amp; " " &amp; INDEX('Name pool'!B:B, RANDBETWEEN(2, COUNTA('Name pool'!B:B)))</f>
        <v>Nisha Naidu</v>
      </c>
      <c r="C592" t="s">
        <v>79</v>
      </c>
      <c r="D592" t="str">
        <f t="shared" ca="1" si="104"/>
        <v>BR03</v>
      </c>
      <c r="E592" t="str">
        <f t="shared" ca="1" si="99"/>
        <v>Premium</v>
      </c>
      <c r="F592" s="2">
        <v>45076</v>
      </c>
      <c r="G592" s="2">
        <v>45106</v>
      </c>
      <c r="H592">
        <v>3500</v>
      </c>
      <c r="I592">
        <f t="shared" ca="1" si="100"/>
        <v>7000</v>
      </c>
      <c r="J592" t="s">
        <v>141</v>
      </c>
      <c r="K592" t="str">
        <f t="shared" ca="1" si="101"/>
        <v>Yes</v>
      </c>
      <c r="L592" t="str">
        <f t="shared" ca="1" si="102"/>
        <v>General Fitness</v>
      </c>
      <c r="M592" t="str">
        <f t="shared" ca="1" si="103"/>
        <v>Active</v>
      </c>
      <c r="N592" s="2">
        <v>45104</v>
      </c>
      <c r="Q592" t="str">
        <f ca="1">IF(RAND()&lt;0.2,
    IF(RAND()&lt;0.5, LOWER(C592), UPPER(C592)),
    C592
)</f>
        <v>Hyderabad</v>
      </c>
      <c r="R592" t="str">
        <f t="shared" ca="1" si="106"/>
        <v>7 visits</v>
      </c>
      <c r="S592">
        <f t="shared" ca="1" si="107"/>
        <v>3500</v>
      </c>
      <c r="T592">
        <f t="shared" ca="1" si="108"/>
        <v>44969</v>
      </c>
      <c r="U592" s="2">
        <f t="shared" ca="1" si="109"/>
        <v>45104</v>
      </c>
    </row>
    <row r="593" spans="1:21">
      <c r="A593" t="str">
        <f t="shared" si="105"/>
        <v>MEM0592</v>
      </c>
      <c r="B593" t="str">
        <f ca="1">INDEX('Name pool'!A:A, RANDBETWEEN(2, COUNTA('Name pool'!A:A))) &amp; " " &amp; INDEX('Name pool'!B:B, RANDBETWEEN(2, COUNTA('Name pool'!B:B)))</f>
        <v>Nikhil Verma</v>
      </c>
      <c r="C593" t="s">
        <v>79</v>
      </c>
      <c r="D593" t="str">
        <f t="shared" ca="1" si="104"/>
        <v>BR06</v>
      </c>
      <c r="E593" t="str">
        <f t="shared" ca="1" si="99"/>
        <v>Premium</v>
      </c>
      <c r="F593" s="2">
        <v>45756</v>
      </c>
      <c r="G593" s="2">
        <v>46121</v>
      </c>
      <c r="H593">
        <v>1000</v>
      </c>
      <c r="I593">
        <f t="shared" ca="1" si="100"/>
        <v>7000</v>
      </c>
      <c r="J593" t="s">
        <v>111</v>
      </c>
      <c r="K593" t="str">
        <f t="shared" ca="1" si="101"/>
        <v>No</v>
      </c>
      <c r="L593" t="str">
        <f t="shared" ca="1" si="102"/>
        <v>Muscle Gain</v>
      </c>
      <c r="M593" t="str">
        <f t="shared" ca="1" si="103"/>
        <v>Active</v>
      </c>
      <c r="N593" s="2">
        <v>46045</v>
      </c>
      <c r="Q593" t="str">
        <f ca="1">IF(RAND()&lt;0.2,
    IF(RAND()&lt;0.5, LOWER(C593), UPPER(C593)),
    C593
)</f>
        <v>Hyderabad</v>
      </c>
      <c r="R593" t="str">
        <f t="shared" ca="1" si="106"/>
        <v>23 visits</v>
      </c>
      <c r="S593">
        <f t="shared" ca="1" si="107"/>
        <v>1000</v>
      </c>
      <c r="T593">
        <f t="shared" ca="1" si="108"/>
        <v>45431</v>
      </c>
      <c r="U593" s="2">
        <f t="shared" ca="1" si="109"/>
        <v>46045</v>
      </c>
    </row>
    <row r="594" spans="1:21">
      <c r="A594" t="str">
        <f t="shared" si="105"/>
        <v>MEM0593</v>
      </c>
      <c r="B594" t="str">
        <f ca="1">INDEX('Name pool'!A:A, RANDBETWEEN(2, COUNTA('Name pool'!A:A))) &amp; " " &amp; INDEX('Name pool'!B:B, RANDBETWEEN(2, COUNTA('Name pool'!B:B)))</f>
        <v>Nisha Shetty</v>
      </c>
      <c r="C594" t="s">
        <v>81</v>
      </c>
      <c r="D594" t="str">
        <f t="shared" ca="1" si="104"/>
        <v>BR03</v>
      </c>
      <c r="E594" t="str">
        <f t="shared" ca="1" si="99"/>
        <v>Standard</v>
      </c>
      <c r="F594" s="2">
        <v>45124</v>
      </c>
      <c r="G594" s="2">
        <v>45214</v>
      </c>
      <c r="H594">
        <v>2000</v>
      </c>
      <c r="I594">
        <f t="shared" ca="1" si="100"/>
        <v>2000</v>
      </c>
      <c r="J594">
        <v>13</v>
      </c>
      <c r="K594" t="str">
        <f t="shared" ca="1" si="101"/>
        <v>Yes</v>
      </c>
      <c r="L594" t="str">
        <f t="shared" ca="1" si="102"/>
        <v>Muscle Gain</v>
      </c>
      <c r="M594" t="str">
        <f t="shared" ca="1" si="103"/>
        <v>Active</v>
      </c>
      <c r="N594" s="2">
        <v>45963</v>
      </c>
      <c r="Q594" t="str">
        <f ca="1">IF(RAND()&lt;0.2,
    IF(RAND()&lt;0.5, LOWER(C594), UPPER(C594)),
    C594
)</f>
        <v>Mumbai</v>
      </c>
      <c r="R594">
        <f t="shared" ca="1" si="106"/>
        <v>13</v>
      </c>
      <c r="S594">
        <f t="shared" ca="1" si="107"/>
        <v>2000</v>
      </c>
      <c r="T594">
        <f t="shared" ca="1" si="108"/>
        <v>45842</v>
      </c>
      <c r="U594" s="2">
        <f t="shared" ca="1" si="109"/>
        <v>45963</v>
      </c>
    </row>
    <row r="595" spans="1:21">
      <c r="A595" t="str">
        <f t="shared" si="105"/>
        <v>MEM0594</v>
      </c>
      <c r="B595" t="str">
        <f ca="1">INDEX('Name pool'!A:A, RANDBETWEEN(2, COUNTA('Name pool'!A:A))) &amp; " " &amp; INDEX('Name pool'!B:B, RANDBETWEEN(2, COUNTA('Name pool'!B:B)))</f>
        <v>Rahul Naidu</v>
      </c>
      <c r="C595" t="s">
        <v>75</v>
      </c>
      <c r="D595" t="str">
        <f t="shared" ca="1" si="104"/>
        <v>BR01</v>
      </c>
      <c r="E595" t="str">
        <f t="shared" ca="1" si="99"/>
        <v>Premium</v>
      </c>
      <c r="F595" s="2">
        <v>45947</v>
      </c>
      <c r="G595" s="2">
        <v>46312</v>
      </c>
      <c r="H595">
        <v>2000</v>
      </c>
      <c r="I595">
        <f t="shared" ca="1" si="100"/>
        <v>14000</v>
      </c>
      <c r="J595">
        <v>6</v>
      </c>
      <c r="K595" t="str">
        <f t="shared" ca="1" si="101"/>
        <v>No</v>
      </c>
      <c r="L595" t="str">
        <f t="shared" ca="1" si="102"/>
        <v>Weight Loss</v>
      </c>
      <c r="M595" t="str">
        <f t="shared" ca="1" si="103"/>
        <v>Active</v>
      </c>
      <c r="N595" s="2">
        <v>46000</v>
      </c>
      <c r="Q595" t="str">
        <f ca="1">IF(RAND()&lt;0.2,
    IF(RAND()&lt;0.5, LOWER(C595), UPPER(C595)),
    C595
)</f>
        <v>BANGALORE</v>
      </c>
      <c r="R595">
        <f t="shared" ca="1" si="106"/>
        <v>6</v>
      </c>
      <c r="S595">
        <f t="shared" ca="1" si="107"/>
        <v>2000</v>
      </c>
      <c r="T595">
        <f t="shared" ca="1" si="108"/>
        <v>45783</v>
      </c>
      <c r="U595" s="2">
        <f t="shared" ca="1" si="109"/>
        <v>46000</v>
      </c>
    </row>
    <row r="596" spans="1:21">
      <c r="A596" t="str">
        <f t="shared" si="105"/>
        <v>MEM0595</v>
      </c>
      <c r="B596" t="str">
        <f ca="1">INDEX('Name pool'!A:A, RANDBETWEEN(2, COUNTA('Name pool'!A:A))) &amp; " " &amp; INDEX('Name pool'!B:B, RANDBETWEEN(2, COUNTA('Name pool'!B:B)))</f>
        <v>Rohit Banerjee</v>
      </c>
      <c r="C596" t="s">
        <v>83</v>
      </c>
      <c r="D596" t="str">
        <f t="shared" ca="1" si="104"/>
        <v>BR03</v>
      </c>
      <c r="E596" t="str">
        <f t="shared" ca="1" si="99"/>
        <v>Premium</v>
      </c>
      <c r="F596" s="2">
        <v>45765</v>
      </c>
      <c r="G596" s="2">
        <v>46130</v>
      </c>
      <c r="H596">
        <v>3500</v>
      </c>
      <c r="I596">
        <f t="shared" ca="1" si="100"/>
        <v>7000</v>
      </c>
      <c r="J596">
        <v>25</v>
      </c>
      <c r="K596" t="str">
        <f t="shared" ca="1" si="101"/>
        <v>Yes</v>
      </c>
      <c r="L596" t="str">
        <f t="shared" ca="1" si="102"/>
        <v>Muscle Gain</v>
      </c>
      <c r="M596" t="str">
        <f t="shared" ca="1" si="103"/>
        <v>Active</v>
      </c>
      <c r="N596" s="2">
        <v>45822</v>
      </c>
      <c r="Q596" t="str">
        <f ca="1">IF(RAND()&lt;0.2,
    IF(RAND()&lt;0.5, LOWER(C596), UPPER(C596)),
    C596
)</f>
        <v>trivandrum</v>
      </c>
      <c r="R596">
        <f t="shared" ca="1" si="106"/>
        <v>25</v>
      </c>
      <c r="S596">
        <f t="shared" ca="1" si="107"/>
        <v>3500</v>
      </c>
      <c r="T596">
        <f t="shared" ca="1" si="108"/>
        <v>45267</v>
      </c>
      <c r="U596" s="2">
        <f t="shared" ca="1" si="109"/>
        <v>45822</v>
      </c>
    </row>
    <row r="597" spans="1:21">
      <c r="A597" t="str">
        <f t="shared" si="105"/>
        <v>MEM0596</v>
      </c>
      <c r="B597" t="str">
        <f ca="1">INDEX('Name pool'!A:A, RANDBETWEEN(2, COUNTA('Name pool'!A:A))) &amp; " " &amp; INDEX('Name pool'!B:B, RANDBETWEEN(2, COUNTA('Name pool'!B:B)))</f>
        <v>Sanjay Nair</v>
      </c>
      <c r="C597" t="s">
        <v>83</v>
      </c>
      <c r="D597" t="str">
        <f t="shared" ca="1" si="104"/>
        <v>BR05</v>
      </c>
      <c r="E597" t="str">
        <f t="shared" ca="1" si="99"/>
        <v>Basic</v>
      </c>
      <c r="F597" s="2">
        <v>44929</v>
      </c>
      <c r="G597" s="2">
        <v>45294</v>
      </c>
      <c r="H597">
        <v>3500</v>
      </c>
      <c r="I597">
        <f t="shared" ca="1" si="100"/>
        <v>28000</v>
      </c>
      <c r="J597">
        <v>8</v>
      </c>
      <c r="K597" t="str">
        <f t="shared" ca="1" si="101"/>
        <v>No</v>
      </c>
      <c r="L597" t="str">
        <f t="shared" ca="1" si="102"/>
        <v>Muscle Gain</v>
      </c>
      <c r="M597" t="str">
        <f t="shared" ca="1" si="103"/>
        <v>Active</v>
      </c>
      <c r="N597" s="2">
        <v>45956</v>
      </c>
      <c r="Q597" t="str">
        <f ca="1">IF(RAND()&lt;0.2,
    IF(RAND()&lt;0.5, LOWER(C597), UPPER(C597)),
    C597
)</f>
        <v>Trivandrum</v>
      </c>
      <c r="R597">
        <f t="shared" ca="1" si="106"/>
        <v>8</v>
      </c>
      <c r="S597">
        <f t="shared" ca="1" si="107"/>
        <v>3500</v>
      </c>
      <c r="T597">
        <f t="shared" ca="1" si="108"/>
        <v>45033</v>
      </c>
      <c r="U597" s="2">
        <f t="shared" ca="1" si="109"/>
        <v>45956</v>
      </c>
    </row>
    <row r="598" spans="1:21">
      <c r="A598" t="str">
        <f t="shared" si="105"/>
        <v>MEM0597</v>
      </c>
      <c r="B598" t="str">
        <f ca="1">INDEX('Name pool'!A:A, RANDBETWEEN(2, COUNTA('Name pool'!A:A))) &amp; " " &amp; INDEX('Name pool'!B:B, RANDBETWEEN(2, COUNTA('Name pool'!B:B)))</f>
        <v>Manoj Kapoor</v>
      </c>
      <c r="C598" t="s">
        <v>75</v>
      </c>
      <c r="D598" t="str">
        <f t="shared" ca="1" si="104"/>
        <v>BR07</v>
      </c>
      <c r="E598" t="str">
        <f t="shared" ca="1" si="99"/>
        <v>Premium</v>
      </c>
      <c r="F598" s="2">
        <v>45734</v>
      </c>
      <c r="G598" s="2">
        <v>45824</v>
      </c>
      <c r="H598">
        <v>2000</v>
      </c>
      <c r="I598">
        <f t="shared" ca="1" si="100"/>
        <v>24000</v>
      </c>
      <c r="J598">
        <v>13</v>
      </c>
      <c r="K598" t="str">
        <f t="shared" ca="1" si="101"/>
        <v>No</v>
      </c>
      <c r="L598" t="str">
        <f t="shared" ca="1" si="102"/>
        <v>Muscle Gain</v>
      </c>
      <c r="M598" t="str">
        <f t="shared" ca="1" si="103"/>
        <v>Active</v>
      </c>
      <c r="N598" s="2">
        <v>45750</v>
      </c>
      <c r="Q598" t="str">
        <f ca="1">IF(RAND()&lt;0.2,
    IF(RAND()&lt;0.5, LOWER(C598), UPPER(C598)),
    C598
)</f>
        <v>Bangalore</v>
      </c>
      <c r="R598">
        <f t="shared" ca="1" si="106"/>
        <v>13</v>
      </c>
      <c r="S598">
        <f t="shared" ca="1" si="107"/>
        <v>2000</v>
      </c>
      <c r="T598">
        <f t="shared" ca="1" si="108"/>
        <v>45218</v>
      </c>
      <c r="U598" s="2">
        <f t="shared" ca="1" si="109"/>
        <v>45750</v>
      </c>
    </row>
    <row r="599" spans="1:21">
      <c r="A599" t="str">
        <f t="shared" si="105"/>
        <v>MEM0598</v>
      </c>
      <c r="B599" t="str">
        <f ca="1">INDEX('Name pool'!A:A, RANDBETWEEN(2, COUNTA('Name pool'!A:A))) &amp; " " &amp; INDEX('Name pool'!B:B, RANDBETWEEN(2, COUNTA('Name pool'!B:B)))</f>
        <v>Lakshmi Iyer</v>
      </c>
      <c r="C599" t="s">
        <v>81</v>
      </c>
      <c r="D599" t="str">
        <f t="shared" ca="1" si="104"/>
        <v>BR01</v>
      </c>
      <c r="E599" t="str">
        <f t="shared" ca="1" si="99"/>
        <v>Premium</v>
      </c>
      <c r="F599" s="2">
        <v>45418</v>
      </c>
      <c r="G599" s="2">
        <v>45508</v>
      </c>
      <c r="H599">
        <v>3500</v>
      </c>
      <c r="I599">
        <f t="shared" ca="1" si="100"/>
        <v>28000</v>
      </c>
      <c r="J599">
        <v>14</v>
      </c>
      <c r="K599" t="str">
        <f t="shared" ca="1" si="101"/>
        <v>No</v>
      </c>
      <c r="L599" t="str">
        <f t="shared" ca="1" si="102"/>
        <v>Weight Loss</v>
      </c>
      <c r="M599" t="str">
        <f t="shared" ca="1" si="103"/>
        <v>Active</v>
      </c>
      <c r="N599" s="2">
        <v>45485</v>
      </c>
      <c r="Q599" t="str">
        <f ca="1">IF(RAND()&lt;0.2,
    IF(RAND()&lt;0.5, LOWER(C599), UPPER(C599)),
    C599
)</f>
        <v>Mumbai</v>
      </c>
      <c r="R599">
        <f t="shared" ca="1" si="106"/>
        <v>14</v>
      </c>
      <c r="S599" t="str">
        <f t="shared" ca="1" si="107"/>
        <v>3500</v>
      </c>
      <c r="T599">
        <f t="shared" ca="1" si="108"/>
        <v>45697</v>
      </c>
      <c r="U599" s="2">
        <f t="shared" ca="1" si="109"/>
        <v>45485</v>
      </c>
    </row>
    <row r="600" spans="1:21">
      <c r="A600" t="str">
        <f t="shared" si="105"/>
        <v>MEM0599</v>
      </c>
      <c r="B600" t="str">
        <f ca="1">INDEX('Name pool'!A:A, RANDBETWEEN(2, COUNTA('Name pool'!A:A))) &amp; " " &amp; INDEX('Name pool'!B:B, RANDBETWEEN(2, COUNTA('Name pool'!B:B)))</f>
        <v>Zara Khan</v>
      </c>
      <c r="C600" t="s">
        <v>73</v>
      </c>
      <c r="D600" t="str">
        <f t="shared" ca="1" si="104"/>
        <v>BR02</v>
      </c>
      <c r="E600" t="str">
        <f t="shared" ca="1" si="99"/>
        <v>Basic</v>
      </c>
      <c r="F600" s="2">
        <v>45544</v>
      </c>
      <c r="G600" s="2">
        <v>45574</v>
      </c>
      <c r="H600">
        <v>3500</v>
      </c>
      <c r="I600">
        <f t="shared" ca="1" si="100"/>
        <v>10500</v>
      </c>
      <c r="J600">
        <v>13</v>
      </c>
      <c r="K600" t="str">
        <f t="shared" ca="1" si="101"/>
        <v>No</v>
      </c>
      <c r="L600" t="str">
        <f t="shared" ca="1" si="102"/>
        <v>Muscle Gain</v>
      </c>
      <c r="M600" t="str">
        <f t="shared" ca="1" si="103"/>
        <v>Active</v>
      </c>
      <c r="N600" s="2">
        <v>46082</v>
      </c>
      <c r="Q600" t="str">
        <f ca="1">IF(RAND()&lt;0.2,
    IF(RAND()&lt;0.5, LOWER(C600), UPPER(C600)),
    C600
)</f>
        <v>Kochi</v>
      </c>
      <c r="R600">
        <f t="shared" ca="1" si="106"/>
        <v>13</v>
      </c>
      <c r="S600">
        <f t="shared" ca="1" si="107"/>
        <v>3500</v>
      </c>
      <c r="T600">
        <f t="shared" ca="1" si="108"/>
        <v>45821</v>
      </c>
      <c r="U600" s="2">
        <f t="shared" ca="1" si="109"/>
        <v>46082</v>
      </c>
    </row>
    <row r="601" spans="1:21">
      <c r="A601" t="str">
        <f t="shared" si="105"/>
        <v>MEM0600</v>
      </c>
      <c r="B601" t="str">
        <f ca="1">INDEX('Name pool'!A:A, RANDBETWEEN(2, COUNTA('Name pool'!A:A))) &amp; " " &amp; INDEX('Name pool'!B:B, RANDBETWEEN(2, COUNTA('Name pool'!B:B)))</f>
        <v>Meera Verma</v>
      </c>
      <c r="C601" t="s">
        <v>77</v>
      </c>
      <c r="D601" t="str">
        <f t="shared" ca="1" si="104"/>
        <v>BR03</v>
      </c>
      <c r="E601" t="str">
        <f t="shared" ca="1" si="99"/>
        <v>Standard</v>
      </c>
      <c r="F601" s="2">
        <v>45063</v>
      </c>
      <c r="G601" s="2">
        <v>45153</v>
      </c>
      <c r="H601">
        <v>3500</v>
      </c>
      <c r="I601">
        <f t="shared" ca="1" si="100"/>
        <v>42000</v>
      </c>
      <c r="J601">
        <v>24</v>
      </c>
      <c r="K601" t="str">
        <f t="shared" ca="1" si="101"/>
        <v>Yes</v>
      </c>
      <c r="L601" t="str">
        <f t="shared" ca="1" si="102"/>
        <v>Weight Loss</v>
      </c>
      <c r="M601" t="str">
        <f t="shared" ca="1" si="103"/>
        <v>Active</v>
      </c>
      <c r="N601" s="2">
        <v>45819</v>
      </c>
      <c r="Q601" t="str">
        <f ca="1">IF(RAND()&lt;0.2,
    IF(RAND()&lt;0.5, LOWER(C601), UPPER(C601)),
    C601
)</f>
        <v>Chennai</v>
      </c>
      <c r="R601">
        <f t="shared" ca="1" si="106"/>
        <v>24</v>
      </c>
      <c r="S601">
        <f t="shared" ca="1" si="107"/>
        <v>3500</v>
      </c>
      <c r="T601">
        <f t="shared" ca="1" si="108"/>
        <v>44974</v>
      </c>
      <c r="U601" s="2">
        <f t="shared" ca="1" si="109"/>
        <v>45819</v>
      </c>
    </row>
    <row r="602" spans="1:21">
      <c r="A602" t="str">
        <f t="shared" si="105"/>
        <v>MEM0601</v>
      </c>
      <c r="B602" t="str">
        <f ca="1">INDEX('Name pool'!A:A, RANDBETWEEN(2, COUNTA('Name pool'!A:A))) &amp; " " &amp; INDEX('Name pool'!B:B, RANDBETWEEN(2, COUNTA('Name pool'!B:B)))</f>
        <v>Pooja Kulkarni</v>
      </c>
      <c r="C602" t="s">
        <v>85</v>
      </c>
      <c r="D602" t="str">
        <f t="shared" ca="1" si="104"/>
        <v>BR05</v>
      </c>
      <c r="E602" t="str">
        <f t="shared" ca="1" si="99"/>
        <v>Basic</v>
      </c>
      <c r="F602" s="2">
        <v>45581</v>
      </c>
      <c r="G602" s="2">
        <v>45671</v>
      </c>
      <c r="H602">
        <v>1000</v>
      </c>
      <c r="I602">
        <f t="shared" ca="1" si="100"/>
        <v>3000</v>
      </c>
      <c r="J602">
        <v>19</v>
      </c>
      <c r="K602" t="str">
        <f t="shared" ca="1" si="101"/>
        <v>No</v>
      </c>
      <c r="L602" t="str">
        <f t="shared" ca="1" si="102"/>
        <v>Muscle Gain</v>
      </c>
      <c r="M602" t="str">
        <f t="shared" ca="1" si="103"/>
        <v>Active</v>
      </c>
      <c r="N602" s="2">
        <v>46114</v>
      </c>
      <c r="Q602" t="str">
        <f ca="1">IF(RAND()&lt;0.2,
    IF(RAND()&lt;0.5, LOWER(C602), UPPER(C602)),
    C602
)</f>
        <v>Calicut</v>
      </c>
      <c r="R602">
        <f t="shared" ca="1" si="106"/>
        <v>19</v>
      </c>
      <c r="S602">
        <f t="shared" ca="1" si="107"/>
        <v>1000</v>
      </c>
      <c r="T602">
        <f t="shared" ca="1" si="108"/>
        <v>45691</v>
      </c>
      <c r="U602" s="2">
        <f t="shared" ca="1" si="109"/>
        <v>46114</v>
      </c>
    </row>
    <row r="603" spans="1:21">
      <c r="A603" t="str">
        <f t="shared" si="105"/>
        <v>MEM0602</v>
      </c>
      <c r="B603" t="str">
        <f ca="1">INDEX('Name pool'!A:A, RANDBETWEEN(2, COUNTA('Name pool'!A:A))) &amp; " " &amp; INDEX('Name pool'!B:B, RANDBETWEEN(2, COUNTA('Name pool'!B:B)))</f>
        <v>Akash Joshi</v>
      </c>
      <c r="C603" t="s">
        <v>137</v>
      </c>
      <c r="D603" t="str">
        <f t="shared" ca="1" si="104"/>
        <v>BR01</v>
      </c>
      <c r="E603" t="str">
        <f t="shared" ca="1" si="99"/>
        <v>Standard</v>
      </c>
      <c r="F603" s="2">
        <v>44959</v>
      </c>
      <c r="G603" s="2">
        <v>44989</v>
      </c>
      <c r="H603">
        <v>1000</v>
      </c>
      <c r="I603">
        <f t="shared" ca="1" si="100"/>
        <v>8000</v>
      </c>
      <c r="J603">
        <v>9</v>
      </c>
      <c r="K603" t="str">
        <f t="shared" ca="1" si="101"/>
        <v>Yes</v>
      </c>
      <c r="L603" t="str">
        <f t="shared" ca="1" si="102"/>
        <v>General Fitness</v>
      </c>
      <c r="M603" t="str">
        <f t="shared" ca="1" si="103"/>
        <v>Active</v>
      </c>
      <c r="N603" s="2">
        <v>45774</v>
      </c>
      <c r="Q603" t="str">
        <f ca="1">IF(RAND()&lt;0.2,
    IF(RAND()&lt;0.5, LOWER(C603), UPPER(C603)),
    C603
)</f>
        <v>CALICUT</v>
      </c>
      <c r="R603">
        <f t="shared" ca="1" si="106"/>
        <v>9</v>
      </c>
      <c r="S603" t="str">
        <f t="shared" ca="1" si="107"/>
        <v>1000</v>
      </c>
      <c r="T603">
        <f t="shared" ca="1" si="108"/>
        <v>45022</v>
      </c>
      <c r="U603" s="2">
        <f t="shared" ca="1" si="109"/>
        <v>45774</v>
      </c>
    </row>
    <row r="604" spans="1:21">
      <c r="A604" t="str">
        <f t="shared" si="105"/>
        <v>MEM0603</v>
      </c>
      <c r="B604" t="str">
        <f ca="1">INDEX('Name pool'!A:A, RANDBETWEEN(2, COUNTA('Name pool'!A:A))) &amp; " " &amp; INDEX('Name pool'!B:B, RANDBETWEEN(2, COUNTA('Name pool'!B:B)))</f>
        <v>Sanjay Lewis</v>
      </c>
      <c r="C604" t="s">
        <v>81</v>
      </c>
      <c r="D604" t="str">
        <f t="shared" ca="1" si="104"/>
        <v>BR04</v>
      </c>
      <c r="E604" t="str">
        <f t="shared" ca="1" si="99"/>
        <v>Standard</v>
      </c>
      <c r="F604" s="2">
        <v>45837</v>
      </c>
      <c r="G604" s="2">
        <v>45867</v>
      </c>
      <c r="H604">
        <v>2000</v>
      </c>
      <c r="I604">
        <f t="shared" ca="1" si="100"/>
        <v>18000</v>
      </c>
      <c r="J604">
        <v>12</v>
      </c>
      <c r="K604" t="str">
        <f t="shared" ca="1" si="101"/>
        <v>Yes</v>
      </c>
      <c r="L604" t="str">
        <f t="shared" ca="1" si="102"/>
        <v>Muscle Gain</v>
      </c>
      <c r="M604" t="str">
        <f t="shared" ca="1" si="103"/>
        <v>Active</v>
      </c>
      <c r="N604" s="2">
        <v>45967</v>
      </c>
      <c r="Q604" t="str">
        <f ca="1">IF(RAND()&lt;0.2,
    IF(RAND()&lt;0.5, LOWER(C604), UPPER(C604)),
    C604
)</f>
        <v>Mumbai</v>
      </c>
      <c r="R604">
        <f t="shared" ca="1" si="106"/>
        <v>12</v>
      </c>
      <c r="S604">
        <f t="shared" ca="1" si="107"/>
        <v>2000</v>
      </c>
      <c r="T604">
        <f t="shared" ca="1" si="108"/>
        <v>45928</v>
      </c>
      <c r="U604" s="2">
        <f t="shared" ca="1" si="109"/>
        <v>45967</v>
      </c>
    </row>
    <row r="605" spans="1:21">
      <c r="A605" t="str">
        <f t="shared" si="105"/>
        <v>MEM0604</v>
      </c>
      <c r="B605" t="str">
        <f ca="1">INDEX('Name pool'!A:A, RANDBETWEEN(2, COUNTA('Name pool'!A:A))) &amp; " " &amp; INDEX('Name pool'!B:B, RANDBETWEEN(2, COUNTA('Name pool'!B:B)))</f>
        <v>Lakshmi Pillai</v>
      </c>
      <c r="C605" t="s">
        <v>81</v>
      </c>
      <c r="D605" t="str">
        <f t="shared" ca="1" si="104"/>
        <v>BR06</v>
      </c>
      <c r="E605" t="str">
        <f t="shared" ca="1" si="99"/>
        <v>Premium</v>
      </c>
      <c r="F605" s="2">
        <v>45178</v>
      </c>
      <c r="G605" s="2">
        <v>45268</v>
      </c>
      <c r="H605">
        <v>3500</v>
      </c>
      <c r="I605">
        <f t="shared" ca="1" si="100"/>
        <v>38500</v>
      </c>
      <c r="J605" t="s">
        <v>146</v>
      </c>
      <c r="K605" t="str">
        <f t="shared" ca="1" si="101"/>
        <v>No</v>
      </c>
      <c r="L605" t="str">
        <f t="shared" ca="1" si="102"/>
        <v>Weight Loss</v>
      </c>
      <c r="M605" t="str">
        <f t="shared" ca="1" si="103"/>
        <v>Active</v>
      </c>
      <c r="N605" s="2">
        <v>46001</v>
      </c>
      <c r="Q605" t="str">
        <f ca="1">IF(RAND()&lt;0.2,
    IF(RAND()&lt;0.5, LOWER(C605), UPPER(C605)),
    C605
)</f>
        <v>Mumbai</v>
      </c>
      <c r="R605" t="str">
        <f t="shared" ca="1" si="106"/>
        <v>20 visits</v>
      </c>
      <c r="S605">
        <f t="shared" ca="1" si="107"/>
        <v>3500</v>
      </c>
      <c r="T605">
        <f t="shared" ca="1" si="108"/>
        <v>45047</v>
      </c>
      <c r="U605" s="2">
        <f t="shared" ca="1" si="109"/>
        <v>46001</v>
      </c>
    </row>
    <row r="606" spans="1:21">
      <c r="A606" t="str">
        <f t="shared" si="105"/>
        <v>MEM0605</v>
      </c>
      <c r="B606" t="str">
        <f ca="1">INDEX('Name pool'!A:A, RANDBETWEEN(2, COUNTA('Name pool'!A:A))) &amp; " " &amp; INDEX('Name pool'!B:B, RANDBETWEEN(2, COUNTA('Name pool'!B:B)))</f>
        <v>Lakshmi Fernandes</v>
      </c>
      <c r="C606" t="s">
        <v>83</v>
      </c>
      <c r="D606" t="str">
        <f t="shared" ca="1" si="104"/>
        <v>BR04</v>
      </c>
      <c r="E606" t="str">
        <f t="shared" ca="1" si="99"/>
        <v>Premium</v>
      </c>
      <c r="F606" s="2">
        <v>45155</v>
      </c>
      <c r="G606" s="2">
        <v>45245</v>
      </c>
      <c r="H606">
        <v>3500</v>
      </c>
      <c r="I606">
        <f t="shared" ca="1" si="100"/>
        <v>42000</v>
      </c>
      <c r="J606" t="s">
        <v>122</v>
      </c>
      <c r="K606" t="str">
        <f t="shared" ca="1" si="101"/>
        <v>Yes</v>
      </c>
      <c r="L606" t="str">
        <f t="shared" ca="1" si="102"/>
        <v>Muscle Gain</v>
      </c>
      <c r="M606" t="str">
        <f t="shared" ca="1" si="103"/>
        <v>Active</v>
      </c>
      <c r="N606" s="2">
        <v>45237</v>
      </c>
      <c r="Q606" t="str">
        <f ca="1">IF(RAND()&lt;0.2,
    IF(RAND()&lt;0.5, LOWER(C606), UPPER(C606)),
    C606
)</f>
        <v>Trivandrum</v>
      </c>
      <c r="R606" t="str">
        <f t="shared" ca="1" si="106"/>
        <v>25 visits</v>
      </c>
      <c r="S606">
        <f t="shared" ca="1" si="107"/>
        <v>3500</v>
      </c>
      <c r="T606">
        <f t="shared" ca="1" si="108"/>
        <v>45108</v>
      </c>
      <c r="U606" s="2">
        <f t="shared" ca="1" si="109"/>
        <v>45237</v>
      </c>
    </row>
    <row r="607" spans="1:21">
      <c r="A607" t="str">
        <f t="shared" si="105"/>
        <v>MEM0606</v>
      </c>
      <c r="B607" t="str">
        <f ca="1">INDEX('Name pool'!A:A, RANDBETWEEN(2, COUNTA('Name pool'!A:A))) &amp; " " &amp; INDEX('Name pool'!B:B, RANDBETWEEN(2, COUNTA('Name pool'!B:B)))</f>
        <v>Ankit Fernandes</v>
      </c>
      <c r="C607" t="s">
        <v>81</v>
      </c>
      <c r="D607" t="str">
        <f t="shared" ca="1" si="104"/>
        <v>BR07</v>
      </c>
      <c r="E607" t="str">
        <f t="shared" ca="1" si="99"/>
        <v>Premium</v>
      </c>
      <c r="F607" s="2">
        <v>45251</v>
      </c>
      <c r="G607" s="2">
        <v>45281</v>
      </c>
      <c r="H607" t="s">
        <v>108</v>
      </c>
      <c r="I607">
        <f t="shared" ca="1" si="100"/>
        <v>5000</v>
      </c>
      <c r="J607">
        <v>20</v>
      </c>
      <c r="K607" t="str">
        <f t="shared" ca="1" si="101"/>
        <v>No</v>
      </c>
      <c r="L607" t="str">
        <f t="shared" ca="1" si="102"/>
        <v>General Fitness</v>
      </c>
      <c r="M607" t="str">
        <f t="shared" ca="1" si="103"/>
        <v>Active</v>
      </c>
      <c r="N607" s="2">
        <v>45642</v>
      </c>
      <c r="Q607" t="str">
        <f ca="1">IF(RAND()&lt;0.2,
    IF(RAND()&lt;0.5, LOWER(C607), UPPER(C607)),
    C607
)</f>
        <v>Mumbai</v>
      </c>
      <c r="R607">
        <f t="shared" ca="1" si="106"/>
        <v>20</v>
      </c>
      <c r="S607" t="str">
        <f t="shared" ca="1" si="107"/>
        <v>1000</v>
      </c>
      <c r="T607">
        <f t="shared" ca="1" si="108"/>
        <v>45130</v>
      </c>
      <c r="U607" s="2">
        <f t="shared" ca="1" si="109"/>
        <v>45642</v>
      </c>
    </row>
    <row r="608" spans="1:21">
      <c r="A608" t="str">
        <f t="shared" si="105"/>
        <v>MEM0607</v>
      </c>
      <c r="B608" t="str">
        <f ca="1">INDEX('Name pool'!A:A, RANDBETWEEN(2, COUNTA('Name pool'!A:A))) &amp; " " &amp; INDEX('Name pool'!B:B, RANDBETWEEN(2, COUNTA('Name pool'!B:B)))</f>
        <v>Tanvi Singh</v>
      </c>
      <c r="C608" t="s">
        <v>79</v>
      </c>
      <c r="D608" t="str">
        <f t="shared" ca="1" si="104"/>
        <v>BR02</v>
      </c>
      <c r="E608" t="str">
        <f t="shared" ca="1" si="99"/>
        <v>Standard</v>
      </c>
      <c r="F608" s="2">
        <v>45720</v>
      </c>
      <c r="G608" s="2">
        <v>46085</v>
      </c>
      <c r="H608">
        <v>2000</v>
      </c>
      <c r="I608">
        <f t="shared" ca="1" si="100"/>
        <v>20000</v>
      </c>
      <c r="J608" t="s">
        <v>135</v>
      </c>
      <c r="K608" t="str">
        <f t="shared" ca="1" si="101"/>
        <v>No</v>
      </c>
      <c r="L608" t="str">
        <f t="shared" ca="1" si="102"/>
        <v>Muscle Gain</v>
      </c>
      <c r="M608" t="str">
        <f t="shared" ca="1" si="103"/>
        <v>Active</v>
      </c>
      <c r="N608" s="2">
        <v>46065</v>
      </c>
      <c r="Q608" t="str">
        <f ca="1">IF(RAND()&lt;0.2,
    IF(RAND()&lt;0.5, LOWER(C608), UPPER(C608)),
    C608
)</f>
        <v>Hyderabad</v>
      </c>
      <c r="R608" t="str">
        <f t="shared" ca="1" si="106"/>
        <v>16 visits</v>
      </c>
      <c r="S608">
        <f t="shared" ca="1" si="107"/>
        <v>2000</v>
      </c>
      <c r="T608">
        <f t="shared" ca="1" si="108"/>
        <v>45888</v>
      </c>
      <c r="U608" s="2">
        <f t="shared" ca="1" si="109"/>
        <v>46065</v>
      </c>
    </row>
    <row r="609" spans="1:21">
      <c r="A609" t="str">
        <f t="shared" si="105"/>
        <v>MEM0608</v>
      </c>
      <c r="B609" t="str">
        <f ca="1">INDEX('Name pool'!A:A, RANDBETWEEN(2, COUNTA('Name pool'!A:A))) &amp; " " &amp; INDEX('Name pool'!B:B, RANDBETWEEN(2, COUNTA('Name pool'!B:B)))</f>
        <v>Kavya Kulkarni</v>
      </c>
      <c r="C609" t="s">
        <v>75</v>
      </c>
      <c r="D609" t="str">
        <f t="shared" ca="1" si="104"/>
        <v>BR02</v>
      </c>
      <c r="E609" t="str">
        <f t="shared" ca="1" si="99"/>
        <v>Basic</v>
      </c>
      <c r="F609" s="2">
        <v>45189</v>
      </c>
      <c r="G609" s="2">
        <v>45279</v>
      </c>
      <c r="H609">
        <v>3500</v>
      </c>
      <c r="I609">
        <f t="shared" ca="1" si="100"/>
        <v>28000</v>
      </c>
      <c r="J609" t="s">
        <v>127</v>
      </c>
      <c r="K609" t="str">
        <f t="shared" ca="1" si="101"/>
        <v>No</v>
      </c>
      <c r="L609" t="str">
        <f t="shared" ca="1" si="102"/>
        <v>Weight Loss</v>
      </c>
      <c r="M609" t="str">
        <f t="shared" ca="1" si="103"/>
        <v>Active</v>
      </c>
      <c r="N609" s="2">
        <v>45273</v>
      </c>
      <c r="Q609" t="str">
        <f ca="1">IF(RAND()&lt;0.2,
    IF(RAND()&lt;0.5, LOWER(C609), UPPER(C609)),
    C609
)</f>
        <v>BANGALORE</v>
      </c>
      <c r="R609" t="str">
        <f t="shared" ca="1" si="106"/>
        <v>19 visits</v>
      </c>
      <c r="S609">
        <f t="shared" ca="1" si="107"/>
        <v>3500</v>
      </c>
      <c r="T609">
        <f t="shared" ca="1" si="108"/>
        <v>45726</v>
      </c>
      <c r="U609" s="2">
        <f t="shared" ca="1" si="109"/>
        <v>45273</v>
      </c>
    </row>
    <row r="610" spans="1:21">
      <c r="A610" t="str">
        <f t="shared" si="105"/>
        <v>MEM0609</v>
      </c>
      <c r="B610" t="str">
        <f ca="1">INDEX('Name pool'!A:A, RANDBETWEEN(2, COUNTA('Name pool'!A:A))) &amp; " " &amp; INDEX('Name pool'!B:B, RANDBETWEEN(2, COUNTA('Name pool'!B:B)))</f>
        <v>Nisha Bhat</v>
      </c>
      <c r="C610" t="s">
        <v>83</v>
      </c>
      <c r="D610" t="str">
        <f t="shared" ca="1" si="104"/>
        <v>BR07</v>
      </c>
      <c r="E610" t="str">
        <f t="shared" ref="E610:E673" ca="1" si="110">CHOOSE(RANDBETWEEN(1,3),"Basic","Standard","Premium")</f>
        <v>Premium</v>
      </c>
      <c r="F610" s="2">
        <v>46041</v>
      </c>
      <c r="G610" s="2">
        <v>46071</v>
      </c>
      <c r="H610">
        <v>3500</v>
      </c>
      <c r="I610">
        <f t="shared" ref="I610:I673" ca="1" si="111">H610 * RANDBETWEEN(1,12)</f>
        <v>7000</v>
      </c>
      <c r="J610">
        <v>20</v>
      </c>
      <c r="K610" t="str">
        <f t="shared" ref="K610:K673" ca="1" si="112">CHOOSE(RANDBETWEEN(1,2),"Yes","No")</f>
        <v>No</v>
      </c>
      <c r="L610" t="str">
        <f t="shared" ref="L610:L673" ca="1" si="113">CHOOSE(RANDBETWEEN(1,3),"Weight Loss","Muscle Gain","General Fitness")</f>
        <v>Weight Loss</v>
      </c>
      <c r="M610" t="str">
        <f t="shared" ref="M610:M673" ca="1" si="114">IF(J610&lt;5,IF(RANDBETWEEN(1,100)&lt;70,"Cancelled","Active"),"Active")</f>
        <v>Active</v>
      </c>
      <c r="N610" s="2">
        <v>46082</v>
      </c>
      <c r="Q610" t="str">
        <f ca="1">IF(RAND()&lt;0.2,
    IF(RAND()&lt;0.5, LOWER(C610), UPPER(C610)),
    C610
)</f>
        <v>TRIVANDRUM</v>
      </c>
      <c r="R610">
        <f t="shared" ca="1" si="106"/>
        <v>20</v>
      </c>
      <c r="S610">
        <f t="shared" ca="1" si="107"/>
        <v>3500</v>
      </c>
      <c r="T610">
        <f t="shared" ca="1" si="108"/>
        <v>45173</v>
      </c>
      <c r="U610" s="2">
        <f t="shared" ca="1" si="109"/>
        <v>46082</v>
      </c>
    </row>
    <row r="611" spans="1:21">
      <c r="A611" t="str">
        <f t="shared" si="105"/>
        <v>MEM0610</v>
      </c>
      <c r="B611" t="str">
        <f ca="1">INDEX('Name pool'!A:A, RANDBETWEEN(2, COUNTA('Name pool'!A:A))) &amp; " " &amp; INDEX('Name pool'!B:B, RANDBETWEEN(2, COUNTA('Name pool'!B:B)))</f>
        <v>Aditya Joshi</v>
      </c>
      <c r="C611" t="s">
        <v>77</v>
      </c>
      <c r="D611" t="str">
        <f t="shared" ca="1" si="104"/>
        <v>BR07</v>
      </c>
      <c r="E611" t="str">
        <f t="shared" ca="1" si="110"/>
        <v>Basic</v>
      </c>
      <c r="F611" s="2">
        <v>45629</v>
      </c>
      <c r="G611" s="2">
        <v>45659</v>
      </c>
      <c r="H611">
        <v>2000</v>
      </c>
      <c r="I611">
        <f t="shared" ca="1" si="111"/>
        <v>10000</v>
      </c>
      <c r="J611">
        <v>1</v>
      </c>
      <c r="K611" t="str">
        <f t="shared" ca="1" si="112"/>
        <v>No</v>
      </c>
      <c r="L611" t="str">
        <f t="shared" ca="1" si="113"/>
        <v>Weight Loss</v>
      </c>
      <c r="M611" t="str">
        <f t="shared" ca="1" si="114"/>
        <v>Cancelled</v>
      </c>
      <c r="N611" s="2">
        <v>45664</v>
      </c>
      <c r="Q611" t="str">
        <f ca="1">IF(RAND()&lt;0.2,
    IF(RAND()&lt;0.5, LOWER(C611), UPPER(C611)),
    C611
)</f>
        <v>Chennai</v>
      </c>
      <c r="R611">
        <f t="shared" ca="1" si="106"/>
        <v>1</v>
      </c>
      <c r="S611">
        <f t="shared" ca="1" si="107"/>
        <v>2000</v>
      </c>
      <c r="T611">
        <f t="shared" ca="1" si="108"/>
        <v>46031</v>
      </c>
      <c r="U611" s="2">
        <f t="shared" ca="1" si="109"/>
        <v>45677</v>
      </c>
    </row>
    <row r="612" spans="1:21">
      <c r="A612" t="str">
        <f t="shared" si="105"/>
        <v>MEM0611</v>
      </c>
      <c r="B612" t="str">
        <f ca="1">INDEX('Name pool'!A:A, RANDBETWEEN(2, COUNTA('Name pool'!A:A))) &amp; " " &amp; INDEX('Name pool'!B:B, RANDBETWEEN(2, COUNTA('Name pool'!B:B)))</f>
        <v>Fatima Das</v>
      </c>
      <c r="C612" t="s">
        <v>131</v>
      </c>
      <c r="D612" t="str">
        <f t="shared" ca="1" si="104"/>
        <v>BR03</v>
      </c>
      <c r="E612" t="str">
        <f t="shared" ca="1" si="110"/>
        <v>Standard</v>
      </c>
      <c r="F612" s="2">
        <v>45927</v>
      </c>
      <c r="G612" s="2">
        <v>45957</v>
      </c>
      <c r="H612" t="s">
        <v>105</v>
      </c>
      <c r="I612">
        <f t="shared" ca="1" si="111"/>
        <v>7000</v>
      </c>
      <c r="J612">
        <v>12</v>
      </c>
      <c r="K612" t="str">
        <f t="shared" ca="1" si="112"/>
        <v>Yes</v>
      </c>
      <c r="L612" t="str">
        <f t="shared" ca="1" si="113"/>
        <v>Weight Loss</v>
      </c>
      <c r="M612" t="str">
        <f t="shared" ca="1" si="114"/>
        <v>Active</v>
      </c>
      <c r="N612" s="2">
        <v>46061</v>
      </c>
      <c r="Q612" t="str">
        <f ca="1">IF(RAND()&lt;0.2,
    IF(RAND()&lt;0.5, LOWER(C612), UPPER(C612)),
    C612
)</f>
        <v>BANGALORE</v>
      </c>
      <c r="R612">
        <f t="shared" ca="1" si="106"/>
        <v>12</v>
      </c>
      <c r="S612" t="str">
        <f t="shared" ca="1" si="107"/>
        <v>3500</v>
      </c>
      <c r="T612">
        <f t="shared" ca="1" si="108"/>
        <v>45406</v>
      </c>
      <c r="U612" s="2">
        <f t="shared" ca="1" si="109"/>
        <v>46061</v>
      </c>
    </row>
    <row r="613" spans="1:21">
      <c r="A613" t="str">
        <f t="shared" si="105"/>
        <v>MEM0612</v>
      </c>
      <c r="B613" t="str">
        <f ca="1">INDEX('Name pool'!A:A, RANDBETWEEN(2, COUNTA('Name pool'!A:A))) &amp; " " &amp; INDEX('Name pool'!B:B, RANDBETWEEN(2, COUNTA('Name pool'!B:B)))</f>
        <v>Priya Shaikh</v>
      </c>
      <c r="C613" t="s">
        <v>81</v>
      </c>
      <c r="D613" t="str">
        <f t="shared" ca="1" si="104"/>
        <v>BR05</v>
      </c>
      <c r="E613" t="str">
        <f t="shared" ca="1" si="110"/>
        <v>Basic</v>
      </c>
      <c r="F613" s="2">
        <v>45437</v>
      </c>
      <c r="G613" s="2">
        <v>45467</v>
      </c>
      <c r="H613">
        <v>2000</v>
      </c>
      <c r="I613">
        <f t="shared" ca="1" si="111"/>
        <v>20000</v>
      </c>
      <c r="J613">
        <v>1</v>
      </c>
      <c r="K613" t="str">
        <f t="shared" ca="1" si="112"/>
        <v>Yes</v>
      </c>
      <c r="L613" t="str">
        <f t="shared" ca="1" si="113"/>
        <v>Muscle Gain</v>
      </c>
      <c r="M613" t="str">
        <f t="shared" ca="1" si="114"/>
        <v>Cancelled</v>
      </c>
      <c r="N613" s="2">
        <v>45457</v>
      </c>
      <c r="Q613" t="str">
        <f ca="1">IF(RAND()&lt;0.2,
    IF(RAND()&lt;0.5, LOWER(C613), UPPER(C613)),
    C613
)</f>
        <v>MUMBAI</v>
      </c>
      <c r="R613">
        <f t="shared" ca="1" si="106"/>
        <v>1</v>
      </c>
      <c r="S613" t="str">
        <f t="shared" ca="1" si="107"/>
        <v>2000</v>
      </c>
      <c r="T613">
        <f t="shared" ca="1" si="108"/>
        <v>45811</v>
      </c>
      <c r="U613" s="2">
        <f t="shared" ca="1" si="109"/>
        <v>45464</v>
      </c>
    </row>
    <row r="614" spans="1:21">
      <c r="A614" t="str">
        <f t="shared" si="105"/>
        <v>MEM0613</v>
      </c>
      <c r="B614" t="str">
        <f ca="1">INDEX('Name pool'!A:A, RANDBETWEEN(2, COUNTA('Name pool'!A:A))) &amp; " " &amp; INDEX('Name pool'!B:B, RANDBETWEEN(2, COUNTA('Name pool'!B:B)))</f>
        <v>Varun Thomas</v>
      </c>
      <c r="C614" t="s">
        <v>119</v>
      </c>
      <c r="D614" t="str">
        <f t="shared" ca="1" si="104"/>
        <v>BR06</v>
      </c>
      <c r="E614" t="str">
        <f t="shared" ca="1" si="110"/>
        <v>Standard</v>
      </c>
      <c r="F614" s="2">
        <v>45253</v>
      </c>
      <c r="G614" s="2">
        <v>45343</v>
      </c>
      <c r="H614" t="s">
        <v>120</v>
      </c>
      <c r="I614">
        <f t="shared" ca="1" si="111"/>
        <v>4000</v>
      </c>
      <c r="J614">
        <v>12</v>
      </c>
      <c r="K614" t="str">
        <f t="shared" ca="1" si="112"/>
        <v>Yes</v>
      </c>
      <c r="L614" t="str">
        <f t="shared" ca="1" si="113"/>
        <v>Muscle Gain</v>
      </c>
      <c r="M614" t="str">
        <f t="shared" ca="1" si="114"/>
        <v>Active</v>
      </c>
      <c r="N614" s="2">
        <v>46071</v>
      </c>
      <c r="Q614" t="str">
        <f ca="1">IF(RAND()&lt;0.2,
    IF(RAND()&lt;0.5, LOWER(C614), UPPER(C614)),
    C614
)</f>
        <v>BANGALORE</v>
      </c>
      <c r="R614">
        <f t="shared" ca="1" si="106"/>
        <v>12</v>
      </c>
      <c r="S614" t="str">
        <f t="shared" ca="1" si="107"/>
        <v>2000</v>
      </c>
      <c r="T614">
        <f t="shared" ca="1" si="108"/>
        <v>45602</v>
      </c>
      <c r="U614" s="2">
        <f t="shared" ca="1" si="109"/>
        <v>46071</v>
      </c>
    </row>
    <row r="615" spans="1:21">
      <c r="A615" t="str">
        <f t="shared" si="105"/>
        <v>MEM0614</v>
      </c>
      <c r="B615" t="str">
        <f ca="1">INDEX('Name pool'!A:A, RANDBETWEEN(2, COUNTA('Name pool'!A:A))) &amp; " " &amp; INDEX('Name pool'!B:B, RANDBETWEEN(2, COUNTA('Name pool'!B:B)))</f>
        <v>Swathi Khan</v>
      </c>
      <c r="C615" t="s">
        <v>116</v>
      </c>
      <c r="D615" t="str">
        <f t="shared" ca="1" si="104"/>
        <v>BR01</v>
      </c>
      <c r="E615" t="str">
        <f t="shared" ca="1" si="110"/>
        <v>Premium</v>
      </c>
      <c r="F615" s="2">
        <v>46031</v>
      </c>
      <c r="G615" s="2">
        <v>46121</v>
      </c>
      <c r="H615" t="s">
        <v>105</v>
      </c>
      <c r="I615">
        <f t="shared" ca="1" si="111"/>
        <v>24500</v>
      </c>
      <c r="J615">
        <v>15</v>
      </c>
      <c r="K615" t="str">
        <f t="shared" ca="1" si="112"/>
        <v>No</v>
      </c>
      <c r="L615" t="str">
        <f t="shared" ca="1" si="113"/>
        <v>Weight Loss</v>
      </c>
      <c r="M615" t="str">
        <f t="shared" ca="1" si="114"/>
        <v>Active</v>
      </c>
      <c r="N615" s="2">
        <v>46077</v>
      </c>
      <c r="Q615" t="str">
        <f ca="1">IF(RAND()&lt;0.2,
    IF(RAND()&lt;0.5, LOWER(C615), UPPER(C615)),
    C615
)</f>
        <v>kochi</v>
      </c>
      <c r="R615">
        <f t="shared" ca="1" si="106"/>
        <v>15</v>
      </c>
      <c r="S615" t="str">
        <f t="shared" ca="1" si="107"/>
        <v>3500</v>
      </c>
      <c r="T615">
        <f t="shared" ca="1" si="108"/>
        <v>45641</v>
      </c>
      <c r="U615" s="2">
        <f t="shared" ca="1" si="109"/>
        <v>46077</v>
      </c>
    </row>
    <row r="616" spans="1:21">
      <c r="A616" t="str">
        <f t="shared" si="105"/>
        <v>MEM0615</v>
      </c>
      <c r="B616" t="str">
        <f ca="1">INDEX('Name pool'!A:A, RANDBETWEEN(2, COUNTA('Name pool'!A:A))) &amp; " " &amp; INDEX('Name pool'!B:B, RANDBETWEEN(2, COUNTA('Name pool'!B:B)))</f>
        <v>Aditya Lewis</v>
      </c>
      <c r="C616" t="s">
        <v>77</v>
      </c>
      <c r="D616" t="str">
        <f t="shared" ca="1" si="104"/>
        <v>BR01</v>
      </c>
      <c r="E616" t="str">
        <f t="shared" ca="1" si="110"/>
        <v>Standard</v>
      </c>
      <c r="F616" s="2">
        <v>45319</v>
      </c>
      <c r="G616" s="2">
        <v>45684</v>
      </c>
      <c r="H616">
        <v>3500</v>
      </c>
      <c r="I616">
        <f t="shared" ca="1" si="111"/>
        <v>21000</v>
      </c>
      <c r="J616">
        <v>13</v>
      </c>
      <c r="K616" t="str">
        <f t="shared" ca="1" si="112"/>
        <v>Yes</v>
      </c>
      <c r="L616" t="str">
        <f t="shared" ca="1" si="113"/>
        <v>Weight Loss</v>
      </c>
      <c r="M616" t="str">
        <f t="shared" ca="1" si="114"/>
        <v>Active</v>
      </c>
      <c r="N616" s="2">
        <v>45628</v>
      </c>
      <c r="Q616" t="str">
        <f ca="1">IF(RAND()&lt;0.2,
    IF(RAND()&lt;0.5, LOWER(C616), UPPER(C616)),
    C616
)</f>
        <v>CHENNAI</v>
      </c>
      <c r="R616">
        <f t="shared" ca="1" si="106"/>
        <v>13</v>
      </c>
      <c r="S616">
        <f t="shared" ca="1" si="107"/>
        <v>3500</v>
      </c>
      <c r="T616">
        <f t="shared" ca="1" si="108"/>
        <v>44975</v>
      </c>
      <c r="U616" s="2">
        <f t="shared" ca="1" si="109"/>
        <v>45628</v>
      </c>
    </row>
    <row r="617" spans="1:21">
      <c r="A617" t="str">
        <f t="shared" si="105"/>
        <v>MEM0616</v>
      </c>
      <c r="B617" t="str">
        <f ca="1">INDEX('Name pool'!A:A, RANDBETWEEN(2, COUNTA('Name pool'!A:A))) &amp; " " &amp; INDEX('Name pool'!B:B, RANDBETWEEN(2, COUNTA('Name pool'!B:B)))</f>
        <v>Ayesha Sharma</v>
      </c>
      <c r="C617" t="s">
        <v>85</v>
      </c>
      <c r="D617" t="str">
        <f t="shared" ca="1" si="104"/>
        <v>BR02</v>
      </c>
      <c r="E617" t="str">
        <f t="shared" ca="1" si="110"/>
        <v>Standard</v>
      </c>
      <c r="F617" s="2">
        <v>45528</v>
      </c>
      <c r="G617" s="2">
        <v>45558</v>
      </c>
      <c r="H617">
        <v>1000</v>
      </c>
      <c r="I617">
        <f t="shared" ca="1" si="111"/>
        <v>8000</v>
      </c>
      <c r="J617">
        <v>0</v>
      </c>
      <c r="K617" t="str">
        <f t="shared" ca="1" si="112"/>
        <v>No</v>
      </c>
      <c r="L617" t="str">
        <f t="shared" ca="1" si="113"/>
        <v>Weight Loss</v>
      </c>
      <c r="M617" t="str">
        <f t="shared" ca="1" si="114"/>
        <v>Active</v>
      </c>
      <c r="N617" s="2">
        <v>45559</v>
      </c>
      <c r="Q617" t="str">
        <f ca="1">IF(RAND()&lt;0.2,
    IF(RAND()&lt;0.5, LOWER(C617), UPPER(C617)),
    C617
)</f>
        <v>Calicut</v>
      </c>
      <c r="R617">
        <f t="shared" ca="1" si="106"/>
        <v>0</v>
      </c>
      <c r="S617">
        <f t="shared" ca="1" si="107"/>
        <v>1000</v>
      </c>
      <c r="T617">
        <f t="shared" ca="1" si="108"/>
        <v>46022</v>
      </c>
      <c r="U617" s="2">
        <f t="shared" ca="1" si="109"/>
        <v>45559</v>
      </c>
    </row>
    <row r="618" spans="1:21">
      <c r="A618" t="str">
        <f t="shared" si="105"/>
        <v>MEM0617</v>
      </c>
      <c r="B618" t="str">
        <f ca="1">INDEX('Name pool'!A:A, RANDBETWEEN(2, COUNTA('Name pool'!A:A))) &amp; " " &amp; INDEX('Name pool'!B:B, RANDBETWEEN(2, COUNTA('Name pool'!B:B)))</f>
        <v>Ishita Shetty</v>
      </c>
      <c r="C618" t="s">
        <v>83</v>
      </c>
      <c r="D618" t="str">
        <f t="shared" ca="1" si="104"/>
        <v>BR02</v>
      </c>
      <c r="E618" t="str">
        <f t="shared" ca="1" si="110"/>
        <v>Basic</v>
      </c>
      <c r="F618" s="2">
        <v>45248</v>
      </c>
      <c r="G618" s="2">
        <v>45278</v>
      </c>
      <c r="H618">
        <v>2000</v>
      </c>
      <c r="I618">
        <f t="shared" ca="1" si="111"/>
        <v>16000</v>
      </c>
      <c r="J618" t="s">
        <v>142</v>
      </c>
      <c r="K618" t="str">
        <f t="shared" ca="1" si="112"/>
        <v>No</v>
      </c>
      <c r="L618" t="str">
        <f t="shared" ca="1" si="113"/>
        <v>General Fitness</v>
      </c>
      <c r="M618" t="str">
        <f t="shared" ca="1" si="114"/>
        <v>Active</v>
      </c>
      <c r="N618" s="2">
        <v>45304</v>
      </c>
      <c r="Q618" t="str">
        <f ca="1">IF(RAND()&lt;0.2,
    IF(RAND()&lt;0.5, LOWER(C618), UPPER(C618)),
    C618
)</f>
        <v>Trivandrum</v>
      </c>
      <c r="R618" t="str">
        <f t="shared" ca="1" si="106"/>
        <v>24 visits</v>
      </c>
      <c r="S618">
        <f t="shared" ca="1" si="107"/>
        <v>2000</v>
      </c>
      <c r="T618">
        <f t="shared" ca="1" si="108"/>
        <v>45376</v>
      </c>
      <c r="U618" s="2">
        <f t="shared" ca="1" si="109"/>
        <v>45304</v>
      </c>
    </row>
    <row r="619" spans="1:21">
      <c r="A619" t="str">
        <f t="shared" si="105"/>
        <v>MEM0618</v>
      </c>
      <c r="B619" t="str">
        <f ca="1">INDEX('Name pool'!A:A, RANDBETWEEN(2, COUNTA('Name pool'!A:A))) &amp; " " &amp; INDEX('Name pool'!B:B, RANDBETWEEN(2, COUNTA('Name pool'!B:B)))</f>
        <v>Zara Banerjee</v>
      </c>
      <c r="C619" t="s">
        <v>85</v>
      </c>
      <c r="D619" t="str">
        <f t="shared" ca="1" si="104"/>
        <v>BR03</v>
      </c>
      <c r="E619" t="str">
        <f t="shared" ca="1" si="110"/>
        <v>Basic</v>
      </c>
      <c r="F619" s="2">
        <v>45843</v>
      </c>
      <c r="G619" s="2">
        <v>46208</v>
      </c>
      <c r="H619">
        <v>1000</v>
      </c>
      <c r="I619">
        <f t="shared" ca="1" si="111"/>
        <v>1000</v>
      </c>
      <c r="J619">
        <v>9</v>
      </c>
      <c r="K619" t="str">
        <f t="shared" ca="1" si="112"/>
        <v>No</v>
      </c>
      <c r="L619" t="str">
        <f t="shared" ca="1" si="113"/>
        <v>General Fitness</v>
      </c>
      <c r="M619" t="str">
        <f t="shared" ca="1" si="114"/>
        <v>Active</v>
      </c>
      <c r="N619" s="2">
        <v>45943</v>
      </c>
      <c r="Q619" t="str">
        <f ca="1">IF(RAND()&lt;0.2,
    IF(RAND()&lt;0.5, LOWER(C619), UPPER(C619)),
    C619
)</f>
        <v>calicut</v>
      </c>
      <c r="R619">
        <f t="shared" ca="1" si="106"/>
        <v>9</v>
      </c>
      <c r="S619">
        <f t="shared" ca="1" si="107"/>
        <v>1000</v>
      </c>
      <c r="T619">
        <f t="shared" ca="1" si="108"/>
        <v>45812</v>
      </c>
      <c r="U619" s="2">
        <f t="shared" ca="1" si="109"/>
        <v>45943</v>
      </c>
    </row>
    <row r="620" spans="1:21">
      <c r="A620" t="str">
        <f t="shared" si="105"/>
        <v>MEM0619</v>
      </c>
      <c r="B620" t="str">
        <f ca="1">INDEX('Name pool'!A:A, RANDBETWEEN(2, COUNTA('Name pool'!A:A))) &amp; " " &amp; INDEX('Name pool'!B:B, RANDBETWEEN(2, COUNTA('Name pool'!B:B)))</f>
        <v>Varun Das</v>
      </c>
      <c r="C620" t="s">
        <v>77</v>
      </c>
      <c r="D620" t="str">
        <f t="shared" ca="1" si="104"/>
        <v>BR02</v>
      </c>
      <c r="E620" t="str">
        <f t="shared" ca="1" si="110"/>
        <v>Premium</v>
      </c>
      <c r="F620" s="2">
        <v>44937</v>
      </c>
      <c r="G620" s="2">
        <v>45027</v>
      </c>
      <c r="H620">
        <v>1000</v>
      </c>
      <c r="I620">
        <f t="shared" ca="1" si="111"/>
        <v>4000</v>
      </c>
      <c r="J620">
        <v>15</v>
      </c>
      <c r="K620" t="str">
        <f t="shared" ca="1" si="112"/>
        <v>No</v>
      </c>
      <c r="L620" t="str">
        <f t="shared" ca="1" si="113"/>
        <v>Weight Loss</v>
      </c>
      <c r="M620" t="str">
        <f t="shared" ca="1" si="114"/>
        <v>Active</v>
      </c>
      <c r="N620" s="2">
        <v>45792</v>
      </c>
      <c r="Q620" t="str">
        <f ca="1">IF(RAND()&lt;0.2,
    IF(RAND()&lt;0.5, LOWER(C620), UPPER(C620)),
    C620
)</f>
        <v>chennai</v>
      </c>
      <c r="R620" t="str">
        <f t="shared" ca="1" si="106"/>
        <v>15 visits</v>
      </c>
      <c r="S620">
        <f t="shared" ca="1" si="107"/>
        <v>1000</v>
      </c>
      <c r="T620">
        <f t="shared" ca="1" si="108"/>
        <v>45495</v>
      </c>
      <c r="U620" s="2">
        <f t="shared" ca="1" si="109"/>
        <v>45792</v>
      </c>
    </row>
    <row r="621" spans="1:21">
      <c r="A621" t="str">
        <f t="shared" si="105"/>
        <v>MEM0620</v>
      </c>
      <c r="B621" t="str">
        <f ca="1">INDEX('Name pool'!A:A, RANDBETWEEN(2, COUNTA('Name pool'!A:A))) &amp; " " &amp; INDEX('Name pool'!B:B, RANDBETWEEN(2, COUNTA('Name pool'!B:B)))</f>
        <v>Akash Yadav</v>
      </c>
      <c r="C621" t="s">
        <v>75</v>
      </c>
      <c r="D621" t="str">
        <f t="shared" ca="1" si="104"/>
        <v>BR04</v>
      </c>
      <c r="E621" t="str">
        <f t="shared" ca="1" si="110"/>
        <v>Basic</v>
      </c>
      <c r="F621" s="2">
        <v>45052</v>
      </c>
      <c r="G621" s="2">
        <v>45142</v>
      </c>
      <c r="H621">
        <v>2000</v>
      </c>
      <c r="I621">
        <f t="shared" ca="1" si="111"/>
        <v>4000</v>
      </c>
      <c r="J621">
        <v>20</v>
      </c>
      <c r="K621" t="str">
        <f t="shared" ca="1" si="112"/>
        <v>No</v>
      </c>
      <c r="L621" t="str">
        <f t="shared" ca="1" si="113"/>
        <v>Muscle Gain</v>
      </c>
      <c r="M621" t="str">
        <f t="shared" ca="1" si="114"/>
        <v>Active</v>
      </c>
      <c r="N621" s="2">
        <v>46109</v>
      </c>
      <c r="Q621" t="str">
        <f ca="1">IF(RAND()&lt;0.2,
    IF(RAND()&lt;0.5, LOWER(C621), UPPER(C621)),
    C621
)</f>
        <v>Bangalore</v>
      </c>
      <c r="R621">
        <f t="shared" ca="1" si="106"/>
        <v>20</v>
      </c>
      <c r="S621">
        <f t="shared" ca="1" si="107"/>
        <v>2000</v>
      </c>
      <c r="T621">
        <f t="shared" ca="1" si="108"/>
        <v>45821</v>
      </c>
      <c r="U621" s="2">
        <f t="shared" ca="1" si="109"/>
        <v>46109</v>
      </c>
    </row>
    <row r="622" spans="1:21">
      <c r="A622" t="str">
        <f t="shared" si="105"/>
        <v>MEM0621</v>
      </c>
      <c r="B622" t="str">
        <f ca="1">INDEX('Name pool'!A:A, RANDBETWEEN(2, COUNTA('Name pool'!A:A))) &amp; " " &amp; INDEX('Name pool'!B:B, RANDBETWEEN(2, COUNTA('Name pool'!B:B)))</f>
        <v>Harish Varghese</v>
      </c>
      <c r="C622" t="s">
        <v>83</v>
      </c>
      <c r="D622" t="str">
        <f t="shared" ca="1" si="104"/>
        <v>BR03</v>
      </c>
      <c r="E622" t="str">
        <f t="shared" ca="1" si="110"/>
        <v>Premium</v>
      </c>
      <c r="F622" s="2">
        <v>45585</v>
      </c>
      <c r="G622" s="2">
        <v>45615</v>
      </c>
      <c r="H622" t="s">
        <v>105</v>
      </c>
      <c r="I622">
        <f t="shared" ca="1" si="111"/>
        <v>3500</v>
      </c>
      <c r="J622">
        <v>7</v>
      </c>
      <c r="K622" t="str">
        <f t="shared" ca="1" si="112"/>
        <v>No</v>
      </c>
      <c r="L622" t="str">
        <f t="shared" ca="1" si="113"/>
        <v>General Fitness</v>
      </c>
      <c r="M622" t="str">
        <f t="shared" ca="1" si="114"/>
        <v>Active</v>
      </c>
      <c r="N622" s="2">
        <v>45659</v>
      </c>
      <c r="Q622" t="str">
        <f ca="1">IF(RAND()&lt;0.2,
    IF(RAND()&lt;0.5, LOWER(C622), UPPER(C622)),
    C622
)</f>
        <v>Trivandrum</v>
      </c>
      <c r="R622">
        <f t="shared" ca="1" si="106"/>
        <v>7</v>
      </c>
      <c r="S622" t="str">
        <f t="shared" ca="1" si="107"/>
        <v>3500</v>
      </c>
      <c r="T622">
        <f t="shared" ca="1" si="108"/>
        <v>45970</v>
      </c>
      <c r="U622" s="2">
        <f t="shared" ca="1" si="109"/>
        <v>45659</v>
      </c>
    </row>
    <row r="623" spans="1:21">
      <c r="A623" t="str">
        <f t="shared" si="105"/>
        <v>MEM0622</v>
      </c>
      <c r="B623" t="str">
        <f ca="1">INDEX('Name pool'!A:A, RANDBETWEEN(2, COUNTA('Name pool'!A:A))) &amp; " " &amp; INDEX('Name pool'!B:B, RANDBETWEEN(2, COUNTA('Name pool'!B:B)))</f>
        <v>Fatima Kulkarni</v>
      </c>
      <c r="C623" t="s">
        <v>114</v>
      </c>
      <c r="D623" t="str">
        <f t="shared" ca="1" si="104"/>
        <v>BR06</v>
      </c>
      <c r="E623" t="str">
        <f t="shared" ca="1" si="110"/>
        <v>Standard</v>
      </c>
      <c r="F623" s="2">
        <v>45979</v>
      </c>
      <c r="G623" s="2">
        <v>46009</v>
      </c>
      <c r="H623">
        <v>2000</v>
      </c>
      <c r="I623">
        <f t="shared" ca="1" si="111"/>
        <v>8000</v>
      </c>
      <c r="J623">
        <v>10</v>
      </c>
      <c r="K623" t="str">
        <f t="shared" ca="1" si="112"/>
        <v>No</v>
      </c>
      <c r="L623" t="str">
        <f t="shared" ca="1" si="113"/>
        <v>General Fitness</v>
      </c>
      <c r="M623" t="str">
        <f t="shared" ca="1" si="114"/>
        <v>Active</v>
      </c>
      <c r="N623" s="2">
        <v>46022</v>
      </c>
      <c r="Q623" t="str">
        <f ca="1">IF(RAND()&lt;0.2,
    IF(RAND()&lt;0.5, LOWER(C623), UPPER(C623)),
    C623
)</f>
        <v>trivandrum</v>
      </c>
      <c r="R623">
        <f t="shared" ca="1" si="106"/>
        <v>10</v>
      </c>
      <c r="S623">
        <f t="shared" ca="1" si="107"/>
        <v>2000</v>
      </c>
      <c r="T623">
        <f t="shared" ca="1" si="108"/>
        <v>45608</v>
      </c>
      <c r="U623" s="2">
        <f t="shared" ca="1" si="109"/>
        <v>46022</v>
      </c>
    </row>
    <row r="624" spans="1:21">
      <c r="A624" t="str">
        <f t="shared" si="105"/>
        <v>MEM0623</v>
      </c>
      <c r="B624" t="str">
        <f ca="1">INDEX('Name pool'!A:A, RANDBETWEEN(2, COUNTA('Name pool'!A:A))) &amp; " " &amp; INDEX('Name pool'!B:B, RANDBETWEEN(2, COUNTA('Name pool'!B:B)))</f>
        <v>Anjali Kulkarni</v>
      </c>
      <c r="C624" t="s">
        <v>123</v>
      </c>
      <c r="D624" t="str">
        <f t="shared" ca="1" si="104"/>
        <v>BR05</v>
      </c>
      <c r="E624" t="str">
        <f t="shared" ca="1" si="110"/>
        <v>Standard</v>
      </c>
      <c r="F624" s="2">
        <v>45595</v>
      </c>
      <c r="G624" s="2">
        <v>45960</v>
      </c>
      <c r="H624">
        <v>2000</v>
      </c>
      <c r="I624">
        <f t="shared" ca="1" si="111"/>
        <v>4000</v>
      </c>
      <c r="J624">
        <v>21</v>
      </c>
      <c r="K624" t="str">
        <f t="shared" ca="1" si="112"/>
        <v>Yes</v>
      </c>
      <c r="L624" t="str">
        <f t="shared" ca="1" si="113"/>
        <v>Muscle Gain</v>
      </c>
      <c r="M624" t="str">
        <f t="shared" ca="1" si="114"/>
        <v>Active</v>
      </c>
      <c r="N624" s="2">
        <v>45927</v>
      </c>
      <c r="Q624" t="str">
        <f ca="1">IF(RAND()&lt;0.2,
    IF(RAND()&lt;0.5, LOWER(C624), UPPER(C624)),
    C624
)</f>
        <v>kochi</v>
      </c>
      <c r="R624" t="str">
        <f t="shared" ca="1" si="106"/>
        <v>21 visits</v>
      </c>
      <c r="S624">
        <f t="shared" ca="1" si="107"/>
        <v>2000</v>
      </c>
      <c r="T624">
        <f t="shared" ca="1" si="108"/>
        <v>45345</v>
      </c>
      <c r="U624" s="2">
        <f t="shared" ca="1" si="109"/>
        <v>45927</v>
      </c>
    </row>
    <row r="625" spans="1:21">
      <c r="A625" t="str">
        <f t="shared" si="105"/>
        <v>MEM0624</v>
      </c>
      <c r="B625" t="str">
        <f ca="1">INDEX('Name pool'!A:A, RANDBETWEEN(2, COUNTA('Name pool'!A:A))) &amp; " " &amp; INDEX('Name pool'!B:B, RANDBETWEEN(2, COUNTA('Name pool'!B:B)))</f>
        <v>Tanvi Fernandes</v>
      </c>
      <c r="C625" t="s">
        <v>77</v>
      </c>
      <c r="D625" t="str">
        <f t="shared" ca="1" si="104"/>
        <v>BR02</v>
      </c>
      <c r="E625" t="str">
        <f t="shared" ca="1" si="110"/>
        <v>Premium</v>
      </c>
      <c r="F625" s="2">
        <v>44934</v>
      </c>
      <c r="G625" s="2">
        <v>44964</v>
      </c>
      <c r="H625">
        <v>2000</v>
      </c>
      <c r="I625">
        <f t="shared" ca="1" si="111"/>
        <v>16000</v>
      </c>
      <c r="J625">
        <v>6</v>
      </c>
      <c r="K625" t="str">
        <f t="shared" ca="1" si="112"/>
        <v>No</v>
      </c>
      <c r="L625" t="str">
        <f t="shared" ca="1" si="113"/>
        <v>General Fitness</v>
      </c>
      <c r="M625" t="str">
        <f t="shared" ca="1" si="114"/>
        <v>Active</v>
      </c>
      <c r="N625" s="2">
        <v>45960</v>
      </c>
      <c r="Q625" t="str">
        <f ca="1">IF(RAND()&lt;0.2,
    IF(RAND()&lt;0.5, LOWER(C625), UPPER(C625)),
    C625
)</f>
        <v>Chennai</v>
      </c>
      <c r="R625">
        <f t="shared" ca="1" si="106"/>
        <v>6</v>
      </c>
      <c r="S625">
        <f t="shared" ca="1" si="107"/>
        <v>2000</v>
      </c>
      <c r="T625">
        <f t="shared" ca="1" si="108"/>
        <v>45428</v>
      </c>
      <c r="U625" s="2">
        <f t="shared" ca="1" si="109"/>
        <v>45960</v>
      </c>
    </row>
    <row r="626" spans="1:21">
      <c r="A626" t="str">
        <f t="shared" si="105"/>
        <v>MEM0625</v>
      </c>
      <c r="B626" t="str">
        <f ca="1">INDEX('Name pool'!A:A, RANDBETWEEN(2, COUNTA('Name pool'!A:A))) &amp; " " &amp; INDEX('Name pool'!B:B, RANDBETWEEN(2, COUNTA('Name pool'!B:B)))</f>
        <v>Swathi Malhotra</v>
      </c>
      <c r="C626" t="s">
        <v>73</v>
      </c>
      <c r="D626" t="str">
        <f t="shared" ca="1" si="104"/>
        <v>BR06</v>
      </c>
      <c r="E626" t="str">
        <f t="shared" ca="1" si="110"/>
        <v>Standard</v>
      </c>
      <c r="F626" s="2">
        <v>45712</v>
      </c>
      <c r="G626" s="2">
        <v>45802</v>
      </c>
      <c r="H626">
        <v>1000</v>
      </c>
      <c r="I626">
        <f t="shared" ca="1" si="111"/>
        <v>7000</v>
      </c>
      <c r="J626">
        <v>15</v>
      </c>
      <c r="K626" t="str">
        <f t="shared" ca="1" si="112"/>
        <v>No</v>
      </c>
      <c r="L626" t="str">
        <f t="shared" ca="1" si="113"/>
        <v>General Fitness</v>
      </c>
      <c r="M626" t="str">
        <f t="shared" ca="1" si="114"/>
        <v>Active</v>
      </c>
      <c r="N626" s="2">
        <v>45840</v>
      </c>
      <c r="Q626" t="str">
        <f ca="1">IF(RAND()&lt;0.2,
    IF(RAND()&lt;0.5, LOWER(C626), UPPER(C626)),
    C626
)</f>
        <v>Kochi</v>
      </c>
      <c r="R626">
        <f t="shared" ca="1" si="106"/>
        <v>15</v>
      </c>
      <c r="S626">
        <f t="shared" ca="1" si="107"/>
        <v>1000</v>
      </c>
      <c r="T626">
        <f t="shared" ca="1" si="108"/>
        <v>44938</v>
      </c>
      <c r="U626" s="2">
        <f t="shared" ca="1" si="109"/>
        <v>45840</v>
      </c>
    </row>
    <row r="627" spans="1:21">
      <c r="A627" t="str">
        <f t="shared" si="105"/>
        <v>MEM0626</v>
      </c>
      <c r="B627" t="str">
        <f ca="1">INDEX('Name pool'!A:A, RANDBETWEEN(2, COUNTA('Name pool'!A:A))) &amp; " " &amp; INDEX('Name pool'!B:B, RANDBETWEEN(2, COUNTA('Name pool'!B:B)))</f>
        <v>Karthik Yadav</v>
      </c>
      <c r="C627" t="s">
        <v>131</v>
      </c>
      <c r="D627" t="str">
        <f t="shared" ca="1" si="104"/>
        <v>BR01</v>
      </c>
      <c r="E627" t="str">
        <f t="shared" ca="1" si="110"/>
        <v>Basic</v>
      </c>
      <c r="F627" s="2">
        <v>45806</v>
      </c>
      <c r="G627" s="2">
        <v>45836</v>
      </c>
      <c r="H627">
        <v>3500</v>
      </c>
      <c r="I627">
        <f t="shared" ca="1" si="111"/>
        <v>35000</v>
      </c>
      <c r="J627" t="s">
        <v>122</v>
      </c>
      <c r="K627" t="str">
        <f t="shared" ca="1" si="112"/>
        <v>No</v>
      </c>
      <c r="L627" t="str">
        <f t="shared" ca="1" si="113"/>
        <v>Weight Loss</v>
      </c>
      <c r="M627" t="str">
        <f t="shared" ca="1" si="114"/>
        <v>Active</v>
      </c>
      <c r="N627" s="2">
        <v>45934</v>
      </c>
      <c r="Q627" t="str">
        <f ca="1">IF(RAND()&lt;0.2,
    IF(RAND()&lt;0.5, LOWER(C627), UPPER(C627)),
    C627
)</f>
        <v>BANGALORE</v>
      </c>
      <c r="R627" t="str">
        <f t="shared" ca="1" si="106"/>
        <v>25 visits visits</v>
      </c>
      <c r="S627">
        <f t="shared" ca="1" si="107"/>
        <v>3500</v>
      </c>
      <c r="T627">
        <f t="shared" ca="1" si="108"/>
        <v>45436</v>
      </c>
      <c r="U627" s="2">
        <f t="shared" ca="1" si="109"/>
        <v>45934</v>
      </c>
    </row>
    <row r="628" spans="1:21">
      <c r="A628" t="str">
        <f t="shared" si="105"/>
        <v>MEM0627</v>
      </c>
      <c r="B628" t="str">
        <f ca="1">INDEX('Name pool'!A:A, RANDBETWEEN(2, COUNTA('Name pool'!A:A))) &amp; " " &amp; INDEX('Name pool'!B:B, RANDBETWEEN(2, COUNTA('Name pool'!B:B)))</f>
        <v>Ayesha Mathew</v>
      </c>
      <c r="C628" t="s">
        <v>83</v>
      </c>
      <c r="D628" t="str">
        <f t="shared" ca="1" si="104"/>
        <v>BR05</v>
      </c>
      <c r="E628" t="str">
        <f t="shared" ca="1" si="110"/>
        <v>Premium</v>
      </c>
      <c r="F628" s="2">
        <v>45031</v>
      </c>
      <c r="G628" s="2">
        <v>45061</v>
      </c>
      <c r="H628">
        <v>2000</v>
      </c>
      <c r="I628">
        <f t="shared" ca="1" si="111"/>
        <v>4000</v>
      </c>
      <c r="J628">
        <v>21</v>
      </c>
      <c r="K628" t="str">
        <f t="shared" ca="1" si="112"/>
        <v>No</v>
      </c>
      <c r="L628" t="str">
        <f t="shared" ca="1" si="113"/>
        <v>Weight Loss</v>
      </c>
      <c r="M628" t="str">
        <f t="shared" ca="1" si="114"/>
        <v>Active</v>
      </c>
      <c r="N628" s="2">
        <v>45663</v>
      </c>
      <c r="Q628" t="str">
        <f ca="1">IF(RAND()&lt;0.2,
    IF(RAND()&lt;0.5, LOWER(C628), UPPER(C628)),
    C628
)</f>
        <v>Trivandrum</v>
      </c>
      <c r="R628" t="str">
        <f t="shared" ca="1" si="106"/>
        <v>21 visits</v>
      </c>
      <c r="S628">
        <f t="shared" ca="1" si="107"/>
        <v>2000</v>
      </c>
      <c r="T628">
        <f t="shared" ca="1" si="108"/>
        <v>45091</v>
      </c>
      <c r="U628" s="2">
        <f t="shared" ca="1" si="109"/>
        <v>45663</v>
      </c>
    </row>
    <row r="629" spans="1:21">
      <c r="A629" t="str">
        <f t="shared" si="105"/>
        <v>MEM0628</v>
      </c>
      <c r="B629" t="str">
        <f ca="1">INDEX('Name pool'!A:A, RANDBETWEEN(2, COUNTA('Name pool'!A:A))) &amp; " " &amp; INDEX('Name pool'!B:B, RANDBETWEEN(2, COUNTA('Name pool'!B:B)))</f>
        <v>Ayesha Mathew</v>
      </c>
      <c r="C629" t="s">
        <v>119</v>
      </c>
      <c r="D629" t="str">
        <f t="shared" ca="1" si="104"/>
        <v>BR07</v>
      </c>
      <c r="E629" t="str">
        <f t="shared" ca="1" si="110"/>
        <v>Basic</v>
      </c>
      <c r="F629" s="2">
        <v>45730</v>
      </c>
      <c r="G629" s="2">
        <v>45760</v>
      </c>
      <c r="H629">
        <v>3500</v>
      </c>
      <c r="I629">
        <f t="shared" ca="1" si="111"/>
        <v>35000</v>
      </c>
      <c r="J629" t="s">
        <v>145</v>
      </c>
      <c r="K629" t="str">
        <f t="shared" ca="1" si="112"/>
        <v>No</v>
      </c>
      <c r="L629" t="str">
        <f t="shared" ca="1" si="113"/>
        <v>Muscle Gain</v>
      </c>
      <c r="M629" t="str">
        <f t="shared" ca="1" si="114"/>
        <v>Active</v>
      </c>
      <c r="N629" s="2">
        <v>46054</v>
      </c>
      <c r="Q629" t="str">
        <f ca="1">IF(RAND()&lt;0.2,
    IF(RAND()&lt;0.5, LOWER(C629), UPPER(C629)),
    C629
)</f>
        <v>bangalore</v>
      </c>
      <c r="R629" t="str">
        <f t="shared" ca="1" si="106"/>
        <v>3 visits</v>
      </c>
      <c r="S629">
        <f t="shared" ca="1" si="107"/>
        <v>3500</v>
      </c>
      <c r="T629">
        <f t="shared" ca="1" si="108"/>
        <v>45429</v>
      </c>
      <c r="U629" s="2">
        <f t="shared" ca="1" si="109"/>
        <v>46054</v>
      </c>
    </row>
    <row r="630" spans="1:21">
      <c r="A630" t="str">
        <f t="shared" si="105"/>
        <v>MEM0629</v>
      </c>
      <c r="B630" t="str">
        <f ca="1">INDEX('Name pool'!A:A, RANDBETWEEN(2, COUNTA('Name pool'!A:A))) &amp; " " &amp; INDEX('Name pool'!B:B, RANDBETWEEN(2, COUNTA('Name pool'!B:B)))</f>
        <v>Neha Mathew</v>
      </c>
      <c r="C630" t="s">
        <v>73</v>
      </c>
      <c r="D630" t="str">
        <f t="shared" ca="1" si="104"/>
        <v>BR01</v>
      </c>
      <c r="E630" t="str">
        <f t="shared" ca="1" si="110"/>
        <v>Basic</v>
      </c>
      <c r="F630" s="2">
        <v>44948</v>
      </c>
      <c r="G630" s="2">
        <v>44978</v>
      </c>
      <c r="H630">
        <v>3500</v>
      </c>
      <c r="I630">
        <f t="shared" ca="1" si="111"/>
        <v>35000</v>
      </c>
      <c r="J630">
        <v>16</v>
      </c>
      <c r="K630" t="str">
        <f t="shared" ca="1" si="112"/>
        <v>No</v>
      </c>
      <c r="L630" t="str">
        <f t="shared" ca="1" si="113"/>
        <v>General Fitness</v>
      </c>
      <c r="M630" t="str">
        <f t="shared" ca="1" si="114"/>
        <v>Active</v>
      </c>
      <c r="N630" s="2">
        <v>45654</v>
      </c>
      <c r="Q630" t="str">
        <f ca="1">IF(RAND()&lt;0.2,
    IF(RAND()&lt;0.5, LOWER(C630), UPPER(C630)),
    C630
)</f>
        <v>Kochi</v>
      </c>
      <c r="R630">
        <f t="shared" ca="1" si="106"/>
        <v>16</v>
      </c>
      <c r="S630" t="str">
        <f t="shared" ca="1" si="107"/>
        <v>3500</v>
      </c>
      <c r="T630">
        <f t="shared" ca="1" si="108"/>
        <v>45980</v>
      </c>
      <c r="U630" s="2">
        <f t="shared" ca="1" si="109"/>
        <v>45654</v>
      </c>
    </row>
    <row r="631" spans="1:21">
      <c r="A631" t="str">
        <f t="shared" si="105"/>
        <v>MEM0630</v>
      </c>
      <c r="B631" t="str">
        <f ca="1">INDEX('Name pool'!A:A, RANDBETWEEN(2, COUNTA('Name pool'!A:A))) &amp; " " &amp; INDEX('Name pool'!B:B, RANDBETWEEN(2, COUNTA('Name pool'!B:B)))</f>
        <v>Siddharth Kapoor</v>
      </c>
      <c r="C631" t="s">
        <v>85</v>
      </c>
      <c r="D631" t="str">
        <f t="shared" ca="1" si="104"/>
        <v>BR05</v>
      </c>
      <c r="E631" t="str">
        <f t="shared" ca="1" si="110"/>
        <v>Premium</v>
      </c>
      <c r="F631" s="2">
        <v>45690</v>
      </c>
      <c r="G631" s="2">
        <v>45720</v>
      </c>
      <c r="H631">
        <v>2000</v>
      </c>
      <c r="I631">
        <f t="shared" ca="1" si="111"/>
        <v>4000</v>
      </c>
      <c r="J631">
        <v>22</v>
      </c>
      <c r="K631" t="str">
        <f t="shared" ca="1" si="112"/>
        <v>Yes</v>
      </c>
      <c r="L631" t="str">
        <f t="shared" ca="1" si="113"/>
        <v>Weight Loss</v>
      </c>
      <c r="M631" t="str">
        <f t="shared" ca="1" si="114"/>
        <v>Active</v>
      </c>
      <c r="N631" s="2">
        <v>45943</v>
      </c>
      <c r="Q631" t="str">
        <f ca="1">IF(RAND()&lt;0.2,
    IF(RAND()&lt;0.5, LOWER(C631), UPPER(C631)),
    C631
)</f>
        <v>Calicut</v>
      </c>
      <c r="R631">
        <f t="shared" ca="1" si="106"/>
        <v>22</v>
      </c>
      <c r="S631">
        <f t="shared" ca="1" si="107"/>
        <v>2000</v>
      </c>
      <c r="T631">
        <f t="shared" ca="1" si="108"/>
        <v>45817</v>
      </c>
      <c r="U631" s="2">
        <f t="shared" ca="1" si="109"/>
        <v>45943</v>
      </c>
    </row>
    <row r="632" spans="1:21">
      <c r="A632" t="str">
        <f t="shared" si="105"/>
        <v>MEM0631</v>
      </c>
      <c r="B632" t="str">
        <f ca="1">INDEX('Name pool'!A:A, RANDBETWEEN(2, COUNTA('Name pool'!A:A))) &amp; " " &amp; INDEX('Name pool'!B:B, RANDBETWEEN(2, COUNTA('Name pool'!B:B)))</f>
        <v>Ankit Mathew</v>
      </c>
      <c r="C632" t="s">
        <v>112</v>
      </c>
      <c r="D632" t="str">
        <f t="shared" ca="1" si="104"/>
        <v>BR03</v>
      </c>
      <c r="E632" t="str">
        <f t="shared" ca="1" si="110"/>
        <v>Basic</v>
      </c>
      <c r="F632" s="2">
        <v>45887</v>
      </c>
      <c r="G632" s="2">
        <v>45977</v>
      </c>
      <c r="H632">
        <v>2000</v>
      </c>
      <c r="I632">
        <f t="shared" ca="1" si="111"/>
        <v>8000</v>
      </c>
      <c r="J632">
        <v>24</v>
      </c>
      <c r="K632" t="str">
        <f t="shared" ca="1" si="112"/>
        <v>Yes</v>
      </c>
      <c r="L632" t="str">
        <f t="shared" ca="1" si="113"/>
        <v>Muscle Gain</v>
      </c>
      <c r="M632" t="str">
        <f t="shared" ca="1" si="114"/>
        <v>Active</v>
      </c>
      <c r="N632" s="2">
        <v>46043</v>
      </c>
      <c r="Q632" t="str">
        <f ca="1">IF(RAND()&lt;0.2,
    IF(RAND()&lt;0.5, LOWER(C632), UPPER(C632)),
    C632
)</f>
        <v>HYDERABAD</v>
      </c>
      <c r="R632">
        <f t="shared" ca="1" si="106"/>
        <v>24</v>
      </c>
      <c r="S632">
        <f t="shared" ca="1" si="107"/>
        <v>2000</v>
      </c>
      <c r="T632">
        <f t="shared" ca="1" si="108"/>
        <v>45067</v>
      </c>
      <c r="U632" s="2">
        <f t="shared" ca="1" si="109"/>
        <v>46043</v>
      </c>
    </row>
    <row r="633" spans="1:21">
      <c r="A633" t="str">
        <f t="shared" si="105"/>
        <v>MEM0632</v>
      </c>
      <c r="B633" t="str">
        <f ca="1">INDEX('Name pool'!A:A, RANDBETWEEN(2, COUNTA('Name pool'!A:A))) &amp; " " &amp; INDEX('Name pool'!B:B, RANDBETWEEN(2, COUNTA('Name pool'!B:B)))</f>
        <v>Nikhil Naidu</v>
      </c>
      <c r="C633" t="s">
        <v>123</v>
      </c>
      <c r="D633" t="str">
        <f t="shared" ca="1" si="104"/>
        <v>BR07</v>
      </c>
      <c r="E633" t="str">
        <f t="shared" ca="1" si="110"/>
        <v>Premium</v>
      </c>
      <c r="F633" s="2">
        <v>45381</v>
      </c>
      <c r="G633" s="2">
        <v>45471</v>
      </c>
      <c r="H633">
        <v>2000</v>
      </c>
      <c r="I633">
        <f t="shared" ca="1" si="111"/>
        <v>18000</v>
      </c>
      <c r="J633" t="s">
        <v>109</v>
      </c>
      <c r="K633" t="str">
        <f t="shared" ca="1" si="112"/>
        <v>No</v>
      </c>
      <c r="L633" t="str">
        <f t="shared" ca="1" si="113"/>
        <v>Weight Loss</v>
      </c>
      <c r="M633" t="str">
        <f t="shared" ca="1" si="114"/>
        <v>Active</v>
      </c>
      <c r="N633" s="2">
        <v>45511</v>
      </c>
      <c r="Q633" t="str">
        <f ca="1">IF(RAND()&lt;0.2,
    IF(RAND()&lt;0.5, LOWER(C633), UPPER(C633)),
    C633
)</f>
        <v>KOCHI</v>
      </c>
      <c r="R633" t="str">
        <f t="shared" ca="1" si="106"/>
        <v>8 visits</v>
      </c>
      <c r="S633">
        <f t="shared" ca="1" si="107"/>
        <v>2000</v>
      </c>
      <c r="T633">
        <f t="shared" ca="1" si="108"/>
        <v>45464</v>
      </c>
      <c r="U633" s="2">
        <f t="shared" ca="1" si="109"/>
        <v>45511</v>
      </c>
    </row>
    <row r="634" spans="1:21">
      <c r="A634" t="str">
        <f t="shared" si="105"/>
        <v>MEM0633</v>
      </c>
      <c r="B634" t="str">
        <f ca="1">INDEX('Name pool'!A:A, RANDBETWEEN(2, COUNTA('Name pool'!A:A))) &amp; " " &amp; INDEX('Name pool'!B:B, RANDBETWEEN(2, COUNTA('Name pool'!B:B)))</f>
        <v>Tanvi George</v>
      </c>
      <c r="C634" t="s">
        <v>117</v>
      </c>
      <c r="D634" t="str">
        <f t="shared" ca="1" si="104"/>
        <v>BR04</v>
      </c>
      <c r="E634" t="str">
        <f t="shared" ca="1" si="110"/>
        <v>Premium</v>
      </c>
      <c r="F634" s="2">
        <v>44950</v>
      </c>
      <c r="G634" s="2">
        <v>45315</v>
      </c>
      <c r="H634">
        <v>3500</v>
      </c>
      <c r="I634">
        <f t="shared" ca="1" si="111"/>
        <v>21000</v>
      </c>
      <c r="J634">
        <v>3</v>
      </c>
      <c r="K634" t="str">
        <f t="shared" ca="1" si="112"/>
        <v>Yes</v>
      </c>
      <c r="L634" t="str">
        <f t="shared" ca="1" si="113"/>
        <v>General Fitness</v>
      </c>
      <c r="M634" t="str">
        <f t="shared" ca="1" si="114"/>
        <v>Active</v>
      </c>
      <c r="N634" s="2">
        <v>45727</v>
      </c>
      <c r="Q634" t="str">
        <f ca="1">IF(RAND()&lt;0.2,
    IF(RAND()&lt;0.5, LOWER(C634), UPPER(C634)),
    C634
)</f>
        <v>MUMBAI</v>
      </c>
      <c r="R634">
        <f t="shared" ca="1" si="106"/>
        <v>3</v>
      </c>
      <c r="S634">
        <f t="shared" ca="1" si="107"/>
        <v>3500</v>
      </c>
      <c r="T634">
        <f t="shared" ca="1" si="108"/>
        <v>45811</v>
      </c>
      <c r="U634" s="2">
        <f t="shared" ca="1" si="109"/>
        <v>45727</v>
      </c>
    </row>
    <row r="635" spans="1:21">
      <c r="A635" t="str">
        <f t="shared" si="105"/>
        <v>MEM0634</v>
      </c>
      <c r="B635" t="str">
        <f ca="1">INDEX('Name pool'!A:A, RANDBETWEEN(2, COUNTA('Name pool'!A:A))) &amp; " " &amp; INDEX('Name pool'!B:B, RANDBETWEEN(2, COUNTA('Name pool'!B:B)))</f>
        <v>Anjali Patel</v>
      </c>
      <c r="C635" t="s">
        <v>85</v>
      </c>
      <c r="D635" t="str">
        <f t="shared" ca="1" si="104"/>
        <v>BR04</v>
      </c>
      <c r="E635" t="str">
        <f t="shared" ca="1" si="110"/>
        <v>Premium</v>
      </c>
      <c r="F635" s="2">
        <v>45977</v>
      </c>
      <c r="G635" s="2">
        <v>46007</v>
      </c>
      <c r="H635">
        <v>3500</v>
      </c>
      <c r="I635">
        <f t="shared" ca="1" si="111"/>
        <v>17500</v>
      </c>
      <c r="J635">
        <v>24</v>
      </c>
      <c r="K635" t="str">
        <f t="shared" ca="1" si="112"/>
        <v>No</v>
      </c>
      <c r="L635" t="str">
        <f t="shared" ca="1" si="113"/>
        <v>General Fitness</v>
      </c>
      <c r="M635" t="str">
        <f t="shared" ca="1" si="114"/>
        <v>Active</v>
      </c>
      <c r="N635" s="2">
        <v>46082</v>
      </c>
      <c r="Q635" t="str">
        <f ca="1">IF(RAND()&lt;0.2,
    IF(RAND()&lt;0.5, LOWER(C635), UPPER(C635)),
    C635
)</f>
        <v>Calicut</v>
      </c>
      <c r="R635">
        <f t="shared" ca="1" si="106"/>
        <v>24</v>
      </c>
      <c r="S635">
        <f t="shared" ca="1" si="107"/>
        <v>3500</v>
      </c>
      <c r="T635">
        <f t="shared" ca="1" si="108"/>
        <v>44931</v>
      </c>
      <c r="U635" s="2">
        <f t="shared" ca="1" si="109"/>
        <v>46082</v>
      </c>
    </row>
    <row r="636" spans="1:21">
      <c r="A636" t="str">
        <f t="shared" si="105"/>
        <v>MEM0635</v>
      </c>
      <c r="B636" t="str">
        <f ca="1">INDEX('Name pool'!A:A, RANDBETWEEN(2, COUNTA('Name pool'!A:A))) &amp; " " &amp; INDEX('Name pool'!B:B, RANDBETWEEN(2, COUNTA('Name pool'!B:B)))</f>
        <v>Aditya Pillai</v>
      </c>
      <c r="C636" t="s">
        <v>79</v>
      </c>
      <c r="D636" t="str">
        <f t="shared" ca="1" si="104"/>
        <v>BR05</v>
      </c>
      <c r="E636" t="str">
        <f t="shared" ca="1" si="110"/>
        <v>Premium</v>
      </c>
      <c r="F636" s="2">
        <v>45928</v>
      </c>
      <c r="G636" s="2">
        <v>45958</v>
      </c>
      <c r="H636">
        <v>1000</v>
      </c>
      <c r="I636">
        <f t="shared" ca="1" si="111"/>
        <v>1000</v>
      </c>
      <c r="J636">
        <v>14</v>
      </c>
      <c r="K636" t="str">
        <f t="shared" ca="1" si="112"/>
        <v>No</v>
      </c>
      <c r="L636" t="str">
        <f t="shared" ca="1" si="113"/>
        <v>Weight Loss</v>
      </c>
      <c r="M636" t="str">
        <f t="shared" ca="1" si="114"/>
        <v>Active</v>
      </c>
      <c r="N636" s="2">
        <v>45945</v>
      </c>
      <c r="Q636" t="str">
        <f ca="1">IF(RAND()&lt;0.2,
    IF(RAND()&lt;0.5, LOWER(C636), UPPER(C636)),
    C636
)</f>
        <v>Hyderabad</v>
      </c>
      <c r="R636">
        <f t="shared" ca="1" si="106"/>
        <v>14</v>
      </c>
      <c r="S636">
        <f t="shared" ca="1" si="107"/>
        <v>1000</v>
      </c>
      <c r="T636">
        <f t="shared" ca="1" si="108"/>
        <v>45055</v>
      </c>
      <c r="U636" s="2">
        <f t="shared" ca="1" si="109"/>
        <v>45945</v>
      </c>
    </row>
    <row r="637" spans="1:21">
      <c r="A637" t="str">
        <f t="shared" si="105"/>
        <v>MEM0636</v>
      </c>
      <c r="B637" t="str">
        <f ca="1">INDEX('Name pool'!A:A, RANDBETWEEN(2, COUNTA('Name pool'!A:A))) &amp; " " &amp; INDEX('Name pool'!B:B, RANDBETWEEN(2, COUNTA('Name pool'!B:B)))</f>
        <v>Ishita Chatterjee</v>
      </c>
      <c r="C637" t="s">
        <v>83</v>
      </c>
      <c r="D637" t="str">
        <f t="shared" ca="1" si="104"/>
        <v>BR07</v>
      </c>
      <c r="E637" t="str">
        <f t="shared" ca="1" si="110"/>
        <v>Basic</v>
      </c>
      <c r="F637" s="2">
        <v>45176</v>
      </c>
      <c r="G637" s="2">
        <v>45206</v>
      </c>
      <c r="H637">
        <v>1000</v>
      </c>
      <c r="I637">
        <f t="shared" ca="1" si="111"/>
        <v>6000</v>
      </c>
      <c r="J637">
        <v>19</v>
      </c>
      <c r="K637" t="str">
        <f t="shared" ca="1" si="112"/>
        <v>No</v>
      </c>
      <c r="L637" t="str">
        <f t="shared" ca="1" si="113"/>
        <v>Weight Loss</v>
      </c>
      <c r="M637" t="str">
        <f t="shared" ca="1" si="114"/>
        <v>Active</v>
      </c>
      <c r="N637" s="2">
        <v>45820</v>
      </c>
      <c r="Q637" t="str">
        <f ca="1">IF(RAND()&lt;0.2,
    IF(RAND()&lt;0.5, LOWER(C637), UPPER(C637)),
    C637
)</f>
        <v>Trivandrum</v>
      </c>
      <c r="R637" t="str">
        <f t="shared" ca="1" si="106"/>
        <v>19 visits</v>
      </c>
      <c r="S637">
        <f t="shared" ca="1" si="107"/>
        <v>1000</v>
      </c>
      <c r="T637">
        <f t="shared" ca="1" si="108"/>
        <v>45980</v>
      </c>
      <c r="U637" s="2">
        <f t="shared" ca="1" si="109"/>
        <v>45820</v>
      </c>
    </row>
    <row r="638" spans="1:21">
      <c r="A638" t="str">
        <f t="shared" si="105"/>
        <v>MEM0637</v>
      </c>
      <c r="B638" t="str">
        <f ca="1">INDEX('Name pool'!A:A, RANDBETWEEN(2, COUNTA('Name pool'!A:A))) &amp; " " &amp; INDEX('Name pool'!B:B, RANDBETWEEN(2, COUNTA('Name pool'!B:B)))</f>
        <v>Ishita Yadav</v>
      </c>
      <c r="C638" t="s">
        <v>85</v>
      </c>
      <c r="D638" t="str">
        <f t="shared" ca="1" si="104"/>
        <v>BR06</v>
      </c>
      <c r="E638" t="str">
        <f t="shared" ca="1" si="110"/>
        <v>Standard</v>
      </c>
      <c r="F638" s="2">
        <v>45711</v>
      </c>
      <c r="G638" s="2">
        <v>45801</v>
      </c>
      <c r="H638">
        <v>3500</v>
      </c>
      <c r="I638">
        <f t="shared" ca="1" si="111"/>
        <v>21000</v>
      </c>
      <c r="J638">
        <v>8</v>
      </c>
      <c r="K638" t="str">
        <f t="shared" ca="1" si="112"/>
        <v>No</v>
      </c>
      <c r="L638" t="str">
        <f t="shared" ca="1" si="113"/>
        <v>Muscle Gain</v>
      </c>
      <c r="M638" t="str">
        <f t="shared" ca="1" si="114"/>
        <v>Active</v>
      </c>
      <c r="N638" s="2">
        <v>45922</v>
      </c>
      <c r="Q638" t="str">
        <f ca="1">IF(RAND()&lt;0.2,
    IF(RAND()&lt;0.5, LOWER(C638), UPPER(C638)),
    C638
)</f>
        <v>Calicut</v>
      </c>
      <c r="R638">
        <f t="shared" ca="1" si="106"/>
        <v>8</v>
      </c>
      <c r="S638">
        <f t="shared" ca="1" si="107"/>
        <v>3500</v>
      </c>
      <c r="T638">
        <f t="shared" ca="1" si="108"/>
        <v>46050</v>
      </c>
      <c r="U638" s="2">
        <f t="shared" ca="1" si="109"/>
        <v>45922</v>
      </c>
    </row>
    <row r="639" spans="1:21">
      <c r="A639" t="str">
        <f t="shared" si="105"/>
        <v>MEM0638</v>
      </c>
      <c r="B639" t="str">
        <f ca="1">INDEX('Name pool'!A:A, RANDBETWEEN(2, COUNTA('Name pool'!A:A))) &amp; " " &amp; INDEX('Name pool'!B:B, RANDBETWEEN(2, COUNTA('Name pool'!B:B)))</f>
        <v>Divya Yadav</v>
      </c>
      <c r="C639" t="s">
        <v>116</v>
      </c>
      <c r="D639" t="str">
        <f t="shared" ca="1" si="104"/>
        <v>BR05</v>
      </c>
      <c r="E639" t="str">
        <f t="shared" ca="1" si="110"/>
        <v>Standard</v>
      </c>
      <c r="F639" s="2">
        <v>45339</v>
      </c>
      <c r="G639" s="2">
        <v>45429</v>
      </c>
      <c r="H639" t="s">
        <v>120</v>
      </c>
      <c r="I639">
        <f t="shared" ca="1" si="111"/>
        <v>22000</v>
      </c>
      <c r="J639">
        <v>5</v>
      </c>
      <c r="K639" t="str">
        <f t="shared" ca="1" si="112"/>
        <v>No</v>
      </c>
      <c r="L639" t="str">
        <f t="shared" ca="1" si="113"/>
        <v>General Fitness</v>
      </c>
      <c r="M639" t="str">
        <f t="shared" ca="1" si="114"/>
        <v>Active</v>
      </c>
      <c r="N639" s="2">
        <v>45971</v>
      </c>
      <c r="Q639" t="str">
        <f ca="1">IF(RAND()&lt;0.2,
    IF(RAND()&lt;0.5, LOWER(C639), UPPER(C639)),
    C639
)</f>
        <v>KOCHI</v>
      </c>
      <c r="R639">
        <f t="shared" ca="1" si="106"/>
        <v>5</v>
      </c>
      <c r="S639" t="str">
        <f t="shared" ca="1" si="107"/>
        <v>2000</v>
      </c>
      <c r="T639">
        <f t="shared" ca="1" si="108"/>
        <v>45894</v>
      </c>
      <c r="U639" s="2">
        <f t="shared" ca="1" si="109"/>
        <v>45971</v>
      </c>
    </row>
    <row r="640" spans="1:21">
      <c r="A640" t="str">
        <f t="shared" si="105"/>
        <v>MEM0639</v>
      </c>
      <c r="B640" t="str">
        <f ca="1">INDEX('Name pool'!A:A, RANDBETWEEN(2, COUNTA('Name pool'!A:A))) &amp; " " &amp; INDEX('Name pool'!B:B, RANDBETWEEN(2, COUNTA('Name pool'!B:B)))</f>
        <v>Anjali Reddy</v>
      </c>
      <c r="C640" t="s">
        <v>121</v>
      </c>
      <c r="D640" t="str">
        <f t="shared" ca="1" si="104"/>
        <v>BR03</v>
      </c>
      <c r="E640" t="str">
        <f t="shared" ca="1" si="110"/>
        <v>Standard</v>
      </c>
      <c r="F640" s="2">
        <v>45267</v>
      </c>
      <c r="G640" s="2">
        <v>45357</v>
      </c>
      <c r="H640">
        <v>3500</v>
      </c>
      <c r="I640">
        <f t="shared" ca="1" si="111"/>
        <v>28000</v>
      </c>
      <c r="J640">
        <v>14</v>
      </c>
      <c r="K640" t="str">
        <f t="shared" ca="1" si="112"/>
        <v>No</v>
      </c>
      <c r="L640" t="str">
        <f t="shared" ca="1" si="113"/>
        <v>Weight Loss</v>
      </c>
      <c r="M640" t="str">
        <f t="shared" ca="1" si="114"/>
        <v>Active</v>
      </c>
      <c r="N640" s="2">
        <v>45626</v>
      </c>
      <c r="Q640" t="str">
        <f ca="1">IF(RAND()&lt;0.2,
    IF(RAND()&lt;0.5, LOWER(C640), UPPER(C640)),
    C640
)</f>
        <v>MUMBAI</v>
      </c>
      <c r="R640">
        <f t="shared" ca="1" si="106"/>
        <v>14</v>
      </c>
      <c r="S640">
        <f t="shared" ca="1" si="107"/>
        <v>3500</v>
      </c>
      <c r="T640">
        <f t="shared" ca="1" si="108"/>
        <v>45583</v>
      </c>
      <c r="U640" s="2">
        <f t="shared" ca="1" si="109"/>
        <v>45626</v>
      </c>
    </row>
    <row r="641" spans="1:21">
      <c r="A641" t="str">
        <f t="shared" si="105"/>
        <v>MEM0640</v>
      </c>
      <c r="B641" t="str">
        <f ca="1">INDEX('Name pool'!A:A, RANDBETWEEN(2, COUNTA('Name pool'!A:A))) &amp; " " &amp; INDEX('Name pool'!B:B, RANDBETWEEN(2, COUNTA('Name pool'!B:B)))</f>
        <v>Priya Lewis</v>
      </c>
      <c r="C641" t="s">
        <v>85</v>
      </c>
      <c r="D641" t="str">
        <f t="shared" ca="1" si="104"/>
        <v>BR04</v>
      </c>
      <c r="E641" t="str">
        <f t="shared" ca="1" si="110"/>
        <v>Premium</v>
      </c>
      <c r="F641" s="2">
        <v>45401</v>
      </c>
      <c r="G641" s="2">
        <v>45491</v>
      </c>
      <c r="H641">
        <v>1000</v>
      </c>
      <c r="I641">
        <f t="shared" ca="1" si="111"/>
        <v>9000</v>
      </c>
      <c r="J641">
        <v>25</v>
      </c>
      <c r="K641" t="str">
        <f t="shared" ca="1" si="112"/>
        <v>No</v>
      </c>
      <c r="L641" t="str">
        <f t="shared" ca="1" si="113"/>
        <v>Muscle Gain</v>
      </c>
      <c r="M641" t="str">
        <f t="shared" ca="1" si="114"/>
        <v>Active</v>
      </c>
      <c r="N641" s="2">
        <v>46098</v>
      </c>
      <c r="Q641" t="str">
        <f ca="1">IF(RAND()&lt;0.2,
    IF(RAND()&lt;0.5, LOWER(C641), UPPER(C641)),
    C641
)</f>
        <v>Calicut</v>
      </c>
      <c r="R641">
        <f t="shared" ca="1" si="106"/>
        <v>25</v>
      </c>
      <c r="S641">
        <f t="shared" ca="1" si="107"/>
        <v>1000</v>
      </c>
      <c r="T641">
        <f t="shared" ca="1" si="108"/>
        <v>45780</v>
      </c>
      <c r="U641" s="2">
        <f t="shared" ca="1" si="109"/>
        <v>46098</v>
      </c>
    </row>
    <row r="642" spans="1:21">
      <c r="A642" t="str">
        <f t="shared" si="105"/>
        <v>MEM0641</v>
      </c>
      <c r="B642" t="str">
        <f ca="1">INDEX('Name pool'!A:A, RANDBETWEEN(2, COUNTA('Name pool'!A:A))) &amp; " " &amp; INDEX('Name pool'!B:B, RANDBETWEEN(2, COUNTA('Name pool'!B:B)))</f>
        <v>Manoj Nair</v>
      </c>
      <c r="C642" t="s">
        <v>81</v>
      </c>
      <c r="D642" t="str">
        <f t="shared" ref="D642:D705" ca="1" si="115">CHOOSE(RANDBETWEEN(1,7),"BR01","BR02","BR03","BR04","BR05","BR06","BR07")</f>
        <v>BR01</v>
      </c>
      <c r="E642" t="str">
        <f t="shared" ca="1" si="110"/>
        <v>Standard</v>
      </c>
      <c r="F642" s="2">
        <v>45141</v>
      </c>
      <c r="G642" s="2">
        <v>45171</v>
      </c>
      <c r="H642">
        <v>3500</v>
      </c>
      <c r="I642">
        <f t="shared" ca="1" si="111"/>
        <v>42000</v>
      </c>
      <c r="J642">
        <v>1</v>
      </c>
      <c r="K642" t="str">
        <f t="shared" ca="1" si="112"/>
        <v>Yes</v>
      </c>
      <c r="L642" t="str">
        <f t="shared" ca="1" si="113"/>
        <v>General Fitness</v>
      </c>
      <c r="M642" t="str">
        <f t="shared" ca="1" si="114"/>
        <v>Cancelled</v>
      </c>
      <c r="N642" s="2">
        <v>46115</v>
      </c>
      <c r="Q642" t="str">
        <f ca="1">IF(RAND()&lt;0.2,
    IF(RAND()&lt;0.5, LOWER(C642), UPPER(C642)),
    C642
)</f>
        <v>mumbai</v>
      </c>
      <c r="R642">
        <f t="shared" ca="1" si="106"/>
        <v>1</v>
      </c>
      <c r="S642">
        <f t="shared" ca="1" si="107"/>
        <v>3500</v>
      </c>
      <c r="T642">
        <f t="shared" ca="1" si="108"/>
        <v>44990</v>
      </c>
      <c r="U642" s="2">
        <f t="shared" ca="1" si="109"/>
        <v>45189</v>
      </c>
    </row>
    <row r="643" spans="1:21">
      <c r="A643" t="str">
        <f t="shared" ref="A643:A706" si="116">"MEM" &amp; TEXT(ROW()-1,"0000")</f>
        <v>MEM0642</v>
      </c>
      <c r="B643" t="str">
        <f ca="1">INDEX('Name pool'!A:A, RANDBETWEEN(2, COUNTA('Name pool'!A:A))) &amp; " " &amp; INDEX('Name pool'!B:B, RANDBETWEEN(2, COUNTA('Name pool'!B:B)))</f>
        <v>Zara Singh</v>
      </c>
      <c r="C643" t="s">
        <v>77</v>
      </c>
      <c r="D643" t="str">
        <f t="shared" ca="1" si="115"/>
        <v>BR07</v>
      </c>
      <c r="E643" t="str">
        <f t="shared" ca="1" si="110"/>
        <v>Premium</v>
      </c>
      <c r="F643" s="2">
        <v>45880</v>
      </c>
      <c r="G643" s="2">
        <v>45910</v>
      </c>
      <c r="H643">
        <v>1000</v>
      </c>
      <c r="I643">
        <f t="shared" ca="1" si="111"/>
        <v>2000</v>
      </c>
      <c r="J643">
        <v>2</v>
      </c>
      <c r="K643" t="str">
        <f t="shared" ca="1" si="112"/>
        <v>No</v>
      </c>
      <c r="L643" t="str">
        <f t="shared" ca="1" si="113"/>
        <v>Muscle Gain</v>
      </c>
      <c r="M643" t="str">
        <f t="shared" ca="1" si="114"/>
        <v>Cancelled</v>
      </c>
      <c r="N643" s="2">
        <v>45900</v>
      </c>
      <c r="Q643" t="str">
        <f ca="1">IF(RAND()&lt;0.2,
    IF(RAND()&lt;0.5, LOWER(C643), UPPER(C643)),
    C643
)</f>
        <v>Chennai</v>
      </c>
      <c r="R643">
        <f t="shared" ref="R643:R706" ca="1" si="117">IF(RAND()&lt;0.15,
    J643 &amp; " visits",
    J643
)</f>
        <v>2</v>
      </c>
      <c r="S643">
        <f t="shared" ref="S643:S706" ca="1" si="118">IF(RAND()&lt;0.1,
    TEXT(H643,"0"),
    H643
)</f>
        <v>1000</v>
      </c>
      <c r="T643">
        <f t="shared" ref="T643:T706" ca="1" si="119">RANDBETWEEN(DATE(2023,1,1), DATE(2026,1,31))</f>
        <v>45815</v>
      </c>
      <c r="U643" s="2">
        <f t="shared" ref="U643:U706" ca="1" si="120">IF(AND(M643="Cancelled", RAND()&lt;0.5),
    F643 + RANDBETWEEN(10,50),
    N643
)</f>
        <v>45921</v>
      </c>
    </row>
    <row r="644" spans="1:21">
      <c r="A644" t="str">
        <f t="shared" si="116"/>
        <v>MEM0643</v>
      </c>
      <c r="B644" t="str">
        <f ca="1">INDEX('Name pool'!A:A, RANDBETWEEN(2, COUNTA('Name pool'!A:A))) &amp; " " &amp; INDEX('Name pool'!B:B, RANDBETWEEN(2, COUNTA('Name pool'!B:B)))</f>
        <v>Anu Khan</v>
      </c>
      <c r="C644" t="s">
        <v>75</v>
      </c>
      <c r="D644" t="str">
        <f t="shared" ca="1" si="115"/>
        <v>BR01</v>
      </c>
      <c r="E644" t="str">
        <f t="shared" ca="1" si="110"/>
        <v>Premium</v>
      </c>
      <c r="F644" s="2">
        <v>45886</v>
      </c>
      <c r="G644" s="2">
        <v>46251</v>
      </c>
      <c r="H644">
        <v>1000</v>
      </c>
      <c r="I644">
        <f t="shared" ca="1" si="111"/>
        <v>12000</v>
      </c>
      <c r="J644" t="s">
        <v>125</v>
      </c>
      <c r="K644" t="str">
        <f t="shared" ca="1" si="112"/>
        <v>No</v>
      </c>
      <c r="L644" t="str">
        <f t="shared" ca="1" si="113"/>
        <v>General Fitness</v>
      </c>
      <c r="M644" t="str">
        <f t="shared" ca="1" si="114"/>
        <v>Active</v>
      </c>
      <c r="N644" s="2">
        <v>45955</v>
      </c>
      <c r="Q644" t="str">
        <f ca="1">IF(RAND()&lt;0.2,
    IF(RAND()&lt;0.5, LOWER(C644), UPPER(C644)),
    C644
)</f>
        <v>Bangalore</v>
      </c>
      <c r="R644" t="str">
        <f t="shared" ca="1" si="117"/>
        <v>21 visits</v>
      </c>
      <c r="S644">
        <f t="shared" ca="1" si="118"/>
        <v>1000</v>
      </c>
      <c r="T644">
        <f t="shared" ca="1" si="119"/>
        <v>45404</v>
      </c>
      <c r="U644" s="2">
        <f t="shared" ca="1" si="120"/>
        <v>45955</v>
      </c>
    </row>
    <row r="645" spans="1:21">
      <c r="A645" t="str">
        <f t="shared" si="116"/>
        <v>MEM0644</v>
      </c>
      <c r="B645" t="str">
        <f ca="1">INDEX('Name pool'!A:A, RANDBETWEEN(2, COUNTA('Name pool'!A:A))) &amp; " " &amp; INDEX('Name pool'!B:B, RANDBETWEEN(2, COUNTA('Name pool'!B:B)))</f>
        <v>Manoj Kapoor</v>
      </c>
      <c r="C645" t="s">
        <v>81</v>
      </c>
      <c r="D645" t="str">
        <f t="shared" ca="1" si="115"/>
        <v>BR01</v>
      </c>
      <c r="E645" t="str">
        <f t="shared" ca="1" si="110"/>
        <v>Premium</v>
      </c>
      <c r="F645" s="2">
        <v>45759</v>
      </c>
      <c r="G645" s="2">
        <v>45849</v>
      </c>
      <c r="H645">
        <v>1000</v>
      </c>
      <c r="I645">
        <f t="shared" ca="1" si="111"/>
        <v>8000</v>
      </c>
      <c r="J645">
        <v>17</v>
      </c>
      <c r="K645" t="str">
        <f t="shared" ca="1" si="112"/>
        <v>Yes</v>
      </c>
      <c r="L645" t="str">
        <f t="shared" ca="1" si="113"/>
        <v>Weight Loss</v>
      </c>
      <c r="M645" t="str">
        <f t="shared" ca="1" si="114"/>
        <v>Active</v>
      </c>
      <c r="N645" s="2">
        <v>45766</v>
      </c>
      <c r="Q645" t="str">
        <f ca="1">IF(RAND()&lt;0.2,
    IF(RAND()&lt;0.5, LOWER(C645), UPPER(C645)),
    C645
)</f>
        <v>Mumbai</v>
      </c>
      <c r="R645" t="str">
        <f t="shared" ca="1" si="117"/>
        <v>17 visits</v>
      </c>
      <c r="S645">
        <f t="shared" ca="1" si="118"/>
        <v>1000</v>
      </c>
      <c r="T645">
        <f t="shared" ca="1" si="119"/>
        <v>45683</v>
      </c>
      <c r="U645" s="2">
        <f t="shared" ca="1" si="120"/>
        <v>45766</v>
      </c>
    </row>
    <row r="646" spans="1:21">
      <c r="A646" t="str">
        <f t="shared" si="116"/>
        <v>MEM0645</v>
      </c>
      <c r="B646" t="str">
        <f ca="1">INDEX('Name pool'!A:A, RANDBETWEEN(2, COUNTA('Name pool'!A:A))) &amp; " " &amp; INDEX('Name pool'!B:B, RANDBETWEEN(2, COUNTA('Name pool'!B:B)))</f>
        <v>Divya Mathew</v>
      </c>
      <c r="C646" t="s">
        <v>129</v>
      </c>
      <c r="D646" t="str">
        <f t="shared" ca="1" si="115"/>
        <v>BR05</v>
      </c>
      <c r="E646" t="str">
        <f t="shared" ca="1" si="110"/>
        <v>Premium</v>
      </c>
      <c r="F646" s="2">
        <v>45618</v>
      </c>
      <c r="G646" s="2">
        <v>45708</v>
      </c>
      <c r="H646">
        <v>2000</v>
      </c>
      <c r="I646">
        <f t="shared" ca="1" si="111"/>
        <v>10000</v>
      </c>
      <c r="J646">
        <v>13</v>
      </c>
      <c r="K646" t="str">
        <f t="shared" ca="1" si="112"/>
        <v>Yes</v>
      </c>
      <c r="L646" t="str">
        <f t="shared" ca="1" si="113"/>
        <v>General Fitness</v>
      </c>
      <c r="M646" t="str">
        <f t="shared" ca="1" si="114"/>
        <v>Active</v>
      </c>
      <c r="N646" s="2">
        <v>46073</v>
      </c>
      <c r="Q646" t="str">
        <f ca="1">IF(RAND()&lt;0.2,
    IF(RAND()&lt;0.5, LOWER(C646), UPPER(C646)),
    C646
)</f>
        <v>hyderabad</v>
      </c>
      <c r="R646">
        <f t="shared" ca="1" si="117"/>
        <v>13</v>
      </c>
      <c r="S646">
        <f t="shared" ca="1" si="118"/>
        <v>2000</v>
      </c>
      <c r="T646">
        <f t="shared" ca="1" si="119"/>
        <v>45583</v>
      </c>
      <c r="U646" s="2">
        <f t="shared" ca="1" si="120"/>
        <v>46073</v>
      </c>
    </row>
    <row r="647" spans="1:21">
      <c r="A647" t="str">
        <f t="shared" si="116"/>
        <v>MEM0646</v>
      </c>
      <c r="B647" t="str">
        <f ca="1">INDEX('Name pool'!A:A, RANDBETWEEN(2, COUNTA('Name pool'!A:A))) &amp; " " &amp; INDEX('Name pool'!B:B, RANDBETWEEN(2, COUNTA('Name pool'!B:B)))</f>
        <v>Pooja Mathew</v>
      </c>
      <c r="C647" t="s">
        <v>77</v>
      </c>
      <c r="D647" t="str">
        <f t="shared" ca="1" si="115"/>
        <v>BR01</v>
      </c>
      <c r="E647" t="str">
        <f t="shared" ca="1" si="110"/>
        <v>Basic</v>
      </c>
      <c r="F647" s="2">
        <v>45219</v>
      </c>
      <c r="G647" s="2">
        <v>45584</v>
      </c>
      <c r="H647">
        <v>1000</v>
      </c>
      <c r="I647">
        <f t="shared" ca="1" si="111"/>
        <v>1000</v>
      </c>
      <c r="J647">
        <v>14</v>
      </c>
      <c r="K647" t="str">
        <f t="shared" ca="1" si="112"/>
        <v>Yes</v>
      </c>
      <c r="L647" t="str">
        <f t="shared" ca="1" si="113"/>
        <v>Muscle Gain</v>
      </c>
      <c r="M647" t="str">
        <f t="shared" ca="1" si="114"/>
        <v>Active</v>
      </c>
      <c r="N647" s="2">
        <v>46070</v>
      </c>
      <c r="Q647" t="str">
        <f ca="1">IF(RAND()&lt;0.2,
    IF(RAND()&lt;0.5, LOWER(C647), UPPER(C647)),
    C647
)</f>
        <v>Chennai</v>
      </c>
      <c r="R647">
        <f t="shared" ca="1" si="117"/>
        <v>14</v>
      </c>
      <c r="S647">
        <f t="shared" ca="1" si="118"/>
        <v>1000</v>
      </c>
      <c r="T647">
        <f t="shared" ca="1" si="119"/>
        <v>45344</v>
      </c>
      <c r="U647" s="2">
        <f t="shared" ca="1" si="120"/>
        <v>46070</v>
      </c>
    </row>
    <row r="648" spans="1:21">
      <c r="A648" t="str">
        <f t="shared" si="116"/>
        <v>MEM0647</v>
      </c>
      <c r="B648" t="str">
        <f ca="1">INDEX('Name pool'!A:A, RANDBETWEEN(2, COUNTA('Name pool'!A:A))) &amp; " " &amp; INDEX('Name pool'!B:B, RANDBETWEEN(2, COUNTA('Name pool'!B:B)))</f>
        <v>Manoj Singh</v>
      </c>
      <c r="C648" t="s">
        <v>73</v>
      </c>
      <c r="D648" t="str">
        <f t="shared" ca="1" si="115"/>
        <v>BR07</v>
      </c>
      <c r="E648" t="str">
        <f t="shared" ca="1" si="110"/>
        <v>Basic</v>
      </c>
      <c r="F648" s="2">
        <v>45786</v>
      </c>
      <c r="G648" s="2">
        <v>45816</v>
      </c>
      <c r="H648">
        <v>2000</v>
      </c>
      <c r="I648">
        <f t="shared" ca="1" si="111"/>
        <v>16000</v>
      </c>
      <c r="J648">
        <v>25</v>
      </c>
      <c r="K648" t="str">
        <f t="shared" ca="1" si="112"/>
        <v>No</v>
      </c>
      <c r="L648" t="str">
        <f t="shared" ca="1" si="113"/>
        <v>Weight Loss</v>
      </c>
      <c r="M648" t="str">
        <f t="shared" ca="1" si="114"/>
        <v>Active</v>
      </c>
      <c r="N648" s="2">
        <v>45819</v>
      </c>
      <c r="Q648" t="str">
        <f ca="1">IF(RAND()&lt;0.2,
    IF(RAND()&lt;0.5, LOWER(C648), UPPER(C648)),
    C648
)</f>
        <v>Kochi</v>
      </c>
      <c r="R648">
        <f t="shared" ca="1" si="117"/>
        <v>25</v>
      </c>
      <c r="S648">
        <f t="shared" ca="1" si="118"/>
        <v>2000</v>
      </c>
      <c r="T648">
        <f t="shared" ca="1" si="119"/>
        <v>45776</v>
      </c>
      <c r="U648" s="2">
        <f t="shared" ca="1" si="120"/>
        <v>45819</v>
      </c>
    </row>
    <row r="649" spans="1:21">
      <c r="A649" t="str">
        <f t="shared" si="116"/>
        <v>MEM0648</v>
      </c>
      <c r="B649" t="str">
        <f ca="1">INDEX('Name pool'!A:A, RANDBETWEEN(2, COUNTA('Name pool'!A:A))) &amp; " " &amp; INDEX('Name pool'!B:B, RANDBETWEEN(2, COUNTA('Name pool'!B:B)))</f>
        <v>Kavya Sharma</v>
      </c>
      <c r="C649" t="s">
        <v>73</v>
      </c>
      <c r="D649" t="str">
        <f t="shared" ca="1" si="115"/>
        <v>BR03</v>
      </c>
      <c r="E649" t="str">
        <f t="shared" ca="1" si="110"/>
        <v>Basic</v>
      </c>
      <c r="F649" s="2">
        <v>45513</v>
      </c>
      <c r="G649" s="2">
        <v>45603</v>
      </c>
      <c r="H649">
        <v>1000</v>
      </c>
      <c r="I649">
        <f t="shared" ca="1" si="111"/>
        <v>9000</v>
      </c>
      <c r="J649">
        <v>3</v>
      </c>
      <c r="K649" t="str">
        <f t="shared" ca="1" si="112"/>
        <v>Yes</v>
      </c>
      <c r="L649" t="str">
        <f t="shared" ca="1" si="113"/>
        <v>Weight Loss</v>
      </c>
      <c r="M649" t="str">
        <f t="shared" ca="1" si="114"/>
        <v>Cancelled</v>
      </c>
      <c r="N649" s="2">
        <v>45521</v>
      </c>
      <c r="Q649" t="str">
        <f ca="1">IF(RAND()&lt;0.2,
    IF(RAND()&lt;0.5, LOWER(C649), UPPER(C649)),
    C649
)</f>
        <v>Kochi</v>
      </c>
      <c r="R649" t="str">
        <f t="shared" ca="1" si="117"/>
        <v>3 visits</v>
      </c>
      <c r="S649">
        <f t="shared" ca="1" si="118"/>
        <v>1000</v>
      </c>
      <c r="T649">
        <f t="shared" ca="1" si="119"/>
        <v>45723</v>
      </c>
      <c r="U649" s="2">
        <f t="shared" ca="1" si="120"/>
        <v>45537</v>
      </c>
    </row>
    <row r="650" spans="1:21">
      <c r="A650" t="str">
        <f t="shared" si="116"/>
        <v>MEM0649</v>
      </c>
      <c r="B650" t="str">
        <f ca="1">INDEX('Name pool'!A:A, RANDBETWEEN(2, COUNTA('Name pool'!A:A))) &amp; " " &amp; INDEX('Name pool'!B:B, RANDBETWEEN(2, COUNTA('Name pool'!B:B)))</f>
        <v>Zara Khan</v>
      </c>
      <c r="C650" t="s">
        <v>77</v>
      </c>
      <c r="D650" t="str">
        <f t="shared" ca="1" si="115"/>
        <v>BR06</v>
      </c>
      <c r="E650" t="str">
        <f t="shared" ca="1" si="110"/>
        <v>Premium</v>
      </c>
      <c r="F650" s="2">
        <v>45793</v>
      </c>
      <c r="G650" s="2">
        <v>45823</v>
      </c>
      <c r="H650">
        <v>3500</v>
      </c>
      <c r="I650">
        <f t="shared" ca="1" si="111"/>
        <v>42000</v>
      </c>
      <c r="J650">
        <v>10</v>
      </c>
      <c r="K650" t="str">
        <f t="shared" ca="1" si="112"/>
        <v>No</v>
      </c>
      <c r="L650" t="str">
        <f t="shared" ca="1" si="113"/>
        <v>General Fitness</v>
      </c>
      <c r="M650" t="str">
        <f t="shared" ca="1" si="114"/>
        <v>Active</v>
      </c>
      <c r="N650" s="2">
        <v>46051</v>
      </c>
      <c r="Q650" t="str">
        <f ca="1">IF(RAND()&lt;0.2,
    IF(RAND()&lt;0.5, LOWER(C650), UPPER(C650)),
    C650
)</f>
        <v>Chennai</v>
      </c>
      <c r="R650">
        <f t="shared" ca="1" si="117"/>
        <v>10</v>
      </c>
      <c r="S650">
        <f t="shared" ca="1" si="118"/>
        <v>3500</v>
      </c>
      <c r="T650">
        <f t="shared" ca="1" si="119"/>
        <v>45393</v>
      </c>
      <c r="U650" s="2">
        <f t="shared" ca="1" si="120"/>
        <v>46051</v>
      </c>
    </row>
    <row r="651" spans="1:21">
      <c r="A651" t="str">
        <f t="shared" si="116"/>
        <v>MEM0650</v>
      </c>
      <c r="B651" t="str">
        <f ca="1">INDEX('Name pool'!A:A, RANDBETWEEN(2, COUNTA('Name pool'!A:A))) &amp; " " &amp; INDEX('Name pool'!B:B, RANDBETWEEN(2, COUNTA('Name pool'!B:B)))</f>
        <v>Zara Patel</v>
      </c>
      <c r="C651" t="s">
        <v>119</v>
      </c>
      <c r="D651" t="str">
        <f t="shared" ca="1" si="115"/>
        <v>BR05</v>
      </c>
      <c r="E651" t="str">
        <f t="shared" ca="1" si="110"/>
        <v>Standard</v>
      </c>
      <c r="F651" s="2">
        <v>45226</v>
      </c>
      <c r="G651" s="2">
        <v>45256</v>
      </c>
      <c r="H651">
        <v>2000</v>
      </c>
      <c r="I651">
        <f t="shared" ca="1" si="111"/>
        <v>12000</v>
      </c>
      <c r="J651">
        <v>13</v>
      </c>
      <c r="K651" t="str">
        <f t="shared" ca="1" si="112"/>
        <v>Yes</v>
      </c>
      <c r="L651" t="str">
        <f t="shared" ca="1" si="113"/>
        <v>General Fitness</v>
      </c>
      <c r="M651" t="str">
        <f t="shared" ca="1" si="114"/>
        <v>Active</v>
      </c>
      <c r="N651" s="2">
        <v>45723</v>
      </c>
      <c r="Q651" t="str">
        <f ca="1">IF(RAND()&lt;0.2,
    IF(RAND()&lt;0.5, LOWER(C651), UPPER(C651)),
    C651
)</f>
        <v>bangalore</v>
      </c>
      <c r="R651" t="str">
        <f t="shared" ca="1" si="117"/>
        <v>13 visits</v>
      </c>
      <c r="S651">
        <f t="shared" ca="1" si="118"/>
        <v>2000</v>
      </c>
      <c r="T651">
        <f t="shared" ca="1" si="119"/>
        <v>45357</v>
      </c>
      <c r="U651" s="2">
        <f t="shared" ca="1" si="120"/>
        <v>45723</v>
      </c>
    </row>
    <row r="652" spans="1:21">
      <c r="A652" t="str">
        <f t="shared" si="116"/>
        <v>MEM0651</v>
      </c>
      <c r="B652" t="str">
        <f ca="1">INDEX('Name pool'!A:A, RANDBETWEEN(2, COUNTA('Name pool'!A:A))) &amp; " " &amp; INDEX('Name pool'!B:B, RANDBETWEEN(2, COUNTA('Name pool'!B:B)))</f>
        <v>Ishita Patel</v>
      </c>
      <c r="C652" t="s">
        <v>81</v>
      </c>
      <c r="D652" t="str">
        <f t="shared" ca="1" si="115"/>
        <v>BR02</v>
      </c>
      <c r="E652" t="str">
        <f t="shared" ca="1" si="110"/>
        <v>Standard</v>
      </c>
      <c r="F652" s="2">
        <v>45558</v>
      </c>
      <c r="G652" s="2">
        <v>45648</v>
      </c>
      <c r="H652">
        <v>3500</v>
      </c>
      <c r="I652">
        <f t="shared" ca="1" si="111"/>
        <v>31500</v>
      </c>
      <c r="J652">
        <v>13</v>
      </c>
      <c r="K652" t="str">
        <f t="shared" ca="1" si="112"/>
        <v>Yes</v>
      </c>
      <c r="L652" t="str">
        <f t="shared" ca="1" si="113"/>
        <v>General Fitness</v>
      </c>
      <c r="M652" t="str">
        <f t="shared" ca="1" si="114"/>
        <v>Active</v>
      </c>
      <c r="N652" s="2">
        <v>45564</v>
      </c>
      <c r="Q652" t="str">
        <f ca="1">IF(RAND()&lt;0.2,
    IF(RAND()&lt;0.5, LOWER(C652), UPPER(C652)),
    C652
)</f>
        <v>MUMBAI</v>
      </c>
      <c r="R652">
        <f t="shared" ca="1" si="117"/>
        <v>13</v>
      </c>
      <c r="S652">
        <f t="shared" ca="1" si="118"/>
        <v>3500</v>
      </c>
      <c r="T652">
        <f t="shared" ca="1" si="119"/>
        <v>45873</v>
      </c>
      <c r="U652" s="2">
        <f t="shared" ca="1" si="120"/>
        <v>45564</v>
      </c>
    </row>
    <row r="653" spans="1:21">
      <c r="A653" t="str">
        <f t="shared" si="116"/>
        <v>MEM0652</v>
      </c>
      <c r="B653" t="str">
        <f ca="1">INDEX('Name pool'!A:A, RANDBETWEEN(2, COUNTA('Name pool'!A:A))) &amp; " " &amp; INDEX('Name pool'!B:B, RANDBETWEEN(2, COUNTA('Name pool'!B:B)))</f>
        <v>Anu D’Souza</v>
      </c>
      <c r="C653" t="s">
        <v>79</v>
      </c>
      <c r="D653" t="str">
        <f t="shared" ca="1" si="115"/>
        <v>BR01</v>
      </c>
      <c r="E653" t="str">
        <f t="shared" ca="1" si="110"/>
        <v>Basic</v>
      </c>
      <c r="F653" s="2">
        <v>45848</v>
      </c>
      <c r="G653" s="2">
        <v>46213</v>
      </c>
      <c r="H653">
        <v>1000</v>
      </c>
      <c r="I653">
        <f t="shared" ca="1" si="111"/>
        <v>12000</v>
      </c>
      <c r="J653">
        <v>1</v>
      </c>
      <c r="K653" t="str">
        <f t="shared" ca="1" si="112"/>
        <v>No</v>
      </c>
      <c r="L653" t="str">
        <f t="shared" ca="1" si="113"/>
        <v>Weight Loss</v>
      </c>
      <c r="M653" t="str">
        <f t="shared" ca="1" si="114"/>
        <v>Cancelled</v>
      </c>
      <c r="N653" s="2">
        <v>45889</v>
      </c>
      <c r="Q653" t="str">
        <f ca="1">IF(RAND()&lt;0.2,
    IF(RAND()&lt;0.5, LOWER(C653), UPPER(C653)),
    C653
)</f>
        <v>Hyderabad</v>
      </c>
      <c r="R653">
        <f t="shared" ca="1" si="117"/>
        <v>1</v>
      </c>
      <c r="S653">
        <f t="shared" ca="1" si="118"/>
        <v>1000</v>
      </c>
      <c r="T653">
        <f t="shared" ca="1" si="119"/>
        <v>45266</v>
      </c>
      <c r="U653" s="2">
        <f t="shared" ca="1" si="120"/>
        <v>45889</v>
      </c>
    </row>
    <row r="654" spans="1:21">
      <c r="A654" t="str">
        <f t="shared" si="116"/>
        <v>MEM0653</v>
      </c>
      <c r="B654" t="str">
        <f ca="1">INDEX('Name pool'!A:A, RANDBETWEEN(2, COUNTA('Name pool'!A:A))) &amp; " " &amp; INDEX('Name pool'!B:B, RANDBETWEEN(2, COUNTA('Name pool'!B:B)))</f>
        <v>Varun Chatterjee</v>
      </c>
      <c r="C654" t="s">
        <v>81</v>
      </c>
      <c r="D654" t="str">
        <f t="shared" ca="1" si="115"/>
        <v>BR03</v>
      </c>
      <c r="E654" t="str">
        <f t="shared" ca="1" si="110"/>
        <v>Premium</v>
      </c>
      <c r="F654" s="2">
        <v>45999</v>
      </c>
      <c r="G654" s="2">
        <v>46089</v>
      </c>
      <c r="H654">
        <v>3500</v>
      </c>
      <c r="I654">
        <f t="shared" ca="1" si="111"/>
        <v>24500</v>
      </c>
      <c r="J654" t="s">
        <v>125</v>
      </c>
      <c r="K654" t="str">
        <f t="shared" ca="1" si="112"/>
        <v>Yes</v>
      </c>
      <c r="L654" t="str">
        <f t="shared" ca="1" si="113"/>
        <v>Muscle Gain</v>
      </c>
      <c r="M654" t="str">
        <f t="shared" ca="1" si="114"/>
        <v>Active</v>
      </c>
      <c r="N654" s="2">
        <v>46083</v>
      </c>
      <c r="Q654" t="str">
        <f ca="1">IF(RAND()&lt;0.2,
    IF(RAND()&lt;0.5, LOWER(C654), UPPER(C654)),
    C654
)</f>
        <v>Mumbai</v>
      </c>
      <c r="R654" t="str">
        <f t="shared" ca="1" si="117"/>
        <v>21 visits visits</v>
      </c>
      <c r="S654">
        <f t="shared" ca="1" si="118"/>
        <v>3500</v>
      </c>
      <c r="T654">
        <f t="shared" ca="1" si="119"/>
        <v>45058</v>
      </c>
      <c r="U654" s="2">
        <f t="shared" ca="1" si="120"/>
        <v>46083</v>
      </c>
    </row>
    <row r="655" spans="1:21">
      <c r="A655" t="str">
        <f t="shared" si="116"/>
        <v>MEM0654</v>
      </c>
      <c r="B655" t="str">
        <f ca="1">INDEX('Name pool'!A:A, RANDBETWEEN(2, COUNTA('Name pool'!A:A))) &amp; " " &amp; INDEX('Name pool'!B:B, RANDBETWEEN(2, COUNTA('Name pool'!B:B)))</f>
        <v>Aditya Das</v>
      </c>
      <c r="C655" t="s">
        <v>73</v>
      </c>
      <c r="D655" t="str">
        <f t="shared" ca="1" si="115"/>
        <v>BR04</v>
      </c>
      <c r="E655" t="str">
        <f t="shared" ca="1" si="110"/>
        <v>Standard</v>
      </c>
      <c r="F655" s="2">
        <v>45464</v>
      </c>
      <c r="G655" s="2">
        <v>45829</v>
      </c>
      <c r="H655">
        <v>2000</v>
      </c>
      <c r="I655">
        <f t="shared" ca="1" si="111"/>
        <v>2000</v>
      </c>
      <c r="J655">
        <v>5</v>
      </c>
      <c r="K655" t="str">
        <f t="shared" ca="1" si="112"/>
        <v>Yes</v>
      </c>
      <c r="L655" t="str">
        <f t="shared" ca="1" si="113"/>
        <v>Muscle Gain</v>
      </c>
      <c r="M655" t="str">
        <f t="shared" ca="1" si="114"/>
        <v>Active</v>
      </c>
      <c r="N655" s="2">
        <v>45549</v>
      </c>
      <c r="Q655" t="str">
        <f ca="1">IF(RAND()&lt;0.2,
    IF(RAND()&lt;0.5, LOWER(C655), UPPER(C655)),
    C655
)</f>
        <v>Kochi</v>
      </c>
      <c r="R655">
        <f t="shared" ca="1" si="117"/>
        <v>5</v>
      </c>
      <c r="S655" t="str">
        <f t="shared" ca="1" si="118"/>
        <v>2000</v>
      </c>
      <c r="T655">
        <f t="shared" ca="1" si="119"/>
        <v>45096</v>
      </c>
      <c r="U655" s="2">
        <f t="shared" ca="1" si="120"/>
        <v>45549</v>
      </c>
    </row>
    <row r="656" spans="1:21">
      <c r="A656" t="str">
        <f t="shared" si="116"/>
        <v>MEM0655</v>
      </c>
      <c r="B656" t="str">
        <f ca="1">INDEX('Name pool'!A:A, RANDBETWEEN(2, COUNTA('Name pool'!A:A))) &amp; " " &amp; INDEX('Name pool'!B:B, RANDBETWEEN(2, COUNTA('Name pool'!B:B)))</f>
        <v>Fatima Gupta</v>
      </c>
      <c r="C656" t="s">
        <v>83</v>
      </c>
      <c r="D656" t="str">
        <f t="shared" ca="1" si="115"/>
        <v>BR01</v>
      </c>
      <c r="E656" t="str">
        <f t="shared" ca="1" si="110"/>
        <v>Standard</v>
      </c>
      <c r="F656" s="2">
        <v>45540</v>
      </c>
      <c r="G656" s="2">
        <v>45630</v>
      </c>
      <c r="H656">
        <v>2000</v>
      </c>
      <c r="I656">
        <f t="shared" ca="1" si="111"/>
        <v>4000</v>
      </c>
      <c r="J656">
        <v>9</v>
      </c>
      <c r="K656" t="str">
        <f t="shared" ca="1" si="112"/>
        <v>Yes</v>
      </c>
      <c r="L656" t="str">
        <f t="shared" ca="1" si="113"/>
        <v>Weight Loss</v>
      </c>
      <c r="M656" t="str">
        <f t="shared" ca="1" si="114"/>
        <v>Active</v>
      </c>
      <c r="N656" s="2">
        <v>45762</v>
      </c>
      <c r="Q656" t="str">
        <f ca="1">IF(RAND()&lt;0.2,
    IF(RAND()&lt;0.5, LOWER(C656), UPPER(C656)),
    C656
)</f>
        <v>Trivandrum</v>
      </c>
      <c r="R656">
        <f t="shared" ca="1" si="117"/>
        <v>9</v>
      </c>
      <c r="S656">
        <f t="shared" ca="1" si="118"/>
        <v>2000</v>
      </c>
      <c r="T656">
        <f t="shared" ca="1" si="119"/>
        <v>45707</v>
      </c>
      <c r="U656" s="2">
        <f t="shared" ca="1" si="120"/>
        <v>45762</v>
      </c>
    </row>
    <row r="657" spans="1:21">
      <c r="A657" t="str">
        <f t="shared" si="116"/>
        <v>MEM0656</v>
      </c>
      <c r="B657" t="str">
        <f ca="1">INDEX('Name pool'!A:A, RANDBETWEEN(2, COUNTA('Name pool'!A:A))) &amp; " " &amp; INDEX('Name pool'!B:B, RANDBETWEEN(2, COUNTA('Name pool'!B:B)))</f>
        <v>Zara Shetty</v>
      </c>
      <c r="C657" t="s">
        <v>81</v>
      </c>
      <c r="D657" t="str">
        <f t="shared" ca="1" si="115"/>
        <v>BR05</v>
      </c>
      <c r="E657" t="str">
        <f t="shared" ca="1" si="110"/>
        <v>Basic</v>
      </c>
      <c r="F657" s="2">
        <v>46021</v>
      </c>
      <c r="G657" s="2">
        <v>46051</v>
      </c>
      <c r="H657" t="s">
        <v>120</v>
      </c>
      <c r="I657">
        <f t="shared" ca="1" si="111"/>
        <v>14000</v>
      </c>
      <c r="J657">
        <v>5</v>
      </c>
      <c r="K657" t="str">
        <f t="shared" ca="1" si="112"/>
        <v>Yes</v>
      </c>
      <c r="L657" t="str">
        <f t="shared" ca="1" si="113"/>
        <v>Weight Loss</v>
      </c>
      <c r="M657" t="str">
        <f t="shared" ca="1" si="114"/>
        <v>Active</v>
      </c>
      <c r="N657" s="2">
        <v>46073</v>
      </c>
      <c r="Q657" t="str">
        <f ca="1">IF(RAND()&lt;0.2,
    IF(RAND()&lt;0.5, LOWER(C657), UPPER(C657)),
    C657
)</f>
        <v>MUMBAI</v>
      </c>
      <c r="R657">
        <f t="shared" ca="1" si="117"/>
        <v>5</v>
      </c>
      <c r="S657" t="str">
        <f t="shared" ca="1" si="118"/>
        <v>2000</v>
      </c>
      <c r="T657">
        <f t="shared" ca="1" si="119"/>
        <v>45718</v>
      </c>
      <c r="U657" s="2">
        <f t="shared" ca="1" si="120"/>
        <v>46073</v>
      </c>
    </row>
    <row r="658" spans="1:21">
      <c r="A658" t="str">
        <f t="shared" si="116"/>
        <v>MEM0657</v>
      </c>
      <c r="B658" t="str">
        <f ca="1">INDEX('Name pool'!A:A, RANDBETWEEN(2, COUNTA('Name pool'!A:A))) &amp; " " &amp; INDEX('Name pool'!B:B, RANDBETWEEN(2, COUNTA('Name pool'!B:B)))</f>
        <v>Lakshmi Lewis</v>
      </c>
      <c r="C658" t="s">
        <v>73</v>
      </c>
      <c r="D658" t="str">
        <f t="shared" ca="1" si="115"/>
        <v>BR07</v>
      </c>
      <c r="E658" t="str">
        <f t="shared" ca="1" si="110"/>
        <v>Basic</v>
      </c>
      <c r="F658" s="2">
        <v>45271</v>
      </c>
      <c r="G658" s="2">
        <v>45636</v>
      </c>
      <c r="H658">
        <v>3500</v>
      </c>
      <c r="I658">
        <f t="shared" ca="1" si="111"/>
        <v>17500</v>
      </c>
      <c r="J658">
        <v>5</v>
      </c>
      <c r="K658" t="str">
        <f t="shared" ca="1" si="112"/>
        <v>No</v>
      </c>
      <c r="L658" t="str">
        <f t="shared" ca="1" si="113"/>
        <v>Weight Loss</v>
      </c>
      <c r="M658" t="str">
        <f t="shared" ca="1" si="114"/>
        <v>Active</v>
      </c>
      <c r="N658" s="2">
        <v>45652</v>
      </c>
      <c r="Q658" t="str">
        <f ca="1">IF(RAND()&lt;0.2,
    IF(RAND()&lt;0.5, LOWER(C658), UPPER(C658)),
    C658
)</f>
        <v>Kochi</v>
      </c>
      <c r="R658">
        <f t="shared" ca="1" si="117"/>
        <v>5</v>
      </c>
      <c r="S658" t="str">
        <f t="shared" ca="1" si="118"/>
        <v>3500</v>
      </c>
      <c r="T658">
        <f t="shared" ca="1" si="119"/>
        <v>45703</v>
      </c>
      <c r="U658" s="2">
        <f t="shared" ca="1" si="120"/>
        <v>45652</v>
      </c>
    </row>
    <row r="659" spans="1:21">
      <c r="A659" t="str">
        <f t="shared" si="116"/>
        <v>MEM0658</v>
      </c>
      <c r="B659" t="str">
        <f ca="1">INDEX('Name pool'!A:A, RANDBETWEEN(2, COUNTA('Name pool'!A:A))) &amp; " " &amp; INDEX('Name pool'!B:B, RANDBETWEEN(2, COUNTA('Name pool'!B:B)))</f>
        <v>Manoj Agarwal</v>
      </c>
      <c r="C659" t="s">
        <v>131</v>
      </c>
      <c r="D659" t="str">
        <f t="shared" ca="1" si="115"/>
        <v>BR07</v>
      </c>
      <c r="E659" t="str">
        <f t="shared" ca="1" si="110"/>
        <v>Premium</v>
      </c>
      <c r="F659" s="2">
        <v>45900</v>
      </c>
      <c r="G659" s="2">
        <v>45990</v>
      </c>
      <c r="H659" t="s">
        <v>108</v>
      </c>
      <c r="I659">
        <f t="shared" ca="1" si="111"/>
        <v>2000</v>
      </c>
      <c r="J659">
        <v>8</v>
      </c>
      <c r="K659" t="str">
        <f t="shared" ca="1" si="112"/>
        <v>No</v>
      </c>
      <c r="L659" t="str">
        <f t="shared" ca="1" si="113"/>
        <v>General Fitness</v>
      </c>
      <c r="M659" t="str">
        <f t="shared" ca="1" si="114"/>
        <v>Active</v>
      </c>
      <c r="N659" s="2">
        <v>46094</v>
      </c>
      <c r="Q659" t="str">
        <f ca="1">IF(RAND()&lt;0.2,
    IF(RAND()&lt;0.5, LOWER(C659), UPPER(C659)),
    C659
)</f>
        <v>BANGALORE</v>
      </c>
      <c r="R659">
        <f t="shared" ca="1" si="117"/>
        <v>8</v>
      </c>
      <c r="S659" t="str">
        <f t="shared" ca="1" si="118"/>
        <v>1000</v>
      </c>
      <c r="T659">
        <f t="shared" ca="1" si="119"/>
        <v>45022</v>
      </c>
      <c r="U659" s="2">
        <f t="shared" ca="1" si="120"/>
        <v>46094</v>
      </c>
    </row>
    <row r="660" spans="1:21">
      <c r="A660" t="str">
        <f t="shared" si="116"/>
        <v>MEM0659</v>
      </c>
      <c r="B660" t="str">
        <f ca="1">INDEX('Name pool'!A:A, RANDBETWEEN(2, COUNTA('Name pool'!A:A))) &amp; " " &amp; INDEX('Name pool'!B:B, RANDBETWEEN(2, COUNTA('Name pool'!B:B)))</f>
        <v>Nikhil Joshi</v>
      </c>
      <c r="C660" t="s">
        <v>75</v>
      </c>
      <c r="D660" t="str">
        <f t="shared" ca="1" si="115"/>
        <v>BR06</v>
      </c>
      <c r="E660" t="str">
        <f t="shared" ca="1" si="110"/>
        <v>Basic</v>
      </c>
      <c r="F660" s="2">
        <v>45475</v>
      </c>
      <c r="G660" s="2">
        <v>45840</v>
      </c>
      <c r="H660" t="s">
        <v>105</v>
      </c>
      <c r="I660">
        <f t="shared" ca="1" si="111"/>
        <v>14000</v>
      </c>
      <c r="J660">
        <v>12</v>
      </c>
      <c r="K660" t="str">
        <f t="shared" ca="1" si="112"/>
        <v>Yes</v>
      </c>
      <c r="L660" t="str">
        <f t="shared" ca="1" si="113"/>
        <v>Muscle Gain</v>
      </c>
      <c r="M660" t="str">
        <f t="shared" ca="1" si="114"/>
        <v>Active</v>
      </c>
      <c r="N660" s="2">
        <v>45685</v>
      </c>
      <c r="Q660" t="str">
        <f ca="1">IF(RAND()&lt;0.2,
    IF(RAND()&lt;0.5, LOWER(C660), UPPER(C660)),
    C660
)</f>
        <v>Bangalore</v>
      </c>
      <c r="R660">
        <f t="shared" ca="1" si="117"/>
        <v>12</v>
      </c>
      <c r="S660" t="str">
        <f t="shared" ca="1" si="118"/>
        <v>3500</v>
      </c>
      <c r="T660">
        <f t="shared" ca="1" si="119"/>
        <v>45850</v>
      </c>
      <c r="U660" s="2">
        <f t="shared" ca="1" si="120"/>
        <v>45685</v>
      </c>
    </row>
    <row r="661" spans="1:21">
      <c r="A661" t="str">
        <f t="shared" si="116"/>
        <v>MEM0660</v>
      </c>
      <c r="B661" t="str">
        <f ca="1">INDEX('Name pool'!A:A, RANDBETWEEN(2, COUNTA('Name pool'!A:A))) &amp; " " &amp; INDEX('Name pool'!B:B, RANDBETWEEN(2, COUNTA('Name pool'!B:B)))</f>
        <v>Zara Bhat</v>
      </c>
      <c r="C661" t="s">
        <v>117</v>
      </c>
      <c r="D661" t="str">
        <f t="shared" ca="1" si="115"/>
        <v>BR07</v>
      </c>
      <c r="E661" t="str">
        <f t="shared" ca="1" si="110"/>
        <v>Basic</v>
      </c>
      <c r="F661" s="2">
        <v>46000</v>
      </c>
      <c r="G661" s="2">
        <v>46090</v>
      </c>
      <c r="H661">
        <v>1000</v>
      </c>
      <c r="I661">
        <f t="shared" ca="1" si="111"/>
        <v>11000</v>
      </c>
      <c r="J661">
        <v>4</v>
      </c>
      <c r="K661" t="str">
        <f t="shared" ca="1" si="112"/>
        <v>No</v>
      </c>
      <c r="L661" t="str">
        <f t="shared" ca="1" si="113"/>
        <v>General Fitness</v>
      </c>
      <c r="M661" t="str">
        <f t="shared" ca="1" si="114"/>
        <v>Cancelled</v>
      </c>
      <c r="N661" s="2">
        <v>46053</v>
      </c>
      <c r="Q661" t="str">
        <f ca="1">IF(RAND()&lt;0.2,
    IF(RAND()&lt;0.5, LOWER(C661), UPPER(C661)),
    C661
)</f>
        <v>mumbai</v>
      </c>
      <c r="R661" t="str">
        <f t="shared" ca="1" si="117"/>
        <v>4 visits</v>
      </c>
      <c r="S661">
        <f t="shared" ca="1" si="118"/>
        <v>1000</v>
      </c>
      <c r="T661">
        <f t="shared" ca="1" si="119"/>
        <v>45483</v>
      </c>
      <c r="U661" s="2">
        <f t="shared" ca="1" si="120"/>
        <v>46053</v>
      </c>
    </row>
    <row r="662" spans="1:21">
      <c r="A662" t="str">
        <f t="shared" si="116"/>
        <v>MEM0661</v>
      </c>
      <c r="B662" t="str">
        <f ca="1">INDEX('Name pool'!A:A, RANDBETWEEN(2, COUNTA('Name pool'!A:A))) &amp; " " &amp; INDEX('Name pool'!B:B, RANDBETWEEN(2, COUNTA('Name pool'!B:B)))</f>
        <v>Ankit Kapoor</v>
      </c>
      <c r="C662" t="s">
        <v>77</v>
      </c>
      <c r="D662" t="str">
        <f t="shared" ca="1" si="115"/>
        <v>BR02</v>
      </c>
      <c r="E662" t="str">
        <f t="shared" ca="1" si="110"/>
        <v>Premium</v>
      </c>
      <c r="F662" s="2">
        <v>45060</v>
      </c>
      <c r="G662" s="2">
        <v>45425</v>
      </c>
      <c r="H662">
        <v>2000</v>
      </c>
      <c r="I662">
        <f t="shared" ca="1" si="111"/>
        <v>4000</v>
      </c>
      <c r="J662">
        <v>0</v>
      </c>
      <c r="K662" t="str">
        <f t="shared" ca="1" si="112"/>
        <v>Yes</v>
      </c>
      <c r="L662" t="str">
        <f t="shared" ca="1" si="113"/>
        <v>Weight Loss</v>
      </c>
      <c r="M662" t="str">
        <f t="shared" ca="1" si="114"/>
        <v>Cancelled</v>
      </c>
      <c r="N662" s="2">
        <v>45100</v>
      </c>
      <c r="Q662" t="str">
        <f ca="1">IF(RAND()&lt;0.2,
    IF(RAND()&lt;0.5, LOWER(C662), UPPER(C662)),
    C662
)</f>
        <v>Chennai</v>
      </c>
      <c r="R662">
        <f t="shared" ca="1" si="117"/>
        <v>0</v>
      </c>
      <c r="S662">
        <f t="shared" ca="1" si="118"/>
        <v>2000</v>
      </c>
      <c r="T662">
        <f t="shared" ca="1" si="119"/>
        <v>45704</v>
      </c>
      <c r="U662" s="2">
        <f t="shared" ca="1" si="120"/>
        <v>45087</v>
      </c>
    </row>
    <row r="663" spans="1:21">
      <c r="A663" t="str">
        <f t="shared" si="116"/>
        <v>MEM0662</v>
      </c>
      <c r="B663" t="str">
        <f ca="1">INDEX('Name pool'!A:A, RANDBETWEEN(2, COUNTA('Name pool'!A:A))) &amp; " " &amp; INDEX('Name pool'!B:B, RANDBETWEEN(2, COUNTA('Name pool'!B:B)))</f>
        <v>Divya George</v>
      </c>
      <c r="C663" t="s">
        <v>124</v>
      </c>
      <c r="D663" t="str">
        <f t="shared" ca="1" si="115"/>
        <v>BR04</v>
      </c>
      <c r="E663" t="str">
        <f t="shared" ca="1" si="110"/>
        <v>Basic</v>
      </c>
      <c r="F663" s="2">
        <v>45485</v>
      </c>
      <c r="G663" s="2">
        <v>45850</v>
      </c>
      <c r="H663">
        <v>3500</v>
      </c>
      <c r="I663">
        <f t="shared" ca="1" si="111"/>
        <v>17500</v>
      </c>
      <c r="J663">
        <v>18</v>
      </c>
      <c r="K663" t="str">
        <f t="shared" ca="1" si="112"/>
        <v>Yes</v>
      </c>
      <c r="L663" t="str">
        <f t="shared" ca="1" si="113"/>
        <v>Weight Loss</v>
      </c>
      <c r="M663" t="str">
        <f t="shared" ca="1" si="114"/>
        <v>Active</v>
      </c>
      <c r="N663" s="2">
        <v>45765</v>
      </c>
      <c r="Q663" t="str">
        <f ca="1">IF(RAND()&lt;0.2,
    IF(RAND()&lt;0.5, LOWER(C663), UPPER(C663)),
    C663
)</f>
        <v>chennai</v>
      </c>
      <c r="R663">
        <f t="shared" ca="1" si="117"/>
        <v>18</v>
      </c>
      <c r="S663" t="str">
        <f t="shared" ca="1" si="118"/>
        <v>3500</v>
      </c>
      <c r="T663">
        <f t="shared" ca="1" si="119"/>
        <v>45261</v>
      </c>
      <c r="U663" s="2">
        <f t="shared" ca="1" si="120"/>
        <v>45765</v>
      </c>
    </row>
    <row r="664" spans="1:21">
      <c r="A664" t="str">
        <f t="shared" si="116"/>
        <v>MEM0663</v>
      </c>
      <c r="B664" t="str">
        <f ca="1">INDEX('Name pool'!A:A, RANDBETWEEN(2, COUNTA('Name pool'!A:A))) &amp; " " &amp; INDEX('Name pool'!B:B, RANDBETWEEN(2, COUNTA('Name pool'!B:B)))</f>
        <v>Anjali Lewis</v>
      </c>
      <c r="C664" t="s">
        <v>81</v>
      </c>
      <c r="D664" t="str">
        <f t="shared" ca="1" si="115"/>
        <v>BR02</v>
      </c>
      <c r="E664" t="str">
        <f t="shared" ca="1" si="110"/>
        <v>Basic</v>
      </c>
      <c r="F664" s="2">
        <v>45846</v>
      </c>
      <c r="G664" s="2">
        <v>45936</v>
      </c>
      <c r="H664">
        <v>2000</v>
      </c>
      <c r="I664">
        <f t="shared" ca="1" si="111"/>
        <v>16000</v>
      </c>
      <c r="J664">
        <v>16</v>
      </c>
      <c r="K664" t="str">
        <f t="shared" ca="1" si="112"/>
        <v>Yes</v>
      </c>
      <c r="L664" t="str">
        <f t="shared" ca="1" si="113"/>
        <v>Muscle Gain</v>
      </c>
      <c r="M664" t="str">
        <f t="shared" ca="1" si="114"/>
        <v>Active</v>
      </c>
      <c r="N664" s="2">
        <v>45952</v>
      </c>
      <c r="Q664" t="str">
        <f ca="1">IF(RAND()&lt;0.2,
    IF(RAND()&lt;0.5, LOWER(C664), UPPER(C664)),
    C664
)</f>
        <v>Mumbai</v>
      </c>
      <c r="R664">
        <f t="shared" ca="1" si="117"/>
        <v>16</v>
      </c>
      <c r="S664">
        <f t="shared" ca="1" si="118"/>
        <v>2000</v>
      </c>
      <c r="T664">
        <f t="shared" ca="1" si="119"/>
        <v>45662</v>
      </c>
      <c r="U664" s="2">
        <f t="shared" ca="1" si="120"/>
        <v>45952</v>
      </c>
    </row>
    <row r="665" spans="1:21">
      <c r="A665" t="str">
        <f t="shared" si="116"/>
        <v>MEM0664</v>
      </c>
      <c r="B665" t="str">
        <f ca="1">INDEX('Name pool'!A:A, RANDBETWEEN(2, COUNTA('Name pool'!A:A))) &amp; " " &amp; INDEX('Name pool'!B:B, RANDBETWEEN(2, COUNTA('Name pool'!B:B)))</f>
        <v>Siddharth Shetty</v>
      </c>
      <c r="C665" t="s">
        <v>85</v>
      </c>
      <c r="D665" t="str">
        <f t="shared" ca="1" si="115"/>
        <v>BR06</v>
      </c>
      <c r="E665" t="str">
        <f t="shared" ca="1" si="110"/>
        <v>Premium</v>
      </c>
      <c r="F665" s="2">
        <v>45345</v>
      </c>
      <c r="G665" s="2">
        <v>45435</v>
      </c>
      <c r="H665">
        <v>2000</v>
      </c>
      <c r="I665">
        <f t="shared" ca="1" si="111"/>
        <v>22000</v>
      </c>
      <c r="J665" t="s">
        <v>126</v>
      </c>
      <c r="K665" t="str">
        <f t="shared" ca="1" si="112"/>
        <v>No</v>
      </c>
      <c r="L665" t="str">
        <f t="shared" ca="1" si="113"/>
        <v>General Fitness</v>
      </c>
      <c r="M665" t="str">
        <f t="shared" ca="1" si="114"/>
        <v>Active</v>
      </c>
      <c r="N665" s="2">
        <v>46100</v>
      </c>
      <c r="Q665" t="str">
        <f ca="1">IF(RAND()&lt;0.2,
    IF(RAND()&lt;0.5, LOWER(C665), UPPER(C665)),
    C665
)</f>
        <v>Calicut</v>
      </c>
      <c r="R665" t="str">
        <f t="shared" ca="1" si="117"/>
        <v>13 visits</v>
      </c>
      <c r="S665">
        <f t="shared" ca="1" si="118"/>
        <v>2000</v>
      </c>
      <c r="T665">
        <f t="shared" ca="1" si="119"/>
        <v>45742</v>
      </c>
      <c r="U665" s="2">
        <f t="shared" ca="1" si="120"/>
        <v>46100</v>
      </c>
    </row>
    <row r="666" spans="1:21">
      <c r="A666" t="str">
        <f t="shared" si="116"/>
        <v>MEM0665</v>
      </c>
      <c r="B666" t="str">
        <f ca="1">INDEX('Name pool'!A:A, RANDBETWEEN(2, COUNTA('Name pool'!A:A))) &amp; " " &amp; INDEX('Name pool'!B:B, RANDBETWEEN(2, COUNTA('Name pool'!B:B)))</f>
        <v>Deepak Mathew</v>
      </c>
      <c r="C666" t="s">
        <v>81</v>
      </c>
      <c r="D666" t="str">
        <f t="shared" ca="1" si="115"/>
        <v>BR05</v>
      </c>
      <c r="E666" t="str">
        <f t="shared" ca="1" si="110"/>
        <v>Standard</v>
      </c>
      <c r="F666" s="2">
        <v>45042</v>
      </c>
      <c r="G666" s="2">
        <v>45072</v>
      </c>
      <c r="H666">
        <v>2000</v>
      </c>
      <c r="I666">
        <f t="shared" ca="1" si="111"/>
        <v>8000</v>
      </c>
      <c r="J666" t="s">
        <v>142</v>
      </c>
      <c r="K666" t="str">
        <f t="shared" ca="1" si="112"/>
        <v>No</v>
      </c>
      <c r="L666" t="str">
        <f t="shared" ca="1" si="113"/>
        <v>Weight Loss</v>
      </c>
      <c r="M666" t="str">
        <f t="shared" ca="1" si="114"/>
        <v>Active</v>
      </c>
      <c r="N666" s="2">
        <v>45831</v>
      </c>
      <c r="Q666" t="str">
        <f ca="1">IF(RAND()&lt;0.2,
    IF(RAND()&lt;0.5, LOWER(C666), UPPER(C666)),
    C666
)</f>
        <v>Mumbai</v>
      </c>
      <c r="R666" t="str">
        <f t="shared" ca="1" si="117"/>
        <v>24 visits</v>
      </c>
      <c r="S666">
        <f t="shared" ca="1" si="118"/>
        <v>2000</v>
      </c>
      <c r="T666">
        <f t="shared" ca="1" si="119"/>
        <v>45838</v>
      </c>
      <c r="U666" s="2">
        <f t="shared" ca="1" si="120"/>
        <v>45831</v>
      </c>
    </row>
    <row r="667" spans="1:21">
      <c r="A667" t="str">
        <f t="shared" si="116"/>
        <v>MEM0666</v>
      </c>
      <c r="B667" t="str">
        <f ca="1">INDEX('Name pool'!A:A, RANDBETWEEN(2, COUNTA('Name pool'!A:A))) &amp; " " &amp; INDEX('Name pool'!B:B, RANDBETWEEN(2, COUNTA('Name pool'!B:B)))</f>
        <v>Riya Agarwal</v>
      </c>
      <c r="C667" t="s">
        <v>73</v>
      </c>
      <c r="D667" t="str">
        <f t="shared" ca="1" si="115"/>
        <v>BR05</v>
      </c>
      <c r="E667" t="str">
        <f t="shared" ca="1" si="110"/>
        <v>Basic</v>
      </c>
      <c r="F667" s="2">
        <v>45901</v>
      </c>
      <c r="G667" s="2">
        <v>46266</v>
      </c>
      <c r="H667">
        <v>1000</v>
      </c>
      <c r="I667">
        <f t="shared" ca="1" si="111"/>
        <v>6000</v>
      </c>
      <c r="J667">
        <v>13</v>
      </c>
      <c r="K667" t="str">
        <f t="shared" ca="1" si="112"/>
        <v>Yes</v>
      </c>
      <c r="L667" t="str">
        <f t="shared" ca="1" si="113"/>
        <v>Muscle Gain</v>
      </c>
      <c r="M667" t="str">
        <f t="shared" ca="1" si="114"/>
        <v>Active</v>
      </c>
      <c r="N667" s="2">
        <v>46115</v>
      </c>
      <c r="Q667" t="str">
        <f ca="1">IF(RAND()&lt;0.2,
    IF(RAND()&lt;0.5, LOWER(C667), UPPER(C667)),
    C667
)</f>
        <v>KOCHI</v>
      </c>
      <c r="R667" t="str">
        <f t="shared" ca="1" si="117"/>
        <v>13 visits</v>
      </c>
      <c r="S667">
        <f t="shared" ca="1" si="118"/>
        <v>1000</v>
      </c>
      <c r="T667">
        <f t="shared" ca="1" si="119"/>
        <v>45439</v>
      </c>
      <c r="U667" s="2">
        <f t="shared" ca="1" si="120"/>
        <v>46115</v>
      </c>
    </row>
    <row r="668" spans="1:21">
      <c r="A668" t="str">
        <f t="shared" si="116"/>
        <v>MEM0667</v>
      </c>
      <c r="B668" t="str">
        <f ca="1">INDEX('Name pool'!A:A, RANDBETWEEN(2, COUNTA('Name pool'!A:A))) &amp; " " &amp; INDEX('Name pool'!B:B, RANDBETWEEN(2, COUNTA('Name pool'!B:B)))</f>
        <v>Harish Iyer</v>
      </c>
      <c r="C668" t="s">
        <v>73</v>
      </c>
      <c r="D668" t="str">
        <f t="shared" ca="1" si="115"/>
        <v>BR02</v>
      </c>
      <c r="E668" t="str">
        <f t="shared" ca="1" si="110"/>
        <v>Basic</v>
      </c>
      <c r="F668" s="2">
        <v>45991</v>
      </c>
      <c r="G668" s="2">
        <v>46356</v>
      </c>
      <c r="H668">
        <v>3500</v>
      </c>
      <c r="I668">
        <f t="shared" ca="1" si="111"/>
        <v>31500</v>
      </c>
      <c r="J668">
        <v>20</v>
      </c>
      <c r="K668" t="str">
        <f t="shared" ca="1" si="112"/>
        <v>No</v>
      </c>
      <c r="L668" t="str">
        <f t="shared" ca="1" si="113"/>
        <v>Weight Loss</v>
      </c>
      <c r="M668" t="str">
        <f t="shared" ca="1" si="114"/>
        <v>Active</v>
      </c>
      <c r="N668" s="2">
        <v>46083</v>
      </c>
      <c r="Q668" t="str">
        <f ca="1">IF(RAND()&lt;0.2,
    IF(RAND()&lt;0.5, LOWER(C668), UPPER(C668)),
    C668
)</f>
        <v>Kochi</v>
      </c>
      <c r="R668">
        <f t="shared" ca="1" si="117"/>
        <v>20</v>
      </c>
      <c r="S668" t="str">
        <f t="shared" ca="1" si="118"/>
        <v>3500</v>
      </c>
      <c r="T668">
        <f t="shared" ca="1" si="119"/>
        <v>45894</v>
      </c>
      <c r="U668" s="2">
        <f t="shared" ca="1" si="120"/>
        <v>46083</v>
      </c>
    </row>
    <row r="669" spans="1:21">
      <c r="A669" t="str">
        <f t="shared" si="116"/>
        <v>MEM0668</v>
      </c>
      <c r="B669" t="str">
        <f ca="1">INDEX('Name pool'!A:A, RANDBETWEEN(2, COUNTA('Name pool'!A:A))) &amp; " " &amp; INDEX('Name pool'!B:B, RANDBETWEEN(2, COUNTA('Name pool'!B:B)))</f>
        <v>Lakshmi Joshi</v>
      </c>
      <c r="C669" t="s">
        <v>85</v>
      </c>
      <c r="D669" t="str">
        <f t="shared" ca="1" si="115"/>
        <v>BR02</v>
      </c>
      <c r="E669" t="str">
        <f t="shared" ca="1" si="110"/>
        <v>Premium</v>
      </c>
      <c r="F669" s="2">
        <v>45231</v>
      </c>
      <c r="G669" s="2">
        <v>45321</v>
      </c>
      <c r="H669">
        <v>3500</v>
      </c>
      <c r="I669">
        <f t="shared" ca="1" si="111"/>
        <v>35000</v>
      </c>
      <c r="J669">
        <v>19</v>
      </c>
      <c r="K669" t="str">
        <f t="shared" ca="1" si="112"/>
        <v>No</v>
      </c>
      <c r="L669" t="str">
        <f t="shared" ca="1" si="113"/>
        <v>General Fitness</v>
      </c>
      <c r="M669" t="str">
        <f t="shared" ca="1" si="114"/>
        <v>Active</v>
      </c>
      <c r="N669" s="2">
        <v>45663</v>
      </c>
      <c r="Q669" t="str">
        <f ca="1">IF(RAND()&lt;0.2,
    IF(RAND()&lt;0.5, LOWER(C669), UPPER(C669)),
    C669
)</f>
        <v>Calicut</v>
      </c>
      <c r="R669">
        <f t="shared" ca="1" si="117"/>
        <v>19</v>
      </c>
      <c r="S669">
        <f t="shared" ca="1" si="118"/>
        <v>3500</v>
      </c>
      <c r="T669">
        <f t="shared" ca="1" si="119"/>
        <v>44988</v>
      </c>
      <c r="U669" s="2">
        <f t="shared" ca="1" si="120"/>
        <v>45663</v>
      </c>
    </row>
    <row r="670" spans="1:21">
      <c r="A670" t="str">
        <f t="shared" si="116"/>
        <v>MEM0669</v>
      </c>
      <c r="B670" t="str">
        <f ca="1">INDEX('Name pool'!A:A, RANDBETWEEN(2, COUNTA('Name pool'!A:A))) &amp; " " &amp; INDEX('Name pool'!B:B, RANDBETWEEN(2, COUNTA('Name pool'!B:B)))</f>
        <v>Harish Chatterjee</v>
      </c>
      <c r="C670" t="s">
        <v>79</v>
      </c>
      <c r="D670" t="str">
        <f t="shared" ca="1" si="115"/>
        <v>BR06</v>
      </c>
      <c r="E670" t="str">
        <f t="shared" ca="1" si="110"/>
        <v>Basic</v>
      </c>
      <c r="F670" s="2">
        <v>45712</v>
      </c>
      <c r="G670" s="2">
        <v>45742</v>
      </c>
      <c r="H670">
        <v>1000</v>
      </c>
      <c r="I670">
        <f t="shared" ca="1" si="111"/>
        <v>6000</v>
      </c>
      <c r="J670">
        <v>14</v>
      </c>
      <c r="K670" t="str">
        <f t="shared" ca="1" si="112"/>
        <v>No</v>
      </c>
      <c r="L670" t="str">
        <f t="shared" ca="1" si="113"/>
        <v>Weight Loss</v>
      </c>
      <c r="M670" t="str">
        <f t="shared" ca="1" si="114"/>
        <v>Active</v>
      </c>
      <c r="N670" s="2">
        <v>45719</v>
      </c>
      <c r="Q670" t="str">
        <f ca="1">IF(RAND()&lt;0.2,
    IF(RAND()&lt;0.5, LOWER(C670), UPPER(C670)),
    C670
)</f>
        <v>Hyderabad</v>
      </c>
      <c r="R670">
        <f t="shared" ca="1" si="117"/>
        <v>14</v>
      </c>
      <c r="S670">
        <f t="shared" ca="1" si="118"/>
        <v>1000</v>
      </c>
      <c r="T670">
        <f t="shared" ca="1" si="119"/>
        <v>45770</v>
      </c>
      <c r="U670" s="2">
        <f t="shared" ca="1" si="120"/>
        <v>45719</v>
      </c>
    </row>
    <row r="671" spans="1:21">
      <c r="A671" t="str">
        <f t="shared" si="116"/>
        <v>MEM0670</v>
      </c>
      <c r="B671" t="str">
        <f ca="1">INDEX('Name pool'!A:A, RANDBETWEEN(2, COUNTA('Name pool'!A:A))) &amp; " " &amp; INDEX('Name pool'!B:B, RANDBETWEEN(2, COUNTA('Name pool'!B:B)))</f>
        <v>Ishita Menon</v>
      </c>
      <c r="C671" t="s">
        <v>81</v>
      </c>
      <c r="D671" t="str">
        <f t="shared" ca="1" si="115"/>
        <v>BR07</v>
      </c>
      <c r="E671" t="str">
        <f t="shared" ca="1" si="110"/>
        <v>Basic</v>
      </c>
      <c r="F671" s="2">
        <v>45422</v>
      </c>
      <c r="G671" s="2">
        <v>45787</v>
      </c>
      <c r="H671">
        <v>2000</v>
      </c>
      <c r="I671">
        <f t="shared" ca="1" si="111"/>
        <v>24000</v>
      </c>
      <c r="J671">
        <v>7</v>
      </c>
      <c r="K671" t="str">
        <f t="shared" ca="1" si="112"/>
        <v>Yes</v>
      </c>
      <c r="L671" t="str">
        <f t="shared" ca="1" si="113"/>
        <v>Muscle Gain</v>
      </c>
      <c r="M671" t="str">
        <f t="shared" ca="1" si="114"/>
        <v>Active</v>
      </c>
      <c r="N671" s="2">
        <v>46006</v>
      </c>
      <c r="Q671" t="str">
        <f ca="1">IF(RAND()&lt;0.2,
    IF(RAND()&lt;0.5, LOWER(C671), UPPER(C671)),
    C671
)</f>
        <v>Mumbai</v>
      </c>
      <c r="R671">
        <f t="shared" ca="1" si="117"/>
        <v>7</v>
      </c>
      <c r="S671">
        <f t="shared" ca="1" si="118"/>
        <v>2000</v>
      </c>
      <c r="T671">
        <f t="shared" ca="1" si="119"/>
        <v>46021</v>
      </c>
      <c r="U671" s="2">
        <f t="shared" ca="1" si="120"/>
        <v>46006</v>
      </c>
    </row>
    <row r="672" spans="1:21">
      <c r="A672" t="str">
        <f t="shared" si="116"/>
        <v>MEM0671</v>
      </c>
      <c r="B672" t="str">
        <f ca="1">INDEX('Name pool'!A:A, RANDBETWEEN(2, COUNTA('Name pool'!A:A))) &amp; " " &amp; INDEX('Name pool'!B:B, RANDBETWEEN(2, COUNTA('Name pool'!B:B)))</f>
        <v>Ankit Kapoor</v>
      </c>
      <c r="C672" t="s">
        <v>75</v>
      </c>
      <c r="D672" t="str">
        <f t="shared" ca="1" si="115"/>
        <v>BR03</v>
      </c>
      <c r="E672" t="str">
        <f t="shared" ca="1" si="110"/>
        <v>Basic</v>
      </c>
      <c r="F672" s="2">
        <v>44996</v>
      </c>
      <c r="G672" s="2">
        <v>45361</v>
      </c>
      <c r="H672">
        <v>1000</v>
      </c>
      <c r="I672">
        <f t="shared" ca="1" si="111"/>
        <v>12000</v>
      </c>
      <c r="J672">
        <v>0</v>
      </c>
      <c r="K672" t="str">
        <f t="shared" ca="1" si="112"/>
        <v>Yes</v>
      </c>
      <c r="L672" t="str">
        <f t="shared" ca="1" si="113"/>
        <v>Muscle Gain</v>
      </c>
      <c r="M672" t="str">
        <f t="shared" ca="1" si="114"/>
        <v>Cancelled</v>
      </c>
      <c r="N672" s="2">
        <v>45479</v>
      </c>
      <c r="Q672" t="str">
        <f ca="1">IF(RAND()&lt;0.2,
    IF(RAND()&lt;0.5, LOWER(C672), UPPER(C672)),
    C672
)</f>
        <v>Bangalore</v>
      </c>
      <c r="R672">
        <f t="shared" ca="1" si="117"/>
        <v>0</v>
      </c>
      <c r="S672">
        <f t="shared" ca="1" si="118"/>
        <v>1000</v>
      </c>
      <c r="T672">
        <f t="shared" ca="1" si="119"/>
        <v>45026</v>
      </c>
      <c r="U672" s="2">
        <f t="shared" ca="1" si="120"/>
        <v>45027</v>
      </c>
    </row>
    <row r="673" spans="1:21">
      <c r="A673" t="str">
        <f t="shared" si="116"/>
        <v>MEM0672</v>
      </c>
      <c r="B673" t="str">
        <f ca="1">INDEX('Name pool'!A:A, RANDBETWEEN(2, COUNTA('Name pool'!A:A))) &amp; " " &amp; INDEX('Name pool'!B:B, RANDBETWEEN(2, COUNTA('Name pool'!B:B)))</f>
        <v>Pooja Kapoor</v>
      </c>
      <c r="C673" t="s">
        <v>75</v>
      </c>
      <c r="D673" t="str">
        <f t="shared" ca="1" si="115"/>
        <v>BR01</v>
      </c>
      <c r="E673" t="str">
        <f t="shared" ca="1" si="110"/>
        <v>Basic</v>
      </c>
      <c r="F673" s="2">
        <v>45495</v>
      </c>
      <c r="G673" s="2">
        <v>45585</v>
      </c>
      <c r="H673">
        <v>3500</v>
      </c>
      <c r="I673">
        <f t="shared" ca="1" si="111"/>
        <v>3500</v>
      </c>
      <c r="J673">
        <v>9</v>
      </c>
      <c r="K673" t="str">
        <f t="shared" ca="1" si="112"/>
        <v>No</v>
      </c>
      <c r="L673" t="str">
        <f t="shared" ca="1" si="113"/>
        <v>Muscle Gain</v>
      </c>
      <c r="M673" t="str">
        <f t="shared" ca="1" si="114"/>
        <v>Active</v>
      </c>
      <c r="N673" s="2">
        <v>45980</v>
      </c>
      <c r="Q673" t="str">
        <f ca="1">IF(RAND()&lt;0.2,
    IF(RAND()&lt;0.5, LOWER(C673), UPPER(C673)),
    C673
)</f>
        <v>Bangalore</v>
      </c>
      <c r="R673">
        <f t="shared" ca="1" si="117"/>
        <v>9</v>
      </c>
      <c r="S673">
        <f t="shared" ca="1" si="118"/>
        <v>3500</v>
      </c>
      <c r="T673">
        <f t="shared" ca="1" si="119"/>
        <v>44969</v>
      </c>
      <c r="U673" s="2">
        <f t="shared" ca="1" si="120"/>
        <v>45980</v>
      </c>
    </row>
    <row r="674" spans="1:21">
      <c r="A674" t="str">
        <f t="shared" si="116"/>
        <v>MEM0673</v>
      </c>
      <c r="B674" t="str">
        <f ca="1">INDEX('Name pool'!A:A, RANDBETWEEN(2, COUNTA('Name pool'!A:A))) &amp; " " &amp; INDEX('Name pool'!B:B, RANDBETWEEN(2, COUNTA('Name pool'!B:B)))</f>
        <v>Harish Naidu</v>
      </c>
      <c r="C674" t="s">
        <v>77</v>
      </c>
      <c r="D674" t="str">
        <f t="shared" ca="1" si="115"/>
        <v>BR05</v>
      </c>
      <c r="E674" t="str">
        <f t="shared" ref="E674:E737" ca="1" si="121">CHOOSE(RANDBETWEEN(1,3),"Basic","Standard","Premium")</f>
        <v>Premium</v>
      </c>
      <c r="F674" s="2">
        <v>45728</v>
      </c>
      <c r="G674" s="2">
        <v>45758</v>
      </c>
      <c r="H674">
        <v>1000</v>
      </c>
      <c r="I674">
        <f t="shared" ref="I674:I737" ca="1" si="122">H674 * RANDBETWEEN(1,12)</f>
        <v>2000</v>
      </c>
      <c r="J674">
        <v>0</v>
      </c>
      <c r="K674" t="str">
        <f t="shared" ref="K674:K737" ca="1" si="123">CHOOSE(RANDBETWEEN(1,2),"Yes","No")</f>
        <v>No</v>
      </c>
      <c r="L674" t="str">
        <f t="shared" ref="L674:L737" ca="1" si="124">CHOOSE(RANDBETWEEN(1,3),"Weight Loss","Muscle Gain","General Fitness")</f>
        <v>Weight Loss</v>
      </c>
      <c r="M674" t="str">
        <f t="shared" ref="M674:M737" ca="1" si="125">IF(J674&lt;5,IF(RANDBETWEEN(1,100)&lt;70,"Cancelled","Active"),"Active")</f>
        <v>Cancelled</v>
      </c>
      <c r="N674" s="2">
        <v>45920</v>
      </c>
      <c r="Q674" t="str">
        <f ca="1">IF(RAND()&lt;0.2,
    IF(RAND()&lt;0.5, LOWER(C674), UPPER(C674)),
    C674
)</f>
        <v>Chennai</v>
      </c>
      <c r="R674">
        <f t="shared" ca="1" si="117"/>
        <v>0</v>
      </c>
      <c r="S674">
        <f t="shared" ca="1" si="118"/>
        <v>1000</v>
      </c>
      <c r="T674">
        <f t="shared" ca="1" si="119"/>
        <v>45027</v>
      </c>
      <c r="U674" s="2">
        <f t="shared" ca="1" si="120"/>
        <v>45773</v>
      </c>
    </row>
    <row r="675" spans="1:21">
      <c r="A675" t="str">
        <f t="shared" si="116"/>
        <v>MEM0674</v>
      </c>
      <c r="B675" t="str">
        <f ca="1">INDEX('Name pool'!A:A, RANDBETWEEN(2, COUNTA('Name pool'!A:A))) &amp; " " &amp; INDEX('Name pool'!B:B, RANDBETWEEN(2, COUNTA('Name pool'!B:B)))</f>
        <v>Pooja D’Souza</v>
      </c>
      <c r="C675" t="s">
        <v>116</v>
      </c>
      <c r="D675" t="str">
        <f t="shared" ca="1" si="115"/>
        <v>BR01</v>
      </c>
      <c r="E675" t="str">
        <f t="shared" ca="1" si="121"/>
        <v>Basic</v>
      </c>
      <c r="F675" s="2">
        <v>45325</v>
      </c>
      <c r="G675" s="2">
        <v>45355</v>
      </c>
      <c r="H675">
        <v>2000</v>
      </c>
      <c r="I675">
        <f t="shared" ca="1" si="122"/>
        <v>14000</v>
      </c>
      <c r="J675">
        <v>22</v>
      </c>
      <c r="K675" t="str">
        <f t="shared" ca="1" si="123"/>
        <v>No</v>
      </c>
      <c r="L675" t="str">
        <f t="shared" ca="1" si="124"/>
        <v>Weight Loss</v>
      </c>
      <c r="M675" t="str">
        <f t="shared" ca="1" si="125"/>
        <v>Active</v>
      </c>
      <c r="N675" s="2">
        <v>45680</v>
      </c>
      <c r="Q675" t="str">
        <f ca="1">IF(RAND()&lt;0.2,
    IF(RAND()&lt;0.5, LOWER(C675), UPPER(C675)),
    C675
)</f>
        <v>kochi</v>
      </c>
      <c r="R675">
        <f t="shared" ca="1" si="117"/>
        <v>22</v>
      </c>
      <c r="S675">
        <f t="shared" ca="1" si="118"/>
        <v>2000</v>
      </c>
      <c r="T675">
        <f t="shared" ca="1" si="119"/>
        <v>46045</v>
      </c>
      <c r="U675" s="2">
        <f t="shared" ca="1" si="120"/>
        <v>45680</v>
      </c>
    </row>
    <row r="676" spans="1:21">
      <c r="A676" t="str">
        <f t="shared" si="116"/>
        <v>MEM0675</v>
      </c>
      <c r="B676" t="str">
        <f ca="1">INDEX('Name pool'!A:A, RANDBETWEEN(2, COUNTA('Name pool'!A:A))) &amp; " " &amp; INDEX('Name pool'!B:B, RANDBETWEEN(2, COUNTA('Name pool'!B:B)))</f>
        <v>Manoj Kulkarni</v>
      </c>
      <c r="C676" t="s">
        <v>81</v>
      </c>
      <c r="D676" t="str">
        <f t="shared" ca="1" si="115"/>
        <v>BR06</v>
      </c>
      <c r="E676" t="str">
        <f t="shared" ca="1" si="121"/>
        <v>Standard</v>
      </c>
      <c r="F676" s="2">
        <v>45876</v>
      </c>
      <c r="G676" s="2">
        <v>45906</v>
      </c>
      <c r="H676">
        <v>3500</v>
      </c>
      <c r="I676">
        <f t="shared" ca="1" si="122"/>
        <v>7000</v>
      </c>
      <c r="J676">
        <v>9</v>
      </c>
      <c r="K676" t="str">
        <f t="shared" ca="1" si="123"/>
        <v>Yes</v>
      </c>
      <c r="L676" t="str">
        <f t="shared" ca="1" si="124"/>
        <v>General Fitness</v>
      </c>
      <c r="M676" t="str">
        <f t="shared" ca="1" si="125"/>
        <v>Active</v>
      </c>
      <c r="N676" s="2">
        <v>45889</v>
      </c>
      <c r="Q676" t="str">
        <f ca="1">IF(RAND()&lt;0.2,
    IF(RAND()&lt;0.5, LOWER(C676), UPPER(C676)),
    C676
)</f>
        <v>Mumbai</v>
      </c>
      <c r="R676">
        <f t="shared" ca="1" si="117"/>
        <v>9</v>
      </c>
      <c r="S676">
        <f t="shared" ca="1" si="118"/>
        <v>3500</v>
      </c>
      <c r="T676">
        <f t="shared" ca="1" si="119"/>
        <v>45349</v>
      </c>
      <c r="U676" s="2">
        <f t="shared" ca="1" si="120"/>
        <v>45889</v>
      </c>
    </row>
    <row r="677" spans="1:21">
      <c r="A677" t="str">
        <f t="shared" si="116"/>
        <v>MEM0676</v>
      </c>
      <c r="B677" t="str">
        <f ca="1">INDEX('Name pool'!A:A, RANDBETWEEN(2, COUNTA('Name pool'!A:A))) &amp; " " &amp; INDEX('Name pool'!B:B, RANDBETWEEN(2, COUNTA('Name pool'!B:B)))</f>
        <v>Akash Joshi</v>
      </c>
      <c r="C677" t="s">
        <v>85</v>
      </c>
      <c r="D677" t="str">
        <f t="shared" ca="1" si="115"/>
        <v>BR07</v>
      </c>
      <c r="E677" t="str">
        <f t="shared" ca="1" si="121"/>
        <v>Basic</v>
      </c>
      <c r="F677" s="2">
        <v>46010</v>
      </c>
      <c r="G677" s="2">
        <v>46375</v>
      </c>
      <c r="H677">
        <v>1000</v>
      </c>
      <c r="I677">
        <f t="shared" ca="1" si="122"/>
        <v>12000</v>
      </c>
      <c r="J677" t="s">
        <v>130</v>
      </c>
      <c r="K677" t="str">
        <f t="shared" ca="1" si="123"/>
        <v>Yes</v>
      </c>
      <c r="L677" t="str">
        <f t="shared" ca="1" si="124"/>
        <v>Muscle Gain</v>
      </c>
      <c r="M677" t="str">
        <f t="shared" ca="1" si="125"/>
        <v>Active</v>
      </c>
      <c r="N677" s="2">
        <v>46087</v>
      </c>
      <c r="Q677" t="str">
        <f ca="1">IF(RAND()&lt;0.2,
    IF(RAND()&lt;0.5, LOWER(C677), UPPER(C677)),
    C677
)</f>
        <v>Calicut</v>
      </c>
      <c r="R677" t="str">
        <f t="shared" ca="1" si="117"/>
        <v>6 visits</v>
      </c>
      <c r="S677">
        <f t="shared" ca="1" si="118"/>
        <v>1000</v>
      </c>
      <c r="T677">
        <f t="shared" ca="1" si="119"/>
        <v>45581</v>
      </c>
      <c r="U677" s="2">
        <f t="shared" ca="1" si="120"/>
        <v>46087</v>
      </c>
    </row>
    <row r="678" spans="1:21">
      <c r="A678" t="str">
        <f t="shared" si="116"/>
        <v>MEM0677</v>
      </c>
      <c r="B678" t="str">
        <f ca="1">INDEX('Name pool'!A:A, RANDBETWEEN(2, COUNTA('Name pool'!A:A))) &amp; " " &amp; INDEX('Name pool'!B:B, RANDBETWEEN(2, COUNTA('Name pool'!B:B)))</f>
        <v>Arjun Kulkarni</v>
      </c>
      <c r="C678" t="s">
        <v>77</v>
      </c>
      <c r="D678" t="str">
        <f t="shared" ca="1" si="115"/>
        <v>BR06</v>
      </c>
      <c r="E678" t="str">
        <f t="shared" ca="1" si="121"/>
        <v>Basic</v>
      </c>
      <c r="F678" s="2">
        <v>45454</v>
      </c>
      <c r="G678" s="2">
        <v>45484</v>
      </c>
      <c r="H678">
        <v>1000</v>
      </c>
      <c r="I678">
        <f t="shared" ca="1" si="122"/>
        <v>11000</v>
      </c>
      <c r="J678">
        <v>8</v>
      </c>
      <c r="K678" t="str">
        <f t="shared" ca="1" si="123"/>
        <v>No</v>
      </c>
      <c r="L678" t="str">
        <f t="shared" ca="1" si="124"/>
        <v>Muscle Gain</v>
      </c>
      <c r="M678" t="str">
        <f t="shared" ca="1" si="125"/>
        <v>Active</v>
      </c>
      <c r="N678" s="2">
        <v>45844</v>
      </c>
      <c r="Q678" t="str">
        <f ca="1">IF(RAND()&lt;0.2,
    IF(RAND()&lt;0.5, LOWER(C678), UPPER(C678)),
    C678
)</f>
        <v>Chennai</v>
      </c>
      <c r="R678">
        <f t="shared" ca="1" si="117"/>
        <v>8</v>
      </c>
      <c r="S678">
        <f t="shared" ca="1" si="118"/>
        <v>1000</v>
      </c>
      <c r="T678">
        <f t="shared" ca="1" si="119"/>
        <v>45481</v>
      </c>
      <c r="U678" s="2">
        <f t="shared" ca="1" si="120"/>
        <v>45844</v>
      </c>
    </row>
    <row r="679" spans="1:21">
      <c r="A679" t="str">
        <f t="shared" si="116"/>
        <v>MEM0678</v>
      </c>
      <c r="B679" t="str">
        <f ca="1">INDEX('Name pool'!A:A, RANDBETWEEN(2, COUNTA('Name pool'!A:A))) &amp; " " &amp; INDEX('Name pool'!B:B, RANDBETWEEN(2, COUNTA('Name pool'!B:B)))</f>
        <v>Akash Pillai</v>
      </c>
      <c r="C679" t="s">
        <v>79</v>
      </c>
      <c r="D679" t="str">
        <f t="shared" ca="1" si="115"/>
        <v>BR03</v>
      </c>
      <c r="E679" t="str">
        <f t="shared" ca="1" si="121"/>
        <v>Standard</v>
      </c>
      <c r="F679" s="2">
        <v>45686</v>
      </c>
      <c r="G679" s="2">
        <v>45716</v>
      </c>
      <c r="H679">
        <v>1000</v>
      </c>
      <c r="I679">
        <f t="shared" ca="1" si="122"/>
        <v>1000</v>
      </c>
      <c r="J679">
        <v>21</v>
      </c>
      <c r="K679" t="str">
        <f t="shared" ca="1" si="123"/>
        <v>No</v>
      </c>
      <c r="L679" t="str">
        <f t="shared" ca="1" si="124"/>
        <v>General Fitness</v>
      </c>
      <c r="M679" t="str">
        <f t="shared" ca="1" si="125"/>
        <v>Active</v>
      </c>
      <c r="N679" s="2">
        <v>45857</v>
      </c>
      <c r="Q679" t="str">
        <f ca="1">IF(RAND()&lt;0.2,
    IF(RAND()&lt;0.5, LOWER(C679), UPPER(C679)),
    C679
)</f>
        <v>Hyderabad</v>
      </c>
      <c r="R679" t="str">
        <f t="shared" ca="1" si="117"/>
        <v>21 visits</v>
      </c>
      <c r="S679">
        <f t="shared" ca="1" si="118"/>
        <v>1000</v>
      </c>
      <c r="T679">
        <f t="shared" ca="1" si="119"/>
        <v>45818</v>
      </c>
      <c r="U679" s="2">
        <f t="shared" ca="1" si="120"/>
        <v>45857</v>
      </c>
    </row>
    <row r="680" spans="1:21">
      <c r="A680" t="str">
        <f t="shared" si="116"/>
        <v>MEM0679</v>
      </c>
      <c r="B680" t="str">
        <f ca="1">INDEX('Name pool'!A:A, RANDBETWEEN(2, COUNTA('Name pool'!A:A))) &amp; " " &amp; INDEX('Name pool'!B:B, RANDBETWEEN(2, COUNTA('Name pool'!B:B)))</f>
        <v>Kavya Gupta</v>
      </c>
      <c r="C680" t="s">
        <v>81</v>
      </c>
      <c r="D680" t="str">
        <f t="shared" ca="1" si="115"/>
        <v>BR07</v>
      </c>
      <c r="E680" t="str">
        <f t="shared" ca="1" si="121"/>
        <v>Premium</v>
      </c>
      <c r="F680" s="2">
        <v>45343</v>
      </c>
      <c r="G680" s="2">
        <v>45708</v>
      </c>
      <c r="H680">
        <v>2000</v>
      </c>
      <c r="I680">
        <f t="shared" ca="1" si="122"/>
        <v>8000</v>
      </c>
      <c r="J680" t="s">
        <v>146</v>
      </c>
      <c r="K680" t="str">
        <f t="shared" ca="1" si="123"/>
        <v>Yes</v>
      </c>
      <c r="L680" t="str">
        <f t="shared" ca="1" si="124"/>
        <v>General Fitness</v>
      </c>
      <c r="M680" t="str">
        <f t="shared" ca="1" si="125"/>
        <v>Active</v>
      </c>
      <c r="N680" s="2">
        <v>45745</v>
      </c>
      <c r="Q680" t="str">
        <f ca="1">IF(RAND()&lt;0.2,
    IF(RAND()&lt;0.5, LOWER(C680), UPPER(C680)),
    C680
)</f>
        <v>Mumbai</v>
      </c>
      <c r="R680" t="str">
        <f t="shared" ca="1" si="117"/>
        <v>20 visits</v>
      </c>
      <c r="S680">
        <f t="shared" ca="1" si="118"/>
        <v>2000</v>
      </c>
      <c r="T680">
        <f t="shared" ca="1" si="119"/>
        <v>45786</v>
      </c>
      <c r="U680" s="2">
        <f t="shared" ca="1" si="120"/>
        <v>45745</v>
      </c>
    </row>
    <row r="681" spans="1:21">
      <c r="A681" t="str">
        <f t="shared" si="116"/>
        <v>MEM0680</v>
      </c>
      <c r="B681" t="str">
        <f ca="1">INDEX('Name pool'!A:A, RANDBETWEEN(2, COUNTA('Name pool'!A:A))) &amp; " " &amp; INDEX('Name pool'!B:B, RANDBETWEEN(2, COUNTA('Name pool'!B:B)))</f>
        <v>Neha Yadav</v>
      </c>
      <c r="C681" t="s">
        <v>85</v>
      </c>
      <c r="D681" t="str">
        <f t="shared" ca="1" si="115"/>
        <v>BR05</v>
      </c>
      <c r="E681" t="str">
        <f t="shared" ca="1" si="121"/>
        <v>Basic</v>
      </c>
      <c r="F681" s="2">
        <v>45618</v>
      </c>
      <c r="G681" s="2">
        <v>45708</v>
      </c>
      <c r="H681">
        <v>3500</v>
      </c>
      <c r="I681">
        <f t="shared" ca="1" si="122"/>
        <v>17500</v>
      </c>
      <c r="J681">
        <v>22</v>
      </c>
      <c r="K681" t="str">
        <f t="shared" ca="1" si="123"/>
        <v>No</v>
      </c>
      <c r="L681" t="str">
        <f t="shared" ca="1" si="124"/>
        <v>General Fitness</v>
      </c>
      <c r="M681" t="str">
        <f t="shared" ca="1" si="125"/>
        <v>Active</v>
      </c>
      <c r="N681" s="2">
        <v>46038</v>
      </c>
      <c r="Q681" t="str">
        <f ca="1">IF(RAND()&lt;0.2,
    IF(RAND()&lt;0.5, LOWER(C681), UPPER(C681)),
    C681
)</f>
        <v>Calicut</v>
      </c>
      <c r="R681">
        <f t="shared" ca="1" si="117"/>
        <v>22</v>
      </c>
      <c r="S681">
        <f t="shared" ca="1" si="118"/>
        <v>3500</v>
      </c>
      <c r="T681">
        <f t="shared" ca="1" si="119"/>
        <v>45302</v>
      </c>
      <c r="U681" s="2">
        <f t="shared" ca="1" si="120"/>
        <v>46038</v>
      </c>
    </row>
    <row r="682" spans="1:21">
      <c r="A682" t="str">
        <f t="shared" si="116"/>
        <v>MEM0681</v>
      </c>
      <c r="B682" t="str">
        <f ca="1">INDEX('Name pool'!A:A, RANDBETWEEN(2, COUNTA('Name pool'!A:A))) &amp; " " &amp; INDEX('Name pool'!B:B, RANDBETWEEN(2, COUNTA('Name pool'!B:B)))</f>
        <v>Anjali Malhotra</v>
      </c>
      <c r="C682" t="s">
        <v>114</v>
      </c>
      <c r="D682" t="str">
        <f t="shared" ca="1" si="115"/>
        <v>BR05</v>
      </c>
      <c r="E682" t="str">
        <f t="shared" ca="1" si="121"/>
        <v>Premium</v>
      </c>
      <c r="F682" s="2">
        <v>45939</v>
      </c>
      <c r="G682" s="2">
        <v>45969</v>
      </c>
      <c r="H682">
        <v>3500</v>
      </c>
      <c r="I682">
        <f t="shared" ca="1" si="122"/>
        <v>24500</v>
      </c>
      <c r="J682">
        <v>4</v>
      </c>
      <c r="K682" t="str">
        <f t="shared" ca="1" si="123"/>
        <v>Yes</v>
      </c>
      <c r="L682" t="str">
        <f t="shared" ca="1" si="124"/>
        <v>General Fitness</v>
      </c>
      <c r="M682" t="str">
        <f t="shared" ca="1" si="125"/>
        <v>Active</v>
      </c>
      <c r="N682" s="2">
        <v>45961</v>
      </c>
      <c r="Q682" t="str">
        <f ca="1">IF(RAND()&lt;0.2,
    IF(RAND()&lt;0.5, LOWER(C682), UPPER(C682)),
    C682
)</f>
        <v>trivandrum</v>
      </c>
      <c r="R682">
        <f t="shared" ca="1" si="117"/>
        <v>4</v>
      </c>
      <c r="S682">
        <f t="shared" ca="1" si="118"/>
        <v>3500</v>
      </c>
      <c r="T682">
        <f t="shared" ca="1" si="119"/>
        <v>45814</v>
      </c>
      <c r="U682" s="2">
        <f t="shared" ca="1" si="120"/>
        <v>45961</v>
      </c>
    </row>
    <row r="683" spans="1:21">
      <c r="A683" t="str">
        <f t="shared" si="116"/>
        <v>MEM0682</v>
      </c>
      <c r="B683" t="str">
        <f ca="1">INDEX('Name pool'!A:A, RANDBETWEEN(2, COUNTA('Name pool'!A:A))) &amp; " " &amp; INDEX('Name pool'!B:B, RANDBETWEEN(2, COUNTA('Name pool'!B:B)))</f>
        <v>Anjali Joshi</v>
      </c>
      <c r="C683" t="s">
        <v>75</v>
      </c>
      <c r="D683" t="str">
        <f t="shared" ca="1" si="115"/>
        <v>BR05</v>
      </c>
      <c r="E683" t="str">
        <f t="shared" ca="1" si="121"/>
        <v>Premium</v>
      </c>
      <c r="F683" s="2">
        <v>44969</v>
      </c>
      <c r="G683" s="2">
        <v>44999</v>
      </c>
      <c r="H683" t="s">
        <v>105</v>
      </c>
      <c r="I683">
        <f t="shared" ca="1" si="122"/>
        <v>28000</v>
      </c>
      <c r="J683">
        <v>3</v>
      </c>
      <c r="K683" t="str">
        <f t="shared" ca="1" si="123"/>
        <v>Yes</v>
      </c>
      <c r="L683" t="str">
        <f t="shared" ca="1" si="124"/>
        <v>General Fitness</v>
      </c>
      <c r="M683" t="str">
        <f t="shared" ca="1" si="125"/>
        <v>Cancelled</v>
      </c>
      <c r="N683" s="2">
        <v>45850</v>
      </c>
      <c r="Q683" t="str">
        <f ca="1">IF(RAND()&lt;0.2,
    IF(RAND()&lt;0.5, LOWER(C683), UPPER(C683)),
    C683
)</f>
        <v>Bangalore</v>
      </c>
      <c r="R683">
        <f t="shared" ca="1" si="117"/>
        <v>3</v>
      </c>
      <c r="S683" t="str">
        <f t="shared" ca="1" si="118"/>
        <v>3500</v>
      </c>
      <c r="T683">
        <f t="shared" ca="1" si="119"/>
        <v>45460</v>
      </c>
      <c r="U683" s="2">
        <f t="shared" ca="1" si="120"/>
        <v>45011</v>
      </c>
    </row>
    <row r="684" spans="1:21">
      <c r="A684" t="str">
        <f t="shared" si="116"/>
        <v>MEM0683</v>
      </c>
      <c r="B684" t="str">
        <f ca="1">INDEX('Name pool'!A:A, RANDBETWEEN(2, COUNTA('Name pool'!A:A))) &amp; " " &amp; INDEX('Name pool'!B:B, RANDBETWEEN(2, COUNTA('Name pool'!B:B)))</f>
        <v>Deepak Naidu</v>
      </c>
      <c r="C684" t="s">
        <v>116</v>
      </c>
      <c r="D684" t="str">
        <f t="shared" ca="1" si="115"/>
        <v>BR01</v>
      </c>
      <c r="E684" t="str">
        <f t="shared" ca="1" si="121"/>
        <v>Premium</v>
      </c>
      <c r="F684" s="2">
        <v>45619</v>
      </c>
      <c r="G684" s="2">
        <v>45984</v>
      </c>
      <c r="H684">
        <v>3500</v>
      </c>
      <c r="I684">
        <f t="shared" ca="1" si="122"/>
        <v>42000</v>
      </c>
      <c r="J684">
        <v>12</v>
      </c>
      <c r="K684" t="str">
        <f t="shared" ca="1" si="123"/>
        <v>No</v>
      </c>
      <c r="L684" t="str">
        <f t="shared" ca="1" si="124"/>
        <v>Weight Loss</v>
      </c>
      <c r="M684" t="str">
        <f t="shared" ca="1" si="125"/>
        <v>Active</v>
      </c>
      <c r="N684" s="2">
        <v>46062</v>
      </c>
      <c r="Q684" t="str">
        <f ca="1">IF(RAND()&lt;0.2,
    IF(RAND()&lt;0.5, LOWER(C684), UPPER(C684)),
    C684
)</f>
        <v>kochi</v>
      </c>
      <c r="R684">
        <f t="shared" ca="1" si="117"/>
        <v>12</v>
      </c>
      <c r="S684">
        <f t="shared" ca="1" si="118"/>
        <v>3500</v>
      </c>
      <c r="T684">
        <f t="shared" ca="1" si="119"/>
        <v>45453</v>
      </c>
      <c r="U684" s="2">
        <f t="shared" ca="1" si="120"/>
        <v>46062</v>
      </c>
    </row>
    <row r="685" spans="1:21">
      <c r="A685" t="str">
        <f t="shared" si="116"/>
        <v>MEM0684</v>
      </c>
      <c r="B685" t="str">
        <f ca="1">INDEX('Name pool'!A:A, RANDBETWEEN(2, COUNTA('Name pool'!A:A))) &amp; " " &amp; INDEX('Name pool'!B:B, RANDBETWEEN(2, COUNTA('Name pool'!B:B)))</f>
        <v>Sanjay Kulkarni</v>
      </c>
      <c r="C685" t="s">
        <v>75</v>
      </c>
      <c r="D685" t="str">
        <f t="shared" ca="1" si="115"/>
        <v>BR07</v>
      </c>
      <c r="E685" t="str">
        <f t="shared" ca="1" si="121"/>
        <v>Basic</v>
      </c>
      <c r="F685" s="2">
        <v>45226</v>
      </c>
      <c r="G685" s="2">
        <v>45316</v>
      </c>
      <c r="H685">
        <v>2000</v>
      </c>
      <c r="I685">
        <f t="shared" ca="1" si="122"/>
        <v>24000</v>
      </c>
      <c r="J685" t="s">
        <v>135</v>
      </c>
      <c r="K685" t="str">
        <f t="shared" ca="1" si="123"/>
        <v>No</v>
      </c>
      <c r="L685" t="str">
        <f t="shared" ca="1" si="124"/>
        <v>Muscle Gain</v>
      </c>
      <c r="M685" t="str">
        <f t="shared" ca="1" si="125"/>
        <v>Active</v>
      </c>
      <c r="N685" s="2">
        <v>45328</v>
      </c>
      <c r="Q685" t="str">
        <f ca="1">IF(RAND()&lt;0.2,
    IF(RAND()&lt;0.5, LOWER(C685), UPPER(C685)),
    C685
)</f>
        <v>Bangalore</v>
      </c>
      <c r="R685" t="str">
        <f t="shared" ca="1" si="117"/>
        <v>16 visits</v>
      </c>
      <c r="S685">
        <f t="shared" ca="1" si="118"/>
        <v>2000</v>
      </c>
      <c r="T685">
        <f t="shared" ca="1" si="119"/>
        <v>45759</v>
      </c>
      <c r="U685" s="2">
        <f t="shared" ca="1" si="120"/>
        <v>45328</v>
      </c>
    </row>
    <row r="686" spans="1:21">
      <c r="A686" t="str">
        <f t="shared" si="116"/>
        <v>MEM0685</v>
      </c>
      <c r="B686" t="str">
        <f ca="1">INDEX('Name pool'!A:A, RANDBETWEEN(2, COUNTA('Name pool'!A:A))) &amp; " " &amp; INDEX('Name pool'!B:B, RANDBETWEEN(2, COUNTA('Name pool'!B:B)))</f>
        <v>Shreya Kapoor</v>
      </c>
      <c r="C686" t="s">
        <v>75</v>
      </c>
      <c r="D686" t="str">
        <f t="shared" ca="1" si="115"/>
        <v>BR03</v>
      </c>
      <c r="E686" t="str">
        <f t="shared" ca="1" si="121"/>
        <v>Standard</v>
      </c>
      <c r="F686" s="2">
        <v>46053</v>
      </c>
      <c r="G686" s="2">
        <v>46143</v>
      </c>
      <c r="H686">
        <v>2000</v>
      </c>
      <c r="I686">
        <f t="shared" ca="1" si="122"/>
        <v>8000</v>
      </c>
      <c r="J686">
        <v>2</v>
      </c>
      <c r="K686" t="str">
        <f t="shared" ca="1" si="123"/>
        <v>No</v>
      </c>
      <c r="L686" t="str">
        <f t="shared" ca="1" si="124"/>
        <v>General Fitness</v>
      </c>
      <c r="M686" t="str">
        <f t="shared" ca="1" si="125"/>
        <v>Cancelled</v>
      </c>
      <c r="N686" s="2">
        <v>46072</v>
      </c>
      <c r="Q686" t="str">
        <f ca="1">IF(RAND()&lt;0.2,
    IF(RAND()&lt;0.5, LOWER(C686), UPPER(C686)),
    C686
)</f>
        <v>Bangalore</v>
      </c>
      <c r="R686">
        <f t="shared" ca="1" si="117"/>
        <v>2</v>
      </c>
      <c r="S686">
        <f t="shared" ca="1" si="118"/>
        <v>2000</v>
      </c>
      <c r="T686">
        <f t="shared" ca="1" si="119"/>
        <v>45443</v>
      </c>
      <c r="U686" s="2">
        <f t="shared" ca="1" si="120"/>
        <v>46088</v>
      </c>
    </row>
    <row r="687" spans="1:21">
      <c r="A687" t="str">
        <f t="shared" si="116"/>
        <v>MEM0686</v>
      </c>
      <c r="B687" t="str">
        <f ca="1">INDEX('Name pool'!A:A, RANDBETWEEN(2, COUNTA('Name pool'!A:A))) &amp; " " &amp; INDEX('Name pool'!B:B, RANDBETWEEN(2, COUNTA('Name pool'!B:B)))</f>
        <v>Zara Varghese</v>
      </c>
      <c r="C687" t="s">
        <v>107</v>
      </c>
      <c r="D687" t="str">
        <f t="shared" ca="1" si="115"/>
        <v>BR01</v>
      </c>
      <c r="E687" t="str">
        <f t="shared" ca="1" si="121"/>
        <v>Standard</v>
      </c>
      <c r="F687" s="2">
        <v>46051</v>
      </c>
      <c r="G687" s="2">
        <v>46416</v>
      </c>
      <c r="H687">
        <v>1000</v>
      </c>
      <c r="I687">
        <f t="shared" ca="1" si="122"/>
        <v>3000</v>
      </c>
      <c r="J687">
        <v>7</v>
      </c>
      <c r="K687" t="str">
        <f t="shared" ca="1" si="123"/>
        <v>Yes</v>
      </c>
      <c r="L687" t="str">
        <f t="shared" ca="1" si="124"/>
        <v>Muscle Gain</v>
      </c>
      <c r="M687" t="str">
        <f t="shared" ca="1" si="125"/>
        <v>Active</v>
      </c>
      <c r="N687" s="2">
        <v>46102</v>
      </c>
      <c r="Q687" t="str">
        <f ca="1">IF(RAND()&lt;0.2,
    IF(RAND()&lt;0.5, LOWER(C687), UPPER(C687)),
    C687
)</f>
        <v>TRIVANDRUM</v>
      </c>
      <c r="R687">
        <f t="shared" ca="1" si="117"/>
        <v>7</v>
      </c>
      <c r="S687">
        <f t="shared" ca="1" si="118"/>
        <v>1000</v>
      </c>
      <c r="T687">
        <f t="shared" ca="1" si="119"/>
        <v>45969</v>
      </c>
      <c r="U687" s="2">
        <f t="shared" ca="1" si="120"/>
        <v>46102</v>
      </c>
    </row>
    <row r="688" spans="1:21">
      <c r="A688" t="str">
        <f t="shared" si="116"/>
        <v>MEM0687</v>
      </c>
      <c r="B688" t="str">
        <f ca="1">INDEX('Name pool'!A:A, RANDBETWEEN(2, COUNTA('Name pool'!A:A))) &amp; " " &amp; INDEX('Name pool'!B:B, RANDBETWEEN(2, COUNTA('Name pool'!B:B)))</f>
        <v>Zara D’Souza</v>
      </c>
      <c r="C688" t="s">
        <v>75</v>
      </c>
      <c r="D688" t="str">
        <f t="shared" ca="1" si="115"/>
        <v>BR01</v>
      </c>
      <c r="E688" t="str">
        <f t="shared" ca="1" si="121"/>
        <v>Premium</v>
      </c>
      <c r="F688" s="2">
        <v>45000</v>
      </c>
      <c r="G688" s="2">
        <v>45090</v>
      </c>
      <c r="H688">
        <v>2000</v>
      </c>
      <c r="I688">
        <f t="shared" ca="1" si="122"/>
        <v>16000</v>
      </c>
      <c r="J688">
        <v>4</v>
      </c>
      <c r="K688" t="str">
        <f t="shared" ca="1" si="123"/>
        <v>Yes</v>
      </c>
      <c r="L688" t="str">
        <f t="shared" ca="1" si="124"/>
        <v>Muscle Gain</v>
      </c>
      <c r="M688" t="str">
        <f t="shared" ca="1" si="125"/>
        <v>Active</v>
      </c>
      <c r="N688" s="2">
        <v>45026</v>
      </c>
      <c r="Q688" t="str">
        <f ca="1">IF(RAND()&lt;0.2,
    IF(RAND()&lt;0.5, LOWER(C688), UPPER(C688)),
    C688
)</f>
        <v>Bangalore</v>
      </c>
      <c r="R688">
        <f t="shared" ca="1" si="117"/>
        <v>4</v>
      </c>
      <c r="S688">
        <f t="shared" ca="1" si="118"/>
        <v>2000</v>
      </c>
      <c r="T688">
        <f t="shared" ca="1" si="119"/>
        <v>45306</v>
      </c>
      <c r="U688" s="2">
        <f t="shared" ca="1" si="120"/>
        <v>45026</v>
      </c>
    </row>
    <row r="689" spans="1:21">
      <c r="A689" t="str">
        <f t="shared" si="116"/>
        <v>MEM0688</v>
      </c>
      <c r="B689" t="str">
        <f ca="1">INDEX('Name pool'!A:A, RANDBETWEEN(2, COUNTA('Name pool'!A:A))) &amp; " " &amp; INDEX('Name pool'!B:B, RANDBETWEEN(2, COUNTA('Name pool'!B:B)))</f>
        <v>Ankit Mathew</v>
      </c>
      <c r="C689" t="s">
        <v>73</v>
      </c>
      <c r="D689" t="str">
        <f t="shared" ca="1" si="115"/>
        <v>BR07</v>
      </c>
      <c r="E689" t="str">
        <f t="shared" ca="1" si="121"/>
        <v>Standard</v>
      </c>
      <c r="F689" s="2">
        <v>44958</v>
      </c>
      <c r="G689" s="2">
        <v>44988</v>
      </c>
      <c r="H689">
        <v>3500</v>
      </c>
      <c r="I689">
        <f t="shared" ca="1" si="122"/>
        <v>3500</v>
      </c>
      <c r="J689" t="s">
        <v>133</v>
      </c>
      <c r="K689" t="str">
        <f t="shared" ca="1" si="123"/>
        <v>Yes</v>
      </c>
      <c r="L689" t="str">
        <f t="shared" ca="1" si="124"/>
        <v>General Fitness</v>
      </c>
      <c r="M689" t="str">
        <f t="shared" ca="1" si="125"/>
        <v>Active</v>
      </c>
      <c r="N689" s="2">
        <v>45912</v>
      </c>
      <c r="Q689" t="str">
        <f ca="1">IF(RAND()&lt;0.2,
    IF(RAND()&lt;0.5, LOWER(C689), UPPER(C689)),
    C689
)</f>
        <v>Kochi</v>
      </c>
      <c r="R689" t="str">
        <f t="shared" ca="1" si="117"/>
        <v>5 visits</v>
      </c>
      <c r="S689">
        <f t="shared" ca="1" si="118"/>
        <v>3500</v>
      </c>
      <c r="T689">
        <f t="shared" ca="1" si="119"/>
        <v>45716</v>
      </c>
      <c r="U689" s="2">
        <f t="shared" ca="1" si="120"/>
        <v>45912</v>
      </c>
    </row>
    <row r="690" spans="1:21">
      <c r="A690" t="str">
        <f t="shared" si="116"/>
        <v>MEM0689</v>
      </c>
      <c r="B690" t="str">
        <f ca="1">INDEX('Name pool'!A:A, RANDBETWEEN(2, COUNTA('Name pool'!A:A))) &amp; " " &amp; INDEX('Name pool'!B:B, RANDBETWEEN(2, COUNTA('Name pool'!B:B)))</f>
        <v>Fatima Verma</v>
      </c>
      <c r="C690" t="s">
        <v>79</v>
      </c>
      <c r="D690" t="str">
        <f t="shared" ca="1" si="115"/>
        <v>BR05</v>
      </c>
      <c r="E690" t="str">
        <f t="shared" ca="1" si="121"/>
        <v>Premium</v>
      </c>
      <c r="F690" s="2">
        <v>45178</v>
      </c>
      <c r="G690" s="2">
        <v>45268</v>
      </c>
      <c r="H690" t="s">
        <v>120</v>
      </c>
      <c r="I690">
        <f t="shared" ca="1" si="122"/>
        <v>8000</v>
      </c>
      <c r="J690" t="s">
        <v>106</v>
      </c>
      <c r="K690" t="str">
        <f t="shared" ca="1" si="123"/>
        <v>Yes</v>
      </c>
      <c r="L690" t="str">
        <f t="shared" ca="1" si="124"/>
        <v>Muscle Gain</v>
      </c>
      <c r="M690" t="str">
        <f t="shared" ca="1" si="125"/>
        <v>Active</v>
      </c>
      <c r="N690" s="2">
        <v>45281</v>
      </c>
      <c r="Q690" t="str">
        <f ca="1">IF(RAND()&lt;0.2,
    IF(RAND()&lt;0.5, LOWER(C690), UPPER(C690)),
    C690
)</f>
        <v>Hyderabad</v>
      </c>
      <c r="R690" t="str">
        <f t="shared" ca="1" si="117"/>
        <v>0 visits</v>
      </c>
      <c r="S690" t="str">
        <f t="shared" ca="1" si="118"/>
        <v>2000</v>
      </c>
      <c r="T690">
        <f t="shared" ca="1" si="119"/>
        <v>45533</v>
      </c>
      <c r="U690" s="2">
        <f t="shared" ca="1" si="120"/>
        <v>45281</v>
      </c>
    </row>
    <row r="691" spans="1:21">
      <c r="A691" t="str">
        <f t="shared" si="116"/>
        <v>MEM0690</v>
      </c>
      <c r="B691" t="str">
        <f ca="1">INDEX('Name pool'!A:A, RANDBETWEEN(2, COUNTA('Name pool'!A:A))) &amp; " " &amp; INDEX('Name pool'!B:B, RANDBETWEEN(2, COUNTA('Name pool'!B:B)))</f>
        <v>Ishita Malhotra</v>
      </c>
      <c r="C691" t="s">
        <v>77</v>
      </c>
      <c r="D691" t="str">
        <f t="shared" ca="1" si="115"/>
        <v>BR07</v>
      </c>
      <c r="E691" t="str">
        <f t="shared" ca="1" si="121"/>
        <v>Premium</v>
      </c>
      <c r="F691" s="2">
        <v>46035</v>
      </c>
      <c r="G691" s="2">
        <v>46400</v>
      </c>
      <c r="H691">
        <v>3500</v>
      </c>
      <c r="I691">
        <f t="shared" ca="1" si="122"/>
        <v>3500</v>
      </c>
      <c r="J691">
        <v>20</v>
      </c>
      <c r="K691" t="str">
        <f t="shared" ca="1" si="123"/>
        <v>No</v>
      </c>
      <c r="L691" t="str">
        <f t="shared" ca="1" si="124"/>
        <v>General Fitness</v>
      </c>
      <c r="M691" t="str">
        <f t="shared" ca="1" si="125"/>
        <v>Active</v>
      </c>
      <c r="N691" s="2">
        <v>46116</v>
      </c>
      <c r="Q691" t="str">
        <f ca="1">IF(RAND()&lt;0.2,
    IF(RAND()&lt;0.5, LOWER(C691), UPPER(C691)),
    C691
)</f>
        <v>Chennai</v>
      </c>
      <c r="R691">
        <f t="shared" ca="1" si="117"/>
        <v>20</v>
      </c>
      <c r="S691">
        <f t="shared" ca="1" si="118"/>
        <v>3500</v>
      </c>
      <c r="T691">
        <f t="shared" ca="1" si="119"/>
        <v>45366</v>
      </c>
      <c r="U691" s="2">
        <f t="shared" ca="1" si="120"/>
        <v>46116</v>
      </c>
    </row>
    <row r="692" spans="1:21">
      <c r="A692" t="str">
        <f t="shared" si="116"/>
        <v>MEM0691</v>
      </c>
      <c r="B692" t="str">
        <f ca="1">INDEX('Name pool'!A:A, RANDBETWEEN(2, COUNTA('Name pool'!A:A))) &amp; " " &amp; INDEX('Name pool'!B:B, RANDBETWEEN(2, COUNTA('Name pool'!B:B)))</f>
        <v>Sanjay Banerjee</v>
      </c>
      <c r="C692" t="s">
        <v>132</v>
      </c>
      <c r="D692" t="str">
        <f t="shared" ca="1" si="115"/>
        <v>BR07</v>
      </c>
      <c r="E692" t="str">
        <f t="shared" ca="1" si="121"/>
        <v>Basic</v>
      </c>
      <c r="F692" s="2">
        <v>44934</v>
      </c>
      <c r="G692" s="2">
        <v>45299</v>
      </c>
      <c r="H692" t="s">
        <v>108</v>
      </c>
      <c r="I692">
        <f t="shared" ca="1" si="122"/>
        <v>12000</v>
      </c>
      <c r="J692">
        <v>19</v>
      </c>
      <c r="K692" t="str">
        <f t="shared" ca="1" si="123"/>
        <v>No</v>
      </c>
      <c r="L692" t="str">
        <f t="shared" ca="1" si="124"/>
        <v>General Fitness</v>
      </c>
      <c r="M692" t="str">
        <f t="shared" ca="1" si="125"/>
        <v>Active</v>
      </c>
      <c r="N692" s="2">
        <v>45606</v>
      </c>
      <c r="Q692" t="str">
        <f ca="1">IF(RAND()&lt;0.2,
    IF(RAND()&lt;0.5, LOWER(C692), UPPER(C692)),
    C692
)</f>
        <v>calicut</v>
      </c>
      <c r="R692">
        <f t="shared" ca="1" si="117"/>
        <v>19</v>
      </c>
      <c r="S692" t="str">
        <f t="shared" ca="1" si="118"/>
        <v>1000</v>
      </c>
      <c r="T692">
        <f t="shared" ca="1" si="119"/>
        <v>46048</v>
      </c>
      <c r="U692" s="2">
        <f t="shared" ca="1" si="120"/>
        <v>45606</v>
      </c>
    </row>
    <row r="693" spans="1:21">
      <c r="A693" t="str">
        <f t="shared" si="116"/>
        <v>MEM0692</v>
      </c>
      <c r="B693" t="str">
        <f ca="1">INDEX('Name pool'!A:A, RANDBETWEEN(2, COUNTA('Name pool'!A:A))) &amp; " " &amp; INDEX('Name pool'!B:B, RANDBETWEEN(2, COUNTA('Name pool'!B:B)))</f>
        <v>Siddharth Desai</v>
      </c>
      <c r="C693" t="s">
        <v>137</v>
      </c>
      <c r="D693" t="str">
        <f t="shared" ca="1" si="115"/>
        <v>BR02</v>
      </c>
      <c r="E693" t="str">
        <f t="shared" ca="1" si="121"/>
        <v>Basic</v>
      </c>
      <c r="F693" s="2">
        <v>45994</v>
      </c>
      <c r="G693" s="2">
        <v>46024</v>
      </c>
      <c r="H693">
        <v>1000</v>
      </c>
      <c r="I693">
        <f t="shared" ca="1" si="122"/>
        <v>6000</v>
      </c>
      <c r="J693">
        <v>6</v>
      </c>
      <c r="K693" t="str">
        <f t="shared" ca="1" si="123"/>
        <v>No</v>
      </c>
      <c r="L693" t="str">
        <f t="shared" ca="1" si="124"/>
        <v>Weight Loss</v>
      </c>
      <c r="M693" t="str">
        <f t="shared" ca="1" si="125"/>
        <v>Active</v>
      </c>
      <c r="N693" s="2">
        <v>46063</v>
      </c>
      <c r="Q693" t="str">
        <f ca="1">IF(RAND()&lt;0.2,
    IF(RAND()&lt;0.5, LOWER(C693), UPPER(C693)),
    C693
)</f>
        <v>CALICUT</v>
      </c>
      <c r="R693">
        <f t="shared" ca="1" si="117"/>
        <v>6</v>
      </c>
      <c r="S693" t="str">
        <f t="shared" ca="1" si="118"/>
        <v>1000</v>
      </c>
      <c r="T693">
        <f t="shared" ca="1" si="119"/>
        <v>45502</v>
      </c>
      <c r="U693" s="2">
        <f t="shared" ca="1" si="120"/>
        <v>46063</v>
      </c>
    </row>
    <row r="694" spans="1:21">
      <c r="A694" t="str">
        <f t="shared" si="116"/>
        <v>MEM0693</v>
      </c>
      <c r="B694" t="str">
        <f ca="1">INDEX('Name pool'!A:A, RANDBETWEEN(2, COUNTA('Name pool'!A:A))) &amp; " " &amp; INDEX('Name pool'!B:B, RANDBETWEEN(2, COUNTA('Name pool'!B:B)))</f>
        <v>Zara D’Souza</v>
      </c>
      <c r="C694" t="s">
        <v>75</v>
      </c>
      <c r="D694" t="str">
        <f t="shared" ca="1" si="115"/>
        <v>BR02</v>
      </c>
      <c r="E694" t="str">
        <f t="shared" ca="1" si="121"/>
        <v>Premium</v>
      </c>
      <c r="F694" s="2">
        <v>45381</v>
      </c>
      <c r="G694" s="2">
        <v>45411</v>
      </c>
      <c r="H694">
        <v>2000</v>
      </c>
      <c r="I694">
        <f t="shared" ca="1" si="122"/>
        <v>22000</v>
      </c>
      <c r="J694">
        <v>0</v>
      </c>
      <c r="K694" t="str">
        <f t="shared" ca="1" si="123"/>
        <v>No</v>
      </c>
      <c r="L694" t="str">
        <f t="shared" ca="1" si="124"/>
        <v>General Fitness</v>
      </c>
      <c r="M694" t="str">
        <f t="shared" ca="1" si="125"/>
        <v>Cancelled</v>
      </c>
      <c r="N694" s="2">
        <v>46077</v>
      </c>
      <c r="Q694" t="str">
        <f ca="1">IF(RAND()&lt;0.2,
    IF(RAND()&lt;0.5, LOWER(C694), UPPER(C694)),
    C694
)</f>
        <v>Bangalore</v>
      </c>
      <c r="R694">
        <f t="shared" ca="1" si="117"/>
        <v>0</v>
      </c>
      <c r="S694">
        <f t="shared" ca="1" si="118"/>
        <v>2000</v>
      </c>
      <c r="T694">
        <f t="shared" ca="1" si="119"/>
        <v>45174</v>
      </c>
      <c r="U694" s="2">
        <f t="shared" ca="1" si="120"/>
        <v>46077</v>
      </c>
    </row>
    <row r="695" spans="1:21">
      <c r="A695" t="str">
        <f t="shared" si="116"/>
        <v>MEM0694</v>
      </c>
      <c r="B695" t="str">
        <f ca="1">INDEX('Name pool'!A:A, RANDBETWEEN(2, COUNTA('Name pool'!A:A))) &amp; " " &amp; INDEX('Name pool'!B:B, RANDBETWEEN(2, COUNTA('Name pool'!B:B)))</f>
        <v>Fatima Shetty</v>
      </c>
      <c r="C695" t="s">
        <v>73</v>
      </c>
      <c r="D695" t="str">
        <f t="shared" ca="1" si="115"/>
        <v>BR06</v>
      </c>
      <c r="E695" t="str">
        <f t="shared" ca="1" si="121"/>
        <v>Basic</v>
      </c>
      <c r="F695" s="2">
        <v>45328</v>
      </c>
      <c r="G695" s="2">
        <v>45418</v>
      </c>
      <c r="H695">
        <v>1000</v>
      </c>
      <c r="I695">
        <f t="shared" ca="1" si="122"/>
        <v>8000</v>
      </c>
      <c r="J695">
        <v>8</v>
      </c>
      <c r="K695" t="str">
        <f t="shared" ca="1" si="123"/>
        <v>No</v>
      </c>
      <c r="L695" t="str">
        <f t="shared" ca="1" si="124"/>
        <v>General Fitness</v>
      </c>
      <c r="M695" t="str">
        <f t="shared" ca="1" si="125"/>
        <v>Active</v>
      </c>
      <c r="N695" s="2">
        <v>46040</v>
      </c>
      <c r="Q695" t="str">
        <f ca="1">IF(RAND()&lt;0.2,
    IF(RAND()&lt;0.5, LOWER(C695), UPPER(C695)),
    C695
)</f>
        <v>Kochi</v>
      </c>
      <c r="R695">
        <f t="shared" ca="1" si="117"/>
        <v>8</v>
      </c>
      <c r="S695">
        <f t="shared" ca="1" si="118"/>
        <v>1000</v>
      </c>
      <c r="T695">
        <f t="shared" ca="1" si="119"/>
        <v>45949</v>
      </c>
      <c r="U695" s="2">
        <f t="shared" ca="1" si="120"/>
        <v>46040</v>
      </c>
    </row>
    <row r="696" spans="1:21">
      <c r="A696" t="str">
        <f t="shared" si="116"/>
        <v>MEM0695</v>
      </c>
      <c r="B696" t="str">
        <f ca="1">INDEX('Name pool'!A:A, RANDBETWEEN(2, COUNTA('Name pool'!A:A))) &amp; " " &amp; INDEX('Name pool'!B:B, RANDBETWEEN(2, COUNTA('Name pool'!B:B)))</f>
        <v>Ishita Pillai</v>
      </c>
      <c r="C696" t="s">
        <v>77</v>
      </c>
      <c r="D696" t="str">
        <f t="shared" ca="1" si="115"/>
        <v>BR06</v>
      </c>
      <c r="E696" t="str">
        <f t="shared" ca="1" si="121"/>
        <v>Standard</v>
      </c>
      <c r="F696" s="2">
        <v>45413</v>
      </c>
      <c r="G696" s="2">
        <v>45778</v>
      </c>
      <c r="H696">
        <v>3500</v>
      </c>
      <c r="I696">
        <f t="shared" ca="1" si="122"/>
        <v>7000</v>
      </c>
      <c r="J696">
        <v>14</v>
      </c>
      <c r="K696" t="str">
        <f t="shared" ca="1" si="123"/>
        <v>No</v>
      </c>
      <c r="L696" t="str">
        <f t="shared" ca="1" si="124"/>
        <v>Weight Loss</v>
      </c>
      <c r="M696" t="str">
        <f t="shared" ca="1" si="125"/>
        <v>Active</v>
      </c>
      <c r="N696" s="2">
        <v>45492</v>
      </c>
      <c r="Q696" t="str">
        <f ca="1">IF(RAND()&lt;0.2,
    IF(RAND()&lt;0.5, LOWER(C696), UPPER(C696)),
    C696
)</f>
        <v>Chennai</v>
      </c>
      <c r="R696">
        <f t="shared" ca="1" si="117"/>
        <v>14</v>
      </c>
      <c r="S696">
        <f t="shared" ca="1" si="118"/>
        <v>3500</v>
      </c>
      <c r="T696">
        <f t="shared" ca="1" si="119"/>
        <v>45698</v>
      </c>
      <c r="U696" s="2">
        <f t="shared" ca="1" si="120"/>
        <v>45492</v>
      </c>
    </row>
    <row r="697" spans="1:21">
      <c r="A697" t="str">
        <f t="shared" si="116"/>
        <v>MEM0696</v>
      </c>
      <c r="B697" t="str">
        <f ca="1">INDEX('Name pool'!A:A, RANDBETWEEN(2, COUNTA('Name pool'!A:A))) &amp; " " &amp; INDEX('Name pool'!B:B, RANDBETWEEN(2, COUNTA('Name pool'!B:B)))</f>
        <v>Swathi Khan</v>
      </c>
      <c r="C697" t="s">
        <v>119</v>
      </c>
      <c r="D697" t="str">
        <f t="shared" ca="1" si="115"/>
        <v>BR04</v>
      </c>
      <c r="E697" t="str">
        <f t="shared" ca="1" si="121"/>
        <v>Standard</v>
      </c>
      <c r="F697" s="2">
        <v>45355</v>
      </c>
      <c r="G697" s="2">
        <v>45445</v>
      </c>
      <c r="H697">
        <v>3500</v>
      </c>
      <c r="I697">
        <f t="shared" ca="1" si="122"/>
        <v>31500</v>
      </c>
      <c r="J697">
        <v>23</v>
      </c>
      <c r="K697" t="str">
        <f t="shared" ca="1" si="123"/>
        <v>No</v>
      </c>
      <c r="L697" t="str">
        <f t="shared" ca="1" si="124"/>
        <v>General Fitness</v>
      </c>
      <c r="M697" t="str">
        <f t="shared" ca="1" si="125"/>
        <v>Active</v>
      </c>
      <c r="N697" s="2">
        <v>45445</v>
      </c>
      <c r="Q697" t="str">
        <f ca="1">IF(RAND()&lt;0.2,
    IF(RAND()&lt;0.5, LOWER(C697), UPPER(C697)),
    C697
)</f>
        <v>BANGALORE</v>
      </c>
      <c r="R697">
        <f t="shared" ca="1" si="117"/>
        <v>23</v>
      </c>
      <c r="S697">
        <f t="shared" ca="1" si="118"/>
        <v>3500</v>
      </c>
      <c r="T697">
        <f t="shared" ca="1" si="119"/>
        <v>44996</v>
      </c>
      <c r="U697" s="2">
        <f t="shared" ca="1" si="120"/>
        <v>45445</v>
      </c>
    </row>
    <row r="698" spans="1:21">
      <c r="A698" t="str">
        <f t="shared" si="116"/>
        <v>MEM0697</v>
      </c>
      <c r="B698" t="str">
        <f ca="1">INDEX('Name pool'!A:A, RANDBETWEEN(2, COUNTA('Name pool'!A:A))) &amp; " " &amp; INDEX('Name pool'!B:B, RANDBETWEEN(2, COUNTA('Name pool'!B:B)))</f>
        <v>Kavya Shetty</v>
      </c>
      <c r="C698" t="s">
        <v>129</v>
      </c>
      <c r="D698" t="str">
        <f t="shared" ca="1" si="115"/>
        <v>BR06</v>
      </c>
      <c r="E698" t="str">
        <f t="shared" ca="1" si="121"/>
        <v>Basic</v>
      </c>
      <c r="F698" s="2">
        <v>46004</v>
      </c>
      <c r="G698" s="2">
        <v>46034</v>
      </c>
      <c r="H698">
        <v>1000</v>
      </c>
      <c r="I698">
        <f t="shared" ca="1" si="122"/>
        <v>7000</v>
      </c>
      <c r="J698">
        <v>6</v>
      </c>
      <c r="K698" t="str">
        <f t="shared" ca="1" si="123"/>
        <v>No</v>
      </c>
      <c r="L698" t="str">
        <f t="shared" ca="1" si="124"/>
        <v>Muscle Gain</v>
      </c>
      <c r="M698" t="str">
        <f t="shared" ca="1" si="125"/>
        <v>Active</v>
      </c>
      <c r="N698" s="2">
        <v>46098</v>
      </c>
      <c r="Q698" t="str">
        <f ca="1">IF(RAND()&lt;0.2,
    IF(RAND()&lt;0.5, LOWER(C698), UPPER(C698)),
    C698
)</f>
        <v>hyderabad</v>
      </c>
      <c r="R698" t="str">
        <f t="shared" ca="1" si="117"/>
        <v>6 visits</v>
      </c>
      <c r="S698">
        <f t="shared" ca="1" si="118"/>
        <v>1000</v>
      </c>
      <c r="T698">
        <f t="shared" ca="1" si="119"/>
        <v>45871</v>
      </c>
      <c r="U698" s="2">
        <f t="shared" ca="1" si="120"/>
        <v>46098</v>
      </c>
    </row>
    <row r="699" spans="1:21">
      <c r="A699" t="str">
        <f t="shared" si="116"/>
        <v>MEM0698</v>
      </c>
      <c r="B699" t="str">
        <f ca="1">INDEX('Name pool'!A:A, RANDBETWEEN(2, COUNTA('Name pool'!A:A))) &amp; " " &amp; INDEX('Name pool'!B:B, RANDBETWEEN(2, COUNTA('Name pool'!B:B)))</f>
        <v>Ayesha Nambiar</v>
      </c>
      <c r="C699" t="s">
        <v>73</v>
      </c>
      <c r="D699" t="str">
        <f t="shared" ca="1" si="115"/>
        <v>BR01</v>
      </c>
      <c r="E699" t="str">
        <f t="shared" ca="1" si="121"/>
        <v>Basic</v>
      </c>
      <c r="F699" s="2">
        <v>45735</v>
      </c>
      <c r="G699" s="2">
        <v>46100</v>
      </c>
      <c r="H699">
        <v>3500</v>
      </c>
      <c r="I699">
        <f t="shared" ca="1" si="122"/>
        <v>42000</v>
      </c>
      <c r="J699">
        <v>22</v>
      </c>
      <c r="K699" t="str">
        <f t="shared" ca="1" si="123"/>
        <v>No</v>
      </c>
      <c r="L699" t="str">
        <f t="shared" ca="1" si="124"/>
        <v>Muscle Gain</v>
      </c>
      <c r="M699" t="str">
        <f t="shared" ca="1" si="125"/>
        <v>Active</v>
      </c>
      <c r="N699" s="2">
        <v>46027</v>
      </c>
      <c r="Q699" t="str">
        <f ca="1">IF(RAND()&lt;0.2,
    IF(RAND()&lt;0.5, LOWER(C699), UPPER(C699)),
    C699
)</f>
        <v>Kochi</v>
      </c>
      <c r="R699">
        <f t="shared" ca="1" si="117"/>
        <v>22</v>
      </c>
      <c r="S699">
        <f t="shared" ca="1" si="118"/>
        <v>3500</v>
      </c>
      <c r="T699">
        <f t="shared" ca="1" si="119"/>
        <v>45661</v>
      </c>
      <c r="U699" s="2">
        <f t="shared" ca="1" si="120"/>
        <v>46027</v>
      </c>
    </row>
    <row r="700" spans="1:21">
      <c r="A700" t="str">
        <f t="shared" si="116"/>
        <v>MEM0699</v>
      </c>
      <c r="B700" t="str">
        <f ca="1">INDEX('Name pool'!A:A, RANDBETWEEN(2, COUNTA('Name pool'!A:A))) &amp; " " &amp; INDEX('Name pool'!B:B, RANDBETWEEN(2, COUNTA('Name pool'!B:B)))</f>
        <v>Deepak Malhotra</v>
      </c>
      <c r="C700" t="s">
        <v>79</v>
      </c>
      <c r="D700" t="str">
        <f t="shared" ca="1" si="115"/>
        <v>BR02</v>
      </c>
      <c r="E700" t="str">
        <f t="shared" ca="1" si="121"/>
        <v>Standard</v>
      </c>
      <c r="F700" s="2">
        <v>45287</v>
      </c>
      <c r="G700" s="2">
        <v>45652</v>
      </c>
      <c r="H700">
        <v>3500</v>
      </c>
      <c r="I700">
        <f t="shared" ca="1" si="122"/>
        <v>28000</v>
      </c>
      <c r="J700">
        <v>3</v>
      </c>
      <c r="K700" t="str">
        <f t="shared" ca="1" si="123"/>
        <v>Yes</v>
      </c>
      <c r="L700" t="str">
        <f t="shared" ca="1" si="124"/>
        <v>General Fitness</v>
      </c>
      <c r="M700" t="str">
        <f t="shared" ca="1" si="125"/>
        <v>Cancelled</v>
      </c>
      <c r="N700" s="2">
        <v>45400</v>
      </c>
      <c r="Q700" t="str">
        <f ca="1">IF(RAND()&lt;0.2,
    IF(RAND()&lt;0.5, LOWER(C700), UPPER(C700)),
    C700
)</f>
        <v>Hyderabad</v>
      </c>
      <c r="R700">
        <f t="shared" ca="1" si="117"/>
        <v>3</v>
      </c>
      <c r="S700">
        <f t="shared" ca="1" si="118"/>
        <v>3500</v>
      </c>
      <c r="T700">
        <f t="shared" ca="1" si="119"/>
        <v>45635</v>
      </c>
      <c r="U700" s="2">
        <f t="shared" ca="1" si="120"/>
        <v>45311</v>
      </c>
    </row>
    <row r="701" spans="1:21">
      <c r="A701" t="str">
        <f t="shared" si="116"/>
        <v>MEM0700</v>
      </c>
      <c r="B701" t="str">
        <f ca="1">INDEX('Name pool'!A:A, RANDBETWEEN(2, COUNTA('Name pool'!A:A))) &amp; " " &amp; INDEX('Name pool'!B:B, RANDBETWEEN(2, COUNTA('Name pool'!B:B)))</f>
        <v>Siddharth Lewis</v>
      </c>
      <c r="C701" t="s">
        <v>83</v>
      </c>
      <c r="D701" t="str">
        <f t="shared" ca="1" si="115"/>
        <v>BR07</v>
      </c>
      <c r="E701" t="str">
        <f t="shared" ca="1" si="121"/>
        <v>Basic</v>
      </c>
      <c r="F701" s="2">
        <v>45578</v>
      </c>
      <c r="G701" s="2">
        <v>45608</v>
      </c>
      <c r="H701" t="s">
        <v>120</v>
      </c>
      <c r="I701">
        <f t="shared" ca="1" si="122"/>
        <v>4000</v>
      </c>
      <c r="J701">
        <v>24</v>
      </c>
      <c r="K701" t="str">
        <f t="shared" ca="1" si="123"/>
        <v>Yes</v>
      </c>
      <c r="L701" t="str">
        <f t="shared" ca="1" si="124"/>
        <v>General Fitness</v>
      </c>
      <c r="M701" t="str">
        <f t="shared" ca="1" si="125"/>
        <v>Active</v>
      </c>
      <c r="N701" s="2">
        <v>45816</v>
      </c>
      <c r="Q701" t="str">
        <f ca="1">IF(RAND()&lt;0.2,
    IF(RAND()&lt;0.5, LOWER(C701), UPPER(C701)),
    C701
)</f>
        <v>Trivandrum</v>
      </c>
      <c r="R701">
        <f t="shared" ca="1" si="117"/>
        <v>24</v>
      </c>
      <c r="S701" t="str">
        <f t="shared" ca="1" si="118"/>
        <v>2000</v>
      </c>
      <c r="T701">
        <f t="shared" ca="1" si="119"/>
        <v>46003</v>
      </c>
      <c r="U701" s="2">
        <f t="shared" ca="1" si="120"/>
        <v>45816</v>
      </c>
    </row>
    <row r="702" spans="1:21">
      <c r="A702" t="str">
        <f t="shared" si="116"/>
        <v>MEM0701</v>
      </c>
      <c r="B702" t="str">
        <f ca="1">INDEX('Name pool'!A:A, RANDBETWEEN(2, COUNTA('Name pool'!A:A))) &amp; " " &amp; INDEX('Name pool'!B:B, RANDBETWEEN(2, COUNTA('Name pool'!B:B)))</f>
        <v>Shreya Desai</v>
      </c>
      <c r="C702" t="s">
        <v>77</v>
      </c>
      <c r="D702" t="str">
        <f t="shared" ca="1" si="115"/>
        <v>BR07</v>
      </c>
      <c r="E702" t="str">
        <f t="shared" ca="1" si="121"/>
        <v>Basic</v>
      </c>
      <c r="F702" s="2">
        <v>45974</v>
      </c>
      <c r="G702" s="2">
        <v>46339</v>
      </c>
      <c r="H702">
        <v>1000</v>
      </c>
      <c r="I702">
        <f t="shared" ca="1" si="122"/>
        <v>10000</v>
      </c>
      <c r="J702">
        <v>8</v>
      </c>
      <c r="K702" t="str">
        <f t="shared" ca="1" si="123"/>
        <v>No</v>
      </c>
      <c r="L702" t="str">
        <f t="shared" ca="1" si="124"/>
        <v>Muscle Gain</v>
      </c>
      <c r="M702" t="str">
        <f t="shared" ca="1" si="125"/>
        <v>Active</v>
      </c>
      <c r="N702" s="2">
        <v>46028</v>
      </c>
      <c r="Q702" t="str">
        <f ca="1">IF(RAND()&lt;0.2,
    IF(RAND()&lt;0.5, LOWER(C702), UPPER(C702)),
    C702
)</f>
        <v>Chennai</v>
      </c>
      <c r="R702">
        <f t="shared" ca="1" si="117"/>
        <v>8</v>
      </c>
      <c r="S702">
        <f t="shared" ca="1" si="118"/>
        <v>1000</v>
      </c>
      <c r="T702">
        <f t="shared" ca="1" si="119"/>
        <v>45433</v>
      </c>
      <c r="U702" s="2">
        <f t="shared" ca="1" si="120"/>
        <v>46028</v>
      </c>
    </row>
    <row r="703" spans="1:21">
      <c r="A703" t="str">
        <f t="shared" si="116"/>
        <v>MEM0702</v>
      </c>
      <c r="B703" t="str">
        <f ca="1">INDEX('Name pool'!A:A, RANDBETWEEN(2, COUNTA('Name pool'!A:A))) &amp; " " &amp; INDEX('Name pool'!B:B, RANDBETWEEN(2, COUNTA('Name pool'!B:B)))</f>
        <v>Nisha Fernandes</v>
      </c>
      <c r="C703" t="s">
        <v>79</v>
      </c>
      <c r="D703" t="str">
        <f t="shared" ca="1" si="115"/>
        <v>BR01</v>
      </c>
      <c r="E703" t="str">
        <f t="shared" ca="1" si="121"/>
        <v>Basic</v>
      </c>
      <c r="F703" s="2">
        <v>44985</v>
      </c>
      <c r="G703" s="2">
        <v>45075</v>
      </c>
      <c r="H703">
        <v>3500</v>
      </c>
      <c r="I703">
        <f t="shared" ca="1" si="122"/>
        <v>7000</v>
      </c>
      <c r="J703" t="s">
        <v>127</v>
      </c>
      <c r="K703" t="str">
        <f t="shared" ca="1" si="123"/>
        <v>Yes</v>
      </c>
      <c r="L703" t="str">
        <f t="shared" ca="1" si="124"/>
        <v>General Fitness</v>
      </c>
      <c r="M703" t="str">
        <f t="shared" ca="1" si="125"/>
        <v>Active</v>
      </c>
      <c r="N703" s="2">
        <v>45700</v>
      </c>
      <c r="Q703" t="str">
        <f ca="1">IF(RAND()&lt;0.2,
    IF(RAND()&lt;0.5, LOWER(C703), UPPER(C703)),
    C703
)</f>
        <v>Hyderabad</v>
      </c>
      <c r="R703" t="str">
        <f t="shared" ca="1" si="117"/>
        <v>19 visits</v>
      </c>
      <c r="S703">
        <f t="shared" ca="1" si="118"/>
        <v>3500</v>
      </c>
      <c r="T703">
        <f t="shared" ca="1" si="119"/>
        <v>45121</v>
      </c>
      <c r="U703" s="2">
        <f t="shared" ca="1" si="120"/>
        <v>45700</v>
      </c>
    </row>
    <row r="704" spans="1:21">
      <c r="A704" t="str">
        <f t="shared" si="116"/>
        <v>MEM0703</v>
      </c>
      <c r="B704" t="str">
        <f ca="1">INDEX('Name pool'!A:A, RANDBETWEEN(2, COUNTA('Name pool'!A:A))) &amp; " " &amp; INDEX('Name pool'!B:B, RANDBETWEEN(2, COUNTA('Name pool'!B:B)))</f>
        <v>Vivek George</v>
      </c>
      <c r="C704" t="s">
        <v>124</v>
      </c>
      <c r="D704" t="str">
        <f t="shared" ca="1" si="115"/>
        <v>BR05</v>
      </c>
      <c r="E704" t="str">
        <f t="shared" ca="1" si="121"/>
        <v>Basic</v>
      </c>
      <c r="F704" s="2">
        <v>45428</v>
      </c>
      <c r="G704" s="2">
        <v>45793</v>
      </c>
      <c r="H704">
        <v>3500</v>
      </c>
      <c r="I704">
        <f t="shared" ca="1" si="122"/>
        <v>10500</v>
      </c>
      <c r="J704">
        <v>14</v>
      </c>
      <c r="K704" t="str">
        <f t="shared" ca="1" si="123"/>
        <v>Yes</v>
      </c>
      <c r="L704" t="str">
        <f t="shared" ca="1" si="124"/>
        <v>Weight Loss</v>
      </c>
      <c r="M704" t="str">
        <f t="shared" ca="1" si="125"/>
        <v>Active</v>
      </c>
      <c r="N704" s="2">
        <v>45653</v>
      </c>
      <c r="Q704" t="str">
        <f ca="1">IF(RAND()&lt;0.2,
    IF(RAND()&lt;0.5, LOWER(C704), UPPER(C704)),
    C704
)</f>
        <v>chennai</v>
      </c>
      <c r="R704">
        <f t="shared" ca="1" si="117"/>
        <v>14</v>
      </c>
      <c r="S704">
        <f t="shared" ca="1" si="118"/>
        <v>3500</v>
      </c>
      <c r="T704">
        <f t="shared" ca="1" si="119"/>
        <v>45489</v>
      </c>
      <c r="U704" s="2">
        <f t="shared" ca="1" si="120"/>
        <v>45653</v>
      </c>
    </row>
    <row r="705" spans="1:21">
      <c r="A705" t="str">
        <f t="shared" si="116"/>
        <v>MEM0704</v>
      </c>
      <c r="B705" t="str">
        <f ca="1">INDEX('Name pool'!A:A, RANDBETWEEN(2, COUNTA('Name pool'!A:A))) &amp; " " &amp; INDEX('Name pool'!B:B, RANDBETWEEN(2, COUNTA('Name pool'!B:B)))</f>
        <v>Priya Malhotra</v>
      </c>
      <c r="C705" t="s">
        <v>77</v>
      </c>
      <c r="D705" t="str">
        <f t="shared" ca="1" si="115"/>
        <v>BR03</v>
      </c>
      <c r="E705" t="str">
        <f t="shared" ca="1" si="121"/>
        <v>Standard</v>
      </c>
      <c r="F705" s="2">
        <v>45728</v>
      </c>
      <c r="G705" s="2">
        <v>45758</v>
      </c>
      <c r="H705">
        <v>2000</v>
      </c>
      <c r="I705">
        <f t="shared" ca="1" si="122"/>
        <v>12000</v>
      </c>
      <c r="J705">
        <v>23</v>
      </c>
      <c r="K705" t="str">
        <f t="shared" ca="1" si="123"/>
        <v>No</v>
      </c>
      <c r="L705" t="str">
        <f t="shared" ca="1" si="124"/>
        <v>Muscle Gain</v>
      </c>
      <c r="M705" t="str">
        <f t="shared" ca="1" si="125"/>
        <v>Active</v>
      </c>
      <c r="N705" s="2">
        <v>45954</v>
      </c>
      <c r="Q705" t="str">
        <f ca="1">IF(RAND()&lt;0.2,
    IF(RAND()&lt;0.5, LOWER(C705), UPPER(C705)),
    C705
)</f>
        <v>Chennai</v>
      </c>
      <c r="R705">
        <f t="shared" ca="1" si="117"/>
        <v>23</v>
      </c>
      <c r="S705">
        <f t="shared" ca="1" si="118"/>
        <v>2000</v>
      </c>
      <c r="T705">
        <f t="shared" ca="1" si="119"/>
        <v>45098</v>
      </c>
      <c r="U705" s="2">
        <f t="shared" ca="1" si="120"/>
        <v>45954</v>
      </c>
    </row>
    <row r="706" spans="1:21">
      <c r="A706" t="str">
        <f t="shared" si="116"/>
        <v>MEM0705</v>
      </c>
      <c r="B706" t="str">
        <f ca="1">INDEX('Name pool'!A:A, RANDBETWEEN(2, COUNTA('Name pool'!A:A))) &amp; " " &amp; INDEX('Name pool'!B:B, RANDBETWEEN(2, COUNTA('Name pool'!B:B)))</f>
        <v>Manoj Banerjee</v>
      </c>
      <c r="C706" t="s">
        <v>81</v>
      </c>
      <c r="D706" t="str">
        <f t="shared" ref="D706:D769" ca="1" si="126">CHOOSE(RANDBETWEEN(1,7),"BR01","BR02","BR03","BR04","BR05","BR06","BR07")</f>
        <v>BR06</v>
      </c>
      <c r="E706" t="str">
        <f t="shared" ca="1" si="121"/>
        <v>Basic</v>
      </c>
      <c r="F706" s="2">
        <v>45489</v>
      </c>
      <c r="G706" s="2">
        <v>45579</v>
      </c>
      <c r="H706">
        <v>3500</v>
      </c>
      <c r="I706">
        <f t="shared" ca="1" si="122"/>
        <v>7000</v>
      </c>
      <c r="J706">
        <v>3</v>
      </c>
      <c r="K706" t="str">
        <f t="shared" ca="1" si="123"/>
        <v>No</v>
      </c>
      <c r="L706" t="str">
        <f t="shared" ca="1" si="124"/>
        <v>Muscle Gain</v>
      </c>
      <c r="M706" t="str">
        <f t="shared" ca="1" si="125"/>
        <v>Cancelled</v>
      </c>
      <c r="N706" s="2">
        <v>45515</v>
      </c>
      <c r="Q706" t="str">
        <f ca="1">IF(RAND()&lt;0.2,
    IF(RAND()&lt;0.5, LOWER(C706), UPPER(C706)),
    C706
)</f>
        <v>Mumbai</v>
      </c>
      <c r="R706">
        <f t="shared" ca="1" si="117"/>
        <v>3</v>
      </c>
      <c r="S706">
        <f t="shared" ca="1" si="118"/>
        <v>3500</v>
      </c>
      <c r="T706">
        <f t="shared" ca="1" si="119"/>
        <v>45435</v>
      </c>
      <c r="U706" s="2">
        <f t="shared" ca="1" si="120"/>
        <v>45515</v>
      </c>
    </row>
    <row r="707" spans="1:21">
      <c r="A707" t="str">
        <f t="shared" ref="A707:A770" si="127">"MEM" &amp; TEXT(ROW()-1,"0000")</f>
        <v>MEM0706</v>
      </c>
      <c r="B707" t="str">
        <f ca="1">INDEX('Name pool'!A:A, RANDBETWEEN(2, COUNTA('Name pool'!A:A))) &amp; " " &amp; INDEX('Name pool'!B:B, RANDBETWEEN(2, COUNTA('Name pool'!B:B)))</f>
        <v>Zara Thomas</v>
      </c>
      <c r="C707" t="s">
        <v>77</v>
      </c>
      <c r="D707" t="str">
        <f t="shared" ca="1" si="126"/>
        <v>BR01</v>
      </c>
      <c r="E707" t="str">
        <f t="shared" ca="1" si="121"/>
        <v>Standard</v>
      </c>
      <c r="F707" s="2">
        <v>45711</v>
      </c>
      <c r="G707" s="2">
        <v>45741</v>
      </c>
      <c r="H707">
        <v>3500</v>
      </c>
      <c r="I707">
        <f t="shared" ca="1" si="122"/>
        <v>28000</v>
      </c>
      <c r="J707">
        <v>6</v>
      </c>
      <c r="K707" t="str">
        <f t="shared" ca="1" si="123"/>
        <v>Yes</v>
      </c>
      <c r="L707" t="str">
        <f t="shared" ca="1" si="124"/>
        <v>Weight Loss</v>
      </c>
      <c r="M707" t="str">
        <f t="shared" ca="1" si="125"/>
        <v>Active</v>
      </c>
      <c r="N707" s="2">
        <v>45920</v>
      </c>
      <c r="Q707" t="str">
        <f ca="1">IF(RAND()&lt;0.2,
    IF(RAND()&lt;0.5, LOWER(C707), UPPER(C707)),
    C707
)</f>
        <v>Chennai</v>
      </c>
      <c r="R707">
        <f t="shared" ref="R707:R770" ca="1" si="128">IF(RAND()&lt;0.15,
    J707 &amp; " visits",
    J707
)</f>
        <v>6</v>
      </c>
      <c r="S707">
        <f t="shared" ref="S707:S770" ca="1" si="129">IF(RAND()&lt;0.1,
    TEXT(H707,"0"),
    H707
)</f>
        <v>3500</v>
      </c>
      <c r="T707">
        <f t="shared" ref="T707:T770" ca="1" si="130">RANDBETWEEN(DATE(2023,1,1), DATE(2026,1,31))</f>
        <v>45307</v>
      </c>
      <c r="U707" s="2">
        <f t="shared" ref="U707:U770" ca="1" si="131">IF(AND(M707="Cancelled", RAND()&lt;0.5),
    F707 + RANDBETWEEN(10,50),
    N707
)</f>
        <v>45920</v>
      </c>
    </row>
    <row r="708" spans="1:21">
      <c r="A708" t="str">
        <f t="shared" si="127"/>
        <v>MEM0707</v>
      </c>
      <c r="B708" t="str">
        <f ca="1">INDEX('Name pool'!A:A, RANDBETWEEN(2, COUNTA('Name pool'!A:A))) &amp; " " &amp; INDEX('Name pool'!B:B, RANDBETWEEN(2, COUNTA('Name pool'!B:B)))</f>
        <v>Divya Lewis</v>
      </c>
      <c r="C708" t="s">
        <v>85</v>
      </c>
      <c r="D708" t="str">
        <f t="shared" ca="1" si="126"/>
        <v>BR01</v>
      </c>
      <c r="E708" t="str">
        <f t="shared" ca="1" si="121"/>
        <v>Basic</v>
      </c>
      <c r="F708" s="2">
        <v>45821</v>
      </c>
      <c r="G708" s="2">
        <v>45911</v>
      </c>
      <c r="H708">
        <v>3500</v>
      </c>
      <c r="I708">
        <f t="shared" ca="1" si="122"/>
        <v>14000</v>
      </c>
      <c r="J708" t="s">
        <v>138</v>
      </c>
      <c r="K708" t="str">
        <f t="shared" ca="1" si="123"/>
        <v>Yes</v>
      </c>
      <c r="L708" t="str">
        <f t="shared" ca="1" si="124"/>
        <v>General Fitness</v>
      </c>
      <c r="M708" t="str">
        <f t="shared" ca="1" si="125"/>
        <v>Active</v>
      </c>
      <c r="N708" s="2">
        <v>46119</v>
      </c>
      <c r="Q708" t="str">
        <f ca="1">IF(RAND()&lt;0.2,
    IF(RAND()&lt;0.5, LOWER(C708), UPPER(C708)),
    C708
)</f>
        <v>calicut</v>
      </c>
      <c r="R708" t="str">
        <f t="shared" ca="1" si="128"/>
        <v>1 visits</v>
      </c>
      <c r="S708" t="str">
        <f t="shared" ca="1" si="129"/>
        <v>3500</v>
      </c>
      <c r="T708">
        <f t="shared" ca="1" si="130"/>
        <v>45595</v>
      </c>
      <c r="U708" s="2">
        <f t="shared" ca="1" si="131"/>
        <v>46119</v>
      </c>
    </row>
    <row r="709" spans="1:21">
      <c r="A709" t="str">
        <f t="shared" si="127"/>
        <v>MEM0708</v>
      </c>
      <c r="B709" t="str">
        <f ca="1">INDEX('Name pool'!A:A, RANDBETWEEN(2, COUNTA('Name pool'!A:A))) &amp; " " &amp; INDEX('Name pool'!B:B, RANDBETWEEN(2, COUNTA('Name pool'!B:B)))</f>
        <v>Sanjay Nambiar</v>
      </c>
      <c r="C709" t="s">
        <v>85</v>
      </c>
      <c r="D709" t="str">
        <f t="shared" ca="1" si="126"/>
        <v>BR07</v>
      </c>
      <c r="E709" t="str">
        <f t="shared" ca="1" si="121"/>
        <v>Premium</v>
      </c>
      <c r="F709" s="2">
        <v>45124</v>
      </c>
      <c r="G709" s="2">
        <v>45489</v>
      </c>
      <c r="H709">
        <v>1000</v>
      </c>
      <c r="I709">
        <f t="shared" ca="1" si="122"/>
        <v>7000</v>
      </c>
      <c r="J709">
        <v>12</v>
      </c>
      <c r="K709" t="str">
        <f t="shared" ca="1" si="123"/>
        <v>No</v>
      </c>
      <c r="L709" t="str">
        <f t="shared" ca="1" si="124"/>
        <v>Weight Loss</v>
      </c>
      <c r="M709" t="str">
        <f t="shared" ca="1" si="125"/>
        <v>Active</v>
      </c>
      <c r="N709" s="2">
        <v>45693</v>
      </c>
      <c r="Q709" t="str">
        <f ca="1">IF(RAND()&lt;0.2,
    IF(RAND()&lt;0.5, LOWER(C709), UPPER(C709)),
    C709
)</f>
        <v>Calicut</v>
      </c>
      <c r="R709" t="str">
        <f t="shared" ca="1" si="128"/>
        <v>12 visits</v>
      </c>
      <c r="S709">
        <f t="shared" ca="1" si="129"/>
        <v>1000</v>
      </c>
      <c r="T709">
        <f t="shared" ca="1" si="130"/>
        <v>46028</v>
      </c>
      <c r="U709" s="2">
        <f t="shared" ca="1" si="131"/>
        <v>45693</v>
      </c>
    </row>
    <row r="710" spans="1:21">
      <c r="A710" t="str">
        <f t="shared" si="127"/>
        <v>MEM0709</v>
      </c>
      <c r="B710" t="str">
        <f ca="1">INDEX('Name pool'!A:A, RANDBETWEEN(2, COUNTA('Name pool'!A:A))) &amp; " " &amp; INDEX('Name pool'!B:B, RANDBETWEEN(2, COUNTA('Name pool'!B:B)))</f>
        <v>Karthik Khan</v>
      </c>
      <c r="C710" t="s">
        <v>73</v>
      </c>
      <c r="D710" t="str">
        <f t="shared" ca="1" si="126"/>
        <v>BR01</v>
      </c>
      <c r="E710" t="str">
        <f t="shared" ca="1" si="121"/>
        <v>Basic</v>
      </c>
      <c r="F710" s="2">
        <v>44974</v>
      </c>
      <c r="G710" s="2">
        <v>45004</v>
      </c>
      <c r="H710">
        <v>2000</v>
      </c>
      <c r="I710">
        <f t="shared" ca="1" si="122"/>
        <v>18000</v>
      </c>
      <c r="J710">
        <v>2</v>
      </c>
      <c r="K710" t="str">
        <f t="shared" ca="1" si="123"/>
        <v>Yes</v>
      </c>
      <c r="L710" t="str">
        <f t="shared" ca="1" si="124"/>
        <v>General Fitness</v>
      </c>
      <c r="M710" t="str">
        <f t="shared" ca="1" si="125"/>
        <v>Cancelled</v>
      </c>
      <c r="N710" s="2">
        <v>44998</v>
      </c>
      <c r="Q710" t="str">
        <f ca="1">IF(RAND()&lt;0.2,
    IF(RAND()&lt;0.5, LOWER(C710), UPPER(C710)),
    C710
)</f>
        <v>Kochi</v>
      </c>
      <c r="R710">
        <f t="shared" ca="1" si="128"/>
        <v>2</v>
      </c>
      <c r="S710">
        <f t="shared" ca="1" si="129"/>
        <v>2000</v>
      </c>
      <c r="T710">
        <f t="shared" ca="1" si="130"/>
        <v>45276</v>
      </c>
      <c r="U710" s="2">
        <f t="shared" ca="1" si="131"/>
        <v>44998</v>
      </c>
    </row>
    <row r="711" spans="1:21">
      <c r="A711" t="str">
        <f t="shared" si="127"/>
        <v>MEM0710</v>
      </c>
      <c r="B711" t="str">
        <f ca="1">INDEX('Name pool'!A:A, RANDBETWEEN(2, COUNTA('Name pool'!A:A))) &amp; " " &amp; INDEX('Name pool'!B:B, RANDBETWEEN(2, COUNTA('Name pool'!B:B)))</f>
        <v>Manoj Joseph</v>
      </c>
      <c r="C711" t="s">
        <v>115</v>
      </c>
      <c r="D711" t="str">
        <f t="shared" ca="1" si="126"/>
        <v>BR06</v>
      </c>
      <c r="E711" t="str">
        <f t="shared" ca="1" si="121"/>
        <v>Standard</v>
      </c>
      <c r="F711" s="2">
        <v>45970</v>
      </c>
      <c r="G711" s="2">
        <v>46000</v>
      </c>
      <c r="H711">
        <v>3500</v>
      </c>
      <c r="I711">
        <f t="shared" ca="1" si="122"/>
        <v>3500</v>
      </c>
      <c r="J711" t="s">
        <v>138</v>
      </c>
      <c r="K711" t="str">
        <f t="shared" ca="1" si="123"/>
        <v>Yes</v>
      </c>
      <c r="L711" t="str">
        <f t="shared" ca="1" si="124"/>
        <v>Muscle Gain</v>
      </c>
      <c r="M711" t="str">
        <f t="shared" ca="1" si="125"/>
        <v>Active</v>
      </c>
      <c r="N711" s="2">
        <v>46100</v>
      </c>
      <c r="Q711" t="str">
        <f ca="1">IF(RAND()&lt;0.2,
    IF(RAND()&lt;0.5, LOWER(C711), UPPER(C711)),
    C711
)</f>
        <v>CHENNAI</v>
      </c>
      <c r="R711" t="str">
        <f t="shared" ca="1" si="128"/>
        <v>1 visits visits</v>
      </c>
      <c r="S711">
        <f t="shared" ca="1" si="129"/>
        <v>3500</v>
      </c>
      <c r="T711">
        <f t="shared" ca="1" si="130"/>
        <v>45783</v>
      </c>
      <c r="U711" s="2">
        <f t="shared" ca="1" si="131"/>
        <v>46100</v>
      </c>
    </row>
    <row r="712" spans="1:21">
      <c r="A712" t="str">
        <f t="shared" si="127"/>
        <v>MEM0711</v>
      </c>
      <c r="B712" t="str">
        <f ca="1">INDEX('Name pool'!A:A, RANDBETWEEN(2, COUNTA('Name pool'!A:A))) &amp; " " &amp; INDEX('Name pool'!B:B, RANDBETWEEN(2, COUNTA('Name pool'!B:B)))</f>
        <v>Kavya Das</v>
      </c>
      <c r="C712" t="s">
        <v>79</v>
      </c>
      <c r="D712" t="str">
        <f t="shared" ca="1" si="126"/>
        <v>BR05</v>
      </c>
      <c r="E712" t="str">
        <f t="shared" ca="1" si="121"/>
        <v>Basic</v>
      </c>
      <c r="F712" s="2">
        <v>45515</v>
      </c>
      <c r="G712" s="2">
        <v>45545</v>
      </c>
      <c r="H712">
        <v>2000</v>
      </c>
      <c r="I712">
        <f t="shared" ca="1" si="122"/>
        <v>10000</v>
      </c>
      <c r="J712">
        <v>6</v>
      </c>
      <c r="K712" t="str">
        <f t="shared" ca="1" si="123"/>
        <v>No</v>
      </c>
      <c r="L712" t="str">
        <f t="shared" ca="1" si="124"/>
        <v>Weight Loss</v>
      </c>
      <c r="M712" t="str">
        <f t="shared" ca="1" si="125"/>
        <v>Active</v>
      </c>
      <c r="N712" s="2">
        <v>45684</v>
      </c>
      <c r="Q712" t="str">
        <f ca="1">IF(RAND()&lt;0.2,
    IF(RAND()&lt;0.5, LOWER(C712), UPPER(C712)),
    C712
)</f>
        <v>Hyderabad</v>
      </c>
      <c r="R712">
        <f t="shared" ca="1" si="128"/>
        <v>6</v>
      </c>
      <c r="S712">
        <f t="shared" ca="1" si="129"/>
        <v>2000</v>
      </c>
      <c r="T712">
        <f t="shared" ca="1" si="130"/>
        <v>45709</v>
      </c>
      <c r="U712" s="2">
        <f t="shared" ca="1" si="131"/>
        <v>45684</v>
      </c>
    </row>
    <row r="713" spans="1:21">
      <c r="A713" t="str">
        <f t="shared" si="127"/>
        <v>MEM0712</v>
      </c>
      <c r="B713" t="str">
        <f ca="1">INDEX('Name pool'!A:A, RANDBETWEEN(2, COUNTA('Name pool'!A:A))) &amp; " " &amp; INDEX('Name pool'!B:B, RANDBETWEEN(2, COUNTA('Name pool'!B:B)))</f>
        <v>Shreya Thomas</v>
      </c>
      <c r="C713" t="s">
        <v>85</v>
      </c>
      <c r="D713" t="str">
        <f t="shared" ca="1" si="126"/>
        <v>BR01</v>
      </c>
      <c r="E713" t="str">
        <f t="shared" ca="1" si="121"/>
        <v>Premium</v>
      </c>
      <c r="F713" s="2">
        <v>45735</v>
      </c>
      <c r="G713" s="2">
        <v>45765</v>
      </c>
      <c r="H713">
        <v>1000</v>
      </c>
      <c r="I713">
        <f t="shared" ca="1" si="122"/>
        <v>8000</v>
      </c>
      <c r="J713">
        <v>7</v>
      </c>
      <c r="K713" t="str">
        <f t="shared" ca="1" si="123"/>
        <v>Yes</v>
      </c>
      <c r="L713" t="str">
        <f t="shared" ca="1" si="124"/>
        <v>Muscle Gain</v>
      </c>
      <c r="M713" t="str">
        <f t="shared" ca="1" si="125"/>
        <v>Active</v>
      </c>
      <c r="N713" s="2">
        <v>46105</v>
      </c>
      <c r="Q713" t="str">
        <f ca="1">IF(RAND()&lt;0.2,
    IF(RAND()&lt;0.5, LOWER(C713), UPPER(C713)),
    C713
)</f>
        <v>Calicut</v>
      </c>
      <c r="R713">
        <f t="shared" ca="1" si="128"/>
        <v>7</v>
      </c>
      <c r="S713">
        <f t="shared" ca="1" si="129"/>
        <v>1000</v>
      </c>
      <c r="T713">
        <f t="shared" ca="1" si="130"/>
        <v>45656</v>
      </c>
      <c r="U713" s="2">
        <f t="shared" ca="1" si="131"/>
        <v>46105</v>
      </c>
    </row>
    <row r="714" spans="1:21">
      <c r="A714" t="str">
        <f t="shared" si="127"/>
        <v>MEM0713</v>
      </c>
      <c r="B714" t="str">
        <f ca="1">INDEX('Name pool'!A:A, RANDBETWEEN(2, COUNTA('Name pool'!A:A))) &amp; " " &amp; INDEX('Name pool'!B:B, RANDBETWEEN(2, COUNTA('Name pool'!B:B)))</f>
        <v>Kavya Shetty</v>
      </c>
      <c r="C714" t="s">
        <v>75</v>
      </c>
      <c r="D714" t="str">
        <f t="shared" ca="1" si="126"/>
        <v>BR03</v>
      </c>
      <c r="E714" t="str">
        <f t="shared" ca="1" si="121"/>
        <v>Basic</v>
      </c>
      <c r="F714" s="2">
        <v>45093</v>
      </c>
      <c r="G714" s="2">
        <v>45123</v>
      </c>
      <c r="H714">
        <v>1000</v>
      </c>
      <c r="I714">
        <f t="shared" ca="1" si="122"/>
        <v>6000</v>
      </c>
      <c r="J714">
        <v>12</v>
      </c>
      <c r="K714" t="str">
        <f t="shared" ca="1" si="123"/>
        <v>Yes</v>
      </c>
      <c r="L714" t="str">
        <f t="shared" ca="1" si="124"/>
        <v>Weight Loss</v>
      </c>
      <c r="M714" t="str">
        <f t="shared" ca="1" si="125"/>
        <v>Active</v>
      </c>
      <c r="N714" s="2">
        <v>45566</v>
      </c>
      <c r="Q714" t="str">
        <f ca="1">IF(RAND()&lt;0.2,
    IF(RAND()&lt;0.5, LOWER(C714), UPPER(C714)),
    C714
)</f>
        <v>BANGALORE</v>
      </c>
      <c r="R714" t="str">
        <f t="shared" ca="1" si="128"/>
        <v>12 visits</v>
      </c>
      <c r="S714">
        <f t="shared" ca="1" si="129"/>
        <v>1000</v>
      </c>
      <c r="T714">
        <f t="shared" ca="1" si="130"/>
        <v>45282</v>
      </c>
      <c r="U714" s="2">
        <f t="shared" ca="1" si="131"/>
        <v>45566</v>
      </c>
    </row>
    <row r="715" spans="1:21">
      <c r="A715" t="str">
        <f t="shared" si="127"/>
        <v>MEM0714</v>
      </c>
      <c r="B715" t="str">
        <f ca="1">INDEX('Name pool'!A:A, RANDBETWEEN(2, COUNTA('Name pool'!A:A))) &amp; " " &amp; INDEX('Name pool'!B:B, RANDBETWEEN(2, COUNTA('Name pool'!B:B)))</f>
        <v>Rahul Menon</v>
      </c>
      <c r="C715" t="s">
        <v>73</v>
      </c>
      <c r="D715" t="str">
        <f t="shared" ca="1" si="126"/>
        <v>BR01</v>
      </c>
      <c r="E715" t="str">
        <f t="shared" ca="1" si="121"/>
        <v>Premium</v>
      </c>
      <c r="F715" s="2">
        <v>45512</v>
      </c>
      <c r="G715" s="2">
        <v>45602</v>
      </c>
      <c r="H715">
        <v>3500</v>
      </c>
      <c r="I715">
        <f t="shared" ca="1" si="122"/>
        <v>3500</v>
      </c>
      <c r="J715">
        <v>7</v>
      </c>
      <c r="K715" t="str">
        <f t="shared" ca="1" si="123"/>
        <v>No</v>
      </c>
      <c r="L715" t="str">
        <f t="shared" ca="1" si="124"/>
        <v>Weight Loss</v>
      </c>
      <c r="M715" t="str">
        <f t="shared" ca="1" si="125"/>
        <v>Active</v>
      </c>
      <c r="N715" s="2">
        <v>45973</v>
      </c>
      <c r="Q715" t="str">
        <f ca="1">IF(RAND()&lt;0.2,
    IF(RAND()&lt;0.5, LOWER(C715), UPPER(C715)),
    C715
)</f>
        <v>Kochi</v>
      </c>
      <c r="R715">
        <f t="shared" ca="1" si="128"/>
        <v>7</v>
      </c>
      <c r="S715">
        <f t="shared" ca="1" si="129"/>
        <v>3500</v>
      </c>
      <c r="T715">
        <f t="shared" ca="1" si="130"/>
        <v>45710</v>
      </c>
      <c r="U715" s="2">
        <f t="shared" ca="1" si="131"/>
        <v>45973</v>
      </c>
    </row>
    <row r="716" spans="1:21">
      <c r="A716" t="str">
        <f t="shared" si="127"/>
        <v>MEM0715</v>
      </c>
      <c r="B716" t="str">
        <f ca="1">INDEX('Name pool'!A:A, RANDBETWEEN(2, COUNTA('Name pool'!A:A))) &amp; " " &amp; INDEX('Name pool'!B:B, RANDBETWEEN(2, COUNTA('Name pool'!B:B)))</f>
        <v>Anu George</v>
      </c>
      <c r="C716" t="s">
        <v>132</v>
      </c>
      <c r="D716" t="str">
        <f t="shared" ca="1" si="126"/>
        <v>BR01</v>
      </c>
      <c r="E716" t="str">
        <f t="shared" ca="1" si="121"/>
        <v>Premium</v>
      </c>
      <c r="F716" s="2">
        <v>45426</v>
      </c>
      <c r="G716" s="2">
        <v>45791</v>
      </c>
      <c r="H716">
        <v>3500</v>
      </c>
      <c r="I716">
        <f t="shared" ca="1" si="122"/>
        <v>10500</v>
      </c>
      <c r="J716" t="s">
        <v>122</v>
      </c>
      <c r="K716" t="str">
        <f t="shared" ca="1" si="123"/>
        <v>No</v>
      </c>
      <c r="L716" t="str">
        <f t="shared" ca="1" si="124"/>
        <v>General Fitness</v>
      </c>
      <c r="M716" t="str">
        <f t="shared" ca="1" si="125"/>
        <v>Active</v>
      </c>
      <c r="N716" s="2">
        <v>45980</v>
      </c>
      <c r="Q716" t="str">
        <f ca="1">IF(RAND()&lt;0.2,
    IF(RAND()&lt;0.5, LOWER(C716), UPPER(C716)),
    C716
)</f>
        <v>calicut</v>
      </c>
      <c r="R716" t="str">
        <f t="shared" ca="1" si="128"/>
        <v>25 visits</v>
      </c>
      <c r="S716">
        <f t="shared" ca="1" si="129"/>
        <v>3500</v>
      </c>
      <c r="T716">
        <f t="shared" ca="1" si="130"/>
        <v>45185</v>
      </c>
      <c r="U716" s="2">
        <f t="shared" ca="1" si="131"/>
        <v>45980</v>
      </c>
    </row>
    <row r="717" spans="1:21">
      <c r="A717" t="str">
        <f t="shared" si="127"/>
        <v>MEM0716</v>
      </c>
      <c r="B717" t="str">
        <f ca="1">INDEX('Name pool'!A:A, RANDBETWEEN(2, COUNTA('Name pool'!A:A))) &amp; " " &amp; INDEX('Name pool'!B:B, RANDBETWEEN(2, COUNTA('Name pool'!B:B)))</f>
        <v>Meera Das</v>
      </c>
      <c r="C717" t="s">
        <v>117</v>
      </c>
      <c r="D717" t="str">
        <f t="shared" ca="1" si="126"/>
        <v>BR05</v>
      </c>
      <c r="E717" t="str">
        <f t="shared" ca="1" si="121"/>
        <v>Standard</v>
      </c>
      <c r="F717" s="2">
        <v>45427</v>
      </c>
      <c r="G717" s="2">
        <v>45517</v>
      </c>
      <c r="H717">
        <v>2000</v>
      </c>
      <c r="I717">
        <f t="shared" ca="1" si="122"/>
        <v>20000</v>
      </c>
      <c r="J717" t="s">
        <v>134</v>
      </c>
      <c r="K717" t="str">
        <f t="shared" ca="1" si="123"/>
        <v>No</v>
      </c>
      <c r="L717" t="str">
        <f t="shared" ca="1" si="124"/>
        <v>General Fitness</v>
      </c>
      <c r="M717" t="str">
        <f t="shared" ca="1" si="125"/>
        <v>Active</v>
      </c>
      <c r="N717" s="2">
        <v>45898</v>
      </c>
      <c r="Q717" t="str">
        <f ca="1">IF(RAND()&lt;0.2,
    IF(RAND()&lt;0.5, LOWER(C717), UPPER(C717)),
    C717
)</f>
        <v>mumbai</v>
      </c>
      <c r="R717" t="str">
        <f t="shared" ca="1" si="128"/>
        <v>4 visits</v>
      </c>
      <c r="S717">
        <f t="shared" ca="1" si="129"/>
        <v>2000</v>
      </c>
      <c r="T717">
        <f t="shared" ca="1" si="130"/>
        <v>45948</v>
      </c>
      <c r="U717" s="2">
        <f t="shared" ca="1" si="131"/>
        <v>45898</v>
      </c>
    </row>
    <row r="718" spans="1:21">
      <c r="A718" t="str">
        <f t="shared" si="127"/>
        <v>MEM0717</v>
      </c>
      <c r="B718" t="str">
        <f ca="1">INDEX('Name pool'!A:A, RANDBETWEEN(2, COUNTA('Name pool'!A:A))) &amp; " " &amp; INDEX('Name pool'!B:B, RANDBETWEEN(2, COUNTA('Name pool'!B:B)))</f>
        <v>Akash Bhat</v>
      </c>
      <c r="C718" t="s">
        <v>81</v>
      </c>
      <c r="D718" t="str">
        <f t="shared" ca="1" si="126"/>
        <v>BR03</v>
      </c>
      <c r="E718" t="str">
        <f t="shared" ca="1" si="121"/>
        <v>Basic</v>
      </c>
      <c r="F718" s="2">
        <v>45303</v>
      </c>
      <c r="G718" s="2">
        <v>45393</v>
      </c>
      <c r="H718">
        <v>2000</v>
      </c>
      <c r="I718">
        <f t="shared" ca="1" si="122"/>
        <v>20000</v>
      </c>
      <c r="J718">
        <v>6</v>
      </c>
      <c r="K718" t="str">
        <f t="shared" ca="1" si="123"/>
        <v>Yes</v>
      </c>
      <c r="L718" t="str">
        <f t="shared" ca="1" si="124"/>
        <v>Muscle Gain</v>
      </c>
      <c r="M718" t="str">
        <f t="shared" ca="1" si="125"/>
        <v>Active</v>
      </c>
      <c r="N718" s="2">
        <v>45700</v>
      </c>
      <c r="Q718" t="str">
        <f ca="1">IF(RAND()&lt;0.2,
    IF(RAND()&lt;0.5, LOWER(C718), UPPER(C718)),
    C718
)</f>
        <v>MUMBAI</v>
      </c>
      <c r="R718">
        <f t="shared" ca="1" si="128"/>
        <v>6</v>
      </c>
      <c r="S718">
        <f t="shared" ca="1" si="129"/>
        <v>2000</v>
      </c>
      <c r="T718">
        <f t="shared" ca="1" si="130"/>
        <v>45795</v>
      </c>
      <c r="U718" s="2">
        <f t="shared" ca="1" si="131"/>
        <v>45700</v>
      </c>
    </row>
    <row r="719" spans="1:21">
      <c r="A719" t="str">
        <f t="shared" si="127"/>
        <v>MEM0718</v>
      </c>
      <c r="B719" t="str">
        <f ca="1">INDEX('Name pool'!A:A, RANDBETWEEN(2, COUNTA('Name pool'!A:A))) &amp; " " &amp; INDEX('Name pool'!B:B, RANDBETWEEN(2, COUNTA('Name pool'!B:B)))</f>
        <v>Lakshmi Shetty</v>
      </c>
      <c r="C719" t="s">
        <v>79</v>
      </c>
      <c r="D719" t="str">
        <f t="shared" ca="1" si="126"/>
        <v>BR01</v>
      </c>
      <c r="E719" t="str">
        <f t="shared" ca="1" si="121"/>
        <v>Basic</v>
      </c>
      <c r="F719" s="2">
        <v>45456</v>
      </c>
      <c r="G719" s="2">
        <v>45486</v>
      </c>
      <c r="H719">
        <v>3500</v>
      </c>
      <c r="I719">
        <f t="shared" ca="1" si="122"/>
        <v>10500</v>
      </c>
      <c r="J719">
        <v>14</v>
      </c>
      <c r="K719" t="str">
        <f t="shared" ca="1" si="123"/>
        <v>Yes</v>
      </c>
      <c r="L719" t="str">
        <f t="shared" ca="1" si="124"/>
        <v>General Fitness</v>
      </c>
      <c r="M719" t="str">
        <f t="shared" ca="1" si="125"/>
        <v>Active</v>
      </c>
      <c r="N719" s="2">
        <v>45997</v>
      </c>
      <c r="Q719" t="str">
        <f ca="1">IF(RAND()&lt;0.2,
    IF(RAND()&lt;0.5, LOWER(C719), UPPER(C719)),
    C719
)</f>
        <v>Hyderabad</v>
      </c>
      <c r="R719">
        <f t="shared" ca="1" si="128"/>
        <v>14</v>
      </c>
      <c r="S719">
        <f t="shared" ca="1" si="129"/>
        <v>3500</v>
      </c>
      <c r="T719">
        <f t="shared" ca="1" si="130"/>
        <v>45925</v>
      </c>
      <c r="U719" s="2">
        <f t="shared" ca="1" si="131"/>
        <v>45997</v>
      </c>
    </row>
    <row r="720" spans="1:21">
      <c r="A720" t="str">
        <f t="shared" si="127"/>
        <v>MEM0719</v>
      </c>
      <c r="B720" t="str">
        <f ca="1">INDEX('Name pool'!A:A, RANDBETWEEN(2, COUNTA('Name pool'!A:A))) &amp; " " &amp; INDEX('Name pool'!B:B, RANDBETWEEN(2, COUNTA('Name pool'!B:B)))</f>
        <v>Shreya Lewis</v>
      </c>
      <c r="C720" t="s">
        <v>81</v>
      </c>
      <c r="D720" t="str">
        <f t="shared" ca="1" si="126"/>
        <v>BR04</v>
      </c>
      <c r="E720" t="str">
        <f t="shared" ca="1" si="121"/>
        <v>Basic</v>
      </c>
      <c r="F720" s="2">
        <v>45386</v>
      </c>
      <c r="G720" s="2">
        <v>45751</v>
      </c>
      <c r="H720">
        <v>1000</v>
      </c>
      <c r="I720">
        <f t="shared" ca="1" si="122"/>
        <v>8000</v>
      </c>
      <c r="J720" t="s">
        <v>133</v>
      </c>
      <c r="K720" t="str">
        <f t="shared" ca="1" si="123"/>
        <v>Yes</v>
      </c>
      <c r="L720" t="str">
        <f t="shared" ca="1" si="124"/>
        <v>General Fitness</v>
      </c>
      <c r="M720" t="str">
        <f t="shared" ca="1" si="125"/>
        <v>Active</v>
      </c>
      <c r="N720" s="2">
        <v>45964</v>
      </c>
      <c r="Q720" t="str">
        <f ca="1">IF(RAND()&lt;0.2,
    IF(RAND()&lt;0.5, LOWER(C720), UPPER(C720)),
    C720
)</f>
        <v>Mumbai</v>
      </c>
      <c r="R720" t="str">
        <f t="shared" ca="1" si="128"/>
        <v>5 visits</v>
      </c>
      <c r="S720">
        <f t="shared" ca="1" si="129"/>
        <v>1000</v>
      </c>
      <c r="T720">
        <f t="shared" ca="1" si="130"/>
        <v>45840</v>
      </c>
      <c r="U720" s="2">
        <f t="shared" ca="1" si="131"/>
        <v>45964</v>
      </c>
    </row>
    <row r="721" spans="1:21">
      <c r="A721" t="str">
        <f t="shared" si="127"/>
        <v>MEM0720</v>
      </c>
      <c r="B721" t="str">
        <f ca="1">INDEX('Name pool'!A:A, RANDBETWEEN(2, COUNTA('Name pool'!A:A))) &amp; " " &amp; INDEX('Name pool'!B:B, RANDBETWEEN(2, COUNTA('Name pool'!B:B)))</f>
        <v>Rohit Patel</v>
      </c>
      <c r="C721" t="s">
        <v>73</v>
      </c>
      <c r="D721" t="str">
        <f t="shared" ca="1" si="126"/>
        <v>BR07</v>
      </c>
      <c r="E721" t="str">
        <f t="shared" ca="1" si="121"/>
        <v>Standard</v>
      </c>
      <c r="F721" s="2">
        <v>45920</v>
      </c>
      <c r="G721" s="2">
        <v>45950</v>
      </c>
      <c r="H721">
        <v>1000</v>
      </c>
      <c r="I721">
        <f t="shared" ca="1" si="122"/>
        <v>10000</v>
      </c>
      <c r="J721">
        <v>3</v>
      </c>
      <c r="K721" t="str">
        <f t="shared" ca="1" si="123"/>
        <v>Yes</v>
      </c>
      <c r="L721" t="str">
        <f t="shared" ca="1" si="124"/>
        <v>Muscle Gain</v>
      </c>
      <c r="M721" t="str">
        <f t="shared" ca="1" si="125"/>
        <v>Active</v>
      </c>
      <c r="N721" s="2">
        <v>45998</v>
      </c>
      <c r="Q721" t="str">
        <f ca="1">IF(RAND()&lt;0.2,
    IF(RAND()&lt;0.5, LOWER(C721), UPPER(C721)),
    C721
)</f>
        <v>Kochi</v>
      </c>
      <c r="R721">
        <f t="shared" ca="1" si="128"/>
        <v>3</v>
      </c>
      <c r="S721">
        <f t="shared" ca="1" si="129"/>
        <v>1000</v>
      </c>
      <c r="T721">
        <f t="shared" ca="1" si="130"/>
        <v>45875</v>
      </c>
      <c r="U721" s="2">
        <f t="shared" ca="1" si="131"/>
        <v>45998</v>
      </c>
    </row>
    <row r="722" spans="1:21">
      <c r="A722" t="str">
        <f t="shared" si="127"/>
        <v>MEM0721</v>
      </c>
      <c r="B722" t="str">
        <f ca="1">INDEX('Name pool'!A:A, RANDBETWEEN(2, COUNTA('Name pool'!A:A))) &amp; " " &amp; INDEX('Name pool'!B:B, RANDBETWEEN(2, COUNTA('Name pool'!B:B)))</f>
        <v>Swathi Banerjee</v>
      </c>
      <c r="C722" t="s">
        <v>85</v>
      </c>
      <c r="D722" t="str">
        <f t="shared" ca="1" si="126"/>
        <v>BR02</v>
      </c>
      <c r="E722" t="str">
        <f t="shared" ca="1" si="121"/>
        <v>Basic</v>
      </c>
      <c r="F722" s="2">
        <v>45042</v>
      </c>
      <c r="G722" s="2">
        <v>45072</v>
      </c>
      <c r="H722">
        <v>1000</v>
      </c>
      <c r="I722">
        <f t="shared" ca="1" si="122"/>
        <v>8000</v>
      </c>
      <c r="J722">
        <v>14</v>
      </c>
      <c r="K722" t="str">
        <f t="shared" ca="1" si="123"/>
        <v>No</v>
      </c>
      <c r="L722" t="str">
        <f t="shared" ca="1" si="124"/>
        <v>Weight Loss</v>
      </c>
      <c r="M722" t="str">
        <f t="shared" ca="1" si="125"/>
        <v>Active</v>
      </c>
      <c r="N722" s="2">
        <v>45919</v>
      </c>
      <c r="Q722" t="str">
        <f ca="1">IF(RAND()&lt;0.2,
    IF(RAND()&lt;0.5, LOWER(C722), UPPER(C722)),
    C722
)</f>
        <v>Calicut</v>
      </c>
      <c r="R722">
        <f t="shared" ca="1" si="128"/>
        <v>14</v>
      </c>
      <c r="S722">
        <f t="shared" ca="1" si="129"/>
        <v>1000</v>
      </c>
      <c r="T722">
        <f t="shared" ca="1" si="130"/>
        <v>45188</v>
      </c>
      <c r="U722" s="2">
        <f t="shared" ca="1" si="131"/>
        <v>45919</v>
      </c>
    </row>
    <row r="723" spans="1:21">
      <c r="A723" t="str">
        <f t="shared" si="127"/>
        <v>MEM0722</v>
      </c>
      <c r="B723" t="str">
        <f ca="1">INDEX('Name pool'!A:A, RANDBETWEEN(2, COUNTA('Name pool'!A:A))) &amp; " " &amp; INDEX('Name pool'!B:B, RANDBETWEEN(2, COUNTA('Name pool'!B:B)))</f>
        <v>Varun Patel</v>
      </c>
      <c r="C723" t="s">
        <v>75</v>
      </c>
      <c r="D723" t="str">
        <f t="shared" ca="1" si="126"/>
        <v>BR07</v>
      </c>
      <c r="E723" t="str">
        <f t="shared" ca="1" si="121"/>
        <v>Standard</v>
      </c>
      <c r="F723" s="2">
        <v>45310</v>
      </c>
      <c r="G723" s="2">
        <v>45340</v>
      </c>
      <c r="H723">
        <v>3500</v>
      </c>
      <c r="I723">
        <f t="shared" ca="1" si="122"/>
        <v>10500</v>
      </c>
      <c r="J723">
        <v>6</v>
      </c>
      <c r="K723" t="str">
        <f t="shared" ca="1" si="123"/>
        <v>Yes</v>
      </c>
      <c r="L723" t="str">
        <f t="shared" ca="1" si="124"/>
        <v>Weight Loss</v>
      </c>
      <c r="M723" t="str">
        <f t="shared" ca="1" si="125"/>
        <v>Active</v>
      </c>
      <c r="N723" s="2">
        <v>45632</v>
      </c>
      <c r="Q723" t="str">
        <f ca="1">IF(RAND()&lt;0.2,
    IF(RAND()&lt;0.5, LOWER(C723), UPPER(C723)),
    C723
)</f>
        <v>Bangalore</v>
      </c>
      <c r="R723">
        <f t="shared" ca="1" si="128"/>
        <v>6</v>
      </c>
      <c r="S723">
        <f t="shared" ca="1" si="129"/>
        <v>3500</v>
      </c>
      <c r="T723">
        <f t="shared" ca="1" si="130"/>
        <v>44992</v>
      </c>
      <c r="U723" s="2">
        <f t="shared" ca="1" si="131"/>
        <v>45632</v>
      </c>
    </row>
    <row r="724" spans="1:21">
      <c r="A724" t="str">
        <f t="shared" si="127"/>
        <v>MEM0723</v>
      </c>
      <c r="B724" t="str">
        <f ca="1">INDEX('Name pool'!A:A, RANDBETWEEN(2, COUNTA('Name pool'!A:A))) &amp; " " &amp; INDEX('Name pool'!B:B, RANDBETWEEN(2, COUNTA('Name pool'!B:B)))</f>
        <v>Fatima Nair</v>
      </c>
      <c r="C724" t="s">
        <v>73</v>
      </c>
      <c r="D724" t="str">
        <f t="shared" ca="1" si="126"/>
        <v>BR06</v>
      </c>
      <c r="E724" t="str">
        <f t="shared" ca="1" si="121"/>
        <v>Standard</v>
      </c>
      <c r="F724" s="2">
        <v>45575</v>
      </c>
      <c r="G724" s="2">
        <v>45665</v>
      </c>
      <c r="H724">
        <v>2000</v>
      </c>
      <c r="I724">
        <f t="shared" ca="1" si="122"/>
        <v>4000</v>
      </c>
      <c r="J724">
        <v>6</v>
      </c>
      <c r="K724" t="str">
        <f t="shared" ca="1" si="123"/>
        <v>Yes</v>
      </c>
      <c r="L724" t="str">
        <f t="shared" ca="1" si="124"/>
        <v>Weight Loss</v>
      </c>
      <c r="M724" t="str">
        <f t="shared" ca="1" si="125"/>
        <v>Active</v>
      </c>
      <c r="N724" s="2">
        <v>45744</v>
      </c>
      <c r="Q724" t="str">
        <f ca="1">IF(RAND()&lt;0.2,
    IF(RAND()&lt;0.5, LOWER(C724), UPPER(C724)),
    C724
)</f>
        <v>Kochi</v>
      </c>
      <c r="R724">
        <f t="shared" ca="1" si="128"/>
        <v>6</v>
      </c>
      <c r="S724" t="str">
        <f t="shared" ca="1" si="129"/>
        <v>2000</v>
      </c>
      <c r="T724">
        <f t="shared" ca="1" si="130"/>
        <v>45416</v>
      </c>
      <c r="U724" s="2">
        <f t="shared" ca="1" si="131"/>
        <v>45744</v>
      </c>
    </row>
    <row r="725" spans="1:21">
      <c r="A725" t="str">
        <f t="shared" si="127"/>
        <v>MEM0724</v>
      </c>
      <c r="B725" t="str">
        <f ca="1">INDEX('Name pool'!A:A, RANDBETWEEN(2, COUNTA('Name pool'!A:A))) &amp; " " &amp; INDEX('Name pool'!B:B, RANDBETWEEN(2, COUNTA('Name pool'!B:B)))</f>
        <v>Shreya Thomas</v>
      </c>
      <c r="C725" t="s">
        <v>77</v>
      </c>
      <c r="D725" t="str">
        <f t="shared" ca="1" si="126"/>
        <v>BR03</v>
      </c>
      <c r="E725" t="str">
        <f t="shared" ca="1" si="121"/>
        <v>Standard</v>
      </c>
      <c r="F725" s="2">
        <v>46045</v>
      </c>
      <c r="G725" s="2">
        <v>46410</v>
      </c>
      <c r="H725">
        <v>3500</v>
      </c>
      <c r="I725">
        <f t="shared" ca="1" si="122"/>
        <v>3500</v>
      </c>
      <c r="J725">
        <v>13</v>
      </c>
      <c r="K725" t="str">
        <f t="shared" ca="1" si="123"/>
        <v>Yes</v>
      </c>
      <c r="L725" t="str">
        <f t="shared" ca="1" si="124"/>
        <v>Muscle Gain</v>
      </c>
      <c r="M725" t="str">
        <f t="shared" ca="1" si="125"/>
        <v>Active</v>
      </c>
      <c r="N725" s="2">
        <v>46087</v>
      </c>
      <c r="Q725" t="str">
        <f ca="1">IF(RAND()&lt;0.2,
    IF(RAND()&lt;0.5, LOWER(C725), UPPER(C725)),
    C725
)</f>
        <v>Chennai</v>
      </c>
      <c r="R725">
        <f t="shared" ca="1" si="128"/>
        <v>13</v>
      </c>
      <c r="S725">
        <f t="shared" ca="1" si="129"/>
        <v>3500</v>
      </c>
      <c r="T725">
        <f t="shared" ca="1" si="130"/>
        <v>45866</v>
      </c>
      <c r="U725" s="2">
        <f t="shared" ca="1" si="131"/>
        <v>46087</v>
      </c>
    </row>
    <row r="726" spans="1:21">
      <c r="A726" t="str">
        <f t="shared" si="127"/>
        <v>MEM0725</v>
      </c>
      <c r="B726" t="str">
        <f ca="1">INDEX('Name pool'!A:A, RANDBETWEEN(2, COUNTA('Name pool'!A:A))) &amp; " " &amp; INDEX('Name pool'!B:B, RANDBETWEEN(2, COUNTA('Name pool'!B:B)))</f>
        <v>Swathi Verma</v>
      </c>
      <c r="C726" t="s">
        <v>75</v>
      </c>
      <c r="D726" t="str">
        <f t="shared" ca="1" si="126"/>
        <v>BR01</v>
      </c>
      <c r="E726" t="str">
        <f t="shared" ca="1" si="121"/>
        <v>Basic</v>
      </c>
      <c r="F726" s="2">
        <v>45927</v>
      </c>
      <c r="G726" s="2">
        <v>46017</v>
      </c>
      <c r="H726" t="s">
        <v>108</v>
      </c>
      <c r="I726">
        <f t="shared" ca="1" si="122"/>
        <v>5000</v>
      </c>
      <c r="J726">
        <v>24</v>
      </c>
      <c r="K726" t="str">
        <f t="shared" ca="1" si="123"/>
        <v>Yes</v>
      </c>
      <c r="L726" t="str">
        <f t="shared" ca="1" si="124"/>
        <v>General Fitness</v>
      </c>
      <c r="M726" t="str">
        <f t="shared" ca="1" si="125"/>
        <v>Active</v>
      </c>
      <c r="N726" s="2">
        <v>45972</v>
      </c>
      <c r="Q726" t="str">
        <f ca="1">IF(RAND()&lt;0.2,
    IF(RAND()&lt;0.5, LOWER(C726), UPPER(C726)),
    C726
)</f>
        <v>Bangalore</v>
      </c>
      <c r="R726">
        <f t="shared" ca="1" si="128"/>
        <v>24</v>
      </c>
      <c r="S726" t="str">
        <f t="shared" ca="1" si="129"/>
        <v>1000</v>
      </c>
      <c r="T726">
        <f t="shared" ca="1" si="130"/>
        <v>45253</v>
      </c>
      <c r="U726" s="2">
        <f t="shared" ca="1" si="131"/>
        <v>45972</v>
      </c>
    </row>
    <row r="727" spans="1:21">
      <c r="A727" t="str">
        <f t="shared" si="127"/>
        <v>MEM0726</v>
      </c>
      <c r="B727" t="str">
        <f ca="1">INDEX('Name pool'!A:A, RANDBETWEEN(2, COUNTA('Name pool'!A:A))) &amp; " " &amp; INDEX('Name pool'!B:B, RANDBETWEEN(2, COUNTA('Name pool'!B:B)))</f>
        <v>Anjali Bhat</v>
      </c>
      <c r="C727" t="s">
        <v>85</v>
      </c>
      <c r="D727" t="str">
        <f t="shared" ca="1" si="126"/>
        <v>BR05</v>
      </c>
      <c r="E727" t="str">
        <f t="shared" ca="1" si="121"/>
        <v>Basic</v>
      </c>
      <c r="F727" s="2">
        <v>45762</v>
      </c>
      <c r="G727" s="2">
        <v>45792</v>
      </c>
      <c r="H727" t="s">
        <v>108</v>
      </c>
      <c r="I727">
        <f t="shared" ca="1" si="122"/>
        <v>4000</v>
      </c>
      <c r="J727">
        <v>17</v>
      </c>
      <c r="K727" t="str">
        <f t="shared" ca="1" si="123"/>
        <v>No</v>
      </c>
      <c r="L727" t="str">
        <f t="shared" ca="1" si="124"/>
        <v>Muscle Gain</v>
      </c>
      <c r="M727" t="str">
        <f t="shared" ca="1" si="125"/>
        <v>Active</v>
      </c>
      <c r="N727" s="2">
        <v>45808</v>
      </c>
      <c r="Q727" t="str">
        <f ca="1">IF(RAND()&lt;0.2,
    IF(RAND()&lt;0.5, LOWER(C727), UPPER(C727)),
    C727
)</f>
        <v>Calicut</v>
      </c>
      <c r="R727">
        <f t="shared" ca="1" si="128"/>
        <v>17</v>
      </c>
      <c r="S727" t="str">
        <f t="shared" ca="1" si="129"/>
        <v>1000</v>
      </c>
      <c r="T727">
        <f t="shared" ca="1" si="130"/>
        <v>45774</v>
      </c>
      <c r="U727" s="2">
        <f t="shared" ca="1" si="131"/>
        <v>45808</v>
      </c>
    </row>
    <row r="728" spans="1:21">
      <c r="A728" t="str">
        <f t="shared" si="127"/>
        <v>MEM0727</v>
      </c>
      <c r="B728" t="str">
        <f ca="1">INDEX('Name pool'!A:A, RANDBETWEEN(2, COUNTA('Name pool'!A:A))) &amp; " " &amp; INDEX('Name pool'!B:B, RANDBETWEEN(2, COUNTA('Name pool'!B:B)))</f>
        <v>Tanvi Varghese</v>
      </c>
      <c r="C728" t="s">
        <v>85</v>
      </c>
      <c r="D728" t="str">
        <f t="shared" ca="1" si="126"/>
        <v>BR02</v>
      </c>
      <c r="E728" t="str">
        <f t="shared" ca="1" si="121"/>
        <v>Basic</v>
      </c>
      <c r="F728" s="2">
        <v>45120</v>
      </c>
      <c r="G728" s="2">
        <v>45150</v>
      </c>
      <c r="H728">
        <v>2000</v>
      </c>
      <c r="I728">
        <f t="shared" ca="1" si="122"/>
        <v>14000</v>
      </c>
      <c r="J728">
        <v>16</v>
      </c>
      <c r="K728" t="str">
        <f t="shared" ca="1" si="123"/>
        <v>No</v>
      </c>
      <c r="L728" t="str">
        <f t="shared" ca="1" si="124"/>
        <v>General Fitness</v>
      </c>
      <c r="M728" t="str">
        <f t="shared" ca="1" si="125"/>
        <v>Active</v>
      </c>
      <c r="N728" s="2">
        <v>46083</v>
      </c>
      <c r="Q728" t="str">
        <f ca="1">IF(RAND()&lt;0.2,
    IF(RAND()&lt;0.5, LOWER(C728), UPPER(C728)),
    C728
)</f>
        <v>Calicut</v>
      </c>
      <c r="R728">
        <f t="shared" ca="1" si="128"/>
        <v>16</v>
      </c>
      <c r="S728">
        <f t="shared" ca="1" si="129"/>
        <v>2000</v>
      </c>
      <c r="T728">
        <f t="shared" ca="1" si="130"/>
        <v>45214</v>
      </c>
      <c r="U728" s="2">
        <f t="shared" ca="1" si="131"/>
        <v>46083</v>
      </c>
    </row>
    <row r="729" spans="1:21">
      <c r="A729" t="str">
        <f t="shared" si="127"/>
        <v>MEM0728</v>
      </c>
      <c r="B729" t="str">
        <f ca="1">INDEX('Name pool'!A:A, RANDBETWEEN(2, COUNTA('Name pool'!A:A))) &amp; " " &amp; INDEX('Name pool'!B:B, RANDBETWEEN(2, COUNTA('Name pool'!B:B)))</f>
        <v>Ayesha Shetty</v>
      </c>
      <c r="C729" t="s">
        <v>114</v>
      </c>
      <c r="D729" t="str">
        <f t="shared" ca="1" si="126"/>
        <v>BR07</v>
      </c>
      <c r="E729" t="str">
        <f t="shared" ca="1" si="121"/>
        <v>Premium</v>
      </c>
      <c r="F729" s="2">
        <v>45928</v>
      </c>
      <c r="G729" s="2">
        <v>46018</v>
      </c>
      <c r="H729">
        <v>3500</v>
      </c>
      <c r="I729">
        <f t="shared" ca="1" si="122"/>
        <v>38500</v>
      </c>
      <c r="J729">
        <v>7</v>
      </c>
      <c r="K729" t="str">
        <f t="shared" ca="1" si="123"/>
        <v>Yes</v>
      </c>
      <c r="L729" t="str">
        <f t="shared" ca="1" si="124"/>
        <v>General Fitness</v>
      </c>
      <c r="M729" t="str">
        <f t="shared" ca="1" si="125"/>
        <v>Active</v>
      </c>
      <c r="N729" s="2">
        <v>46099</v>
      </c>
      <c r="Q729" t="str">
        <f ca="1">IF(RAND()&lt;0.2,
    IF(RAND()&lt;0.5, LOWER(C729), UPPER(C729)),
    C729
)</f>
        <v>TRIVANDRUM</v>
      </c>
      <c r="R729">
        <f t="shared" ca="1" si="128"/>
        <v>7</v>
      </c>
      <c r="S729">
        <f t="shared" ca="1" si="129"/>
        <v>3500</v>
      </c>
      <c r="T729">
        <f t="shared" ca="1" si="130"/>
        <v>45068</v>
      </c>
      <c r="U729" s="2">
        <f t="shared" ca="1" si="131"/>
        <v>46099</v>
      </c>
    </row>
    <row r="730" spans="1:21">
      <c r="A730" t="str">
        <f t="shared" si="127"/>
        <v>MEM0729</v>
      </c>
      <c r="B730" t="str">
        <f ca="1">INDEX('Name pool'!A:A, RANDBETWEEN(2, COUNTA('Name pool'!A:A))) &amp; " " &amp; INDEX('Name pool'!B:B, RANDBETWEEN(2, COUNTA('Name pool'!B:B)))</f>
        <v>Rohit Chatterjee</v>
      </c>
      <c r="C730" t="s">
        <v>107</v>
      </c>
      <c r="D730" t="str">
        <f t="shared" ca="1" si="126"/>
        <v>BR07</v>
      </c>
      <c r="E730" t="str">
        <f t="shared" ca="1" si="121"/>
        <v>Basic</v>
      </c>
      <c r="F730" s="2">
        <v>45419</v>
      </c>
      <c r="G730" s="2">
        <v>45509</v>
      </c>
      <c r="H730">
        <v>2000</v>
      </c>
      <c r="I730">
        <f t="shared" ca="1" si="122"/>
        <v>4000</v>
      </c>
      <c r="J730">
        <v>18</v>
      </c>
      <c r="K730" t="str">
        <f t="shared" ca="1" si="123"/>
        <v>No</v>
      </c>
      <c r="L730" t="str">
        <f t="shared" ca="1" si="124"/>
        <v>Muscle Gain</v>
      </c>
      <c r="M730" t="str">
        <f t="shared" ca="1" si="125"/>
        <v>Active</v>
      </c>
      <c r="N730" s="2">
        <v>45759</v>
      </c>
      <c r="Q730" t="str">
        <f ca="1">IF(RAND()&lt;0.2,
    IF(RAND()&lt;0.5, LOWER(C730), UPPER(C730)),
    C730
)</f>
        <v>TRIVANDRUM</v>
      </c>
      <c r="R730">
        <f t="shared" ca="1" si="128"/>
        <v>18</v>
      </c>
      <c r="S730">
        <f t="shared" ca="1" si="129"/>
        <v>2000</v>
      </c>
      <c r="T730">
        <f t="shared" ca="1" si="130"/>
        <v>45159</v>
      </c>
      <c r="U730" s="2">
        <f t="shared" ca="1" si="131"/>
        <v>45759</v>
      </c>
    </row>
    <row r="731" spans="1:21">
      <c r="A731" t="str">
        <f t="shared" si="127"/>
        <v>MEM0730</v>
      </c>
      <c r="B731" t="str">
        <f ca="1">INDEX('Name pool'!A:A, RANDBETWEEN(2, COUNTA('Name pool'!A:A))) &amp; " " &amp; INDEX('Name pool'!B:B, RANDBETWEEN(2, COUNTA('Name pool'!B:B)))</f>
        <v>Divya Shetty</v>
      </c>
      <c r="C731" t="s">
        <v>73</v>
      </c>
      <c r="D731" t="str">
        <f t="shared" ca="1" si="126"/>
        <v>BR01</v>
      </c>
      <c r="E731" t="str">
        <f t="shared" ca="1" si="121"/>
        <v>Basic</v>
      </c>
      <c r="F731" s="2">
        <v>45680</v>
      </c>
      <c r="G731" s="2">
        <v>46045</v>
      </c>
      <c r="H731">
        <v>1000</v>
      </c>
      <c r="I731">
        <f t="shared" ca="1" si="122"/>
        <v>7000</v>
      </c>
      <c r="J731">
        <v>25</v>
      </c>
      <c r="K731" t="str">
        <f t="shared" ca="1" si="123"/>
        <v>Yes</v>
      </c>
      <c r="L731" t="str">
        <f t="shared" ca="1" si="124"/>
        <v>General Fitness</v>
      </c>
      <c r="M731" t="str">
        <f t="shared" ca="1" si="125"/>
        <v>Active</v>
      </c>
      <c r="N731" s="2">
        <v>45926</v>
      </c>
      <c r="Q731" t="str">
        <f ca="1">IF(RAND()&lt;0.2,
    IF(RAND()&lt;0.5, LOWER(C731), UPPER(C731)),
    C731
)</f>
        <v>KOCHI</v>
      </c>
      <c r="R731">
        <f t="shared" ca="1" si="128"/>
        <v>25</v>
      </c>
      <c r="S731">
        <f t="shared" ca="1" si="129"/>
        <v>1000</v>
      </c>
      <c r="T731">
        <f t="shared" ca="1" si="130"/>
        <v>45817</v>
      </c>
      <c r="U731" s="2">
        <f t="shared" ca="1" si="131"/>
        <v>45926</v>
      </c>
    </row>
    <row r="732" spans="1:21">
      <c r="A732" t="str">
        <f t="shared" si="127"/>
        <v>MEM0731</v>
      </c>
      <c r="B732" t="str">
        <f ca="1">INDEX('Name pool'!A:A, RANDBETWEEN(2, COUNTA('Name pool'!A:A))) &amp; " " &amp; INDEX('Name pool'!B:B, RANDBETWEEN(2, COUNTA('Name pool'!B:B)))</f>
        <v>Akash Patel</v>
      </c>
      <c r="C732" t="s">
        <v>112</v>
      </c>
      <c r="D732" t="str">
        <f t="shared" ca="1" si="126"/>
        <v>BR06</v>
      </c>
      <c r="E732" t="str">
        <f t="shared" ca="1" si="121"/>
        <v>Standard</v>
      </c>
      <c r="F732" s="2">
        <v>45271</v>
      </c>
      <c r="G732" s="2">
        <v>45636</v>
      </c>
      <c r="H732">
        <v>2000</v>
      </c>
      <c r="I732">
        <f t="shared" ca="1" si="122"/>
        <v>10000</v>
      </c>
      <c r="J732">
        <v>3</v>
      </c>
      <c r="K732" t="str">
        <f t="shared" ca="1" si="123"/>
        <v>Yes</v>
      </c>
      <c r="L732" t="str">
        <f t="shared" ca="1" si="124"/>
        <v>Muscle Gain</v>
      </c>
      <c r="M732" t="str">
        <f t="shared" ca="1" si="125"/>
        <v>Cancelled</v>
      </c>
      <c r="N732" s="2">
        <v>45350</v>
      </c>
      <c r="Q732" t="str">
        <f ca="1">IF(RAND()&lt;0.2,
    IF(RAND()&lt;0.5, LOWER(C732), UPPER(C732)),
    C732
)</f>
        <v>HYDERABAD</v>
      </c>
      <c r="R732">
        <f t="shared" ca="1" si="128"/>
        <v>3</v>
      </c>
      <c r="S732" t="str">
        <f t="shared" ca="1" si="129"/>
        <v>2000</v>
      </c>
      <c r="T732">
        <f t="shared" ca="1" si="130"/>
        <v>44984</v>
      </c>
      <c r="U732" s="2">
        <f t="shared" ca="1" si="131"/>
        <v>45350</v>
      </c>
    </row>
    <row r="733" spans="1:21">
      <c r="A733" t="str">
        <f t="shared" si="127"/>
        <v>MEM0732</v>
      </c>
      <c r="B733" t="str">
        <f ca="1">INDEX('Name pool'!A:A, RANDBETWEEN(2, COUNTA('Name pool'!A:A))) &amp; " " &amp; INDEX('Name pool'!B:B, RANDBETWEEN(2, COUNTA('Name pool'!B:B)))</f>
        <v>Anjali Nambiar</v>
      </c>
      <c r="C733" t="s">
        <v>83</v>
      </c>
      <c r="D733" t="str">
        <f t="shared" ca="1" si="126"/>
        <v>BR05</v>
      </c>
      <c r="E733" t="str">
        <f t="shared" ca="1" si="121"/>
        <v>Basic</v>
      </c>
      <c r="F733" s="2">
        <v>46040</v>
      </c>
      <c r="G733" s="2">
        <v>46070</v>
      </c>
      <c r="H733">
        <v>3500</v>
      </c>
      <c r="I733">
        <f t="shared" ca="1" si="122"/>
        <v>17500</v>
      </c>
      <c r="J733" t="s">
        <v>141</v>
      </c>
      <c r="K733" t="str">
        <f t="shared" ca="1" si="123"/>
        <v>No</v>
      </c>
      <c r="L733" t="str">
        <f t="shared" ca="1" si="124"/>
        <v>General Fitness</v>
      </c>
      <c r="M733" t="str">
        <f t="shared" ca="1" si="125"/>
        <v>Active</v>
      </c>
      <c r="N733" s="2">
        <v>46096</v>
      </c>
      <c r="Q733" t="str">
        <f ca="1">IF(RAND()&lt;0.2,
    IF(RAND()&lt;0.5, LOWER(C733), UPPER(C733)),
    C733
)</f>
        <v>Trivandrum</v>
      </c>
      <c r="R733" t="str">
        <f t="shared" ca="1" si="128"/>
        <v>7 visits</v>
      </c>
      <c r="S733">
        <f t="shared" ca="1" si="129"/>
        <v>3500</v>
      </c>
      <c r="T733">
        <f t="shared" ca="1" si="130"/>
        <v>45278</v>
      </c>
      <c r="U733" s="2">
        <f t="shared" ca="1" si="131"/>
        <v>46096</v>
      </c>
    </row>
    <row r="734" spans="1:21">
      <c r="A734" t="str">
        <f t="shared" si="127"/>
        <v>MEM0733</v>
      </c>
      <c r="B734" t="str">
        <f ca="1">INDEX('Name pool'!A:A, RANDBETWEEN(2, COUNTA('Name pool'!A:A))) &amp; " " &amp; INDEX('Name pool'!B:B, RANDBETWEEN(2, COUNTA('Name pool'!B:B)))</f>
        <v>Kavya George</v>
      </c>
      <c r="C734" t="s">
        <v>85</v>
      </c>
      <c r="D734" t="str">
        <f t="shared" ca="1" si="126"/>
        <v>BR03</v>
      </c>
      <c r="E734" t="str">
        <f t="shared" ca="1" si="121"/>
        <v>Premium</v>
      </c>
      <c r="F734" s="2">
        <v>45819</v>
      </c>
      <c r="G734" s="2">
        <v>45909</v>
      </c>
      <c r="H734">
        <v>1000</v>
      </c>
      <c r="I734">
        <f t="shared" ca="1" si="122"/>
        <v>1000</v>
      </c>
      <c r="J734">
        <v>14</v>
      </c>
      <c r="K734" t="str">
        <f t="shared" ca="1" si="123"/>
        <v>Yes</v>
      </c>
      <c r="L734" t="str">
        <f t="shared" ca="1" si="124"/>
        <v>Muscle Gain</v>
      </c>
      <c r="M734" t="str">
        <f t="shared" ca="1" si="125"/>
        <v>Active</v>
      </c>
      <c r="N734" s="2">
        <v>46006</v>
      </c>
      <c r="Q734" t="str">
        <f ca="1">IF(RAND()&lt;0.2,
    IF(RAND()&lt;0.5, LOWER(C734), UPPER(C734)),
    C734
)</f>
        <v>Calicut</v>
      </c>
      <c r="R734">
        <f t="shared" ca="1" si="128"/>
        <v>14</v>
      </c>
      <c r="S734">
        <f t="shared" ca="1" si="129"/>
        <v>1000</v>
      </c>
      <c r="T734">
        <f t="shared" ca="1" si="130"/>
        <v>45826</v>
      </c>
      <c r="U734" s="2">
        <f t="shared" ca="1" si="131"/>
        <v>46006</v>
      </c>
    </row>
    <row r="735" spans="1:21">
      <c r="A735" t="str">
        <f t="shared" si="127"/>
        <v>MEM0734</v>
      </c>
      <c r="B735" t="str">
        <f ca="1">INDEX('Name pool'!A:A, RANDBETWEEN(2, COUNTA('Name pool'!A:A))) &amp; " " &amp; INDEX('Name pool'!B:B, RANDBETWEEN(2, COUNTA('Name pool'!B:B)))</f>
        <v>Ayesha Lewis</v>
      </c>
      <c r="C735" t="s">
        <v>75</v>
      </c>
      <c r="D735" t="str">
        <f t="shared" ca="1" si="126"/>
        <v>BR07</v>
      </c>
      <c r="E735" t="str">
        <f t="shared" ca="1" si="121"/>
        <v>Basic</v>
      </c>
      <c r="F735" s="2">
        <v>45615</v>
      </c>
      <c r="G735" s="2">
        <v>45705</v>
      </c>
      <c r="H735">
        <v>3500</v>
      </c>
      <c r="I735">
        <f t="shared" ca="1" si="122"/>
        <v>35000</v>
      </c>
      <c r="J735">
        <v>17</v>
      </c>
      <c r="K735" t="str">
        <f t="shared" ca="1" si="123"/>
        <v>No</v>
      </c>
      <c r="L735" t="str">
        <f t="shared" ca="1" si="124"/>
        <v>Weight Loss</v>
      </c>
      <c r="M735" t="str">
        <f t="shared" ca="1" si="125"/>
        <v>Active</v>
      </c>
      <c r="N735" s="2">
        <v>46120</v>
      </c>
      <c r="Q735" t="str">
        <f ca="1">IF(RAND()&lt;0.2,
    IF(RAND()&lt;0.5, LOWER(C735), UPPER(C735)),
    C735
)</f>
        <v>bangalore</v>
      </c>
      <c r="R735">
        <f t="shared" ca="1" si="128"/>
        <v>17</v>
      </c>
      <c r="S735">
        <f t="shared" ca="1" si="129"/>
        <v>3500</v>
      </c>
      <c r="T735">
        <f t="shared" ca="1" si="130"/>
        <v>45835</v>
      </c>
      <c r="U735" s="2">
        <f t="shared" ca="1" si="131"/>
        <v>46120</v>
      </c>
    </row>
    <row r="736" spans="1:21">
      <c r="A736" t="str">
        <f t="shared" si="127"/>
        <v>MEM0735</v>
      </c>
      <c r="B736" t="str">
        <f ca="1">INDEX('Name pool'!A:A, RANDBETWEEN(2, COUNTA('Name pool'!A:A))) &amp; " " &amp; INDEX('Name pool'!B:B, RANDBETWEEN(2, COUNTA('Name pool'!B:B)))</f>
        <v>Meera Reddy</v>
      </c>
      <c r="C736" t="s">
        <v>137</v>
      </c>
      <c r="D736" t="str">
        <f t="shared" ca="1" si="126"/>
        <v>BR04</v>
      </c>
      <c r="E736" t="str">
        <f t="shared" ca="1" si="121"/>
        <v>Premium</v>
      </c>
      <c r="F736" s="2">
        <v>45993</v>
      </c>
      <c r="G736" s="2">
        <v>46083</v>
      </c>
      <c r="H736">
        <v>1000</v>
      </c>
      <c r="I736">
        <f t="shared" ca="1" si="122"/>
        <v>11000</v>
      </c>
      <c r="J736" t="s">
        <v>140</v>
      </c>
      <c r="K736" t="str">
        <f t="shared" ca="1" si="123"/>
        <v>Yes</v>
      </c>
      <c r="L736" t="str">
        <f t="shared" ca="1" si="124"/>
        <v>Muscle Gain</v>
      </c>
      <c r="M736" t="str">
        <f t="shared" ca="1" si="125"/>
        <v>Active</v>
      </c>
      <c r="N736" s="2">
        <v>46068</v>
      </c>
      <c r="Q736" t="str">
        <f ca="1">IF(RAND()&lt;0.2,
    IF(RAND()&lt;0.5, LOWER(C736), UPPER(C736)),
    C736
)</f>
        <v>CALICUT</v>
      </c>
      <c r="R736" t="str">
        <f t="shared" ca="1" si="128"/>
        <v>18 visits</v>
      </c>
      <c r="S736">
        <f t="shared" ca="1" si="129"/>
        <v>1000</v>
      </c>
      <c r="T736">
        <f t="shared" ca="1" si="130"/>
        <v>45536</v>
      </c>
      <c r="U736" s="2">
        <f t="shared" ca="1" si="131"/>
        <v>46068</v>
      </c>
    </row>
    <row r="737" spans="1:21">
      <c r="A737" t="str">
        <f t="shared" si="127"/>
        <v>MEM0736</v>
      </c>
      <c r="B737" t="str">
        <f ca="1">INDEX('Name pool'!A:A, RANDBETWEEN(2, COUNTA('Name pool'!A:A))) &amp; " " &amp; INDEX('Name pool'!B:B, RANDBETWEEN(2, COUNTA('Name pool'!B:B)))</f>
        <v>Kavya Das</v>
      </c>
      <c r="C737" t="s">
        <v>81</v>
      </c>
      <c r="D737" t="str">
        <f t="shared" ca="1" si="126"/>
        <v>BR06</v>
      </c>
      <c r="E737" t="str">
        <f t="shared" ca="1" si="121"/>
        <v>Basic</v>
      </c>
      <c r="F737" s="2">
        <v>45545</v>
      </c>
      <c r="G737" s="2">
        <v>45635</v>
      </c>
      <c r="H737">
        <v>2000</v>
      </c>
      <c r="I737">
        <f t="shared" ca="1" si="122"/>
        <v>10000</v>
      </c>
      <c r="J737" t="s">
        <v>130</v>
      </c>
      <c r="K737" t="str">
        <f t="shared" ca="1" si="123"/>
        <v>No</v>
      </c>
      <c r="L737" t="str">
        <f t="shared" ca="1" si="124"/>
        <v>Muscle Gain</v>
      </c>
      <c r="M737" t="str">
        <f t="shared" ca="1" si="125"/>
        <v>Active</v>
      </c>
      <c r="N737" s="2">
        <v>45843</v>
      </c>
      <c r="Q737" t="str">
        <f ca="1">IF(RAND()&lt;0.2,
    IF(RAND()&lt;0.5, LOWER(C737), UPPER(C737)),
    C737
)</f>
        <v>Mumbai</v>
      </c>
      <c r="R737" t="str">
        <f t="shared" ca="1" si="128"/>
        <v>6 visits</v>
      </c>
      <c r="S737">
        <f t="shared" ca="1" si="129"/>
        <v>2000</v>
      </c>
      <c r="T737">
        <f t="shared" ca="1" si="130"/>
        <v>45890</v>
      </c>
      <c r="U737" s="2">
        <f t="shared" ca="1" si="131"/>
        <v>45843</v>
      </c>
    </row>
    <row r="738" spans="1:21">
      <c r="A738" t="str">
        <f t="shared" si="127"/>
        <v>MEM0737</v>
      </c>
      <c r="B738" t="str">
        <f ca="1">INDEX('Name pool'!A:A, RANDBETWEEN(2, COUNTA('Name pool'!A:A))) &amp; " " &amp; INDEX('Name pool'!B:B, RANDBETWEEN(2, COUNTA('Name pool'!B:B)))</f>
        <v>Divya Joseph</v>
      </c>
      <c r="C738" t="s">
        <v>119</v>
      </c>
      <c r="D738" t="str">
        <f t="shared" ca="1" si="126"/>
        <v>BR05</v>
      </c>
      <c r="E738" t="str">
        <f t="shared" ref="E738:E800" ca="1" si="132">CHOOSE(RANDBETWEEN(1,3),"Basic","Standard","Premium")</f>
        <v>Premium</v>
      </c>
      <c r="F738" s="2">
        <v>45976</v>
      </c>
      <c r="G738" s="2">
        <v>46066</v>
      </c>
      <c r="H738">
        <v>2000</v>
      </c>
      <c r="I738">
        <f t="shared" ref="I738:I801" ca="1" si="133">H738 * RANDBETWEEN(1,12)</f>
        <v>14000</v>
      </c>
      <c r="J738">
        <v>15</v>
      </c>
      <c r="K738" t="str">
        <f t="shared" ref="K738:K800" ca="1" si="134">CHOOSE(RANDBETWEEN(1,2),"Yes","No")</f>
        <v>No</v>
      </c>
      <c r="L738" t="str">
        <f t="shared" ref="L738:L800" ca="1" si="135">CHOOSE(RANDBETWEEN(1,3),"Weight Loss","Muscle Gain","General Fitness")</f>
        <v>General Fitness</v>
      </c>
      <c r="M738" t="str">
        <f t="shared" ref="M738:M800" ca="1" si="136">IF(J738&lt;5,IF(RANDBETWEEN(1,100)&lt;70,"Cancelled","Active"),"Active")</f>
        <v>Active</v>
      </c>
      <c r="N738" s="2">
        <v>46107</v>
      </c>
      <c r="Q738" t="str">
        <f ca="1">IF(RAND()&lt;0.2,
    IF(RAND()&lt;0.5, LOWER(C738), UPPER(C738)),
    C738
)</f>
        <v>bangalore</v>
      </c>
      <c r="R738" t="str">
        <f t="shared" ca="1" si="128"/>
        <v>15 visits</v>
      </c>
      <c r="S738">
        <f t="shared" ca="1" si="129"/>
        <v>2000</v>
      </c>
      <c r="T738">
        <f t="shared" ca="1" si="130"/>
        <v>45330</v>
      </c>
      <c r="U738" s="2">
        <f t="shared" ca="1" si="131"/>
        <v>46107</v>
      </c>
    </row>
    <row r="739" spans="1:21">
      <c r="A739" t="str">
        <f t="shared" si="127"/>
        <v>MEM0738</v>
      </c>
      <c r="B739" t="str">
        <f ca="1">INDEX('Name pool'!A:A, RANDBETWEEN(2, COUNTA('Name pool'!A:A))) &amp; " " &amp; INDEX('Name pool'!B:B, RANDBETWEEN(2, COUNTA('Name pool'!B:B)))</f>
        <v>Rahul Singh</v>
      </c>
      <c r="C739" t="s">
        <v>83</v>
      </c>
      <c r="D739" t="str">
        <f t="shared" ca="1" si="126"/>
        <v>BR02</v>
      </c>
      <c r="E739" t="str">
        <f t="shared" ca="1" si="132"/>
        <v>Basic</v>
      </c>
      <c r="F739" s="2">
        <v>45670</v>
      </c>
      <c r="G739" s="2">
        <v>45700</v>
      </c>
      <c r="H739" t="s">
        <v>108</v>
      </c>
      <c r="I739">
        <f t="shared" ca="1" si="133"/>
        <v>11000</v>
      </c>
      <c r="J739">
        <v>22</v>
      </c>
      <c r="K739" t="str">
        <f t="shared" ca="1" si="134"/>
        <v>Yes</v>
      </c>
      <c r="L739" t="str">
        <f t="shared" ca="1" si="135"/>
        <v>Muscle Gain</v>
      </c>
      <c r="M739" t="str">
        <f t="shared" ca="1" si="136"/>
        <v>Active</v>
      </c>
      <c r="N739" s="2">
        <v>45772</v>
      </c>
      <c r="Q739" t="str">
        <f ca="1">IF(RAND()&lt;0.2,
    IF(RAND()&lt;0.5, LOWER(C739), UPPER(C739)),
    C739
)</f>
        <v>Trivandrum</v>
      </c>
      <c r="R739" t="str">
        <f t="shared" ca="1" si="128"/>
        <v>22 visits</v>
      </c>
      <c r="S739" t="str">
        <f t="shared" ca="1" si="129"/>
        <v>1000</v>
      </c>
      <c r="T739">
        <f t="shared" ca="1" si="130"/>
        <v>45528</v>
      </c>
      <c r="U739" s="2">
        <f t="shared" ca="1" si="131"/>
        <v>45772</v>
      </c>
    </row>
    <row r="740" spans="1:21">
      <c r="A740" t="str">
        <f t="shared" si="127"/>
        <v>MEM0739</v>
      </c>
      <c r="B740" t="str">
        <f ca="1">INDEX('Name pool'!A:A, RANDBETWEEN(2, COUNTA('Name pool'!A:A))) &amp; " " &amp; INDEX('Name pool'!B:B, RANDBETWEEN(2, COUNTA('Name pool'!B:B)))</f>
        <v>Lakshmi Pillai</v>
      </c>
      <c r="C740" t="s">
        <v>77</v>
      </c>
      <c r="D740" t="str">
        <f t="shared" ca="1" si="126"/>
        <v>BR01</v>
      </c>
      <c r="E740" t="str">
        <f t="shared" ca="1" si="132"/>
        <v>Standard</v>
      </c>
      <c r="F740" s="2">
        <v>45559</v>
      </c>
      <c r="G740" s="2">
        <v>45589</v>
      </c>
      <c r="H740">
        <v>3500</v>
      </c>
      <c r="I740">
        <f t="shared" ca="1" si="133"/>
        <v>21000</v>
      </c>
      <c r="J740">
        <v>15</v>
      </c>
      <c r="K740" t="str">
        <f t="shared" ca="1" si="134"/>
        <v>No</v>
      </c>
      <c r="L740" t="str">
        <f t="shared" ca="1" si="135"/>
        <v>General Fitness</v>
      </c>
      <c r="M740" t="str">
        <f t="shared" ca="1" si="136"/>
        <v>Active</v>
      </c>
      <c r="N740" s="2">
        <v>45902</v>
      </c>
      <c r="Q740" t="str">
        <f ca="1">IF(RAND()&lt;0.2,
    IF(RAND()&lt;0.5, LOWER(C740), UPPER(C740)),
    C740
)</f>
        <v>Chennai</v>
      </c>
      <c r="R740">
        <f t="shared" ca="1" si="128"/>
        <v>15</v>
      </c>
      <c r="S740">
        <f t="shared" ca="1" si="129"/>
        <v>3500</v>
      </c>
      <c r="T740">
        <f t="shared" ca="1" si="130"/>
        <v>46052</v>
      </c>
      <c r="U740" s="2">
        <f t="shared" ca="1" si="131"/>
        <v>45902</v>
      </c>
    </row>
    <row r="741" spans="1:21">
      <c r="A741" t="str">
        <f t="shared" si="127"/>
        <v>MEM0740</v>
      </c>
      <c r="B741" t="str">
        <f ca="1">INDEX('Name pool'!A:A, RANDBETWEEN(2, COUNTA('Name pool'!A:A))) &amp; " " &amp; INDEX('Name pool'!B:B, RANDBETWEEN(2, COUNTA('Name pool'!B:B)))</f>
        <v>Arjun Shetty</v>
      </c>
      <c r="C741" t="s">
        <v>75</v>
      </c>
      <c r="D741" t="str">
        <f t="shared" ca="1" si="126"/>
        <v>BR02</v>
      </c>
      <c r="E741" t="str">
        <f t="shared" ca="1" si="132"/>
        <v>Premium</v>
      </c>
      <c r="F741" s="2">
        <v>45012</v>
      </c>
      <c r="G741" s="2">
        <v>45042</v>
      </c>
      <c r="H741">
        <v>1000</v>
      </c>
      <c r="I741">
        <f t="shared" ca="1" si="133"/>
        <v>5000</v>
      </c>
      <c r="J741">
        <v>9</v>
      </c>
      <c r="K741" t="str">
        <f t="shared" ca="1" si="134"/>
        <v>No</v>
      </c>
      <c r="L741" t="str">
        <f t="shared" ca="1" si="135"/>
        <v>Muscle Gain</v>
      </c>
      <c r="M741" t="str">
        <f t="shared" ca="1" si="136"/>
        <v>Active</v>
      </c>
      <c r="N741" s="2">
        <v>45019</v>
      </c>
      <c r="Q741" t="str">
        <f ca="1">IF(RAND()&lt;0.2,
    IF(RAND()&lt;0.5, LOWER(C741), UPPER(C741)),
    C741
)</f>
        <v>BANGALORE</v>
      </c>
      <c r="R741">
        <f t="shared" ca="1" si="128"/>
        <v>9</v>
      </c>
      <c r="S741">
        <f t="shared" ca="1" si="129"/>
        <v>1000</v>
      </c>
      <c r="T741">
        <f t="shared" ca="1" si="130"/>
        <v>45164</v>
      </c>
      <c r="U741" s="2">
        <f t="shared" ca="1" si="131"/>
        <v>45019</v>
      </c>
    </row>
    <row r="742" spans="1:21">
      <c r="A742" t="str">
        <f t="shared" si="127"/>
        <v>MEM0741</v>
      </c>
      <c r="B742" t="str">
        <f ca="1">INDEX('Name pool'!A:A, RANDBETWEEN(2, COUNTA('Name pool'!A:A))) &amp; " " &amp; INDEX('Name pool'!B:B, RANDBETWEEN(2, COUNTA('Name pool'!B:B)))</f>
        <v>Ankit Singh</v>
      </c>
      <c r="C742" t="s">
        <v>77</v>
      </c>
      <c r="D742" t="str">
        <f t="shared" ca="1" si="126"/>
        <v>BR03</v>
      </c>
      <c r="E742" t="str">
        <f t="shared" ca="1" si="132"/>
        <v>Basic</v>
      </c>
      <c r="F742" s="2">
        <v>45773</v>
      </c>
      <c r="G742" s="2">
        <v>46138</v>
      </c>
      <c r="H742">
        <v>2000</v>
      </c>
      <c r="I742">
        <f t="shared" ca="1" si="133"/>
        <v>22000</v>
      </c>
      <c r="J742">
        <v>22</v>
      </c>
      <c r="K742" t="str">
        <f t="shared" ca="1" si="134"/>
        <v>Yes</v>
      </c>
      <c r="L742" t="str">
        <f t="shared" ca="1" si="135"/>
        <v>Muscle Gain</v>
      </c>
      <c r="M742" t="str">
        <f t="shared" ca="1" si="136"/>
        <v>Active</v>
      </c>
      <c r="N742" s="2">
        <v>45998</v>
      </c>
      <c r="Q742" t="str">
        <f ca="1">IF(RAND()&lt;0.2,
    IF(RAND()&lt;0.5, LOWER(C742), UPPER(C742)),
    C742
)</f>
        <v>Chennai</v>
      </c>
      <c r="R742">
        <f t="shared" ca="1" si="128"/>
        <v>22</v>
      </c>
      <c r="S742">
        <f t="shared" ca="1" si="129"/>
        <v>2000</v>
      </c>
      <c r="T742">
        <f t="shared" ca="1" si="130"/>
        <v>44994</v>
      </c>
      <c r="U742" s="2">
        <f t="shared" ca="1" si="131"/>
        <v>45998</v>
      </c>
    </row>
    <row r="743" spans="1:21">
      <c r="A743" t="str">
        <f t="shared" si="127"/>
        <v>MEM0742</v>
      </c>
      <c r="B743" t="str">
        <f ca="1">INDEX('Name pool'!A:A, RANDBETWEEN(2, COUNTA('Name pool'!A:A))) &amp; " " &amp; INDEX('Name pool'!B:B, RANDBETWEEN(2, COUNTA('Name pool'!B:B)))</f>
        <v>Sanjay Fernandes</v>
      </c>
      <c r="C743" t="s">
        <v>81</v>
      </c>
      <c r="D743" t="str">
        <f t="shared" ca="1" si="126"/>
        <v>BR02</v>
      </c>
      <c r="E743" t="str">
        <f t="shared" ca="1" si="132"/>
        <v>Standard</v>
      </c>
      <c r="F743" s="2">
        <v>45656</v>
      </c>
      <c r="G743" s="2">
        <v>45746</v>
      </c>
      <c r="H743">
        <v>3500</v>
      </c>
      <c r="I743">
        <f t="shared" ca="1" si="133"/>
        <v>10500</v>
      </c>
      <c r="J743" t="s">
        <v>147</v>
      </c>
      <c r="K743" t="str">
        <f t="shared" ca="1" si="134"/>
        <v>No</v>
      </c>
      <c r="L743" t="str">
        <f t="shared" ca="1" si="135"/>
        <v>General Fitness</v>
      </c>
      <c r="M743" t="str">
        <f t="shared" ca="1" si="136"/>
        <v>Active</v>
      </c>
      <c r="N743" s="2">
        <v>45881</v>
      </c>
      <c r="Q743" t="str">
        <f ca="1">IF(RAND()&lt;0.2,
    IF(RAND()&lt;0.5, LOWER(C743), UPPER(C743)),
    C743
)</f>
        <v>Mumbai</v>
      </c>
      <c r="R743" t="str">
        <f t="shared" ca="1" si="128"/>
        <v>10 visits visits</v>
      </c>
      <c r="S743">
        <f t="shared" ca="1" si="129"/>
        <v>3500</v>
      </c>
      <c r="T743">
        <f t="shared" ca="1" si="130"/>
        <v>45265</v>
      </c>
      <c r="U743" s="2">
        <f t="shared" ca="1" si="131"/>
        <v>45881</v>
      </c>
    </row>
    <row r="744" spans="1:21">
      <c r="A744" t="str">
        <f t="shared" si="127"/>
        <v>MEM0743</v>
      </c>
      <c r="B744" t="str">
        <f ca="1">INDEX('Name pool'!A:A, RANDBETWEEN(2, COUNTA('Name pool'!A:A))) &amp; " " &amp; INDEX('Name pool'!B:B, RANDBETWEEN(2, COUNTA('Name pool'!B:B)))</f>
        <v>Siddharth Bhat</v>
      </c>
      <c r="C744" t="s">
        <v>75</v>
      </c>
      <c r="D744" t="str">
        <f t="shared" ca="1" si="126"/>
        <v>BR04</v>
      </c>
      <c r="E744" t="str">
        <f t="shared" ca="1" si="132"/>
        <v>Basic</v>
      </c>
      <c r="F744" s="2">
        <v>45065</v>
      </c>
      <c r="G744" s="2">
        <v>45155</v>
      </c>
      <c r="H744">
        <v>3500</v>
      </c>
      <c r="I744">
        <f t="shared" ca="1" si="133"/>
        <v>38500</v>
      </c>
      <c r="J744">
        <v>20</v>
      </c>
      <c r="K744" t="str">
        <f t="shared" ca="1" si="134"/>
        <v>No</v>
      </c>
      <c r="L744" t="str">
        <f t="shared" ca="1" si="135"/>
        <v>Muscle Gain</v>
      </c>
      <c r="M744" t="str">
        <f t="shared" ca="1" si="136"/>
        <v>Active</v>
      </c>
      <c r="N744" s="2">
        <v>45312</v>
      </c>
      <c r="Q744" t="str">
        <f ca="1">IF(RAND()&lt;0.2,
    IF(RAND()&lt;0.5, LOWER(C744), UPPER(C744)),
    C744
)</f>
        <v>Bangalore</v>
      </c>
      <c r="R744" t="str">
        <f t="shared" ca="1" si="128"/>
        <v>20 visits</v>
      </c>
      <c r="S744">
        <f t="shared" ca="1" si="129"/>
        <v>3500</v>
      </c>
      <c r="T744">
        <f t="shared" ca="1" si="130"/>
        <v>45445</v>
      </c>
      <c r="U744" s="2">
        <f t="shared" ca="1" si="131"/>
        <v>45312</v>
      </c>
    </row>
    <row r="745" spans="1:21">
      <c r="A745" t="str">
        <f t="shared" si="127"/>
        <v>MEM0744</v>
      </c>
      <c r="B745" t="str">
        <f ca="1">INDEX('Name pool'!A:A, RANDBETWEEN(2, COUNTA('Name pool'!A:A))) &amp; " " &amp; INDEX('Name pool'!B:B, RANDBETWEEN(2, COUNTA('Name pool'!B:B)))</f>
        <v>Swathi Patel</v>
      </c>
      <c r="C745" t="s">
        <v>131</v>
      </c>
      <c r="D745" t="str">
        <f t="shared" ca="1" si="126"/>
        <v>BR02</v>
      </c>
      <c r="E745" t="str">
        <f t="shared" ca="1" si="132"/>
        <v>Premium</v>
      </c>
      <c r="F745" s="2">
        <v>45369</v>
      </c>
      <c r="G745" s="2">
        <v>45734</v>
      </c>
      <c r="H745" t="s">
        <v>105</v>
      </c>
      <c r="I745">
        <f t="shared" ca="1" si="133"/>
        <v>24500</v>
      </c>
      <c r="J745">
        <v>16</v>
      </c>
      <c r="K745" t="str">
        <f t="shared" ca="1" si="134"/>
        <v>No</v>
      </c>
      <c r="L745" t="str">
        <f t="shared" ca="1" si="135"/>
        <v>Weight Loss</v>
      </c>
      <c r="M745" t="str">
        <f t="shared" ca="1" si="136"/>
        <v>Active</v>
      </c>
      <c r="N745" s="2">
        <v>45933</v>
      </c>
      <c r="Q745" t="str">
        <f ca="1">IF(RAND()&lt;0.2,
    IF(RAND()&lt;0.5, LOWER(C745), UPPER(C745)),
    C745
)</f>
        <v>BANGALORE</v>
      </c>
      <c r="R745">
        <f t="shared" ca="1" si="128"/>
        <v>16</v>
      </c>
      <c r="S745" t="str">
        <f t="shared" ca="1" si="129"/>
        <v>3500</v>
      </c>
      <c r="T745">
        <f t="shared" ca="1" si="130"/>
        <v>45386</v>
      </c>
      <c r="U745" s="2">
        <f t="shared" ca="1" si="131"/>
        <v>45933</v>
      </c>
    </row>
    <row r="746" spans="1:21">
      <c r="A746" t="str">
        <f t="shared" si="127"/>
        <v>MEM0745</v>
      </c>
      <c r="B746" t="str">
        <f ca="1">INDEX('Name pool'!A:A, RANDBETWEEN(2, COUNTA('Name pool'!A:A))) &amp; " " &amp; INDEX('Name pool'!B:B, RANDBETWEEN(2, COUNTA('Name pool'!B:B)))</f>
        <v>Ishita Varghese</v>
      </c>
      <c r="C746" t="s">
        <v>83</v>
      </c>
      <c r="D746" t="str">
        <f t="shared" ca="1" si="126"/>
        <v>BR04</v>
      </c>
      <c r="E746" t="str">
        <f t="shared" ca="1" si="132"/>
        <v>Premium</v>
      </c>
      <c r="F746" s="2">
        <v>45452</v>
      </c>
      <c r="G746" s="2">
        <v>45817</v>
      </c>
      <c r="H746">
        <v>2000</v>
      </c>
      <c r="I746">
        <f t="shared" ca="1" si="133"/>
        <v>12000</v>
      </c>
      <c r="J746">
        <v>3</v>
      </c>
      <c r="K746" t="str">
        <f t="shared" ca="1" si="134"/>
        <v>Yes</v>
      </c>
      <c r="L746" t="str">
        <f t="shared" ca="1" si="135"/>
        <v>Weight Loss</v>
      </c>
      <c r="M746" t="str">
        <f t="shared" ca="1" si="136"/>
        <v>Cancelled</v>
      </c>
      <c r="N746" s="2">
        <v>45476</v>
      </c>
      <c r="Q746" t="str">
        <f ca="1">IF(RAND()&lt;0.2,
    IF(RAND()&lt;0.5, LOWER(C746), UPPER(C746)),
    C746
)</f>
        <v>Trivandrum</v>
      </c>
      <c r="R746">
        <f t="shared" ca="1" si="128"/>
        <v>3</v>
      </c>
      <c r="S746">
        <f t="shared" ca="1" si="129"/>
        <v>2000</v>
      </c>
      <c r="T746">
        <f t="shared" ca="1" si="130"/>
        <v>45476</v>
      </c>
      <c r="U746" s="2">
        <f t="shared" ca="1" si="131"/>
        <v>45470</v>
      </c>
    </row>
    <row r="747" spans="1:21">
      <c r="A747" t="str">
        <f t="shared" si="127"/>
        <v>MEM0746</v>
      </c>
      <c r="B747" t="str">
        <f ca="1">INDEX('Name pool'!A:A, RANDBETWEEN(2, COUNTA('Name pool'!A:A))) &amp; " " &amp; INDEX('Name pool'!B:B, RANDBETWEEN(2, COUNTA('Name pool'!B:B)))</f>
        <v>Divya D’Souza</v>
      </c>
      <c r="C747" t="s">
        <v>81</v>
      </c>
      <c r="D747" t="str">
        <f t="shared" ca="1" si="126"/>
        <v>BR05</v>
      </c>
      <c r="E747" t="str">
        <f t="shared" ca="1" si="132"/>
        <v>Premium</v>
      </c>
      <c r="F747" s="2">
        <v>45878</v>
      </c>
      <c r="G747" s="2">
        <v>46243</v>
      </c>
      <c r="H747">
        <v>3500</v>
      </c>
      <c r="I747">
        <f t="shared" ca="1" si="133"/>
        <v>21000</v>
      </c>
      <c r="J747">
        <v>16</v>
      </c>
      <c r="K747" t="str">
        <f t="shared" ca="1" si="134"/>
        <v>No</v>
      </c>
      <c r="L747" t="str">
        <f t="shared" ca="1" si="135"/>
        <v>Weight Loss</v>
      </c>
      <c r="M747" t="str">
        <f t="shared" ca="1" si="136"/>
        <v>Active</v>
      </c>
      <c r="N747" s="2">
        <v>46030</v>
      </c>
      <c r="Q747" t="str">
        <f ca="1">IF(RAND()&lt;0.2,
    IF(RAND()&lt;0.5, LOWER(C747), UPPER(C747)),
    C747
)</f>
        <v>Mumbai</v>
      </c>
      <c r="R747">
        <f t="shared" ca="1" si="128"/>
        <v>16</v>
      </c>
      <c r="S747">
        <f t="shared" ca="1" si="129"/>
        <v>3500</v>
      </c>
      <c r="T747">
        <f t="shared" ca="1" si="130"/>
        <v>45951</v>
      </c>
      <c r="U747" s="2">
        <f t="shared" ca="1" si="131"/>
        <v>46030</v>
      </c>
    </row>
    <row r="748" spans="1:21">
      <c r="A748" t="str">
        <f t="shared" si="127"/>
        <v>MEM0747</v>
      </c>
      <c r="B748" t="str">
        <f ca="1">INDEX('Name pool'!A:A, RANDBETWEEN(2, COUNTA('Name pool'!A:A))) &amp; " " &amp; INDEX('Name pool'!B:B, RANDBETWEEN(2, COUNTA('Name pool'!B:B)))</f>
        <v>Akash Nambiar</v>
      </c>
      <c r="C748" t="s">
        <v>77</v>
      </c>
      <c r="D748" t="str">
        <f t="shared" ca="1" si="126"/>
        <v>BR02</v>
      </c>
      <c r="E748" t="str">
        <f t="shared" ca="1" si="132"/>
        <v>Premium</v>
      </c>
      <c r="F748" s="2">
        <v>45769</v>
      </c>
      <c r="G748" s="2">
        <v>45859</v>
      </c>
      <c r="H748">
        <v>1000</v>
      </c>
      <c r="I748">
        <f t="shared" ca="1" si="133"/>
        <v>3000</v>
      </c>
      <c r="J748">
        <v>17</v>
      </c>
      <c r="K748" t="str">
        <f t="shared" ca="1" si="134"/>
        <v>Yes</v>
      </c>
      <c r="L748" t="str">
        <f t="shared" ca="1" si="135"/>
        <v>Weight Loss</v>
      </c>
      <c r="M748" t="str">
        <f t="shared" ca="1" si="136"/>
        <v>Active</v>
      </c>
      <c r="N748" s="2">
        <v>45814</v>
      </c>
      <c r="Q748" t="str">
        <f ca="1">IF(RAND()&lt;0.2,
    IF(RAND()&lt;0.5, LOWER(C748), UPPER(C748)),
    C748
)</f>
        <v>Chennai</v>
      </c>
      <c r="R748">
        <f t="shared" ca="1" si="128"/>
        <v>17</v>
      </c>
      <c r="S748">
        <f t="shared" ca="1" si="129"/>
        <v>1000</v>
      </c>
      <c r="T748">
        <f t="shared" ca="1" si="130"/>
        <v>44961</v>
      </c>
      <c r="U748" s="2">
        <f t="shared" ca="1" si="131"/>
        <v>45814</v>
      </c>
    </row>
    <row r="749" spans="1:21">
      <c r="A749" t="str">
        <f t="shared" si="127"/>
        <v>MEM0748</v>
      </c>
      <c r="B749" t="str">
        <f ca="1">INDEX('Name pool'!A:A, RANDBETWEEN(2, COUNTA('Name pool'!A:A))) &amp; " " &amp; INDEX('Name pool'!B:B, RANDBETWEEN(2, COUNTA('Name pool'!B:B)))</f>
        <v>Neha Banerjee</v>
      </c>
      <c r="C749" t="s">
        <v>81</v>
      </c>
      <c r="D749" t="str">
        <f t="shared" ca="1" si="126"/>
        <v>BR05</v>
      </c>
      <c r="E749" t="str">
        <f t="shared" ca="1" si="132"/>
        <v>Basic</v>
      </c>
      <c r="F749" s="2">
        <v>45208</v>
      </c>
      <c r="G749" s="2">
        <v>45573</v>
      </c>
      <c r="H749">
        <v>1000</v>
      </c>
      <c r="I749">
        <f t="shared" ca="1" si="133"/>
        <v>9000</v>
      </c>
      <c r="J749">
        <v>20</v>
      </c>
      <c r="K749" t="str">
        <f t="shared" ca="1" si="134"/>
        <v>No</v>
      </c>
      <c r="L749" t="str">
        <f t="shared" ca="1" si="135"/>
        <v>Weight Loss</v>
      </c>
      <c r="M749" t="str">
        <f t="shared" ca="1" si="136"/>
        <v>Active</v>
      </c>
      <c r="N749" s="2">
        <v>45540</v>
      </c>
      <c r="Q749" t="str">
        <f ca="1">IF(RAND()&lt;0.2,
    IF(RAND()&lt;0.5, LOWER(C749), UPPER(C749)),
    C749
)</f>
        <v>Mumbai</v>
      </c>
      <c r="R749">
        <f t="shared" ca="1" si="128"/>
        <v>20</v>
      </c>
      <c r="S749">
        <f t="shared" ca="1" si="129"/>
        <v>1000</v>
      </c>
      <c r="T749">
        <f t="shared" ca="1" si="130"/>
        <v>45378</v>
      </c>
      <c r="U749" s="2">
        <f t="shared" ca="1" si="131"/>
        <v>45540</v>
      </c>
    </row>
    <row r="750" spans="1:21">
      <c r="A750" t="str">
        <f t="shared" si="127"/>
        <v>MEM0749</v>
      </c>
      <c r="B750" t="str">
        <f ca="1">INDEX('Name pool'!A:A, RANDBETWEEN(2, COUNTA('Name pool'!A:A))) &amp; " " &amp; INDEX('Name pool'!B:B, RANDBETWEEN(2, COUNTA('Name pool'!B:B)))</f>
        <v>Kavya Gupta</v>
      </c>
      <c r="C750" t="s">
        <v>77</v>
      </c>
      <c r="D750" t="str">
        <f t="shared" ca="1" si="126"/>
        <v>BR05</v>
      </c>
      <c r="E750" t="str">
        <f t="shared" ca="1" si="132"/>
        <v>Basic</v>
      </c>
      <c r="F750" s="2">
        <v>45263</v>
      </c>
      <c r="G750" s="2">
        <v>45353</v>
      </c>
      <c r="H750">
        <v>1000</v>
      </c>
      <c r="I750">
        <f t="shared" ca="1" si="133"/>
        <v>12000</v>
      </c>
      <c r="J750">
        <v>1</v>
      </c>
      <c r="K750" t="str">
        <f t="shared" ca="1" si="134"/>
        <v>Yes</v>
      </c>
      <c r="L750" t="str">
        <f t="shared" ca="1" si="135"/>
        <v>Weight Loss</v>
      </c>
      <c r="M750" t="str">
        <f t="shared" ca="1" si="136"/>
        <v>Active</v>
      </c>
      <c r="N750" s="2">
        <v>45308</v>
      </c>
      <c r="Q750" t="str">
        <f ca="1">IF(RAND()&lt;0.2,
    IF(RAND()&lt;0.5, LOWER(C750), UPPER(C750)),
    C750
)</f>
        <v>Chennai</v>
      </c>
      <c r="R750">
        <f t="shared" ca="1" si="128"/>
        <v>1</v>
      </c>
      <c r="S750" t="str">
        <f t="shared" ca="1" si="129"/>
        <v>1000</v>
      </c>
      <c r="T750">
        <f t="shared" ca="1" si="130"/>
        <v>45691</v>
      </c>
      <c r="U750" s="2">
        <f t="shared" ca="1" si="131"/>
        <v>45308</v>
      </c>
    </row>
    <row r="751" spans="1:21">
      <c r="A751" t="str">
        <f t="shared" si="127"/>
        <v>MEM0750</v>
      </c>
      <c r="B751" t="str">
        <f ca="1">INDEX('Name pool'!A:A, RANDBETWEEN(2, COUNTA('Name pool'!A:A))) &amp; " " &amp; INDEX('Name pool'!B:B, RANDBETWEEN(2, COUNTA('Name pool'!B:B)))</f>
        <v>Shreya George</v>
      </c>
      <c r="C751" t="s">
        <v>75</v>
      </c>
      <c r="D751" t="str">
        <f t="shared" ca="1" si="126"/>
        <v>BR07</v>
      </c>
      <c r="E751" t="str">
        <f t="shared" ca="1" si="132"/>
        <v>Basic</v>
      </c>
      <c r="F751" s="2">
        <v>45214</v>
      </c>
      <c r="G751" s="2">
        <v>45244</v>
      </c>
      <c r="H751">
        <v>3500</v>
      </c>
      <c r="I751">
        <f t="shared" ca="1" si="133"/>
        <v>31500</v>
      </c>
      <c r="J751">
        <v>21</v>
      </c>
      <c r="K751" t="str">
        <f t="shared" ca="1" si="134"/>
        <v>No</v>
      </c>
      <c r="L751" t="str">
        <f t="shared" ca="1" si="135"/>
        <v>Muscle Gain</v>
      </c>
      <c r="M751" t="str">
        <f t="shared" ca="1" si="136"/>
        <v>Active</v>
      </c>
      <c r="N751" s="2">
        <v>45855</v>
      </c>
      <c r="Q751" t="str">
        <f ca="1">IF(RAND()&lt;0.2,
    IF(RAND()&lt;0.5, LOWER(C751), UPPER(C751)),
    C751
)</f>
        <v>Bangalore</v>
      </c>
      <c r="R751" t="str">
        <f t="shared" ca="1" si="128"/>
        <v>21 visits</v>
      </c>
      <c r="S751">
        <f t="shared" ca="1" si="129"/>
        <v>3500</v>
      </c>
      <c r="T751">
        <f t="shared" ca="1" si="130"/>
        <v>45008</v>
      </c>
      <c r="U751" s="2">
        <f t="shared" ca="1" si="131"/>
        <v>45855</v>
      </c>
    </row>
    <row r="752" spans="1:21">
      <c r="A752" t="str">
        <f t="shared" si="127"/>
        <v>MEM0751</v>
      </c>
      <c r="B752" t="str">
        <f ca="1">INDEX('Name pool'!A:A, RANDBETWEEN(2, COUNTA('Name pool'!A:A))) &amp; " " &amp; INDEX('Name pool'!B:B, RANDBETWEEN(2, COUNTA('Name pool'!B:B)))</f>
        <v>Meera Singh</v>
      </c>
      <c r="C752" t="s">
        <v>81</v>
      </c>
      <c r="D752" t="str">
        <f t="shared" ca="1" si="126"/>
        <v>BR02</v>
      </c>
      <c r="E752" t="str">
        <f t="shared" ca="1" si="132"/>
        <v>Standard</v>
      </c>
      <c r="F752" s="2">
        <v>45577</v>
      </c>
      <c r="G752" s="2">
        <v>45667</v>
      </c>
      <c r="H752">
        <v>1000</v>
      </c>
      <c r="I752">
        <f t="shared" ca="1" si="133"/>
        <v>6000</v>
      </c>
      <c r="J752">
        <v>10</v>
      </c>
      <c r="K752" t="str">
        <f t="shared" ca="1" si="134"/>
        <v>Yes</v>
      </c>
      <c r="L752" t="str">
        <f t="shared" ca="1" si="135"/>
        <v>General Fitness</v>
      </c>
      <c r="M752" t="str">
        <f t="shared" ca="1" si="136"/>
        <v>Active</v>
      </c>
      <c r="N752" s="2">
        <v>45745</v>
      </c>
      <c r="Q752" t="str">
        <f ca="1">IF(RAND()&lt;0.2,
    IF(RAND()&lt;0.5, LOWER(C752), UPPER(C752)),
    C752
)</f>
        <v>mumbai</v>
      </c>
      <c r="R752" t="str">
        <f t="shared" ca="1" si="128"/>
        <v>10 visits</v>
      </c>
      <c r="S752">
        <f t="shared" ca="1" si="129"/>
        <v>1000</v>
      </c>
      <c r="T752">
        <f t="shared" ca="1" si="130"/>
        <v>45837</v>
      </c>
      <c r="U752" s="2">
        <f t="shared" ca="1" si="131"/>
        <v>45745</v>
      </c>
    </row>
    <row r="753" spans="1:21">
      <c r="A753" t="str">
        <f t="shared" si="127"/>
        <v>MEM0752</v>
      </c>
      <c r="B753" t="str">
        <f ca="1">INDEX('Name pool'!A:A, RANDBETWEEN(2, COUNTA('Name pool'!A:A))) &amp; " " &amp; INDEX('Name pool'!B:B, RANDBETWEEN(2, COUNTA('Name pool'!B:B)))</f>
        <v>Ayesha Fernandes</v>
      </c>
      <c r="C753" t="s">
        <v>75</v>
      </c>
      <c r="D753" t="str">
        <f t="shared" ca="1" si="126"/>
        <v>BR04</v>
      </c>
      <c r="E753" t="str">
        <f t="shared" ca="1" si="132"/>
        <v>Basic</v>
      </c>
      <c r="F753" s="2">
        <v>45371</v>
      </c>
      <c r="G753" s="2">
        <v>45401</v>
      </c>
      <c r="H753">
        <v>1000</v>
      </c>
      <c r="I753">
        <f t="shared" ca="1" si="133"/>
        <v>1000</v>
      </c>
      <c r="J753">
        <v>16</v>
      </c>
      <c r="K753" t="str">
        <f t="shared" ca="1" si="134"/>
        <v>No</v>
      </c>
      <c r="L753" t="str">
        <f t="shared" ca="1" si="135"/>
        <v>Muscle Gain</v>
      </c>
      <c r="M753" t="str">
        <f t="shared" ca="1" si="136"/>
        <v>Active</v>
      </c>
      <c r="N753" s="2">
        <v>46070</v>
      </c>
      <c r="Q753" t="str">
        <f ca="1">IF(RAND()&lt;0.2,
    IF(RAND()&lt;0.5, LOWER(C753), UPPER(C753)),
    C753
)</f>
        <v>Bangalore</v>
      </c>
      <c r="R753">
        <f t="shared" ca="1" si="128"/>
        <v>16</v>
      </c>
      <c r="S753">
        <f t="shared" ca="1" si="129"/>
        <v>1000</v>
      </c>
      <c r="T753">
        <f t="shared" ca="1" si="130"/>
        <v>45574</v>
      </c>
      <c r="U753" s="2">
        <f t="shared" ca="1" si="131"/>
        <v>46070</v>
      </c>
    </row>
    <row r="754" spans="1:21">
      <c r="A754" t="str">
        <f t="shared" si="127"/>
        <v>MEM0753</v>
      </c>
      <c r="B754" t="str">
        <f ca="1">INDEX('Name pool'!A:A, RANDBETWEEN(2, COUNTA('Name pool'!A:A))) &amp; " " &amp; INDEX('Name pool'!B:B, RANDBETWEEN(2, COUNTA('Name pool'!B:B)))</f>
        <v>Arjun Lewis</v>
      </c>
      <c r="C754" t="s">
        <v>75</v>
      </c>
      <c r="D754" t="str">
        <f t="shared" ca="1" si="126"/>
        <v>BR05</v>
      </c>
      <c r="E754" t="str">
        <f t="shared" ca="1" si="132"/>
        <v>Premium</v>
      </c>
      <c r="F754" s="2">
        <v>45986</v>
      </c>
      <c r="G754" s="2">
        <v>46016</v>
      </c>
      <c r="H754">
        <v>2000</v>
      </c>
      <c r="I754">
        <f t="shared" ca="1" si="133"/>
        <v>18000</v>
      </c>
      <c r="J754">
        <v>24</v>
      </c>
      <c r="K754" t="str">
        <f t="shared" ca="1" si="134"/>
        <v>Yes</v>
      </c>
      <c r="L754" t="str">
        <f t="shared" ca="1" si="135"/>
        <v>Muscle Gain</v>
      </c>
      <c r="M754" t="str">
        <f t="shared" ca="1" si="136"/>
        <v>Active</v>
      </c>
      <c r="N754" s="2">
        <v>46069</v>
      </c>
      <c r="Q754" t="str">
        <f ca="1">IF(RAND()&lt;0.2,
    IF(RAND()&lt;0.5, LOWER(C754), UPPER(C754)),
    C754
)</f>
        <v>Bangalore</v>
      </c>
      <c r="R754">
        <f t="shared" ca="1" si="128"/>
        <v>24</v>
      </c>
      <c r="S754">
        <f t="shared" ca="1" si="129"/>
        <v>2000</v>
      </c>
      <c r="T754">
        <f t="shared" ca="1" si="130"/>
        <v>45987</v>
      </c>
      <c r="U754" s="2">
        <f t="shared" ca="1" si="131"/>
        <v>46069</v>
      </c>
    </row>
    <row r="755" spans="1:21">
      <c r="A755" t="str">
        <f t="shared" si="127"/>
        <v>MEM0754</v>
      </c>
      <c r="B755" t="str">
        <f ca="1">INDEX('Name pool'!A:A, RANDBETWEEN(2, COUNTA('Name pool'!A:A))) &amp; " " &amp; INDEX('Name pool'!B:B, RANDBETWEEN(2, COUNTA('Name pool'!B:B)))</f>
        <v>Anjali Malhotra</v>
      </c>
      <c r="C755" t="s">
        <v>132</v>
      </c>
      <c r="D755" t="str">
        <f t="shared" ca="1" si="126"/>
        <v>BR03</v>
      </c>
      <c r="E755" t="str">
        <f t="shared" ca="1" si="132"/>
        <v>Premium</v>
      </c>
      <c r="F755" s="2">
        <v>45722</v>
      </c>
      <c r="G755" s="2">
        <v>45752</v>
      </c>
      <c r="H755">
        <v>1000</v>
      </c>
      <c r="I755">
        <f t="shared" ca="1" si="133"/>
        <v>8000</v>
      </c>
      <c r="J755">
        <v>11</v>
      </c>
      <c r="K755" t="str">
        <f t="shared" ca="1" si="134"/>
        <v>No</v>
      </c>
      <c r="L755" t="str">
        <f t="shared" ca="1" si="135"/>
        <v>General Fitness</v>
      </c>
      <c r="M755" t="str">
        <f t="shared" ca="1" si="136"/>
        <v>Active</v>
      </c>
      <c r="N755" s="2">
        <v>45837</v>
      </c>
      <c r="Q755" t="str">
        <f ca="1">IF(RAND()&lt;0.2,
    IF(RAND()&lt;0.5, LOWER(C755), UPPER(C755)),
    C755
)</f>
        <v>calicut</v>
      </c>
      <c r="R755">
        <f t="shared" ca="1" si="128"/>
        <v>11</v>
      </c>
      <c r="S755">
        <f t="shared" ca="1" si="129"/>
        <v>1000</v>
      </c>
      <c r="T755">
        <f t="shared" ca="1" si="130"/>
        <v>45656</v>
      </c>
      <c r="U755" s="2">
        <f t="shared" ca="1" si="131"/>
        <v>45837</v>
      </c>
    </row>
    <row r="756" spans="1:21">
      <c r="A756" t="str">
        <f t="shared" si="127"/>
        <v>MEM0755</v>
      </c>
      <c r="B756" t="str">
        <f ca="1">INDEX('Name pool'!A:A, RANDBETWEEN(2, COUNTA('Name pool'!A:A))) &amp; " " &amp; INDEX('Name pool'!B:B, RANDBETWEEN(2, COUNTA('Name pool'!B:B)))</f>
        <v>Ayesha Reddy</v>
      </c>
      <c r="C756" t="s">
        <v>83</v>
      </c>
      <c r="D756" t="str">
        <f t="shared" ca="1" si="126"/>
        <v>BR01</v>
      </c>
      <c r="E756" t="str">
        <f t="shared" ca="1" si="132"/>
        <v>Premium</v>
      </c>
      <c r="F756" s="2">
        <v>45466</v>
      </c>
      <c r="G756" s="2">
        <v>45556</v>
      </c>
      <c r="H756">
        <v>2000</v>
      </c>
      <c r="I756">
        <f t="shared" ca="1" si="133"/>
        <v>18000</v>
      </c>
      <c r="J756">
        <v>9</v>
      </c>
      <c r="K756" t="str">
        <f t="shared" ca="1" si="134"/>
        <v>No</v>
      </c>
      <c r="L756" t="str">
        <f t="shared" ca="1" si="135"/>
        <v>General Fitness</v>
      </c>
      <c r="M756" t="str">
        <f t="shared" ca="1" si="136"/>
        <v>Active</v>
      </c>
      <c r="N756" s="2">
        <v>45768</v>
      </c>
      <c r="Q756" t="str">
        <f ca="1">IF(RAND()&lt;0.2,
    IF(RAND()&lt;0.5, LOWER(C756), UPPER(C756)),
    C756
)</f>
        <v>Trivandrum</v>
      </c>
      <c r="R756">
        <f t="shared" ca="1" si="128"/>
        <v>9</v>
      </c>
      <c r="S756">
        <f t="shared" ca="1" si="129"/>
        <v>2000</v>
      </c>
      <c r="T756">
        <f t="shared" ca="1" si="130"/>
        <v>45378</v>
      </c>
      <c r="U756" s="2">
        <f t="shared" ca="1" si="131"/>
        <v>45768</v>
      </c>
    </row>
    <row r="757" spans="1:21">
      <c r="A757" t="str">
        <f t="shared" si="127"/>
        <v>MEM0756</v>
      </c>
      <c r="B757" t="str">
        <f ca="1">INDEX('Name pool'!A:A, RANDBETWEEN(2, COUNTA('Name pool'!A:A))) &amp; " " &amp; INDEX('Name pool'!B:B, RANDBETWEEN(2, COUNTA('Name pool'!B:B)))</f>
        <v>Sanjay George</v>
      </c>
      <c r="C757" t="s">
        <v>83</v>
      </c>
      <c r="D757" t="str">
        <f t="shared" ca="1" si="126"/>
        <v>BR02</v>
      </c>
      <c r="E757" t="str">
        <f t="shared" ca="1" si="132"/>
        <v>Basic</v>
      </c>
      <c r="F757" s="2">
        <v>45117</v>
      </c>
      <c r="G757" s="2">
        <v>45207</v>
      </c>
      <c r="H757">
        <v>3500</v>
      </c>
      <c r="I757">
        <f t="shared" ca="1" si="133"/>
        <v>3500</v>
      </c>
      <c r="J757">
        <v>24</v>
      </c>
      <c r="K757" t="str">
        <f t="shared" ca="1" si="134"/>
        <v>No</v>
      </c>
      <c r="L757" t="str">
        <f t="shared" ca="1" si="135"/>
        <v>General Fitness</v>
      </c>
      <c r="M757" t="str">
        <f t="shared" ca="1" si="136"/>
        <v>Active</v>
      </c>
      <c r="N757" s="2">
        <v>45562</v>
      </c>
      <c r="Q757" t="str">
        <f ca="1">IF(RAND()&lt;0.2,
    IF(RAND()&lt;0.5, LOWER(C757), UPPER(C757)),
    C757
)</f>
        <v>Trivandrum</v>
      </c>
      <c r="R757">
        <f t="shared" ca="1" si="128"/>
        <v>24</v>
      </c>
      <c r="S757">
        <f t="shared" ca="1" si="129"/>
        <v>3500</v>
      </c>
      <c r="T757">
        <f t="shared" ca="1" si="130"/>
        <v>45793</v>
      </c>
      <c r="U757" s="2">
        <f t="shared" ca="1" si="131"/>
        <v>45562</v>
      </c>
    </row>
    <row r="758" spans="1:21">
      <c r="A758" t="str">
        <f t="shared" si="127"/>
        <v>MEM0757</v>
      </c>
      <c r="B758" t="str">
        <f ca="1">INDEX('Name pool'!A:A, RANDBETWEEN(2, COUNTA('Name pool'!A:A))) &amp; " " &amp; INDEX('Name pool'!B:B, RANDBETWEEN(2, COUNTA('Name pool'!B:B)))</f>
        <v>Rahul Varghese</v>
      </c>
      <c r="C758" t="s">
        <v>81</v>
      </c>
      <c r="D758" t="str">
        <f t="shared" ca="1" si="126"/>
        <v>BR04</v>
      </c>
      <c r="E758" t="str">
        <f t="shared" ca="1" si="132"/>
        <v>Standard</v>
      </c>
      <c r="F758" s="2">
        <v>45443</v>
      </c>
      <c r="G758" s="2">
        <v>45808</v>
      </c>
      <c r="H758">
        <v>3500</v>
      </c>
      <c r="I758">
        <f t="shared" ca="1" si="133"/>
        <v>21000</v>
      </c>
      <c r="J758">
        <v>9</v>
      </c>
      <c r="K758" t="str">
        <f t="shared" ca="1" si="134"/>
        <v>No</v>
      </c>
      <c r="L758" t="str">
        <f t="shared" ca="1" si="135"/>
        <v>Weight Loss</v>
      </c>
      <c r="M758" t="str">
        <f t="shared" ca="1" si="136"/>
        <v>Active</v>
      </c>
      <c r="N758" s="2">
        <v>45607</v>
      </c>
      <c r="Q758" t="str">
        <f ca="1">IF(RAND()&lt;0.2,
    IF(RAND()&lt;0.5, LOWER(C758), UPPER(C758)),
    C758
)</f>
        <v>Mumbai</v>
      </c>
      <c r="R758">
        <f t="shared" ca="1" si="128"/>
        <v>9</v>
      </c>
      <c r="S758">
        <f t="shared" ca="1" si="129"/>
        <v>3500</v>
      </c>
      <c r="T758">
        <f t="shared" ca="1" si="130"/>
        <v>45510</v>
      </c>
      <c r="U758" s="2">
        <f t="shared" ca="1" si="131"/>
        <v>45607</v>
      </c>
    </row>
    <row r="759" spans="1:21">
      <c r="A759" t="str">
        <f t="shared" si="127"/>
        <v>MEM0758</v>
      </c>
      <c r="B759" t="str">
        <f ca="1">INDEX('Name pool'!A:A, RANDBETWEEN(2, COUNTA('Name pool'!A:A))) &amp; " " &amp; INDEX('Name pool'!B:B, RANDBETWEEN(2, COUNTA('Name pool'!B:B)))</f>
        <v>Anjali Desai</v>
      </c>
      <c r="C759" t="s">
        <v>85</v>
      </c>
      <c r="D759" t="str">
        <f t="shared" ca="1" si="126"/>
        <v>BR01</v>
      </c>
      <c r="E759" t="str">
        <f t="shared" ca="1" si="132"/>
        <v>Standard</v>
      </c>
      <c r="F759" s="2">
        <v>45091</v>
      </c>
      <c r="G759" s="2">
        <v>45181</v>
      </c>
      <c r="H759">
        <v>3500</v>
      </c>
      <c r="I759">
        <f t="shared" ca="1" si="133"/>
        <v>21000</v>
      </c>
      <c r="J759">
        <v>6</v>
      </c>
      <c r="K759" t="str">
        <f t="shared" ca="1" si="134"/>
        <v>Yes</v>
      </c>
      <c r="L759" t="str">
        <f t="shared" ca="1" si="135"/>
        <v>Weight Loss</v>
      </c>
      <c r="M759" t="str">
        <f t="shared" ca="1" si="136"/>
        <v>Active</v>
      </c>
      <c r="N759" s="2">
        <v>46042</v>
      </c>
      <c r="Q759" t="str">
        <f ca="1">IF(RAND()&lt;0.2,
    IF(RAND()&lt;0.5, LOWER(C759), UPPER(C759)),
    C759
)</f>
        <v>Calicut</v>
      </c>
      <c r="R759">
        <f t="shared" ca="1" si="128"/>
        <v>6</v>
      </c>
      <c r="S759">
        <f t="shared" ca="1" si="129"/>
        <v>3500</v>
      </c>
      <c r="T759">
        <f t="shared" ca="1" si="130"/>
        <v>45340</v>
      </c>
      <c r="U759" s="2">
        <f t="shared" ca="1" si="131"/>
        <v>46042</v>
      </c>
    </row>
    <row r="760" spans="1:21">
      <c r="A760" t="str">
        <f t="shared" si="127"/>
        <v>MEM0759</v>
      </c>
      <c r="B760" t="str">
        <f ca="1">INDEX('Name pool'!A:A, RANDBETWEEN(2, COUNTA('Name pool'!A:A))) &amp; " " &amp; INDEX('Name pool'!B:B, RANDBETWEEN(2, COUNTA('Name pool'!B:B)))</f>
        <v>Fatima Shetty</v>
      </c>
      <c r="C760" t="s">
        <v>79</v>
      </c>
      <c r="D760" t="str">
        <f t="shared" ca="1" si="126"/>
        <v>BR03</v>
      </c>
      <c r="E760" t="str">
        <f t="shared" ca="1" si="132"/>
        <v>Premium</v>
      </c>
      <c r="F760" s="2">
        <v>45220</v>
      </c>
      <c r="G760" s="2">
        <v>45585</v>
      </c>
      <c r="H760">
        <v>3500</v>
      </c>
      <c r="I760">
        <f t="shared" ca="1" si="133"/>
        <v>35000</v>
      </c>
      <c r="J760">
        <v>11</v>
      </c>
      <c r="K760" t="str">
        <f t="shared" ca="1" si="134"/>
        <v>No</v>
      </c>
      <c r="L760" t="str">
        <f t="shared" ca="1" si="135"/>
        <v>General Fitness</v>
      </c>
      <c r="M760" t="str">
        <f t="shared" ca="1" si="136"/>
        <v>Active</v>
      </c>
      <c r="N760" s="2">
        <v>45525</v>
      </c>
      <c r="Q760" t="str">
        <f ca="1">IF(RAND()&lt;0.2,
    IF(RAND()&lt;0.5, LOWER(C760), UPPER(C760)),
    C760
)</f>
        <v>HYDERABAD</v>
      </c>
      <c r="R760">
        <f t="shared" ca="1" si="128"/>
        <v>11</v>
      </c>
      <c r="S760" t="str">
        <f t="shared" ca="1" si="129"/>
        <v>3500</v>
      </c>
      <c r="T760">
        <f t="shared" ca="1" si="130"/>
        <v>45034</v>
      </c>
      <c r="U760" s="2">
        <f t="shared" ca="1" si="131"/>
        <v>45525</v>
      </c>
    </row>
    <row r="761" spans="1:21">
      <c r="A761" t="str">
        <f t="shared" si="127"/>
        <v>MEM0760</v>
      </c>
      <c r="B761" t="str">
        <f ca="1">INDEX('Name pool'!A:A, RANDBETWEEN(2, COUNTA('Name pool'!A:A))) &amp; " " &amp; INDEX('Name pool'!B:B, RANDBETWEEN(2, COUNTA('Name pool'!B:B)))</f>
        <v>Ayesha Chatterjee</v>
      </c>
      <c r="C761" t="s">
        <v>116</v>
      </c>
      <c r="D761" t="str">
        <f t="shared" ca="1" si="126"/>
        <v>BR05</v>
      </c>
      <c r="E761" t="str">
        <f t="shared" ca="1" si="132"/>
        <v>Basic</v>
      </c>
      <c r="F761" s="2">
        <v>45234</v>
      </c>
      <c r="G761" s="2">
        <v>45264</v>
      </c>
      <c r="H761">
        <v>3500</v>
      </c>
      <c r="I761">
        <f t="shared" ca="1" si="133"/>
        <v>31500</v>
      </c>
      <c r="J761">
        <v>18</v>
      </c>
      <c r="K761" t="str">
        <f t="shared" ca="1" si="134"/>
        <v>No</v>
      </c>
      <c r="L761" t="str">
        <f t="shared" ca="1" si="135"/>
        <v>General Fitness</v>
      </c>
      <c r="M761" t="str">
        <f t="shared" ca="1" si="136"/>
        <v>Active</v>
      </c>
      <c r="N761" s="2">
        <v>46050</v>
      </c>
      <c r="Q761" t="str">
        <f ca="1">IF(RAND()&lt;0.2,
    IF(RAND()&lt;0.5, LOWER(C761), UPPER(C761)),
    C761
)</f>
        <v>kochi</v>
      </c>
      <c r="R761">
        <f t="shared" ca="1" si="128"/>
        <v>18</v>
      </c>
      <c r="S761">
        <f t="shared" ca="1" si="129"/>
        <v>3500</v>
      </c>
      <c r="T761">
        <f t="shared" ca="1" si="130"/>
        <v>45081</v>
      </c>
      <c r="U761" s="2">
        <f t="shared" ca="1" si="131"/>
        <v>46050</v>
      </c>
    </row>
    <row r="762" spans="1:21">
      <c r="A762" t="str">
        <f t="shared" si="127"/>
        <v>MEM0761</v>
      </c>
      <c r="B762" t="str">
        <f ca="1">INDEX('Name pool'!A:A, RANDBETWEEN(2, COUNTA('Name pool'!A:A))) &amp; " " &amp; INDEX('Name pool'!B:B, RANDBETWEEN(2, COUNTA('Name pool'!B:B)))</f>
        <v>Akash Lewis</v>
      </c>
      <c r="C762" t="s">
        <v>85</v>
      </c>
      <c r="D762" t="str">
        <f t="shared" ca="1" si="126"/>
        <v>BR01</v>
      </c>
      <c r="E762" t="str">
        <f t="shared" ca="1" si="132"/>
        <v>Standard</v>
      </c>
      <c r="F762" s="2">
        <v>45604</v>
      </c>
      <c r="G762" s="2">
        <v>45694</v>
      </c>
      <c r="H762">
        <v>1000</v>
      </c>
      <c r="I762">
        <f t="shared" ca="1" si="133"/>
        <v>10000</v>
      </c>
      <c r="J762" t="s">
        <v>128</v>
      </c>
      <c r="K762" t="str">
        <f t="shared" ca="1" si="134"/>
        <v>No</v>
      </c>
      <c r="L762" t="str">
        <f t="shared" ca="1" si="135"/>
        <v>Muscle Gain</v>
      </c>
      <c r="M762" t="str">
        <f t="shared" ca="1" si="136"/>
        <v>Active</v>
      </c>
      <c r="N762" s="2">
        <v>46110</v>
      </c>
      <c r="Q762" t="str">
        <f ca="1">IF(RAND()&lt;0.2,
    IF(RAND()&lt;0.5, LOWER(C762), UPPER(C762)),
    C762
)</f>
        <v>Calicut</v>
      </c>
      <c r="R762" t="str">
        <f t="shared" ca="1" si="128"/>
        <v>11 visits</v>
      </c>
      <c r="S762">
        <f t="shared" ca="1" si="129"/>
        <v>1000</v>
      </c>
      <c r="T762">
        <f t="shared" ca="1" si="130"/>
        <v>45473</v>
      </c>
      <c r="U762" s="2">
        <f t="shared" ca="1" si="131"/>
        <v>46110</v>
      </c>
    </row>
    <row r="763" spans="1:21">
      <c r="A763" t="str">
        <f t="shared" si="127"/>
        <v>MEM0762</v>
      </c>
      <c r="B763" t="str">
        <f ca="1">INDEX('Name pool'!A:A, RANDBETWEEN(2, COUNTA('Name pool'!A:A))) &amp; " " &amp; INDEX('Name pool'!B:B, RANDBETWEEN(2, COUNTA('Name pool'!B:B)))</f>
        <v>Tanvi Reddy</v>
      </c>
      <c r="C763" t="s">
        <v>132</v>
      </c>
      <c r="D763" t="str">
        <f t="shared" ca="1" si="126"/>
        <v>BR06</v>
      </c>
      <c r="E763" t="str">
        <f t="shared" ca="1" si="132"/>
        <v>Premium</v>
      </c>
      <c r="F763" s="2">
        <v>45509</v>
      </c>
      <c r="G763" s="2">
        <v>45874</v>
      </c>
      <c r="H763">
        <v>1000</v>
      </c>
      <c r="I763">
        <f t="shared" ca="1" si="133"/>
        <v>12000</v>
      </c>
      <c r="J763">
        <v>3</v>
      </c>
      <c r="K763" t="str">
        <f t="shared" ca="1" si="134"/>
        <v>No</v>
      </c>
      <c r="L763" t="str">
        <f t="shared" ca="1" si="135"/>
        <v>Weight Loss</v>
      </c>
      <c r="M763" t="str">
        <f t="shared" ca="1" si="136"/>
        <v>Active</v>
      </c>
      <c r="N763" s="2">
        <v>45541</v>
      </c>
      <c r="Q763" t="str">
        <f ca="1">IF(RAND()&lt;0.2,
    IF(RAND()&lt;0.5, LOWER(C763), UPPER(C763)),
    C763
)</f>
        <v>calicut</v>
      </c>
      <c r="R763">
        <f t="shared" ca="1" si="128"/>
        <v>3</v>
      </c>
      <c r="S763" t="str">
        <f t="shared" ca="1" si="129"/>
        <v>1000</v>
      </c>
      <c r="T763">
        <f t="shared" ca="1" si="130"/>
        <v>45189</v>
      </c>
      <c r="U763" s="2">
        <f t="shared" ca="1" si="131"/>
        <v>45541</v>
      </c>
    </row>
    <row r="764" spans="1:21">
      <c r="A764" t="str">
        <f t="shared" si="127"/>
        <v>MEM0763</v>
      </c>
      <c r="B764" t="str">
        <f ca="1">INDEX('Name pool'!A:A, RANDBETWEEN(2, COUNTA('Name pool'!A:A))) &amp; " " &amp; INDEX('Name pool'!B:B, RANDBETWEEN(2, COUNTA('Name pool'!B:B)))</f>
        <v>Harish Singh</v>
      </c>
      <c r="C764" t="s">
        <v>81</v>
      </c>
      <c r="D764" t="str">
        <f t="shared" ca="1" si="126"/>
        <v>BR07</v>
      </c>
      <c r="E764" t="str">
        <f t="shared" ca="1" si="132"/>
        <v>Standard</v>
      </c>
      <c r="F764" s="2">
        <v>44953</v>
      </c>
      <c r="G764" s="2">
        <v>45043</v>
      </c>
      <c r="H764">
        <v>2000</v>
      </c>
      <c r="I764">
        <f t="shared" ca="1" si="133"/>
        <v>12000</v>
      </c>
      <c r="J764">
        <v>5</v>
      </c>
      <c r="K764" t="str">
        <f t="shared" ca="1" si="134"/>
        <v>No</v>
      </c>
      <c r="L764" t="str">
        <f t="shared" ca="1" si="135"/>
        <v>Muscle Gain</v>
      </c>
      <c r="M764" t="str">
        <f t="shared" ca="1" si="136"/>
        <v>Active</v>
      </c>
      <c r="N764" s="2">
        <v>45030</v>
      </c>
      <c r="Q764" t="str">
        <f ca="1">IF(RAND()&lt;0.2,
    IF(RAND()&lt;0.5, LOWER(C764), UPPER(C764)),
    C764
)</f>
        <v>Mumbai</v>
      </c>
      <c r="R764" t="str">
        <f t="shared" ca="1" si="128"/>
        <v>5 visits</v>
      </c>
      <c r="S764">
        <f t="shared" ca="1" si="129"/>
        <v>2000</v>
      </c>
      <c r="T764">
        <f t="shared" ca="1" si="130"/>
        <v>45128</v>
      </c>
      <c r="U764" s="2">
        <f t="shared" ca="1" si="131"/>
        <v>45030</v>
      </c>
    </row>
    <row r="765" spans="1:21">
      <c r="A765" t="str">
        <f t="shared" si="127"/>
        <v>MEM0764</v>
      </c>
      <c r="B765" t="str">
        <f ca="1">INDEX('Name pool'!A:A, RANDBETWEEN(2, COUNTA('Name pool'!A:A))) &amp; " " &amp; INDEX('Name pool'!B:B, RANDBETWEEN(2, COUNTA('Name pool'!B:B)))</f>
        <v>Anu Singh</v>
      </c>
      <c r="C765" t="s">
        <v>81</v>
      </c>
      <c r="D765" t="str">
        <f t="shared" ca="1" si="126"/>
        <v>BR02</v>
      </c>
      <c r="E765" t="str">
        <f t="shared" ca="1" si="132"/>
        <v>Basic</v>
      </c>
      <c r="F765" s="2">
        <v>45127</v>
      </c>
      <c r="G765" s="2">
        <v>45217</v>
      </c>
      <c r="H765">
        <v>2000</v>
      </c>
      <c r="I765">
        <f t="shared" ca="1" si="133"/>
        <v>10000</v>
      </c>
      <c r="J765" t="s">
        <v>135</v>
      </c>
      <c r="K765" t="str">
        <f t="shared" ca="1" si="134"/>
        <v>Yes</v>
      </c>
      <c r="L765" t="str">
        <f t="shared" ca="1" si="135"/>
        <v>Weight Loss</v>
      </c>
      <c r="M765" t="str">
        <f t="shared" ca="1" si="136"/>
        <v>Active</v>
      </c>
      <c r="N765" s="2">
        <v>45819</v>
      </c>
      <c r="Q765" t="str">
        <f ca="1">IF(RAND()&lt;0.2,
    IF(RAND()&lt;0.5, LOWER(C765), UPPER(C765)),
    C765
)</f>
        <v>Mumbai</v>
      </c>
      <c r="R765" t="str">
        <f t="shared" ca="1" si="128"/>
        <v>16 visits</v>
      </c>
      <c r="S765">
        <f t="shared" ca="1" si="129"/>
        <v>2000</v>
      </c>
      <c r="T765">
        <f t="shared" ca="1" si="130"/>
        <v>45227</v>
      </c>
      <c r="U765" s="2">
        <f t="shared" ca="1" si="131"/>
        <v>45819</v>
      </c>
    </row>
    <row r="766" spans="1:21">
      <c r="A766" t="str">
        <f t="shared" si="127"/>
        <v>MEM0765</v>
      </c>
      <c r="B766" t="str">
        <f ca="1">INDEX('Name pool'!A:A, RANDBETWEEN(2, COUNTA('Name pool'!A:A))) &amp; " " &amp; INDEX('Name pool'!B:B, RANDBETWEEN(2, COUNTA('Name pool'!B:B)))</f>
        <v>Nikhil Pillai</v>
      </c>
      <c r="C766" t="s">
        <v>81</v>
      </c>
      <c r="D766" t="str">
        <f t="shared" ca="1" si="126"/>
        <v>BR03</v>
      </c>
      <c r="E766" t="str">
        <f t="shared" ca="1" si="132"/>
        <v>Premium</v>
      </c>
      <c r="F766" s="2">
        <v>45587</v>
      </c>
      <c r="G766" s="2">
        <v>45952</v>
      </c>
      <c r="H766">
        <v>3500</v>
      </c>
      <c r="I766">
        <f t="shared" ca="1" si="133"/>
        <v>7000</v>
      </c>
      <c r="J766">
        <v>13</v>
      </c>
      <c r="K766" t="str">
        <f t="shared" ca="1" si="134"/>
        <v>No</v>
      </c>
      <c r="L766" t="str">
        <f t="shared" ca="1" si="135"/>
        <v>Weight Loss</v>
      </c>
      <c r="M766" t="str">
        <f t="shared" ca="1" si="136"/>
        <v>Active</v>
      </c>
      <c r="N766" s="2">
        <v>45705</v>
      </c>
      <c r="Q766" t="str">
        <f ca="1">IF(RAND()&lt;0.2,
    IF(RAND()&lt;0.5, LOWER(C766), UPPER(C766)),
    C766
)</f>
        <v>mumbai</v>
      </c>
      <c r="R766">
        <f t="shared" ca="1" si="128"/>
        <v>13</v>
      </c>
      <c r="S766">
        <f t="shared" ca="1" si="129"/>
        <v>3500</v>
      </c>
      <c r="T766">
        <f t="shared" ca="1" si="130"/>
        <v>45608</v>
      </c>
      <c r="U766" s="2">
        <f t="shared" ca="1" si="131"/>
        <v>45705</v>
      </c>
    </row>
    <row r="767" spans="1:21">
      <c r="A767" t="str">
        <f t="shared" si="127"/>
        <v>MEM0766</v>
      </c>
      <c r="B767" t="str">
        <f ca="1">INDEX('Name pool'!A:A, RANDBETWEEN(2, COUNTA('Name pool'!A:A))) &amp; " " &amp; INDEX('Name pool'!B:B, RANDBETWEEN(2, COUNTA('Name pool'!B:B)))</f>
        <v>Rahul Joshi</v>
      </c>
      <c r="C767" t="s">
        <v>73</v>
      </c>
      <c r="D767" t="str">
        <f t="shared" ca="1" si="126"/>
        <v>BR02</v>
      </c>
      <c r="E767" t="str">
        <f t="shared" ca="1" si="132"/>
        <v>Basic</v>
      </c>
      <c r="F767" s="2">
        <v>45178</v>
      </c>
      <c r="G767" s="2">
        <v>45208</v>
      </c>
      <c r="H767">
        <v>1000</v>
      </c>
      <c r="I767">
        <f t="shared" ca="1" si="133"/>
        <v>1000</v>
      </c>
      <c r="J767" t="s">
        <v>143</v>
      </c>
      <c r="K767" t="str">
        <f t="shared" ca="1" si="134"/>
        <v>No</v>
      </c>
      <c r="L767" t="str">
        <f t="shared" ca="1" si="135"/>
        <v>General Fitness</v>
      </c>
      <c r="M767" t="str">
        <f t="shared" ca="1" si="136"/>
        <v>Active</v>
      </c>
      <c r="N767" s="2">
        <v>45337</v>
      </c>
      <c r="Q767" t="str">
        <f ca="1">IF(RAND()&lt;0.2,
    IF(RAND()&lt;0.5, LOWER(C767), UPPER(C767)),
    C767
)</f>
        <v>Kochi</v>
      </c>
      <c r="R767" t="str">
        <f t="shared" ca="1" si="128"/>
        <v>9 visits visits</v>
      </c>
      <c r="S767">
        <f t="shared" ca="1" si="129"/>
        <v>1000</v>
      </c>
      <c r="T767">
        <f t="shared" ca="1" si="130"/>
        <v>44976</v>
      </c>
      <c r="U767" s="2">
        <f t="shared" ca="1" si="131"/>
        <v>45337</v>
      </c>
    </row>
    <row r="768" spans="1:21">
      <c r="A768" t="str">
        <f t="shared" si="127"/>
        <v>MEM0767</v>
      </c>
      <c r="B768" t="str">
        <f ca="1">INDEX('Name pool'!A:A, RANDBETWEEN(2, COUNTA('Name pool'!A:A))) &amp; " " &amp; INDEX('Name pool'!B:B, RANDBETWEEN(2, COUNTA('Name pool'!B:B)))</f>
        <v>Sanjay Chatterjee</v>
      </c>
      <c r="C768" t="s">
        <v>73</v>
      </c>
      <c r="D768" t="str">
        <f t="shared" ca="1" si="126"/>
        <v>BR03</v>
      </c>
      <c r="E768" t="str">
        <f t="shared" ca="1" si="132"/>
        <v>Standard</v>
      </c>
      <c r="F768" s="2">
        <v>45022</v>
      </c>
      <c r="G768" s="2">
        <v>45387</v>
      </c>
      <c r="H768">
        <v>3500</v>
      </c>
      <c r="I768">
        <f t="shared" ca="1" si="133"/>
        <v>14000</v>
      </c>
      <c r="J768">
        <v>5</v>
      </c>
      <c r="K768" t="str">
        <f t="shared" ca="1" si="134"/>
        <v>No</v>
      </c>
      <c r="L768" t="str">
        <f t="shared" ca="1" si="135"/>
        <v>General Fitness</v>
      </c>
      <c r="M768" t="str">
        <f t="shared" ca="1" si="136"/>
        <v>Active</v>
      </c>
      <c r="N768" s="2">
        <v>45940</v>
      </c>
      <c r="Q768" t="str">
        <f ca="1">IF(RAND()&lt;0.2,
    IF(RAND()&lt;0.5, LOWER(C768), UPPER(C768)),
    C768
)</f>
        <v>kochi</v>
      </c>
      <c r="R768">
        <f t="shared" ca="1" si="128"/>
        <v>5</v>
      </c>
      <c r="S768">
        <f t="shared" ca="1" si="129"/>
        <v>3500</v>
      </c>
      <c r="T768">
        <f t="shared" ca="1" si="130"/>
        <v>45062</v>
      </c>
      <c r="U768" s="2">
        <f t="shared" ca="1" si="131"/>
        <v>45940</v>
      </c>
    </row>
    <row r="769" spans="1:21">
      <c r="A769" t="str">
        <f t="shared" si="127"/>
        <v>MEM0768</v>
      </c>
      <c r="B769" t="str">
        <f ca="1">INDEX('Name pool'!A:A, RANDBETWEEN(2, COUNTA('Name pool'!A:A))) &amp; " " &amp; INDEX('Name pool'!B:B, RANDBETWEEN(2, COUNTA('Name pool'!B:B)))</f>
        <v>Karthik Khan</v>
      </c>
      <c r="C769" t="s">
        <v>73</v>
      </c>
      <c r="D769" t="str">
        <f t="shared" ca="1" si="126"/>
        <v>BR05</v>
      </c>
      <c r="E769" t="str">
        <f t="shared" ca="1" si="132"/>
        <v>Basic</v>
      </c>
      <c r="F769" s="2">
        <v>45211</v>
      </c>
      <c r="G769" s="2">
        <v>45576</v>
      </c>
      <c r="H769">
        <v>1000</v>
      </c>
      <c r="I769">
        <f t="shared" ca="1" si="133"/>
        <v>10000</v>
      </c>
      <c r="J769">
        <v>11</v>
      </c>
      <c r="K769" t="str">
        <f t="shared" ca="1" si="134"/>
        <v>Yes</v>
      </c>
      <c r="L769" t="str">
        <f t="shared" ca="1" si="135"/>
        <v>Weight Loss</v>
      </c>
      <c r="M769" t="str">
        <f t="shared" ca="1" si="136"/>
        <v>Active</v>
      </c>
      <c r="N769" s="2">
        <v>45831</v>
      </c>
      <c r="Q769" t="str">
        <f ca="1">IF(RAND()&lt;0.2,
    IF(RAND()&lt;0.5, LOWER(C769), UPPER(C769)),
    C769
)</f>
        <v>Kochi</v>
      </c>
      <c r="R769" t="str">
        <f t="shared" ca="1" si="128"/>
        <v>11 visits</v>
      </c>
      <c r="S769">
        <f t="shared" ca="1" si="129"/>
        <v>1000</v>
      </c>
      <c r="T769">
        <f t="shared" ca="1" si="130"/>
        <v>45553</v>
      </c>
      <c r="U769" s="2">
        <f t="shared" ca="1" si="131"/>
        <v>45831</v>
      </c>
    </row>
    <row r="770" spans="1:21">
      <c r="A770" t="str">
        <f t="shared" si="127"/>
        <v>MEM0769</v>
      </c>
      <c r="B770" t="str">
        <f ca="1">INDEX('Name pool'!A:A, RANDBETWEEN(2, COUNTA('Name pool'!A:A))) &amp; " " &amp; INDEX('Name pool'!B:B, RANDBETWEEN(2, COUNTA('Name pool'!B:B)))</f>
        <v>Pooja Shetty</v>
      </c>
      <c r="C770" t="s">
        <v>75</v>
      </c>
      <c r="D770" t="str">
        <f t="shared" ref="D770:D801" ca="1" si="137">CHOOSE(RANDBETWEEN(1,7),"BR01","BR02","BR03","BR04","BR05","BR06","BR07")</f>
        <v>BR04</v>
      </c>
      <c r="E770" t="str">
        <f t="shared" ca="1" si="132"/>
        <v>Standard</v>
      </c>
      <c r="F770" s="2">
        <v>45107</v>
      </c>
      <c r="G770" s="2">
        <v>45137</v>
      </c>
      <c r="H770">
        <v>2000</v>
      </c>
      <c r="I770">
        <f t="shared" ca="1" si="133"/>
        <v>18000</v>
      </c>
      <c r="J770">
        <v>21</v>
      </c>
      <c r="K770" t="str">
        <f t="shared" ca="1" si="134"/>
        <v>Yes</v>
      </c>
      <c r="L770" t="str">
        <f t="shared" ca="1" si="135"/>
        <v>Weight Loss</v>
      </c>
      <c r="M770" t="str">
        <f t="shared" ca="1" si="136"/>
        <v>Active</v>
      </c>
      <c r="N770" s="2">
        <v>45157</v>
      </c>
      <c r="Q770" t="str">
        <f ca="1">IF(RAND()&lt;0.2,
    IF(RAND()&lt;0.5, LOWER(C770), UPPER(C770)),
    C770
)</f>
        <v>Bangalore</v>
      </c>
      <c r="R770">
        <f t="shared" ca="1" si="128"/>
        <v>21</v>
      </c>
      <c r="S770">
        <f t="shared" ca="1" si="129"/>
        <v>2000</v>
      </c>
      <c r="T770">
        <f t="shared" ca="1" si="130"/>
        <v>45480</v>
      </c>
      <c r="U770" s="2">
        <f t="shared" ca="1" si="131"/>
        <v>45157</v>
      </c>
    </row>
    <row r="771" spans="1:21">
      <c r="A771" t="str">
        <f t="shared" ref="A771:A800" si="138">"MEM" &amp; TEXT(ROW()-1,"0000")</f>
        <v>MEM0770</v>
      </c>
      <c r="B771" t="str">
        <f ca="1">INDEX('Name pool'!A:A, RANDBETWEEN(2, COUNTA('Name pool'!A:A))) &amp; " " &amp; INDEX('Name pool'!B:B, RANDBETWEEN(2, COUNTA('Name pool'!B:B)))</f>
        <v>Priya Verma</v>
      </c>
      <c r="C771" t="s">
        <v>75</v>
      </c>
      <c r="D771" t="str">
        <f t="shared" ca="1" si="137"/>
        <v>BR01</v>
      </c>
      <c r="E771" t="str">
        <f t="shared" ca="1" si="132"/>
        <v>Basic</v>
      </c>
      <c r="F771" s="2">
        <v>45955</v>
      </c>
      <c r="G771" s="2">
        <v>45985</v>
      </c>
      <c r="H771">
        <v>3500</v>
      </c>
      <c r="I771">
        <f t="shared" ca="1" si="133"/>
        <v>42000</v>
      </c>
      <c r="J771" t="s">
        <v>136</v>
      </c>
      <c r="K771" t="str">
        <f t="shared" ca="1" si="134"/>
        <v>No</v>
      </c>
      <c r="L771" t="str">
        <f t="shared" ca="1" si="135"/>
        <v>General Fitness</v>
      </c>
      <c r="M771" t="str">
        <f t="shared" ca="1" si="136"/>
        <v>Active</v>
      </c>
      <c r="N771" s="2">
        <v>45970</v>
      </c>
      <c r="Q771" t="str">
        <f ca="1">IF(RAND()&lt;0.2,
    IF(RAND()&lt;0.5, LOWER(C771), UPPER(C771)),
    C771
)</f>
        <v>Bangalore</v>
      </c>
      <c r="R771" t="str">
        <f t="shared" ref="R771:R801" ca="1" si="139">IF(RAND()&lt;0.15,
    J771 &amp; " visits",
    J771
)</f>
        <v>12 visits</v>
      </c>
      <c r="S771">
        <f t="shared" ref="S771:S801" ca="1" si="140">IF(RAND()&lt;0.1,
    TEXT(H771,"0"),
    H771
)</f>
        <v>3500</v>
      </c>
      <c r="T771">
        <f t="shared" ref="T771:T801" ca="1" si="141">RANDBETWEEN(DATE(2023,1,1), DATE(2026,1,31))</f>
        <v>45893</v>
      </c>
      <c r="U771" s="2">
        <f t="shared" ref="U771:U801" ca="1" si="142">IF(AND(M771="Cancelled", RAND()&lt;0.5),
    F771 + RANDBETWEEN(10,50),
    N771
)</f>
        <v>45970</v>
      </c>
    </row>
    <row r="772" spans="1:21">
      <c r="A772" t="str">
        <f t="shared" si="138"/>
        <v>MEM0771</v>
      </c>
      <c r="B772" t="str">
        <f ca="1">INDEX('Name pool'!A:A, RANDBETWEEN(2, COUNTA('Name pool'!A:A))) &amp; " " &amp; INDEX('Name pool'!B:B, RANDBETWEEN(2, COUNTA('Name pool'!B:B)))</f>
        <v>Ishita Bhat</v>
      </c>
      <c r="C772" t="s">
        <v>129</v>
      </c>
      <c r="D772" t="str">
        <f t="shared" ca="1" si="137"/>
        <v>BR05</v>
      </c>
      <c r="E772" t="str">
        <f t="shared" ca="1" si="132"/>
        <v>Basic</v>
      </c>
      <c r="F772" s="2">
        <v>45851</v>
      </c>
      <c r="G772" s="2">
        <v>45881</v>
      </c>
      <c r="H772">
        <v>1000</v>
      </c>
      <c r="I772">
        <f t="shared" ca="1" si="133"/>
        <v>7000</v>
      </c>
      <c r="J772">
        <v>18</v>
      </c>
      <c r="K772" t="str">
        <f t="shared" ca="1" si="134"/>
        <v>Yes</v>
      </c>
      <c r="L772" t="str">
        <f t="shared" ca="1" si="135"/>
        <v>Weight Loss</v>
      </c>
      <c r="M772" t="str">
        <f t="shared" ca="1" si="136"/>
        <v>Active</v>
      </c>
      <c r="N772" s="2">
        <v>45918</v>
      </c>
      <c r="Q772" t="str">
        <f ca="1">IF(RAND()&lt;0.2,
    IF(RAND()&lt;0.5, LOWER(C772), UPPER(C772)),
    C772
)</f>
        <v>hyderabad</v>
      </c>
      <c r="R772">
        <f t="shared" ca="1" si="139"/>
        <v>18</v>
      </c>
      <c r="S772">
        <f t="shared" ca="1" si="140"/>
        <v>1000</v>
      </c>
      <c r="T772">
        <f t="shared" ca="1" si="141"/>
        <v>45223</v>
      </c>
      <c r="U772" s="2">
        <f t="shared" ca="1" si="142"/>
        <v>45918</v>
      </c>
    </row>
    <row r="773" spans="1:21">
      <c r="A773" t="str">
        <f t="shared" si="138"/>
        <v>MEM0772</v>
      </c>
      <c r="B773" t="str">
        <f ca="1">INDEX('Name pool'!A:A, RANDBETWEEN(2, COUNTA('Name pool'!A:A))) &amp; " " &amp; INDEX('Name pool'!B:B, RANDBETWEEN(2, COUNTA('Name pool'!B:B)))</f>
        <v>Sneha Naidu</v>
      </c>
      <c r="C773" t="s">
        <v>124</v>
      </c>
      <c r="D773" t="str">
        <f t="shared" ca="1" si="137"/>
        <v>BR04</v>
      </c>
      <c r="E773" t="str">
        <f t="shared" ca="1" si="132"/>
        <v>Standard</v>
      </c>
      <c r="F773" s="2">
        <v>45146</v>
      </c>
      <c r="G773" s="2">
        <v>45236</v>
      </c>
      <c r="H773">
        <v>2000</v>
      </c>
      <c r="I773">
        <f t="shared" ca="1" si="133"/>
        <v>10000</v>
      </c>
      <c r="J773">
        <v>15</v>
      </c>
      <c r="K773" t="str">
        <f t="shared" ca="1" si="134"/>
        <v>No</v>
      </c>
      <c r="L773" t="str">
        <f t="shared" ca="1" si="135"/>
        <v>Muscle Gain</v>
      </c>
      <c r="M773" t="str">
        <f t="shared" ca="1" si="136"/>
        <v>Active</v>
      </c>
      <c r="N773" s="2">
        <v>45535</v>
      </c>
      <c r="Q773" t="str">
        <f ca="1">IF(RAND()&lt;0.2,
    IF(RAND()&lt;0.5, LOWER(C773), UPPER(C773)),
    C773
)</f>
        <v>chennai</v>
      </c>
      <c r="R773" t="str">
        <f t="shared" ca="1" si="139"/>
        <v>15 visits</v>
      </c>
      <c r="S773">
        <f t="shared" ca="1" si="140"/>
        <v>2000</v>
      </c>
      <c r="T773">
        <f t="shared" ca="1" si="141"/>
        <v>45865</v>
      </c>
      <c r="U773" s="2">
        <f t="shared" ca="1" si="142"/>
        <v>45535</v>
      </c>
    </row>
    <row r="774" spans="1:21">
      <c r="A774" t="str">
        <f t="shared" si="138"/>
        <v>MEM0773</v>
      </c>
      <c r="B774" t="str">
        <f ca="1">INDEX('Name pool'!A:A, RANDBETWEEN(2, COUNTA('Name pool'!A:A))) &amp; " " &amp; INDEX('Name pool'!B:B, RANDBETWEEN(2, COUNTA('Name pool'!B:B)))</f>
        <v>Divya Singh</v>
      </c>
      <c r="C774" t="s">
        <v>132</v>
      </c>
      <c r="D774" t="str">
        <f t="shared" ca="1" si="137"/>
        <v>BR03</v>
      </c>
      <c r="E774" t="str">
        <f t="shared" ca="1" si="132"/>
        <v>Standard</v>
      </c>
      <c r="F774" s="2">
        <v>46053</v>
      </c>
      <c r="G774" s="2">
        <v>46083</v>
      </c>
      <c r="H774">
        <v>1000</v>
      </c>
      <c r="I774">
        <f t="shared" ca="1" si="133"/>
        <v>4000</v>
      </c>
      <c r="J774">
        <v>2</v>
      </c>
      <c r="K774" t="str">
        <f t="shared" ca="1" si="134"/>
        <v>Yes</v>
      </c>
      <c r="L774" t="str">
        <f t="shared" ca="1" si="135"/>
        <v>Weight Loss</v>
      </c>
      <c r="M774" t="str">
        <f t="shared" ca="1" si="136"/>
        <v>Cancelled</v>
      </c>
      <c r="N774" s="2">
        <v>46081</v>
      </c>
      <c r="Q774" t="str">
        <f ca="1">IF(RAND()&lt;0.2,
    IF(RAND()&lt;0.5, LOWER(C774), UPPER(C774)),
    C774
)</f>
        <v>calicut</v>
      </c>
      <c r="R774" t="str">
        <f t="shared" ca="1" si="139"/>
        <v>2 visits</v>
      </c>
      <c r="S774" t="str">
        <f t="shared" ca="1" si="140"/>
        <v>1000</v>
      </c>
      <c r="T774">
        <f t="shared" ca="1" si="141"/>
        <v>45067</v>
      </c>
      <c r="U774" s="2">
        <f t="shared" ca="1" si="142"/>
        <v>46081</v>
      </c>
    </row>
    <row r="775" spans="1:21">
      <c r="A775" t="str">
        <f t="shared" si="138"/>
        <v>MEM0774</v>
      </c>
      <c r="B775" t="str">
        <f ca="1">INDEX('Name pool'!A:A, RANDBETWEEN(2, COUNTA('Name pool'!A:A))) &amp; " " &amp; INDEX('Name pool'!B:B, RANDBETWEEN(2, COUNTA('Name pool'!B:B)))</f>
        <v>Kavya Fernandes</v>
      </c>
      <c r="C775" t="s">
        <v>85</v>
      </c>
      <c r="D775" t="str">
        <f t="shared" ca="1" si="137"/>
        <v>BR04</v>
      </c>
      <c r="E775" t="str">
        <f t="shared" ca="1" si="132"/>
        <v>Premium</v>
      </c>
      <c r="F775" s="2">
        <v>45281</v>
      </c>
      <c r="G775" s="2">
        <v>45311</v>
      </c>
      <c r="H775">
        <v>2000</v>
      </c>
      <c r="I775">
        <f t="shared" ca="1" si="133"/>
        <v>14000</v>
      </c>
      <c r="J775">
        <v>21</v>
      </c>
      <c r="K775" t="str">
        <f t="shared" ca="1" si="134"/>
        <v>Yes</v>
      </c>
      <c r="L775" t="str">
        <f t="shared" ca="1" si="135"/>
        <v>Weight Loss</v>
      </c>
      <c r="M775" t="str">
        <f t="shared" ca="1" si="136"/>
        <v>Active</v>
      </c>
      <c r="N775" s="2">
        <v>45424</v>
      </c>
      <c r="Q775" t="str">
        <f ca="1">IF(RAND()&lt;0.2,
    IF(RAND()&lt;0.5, LOWER(C775), UPPER(C775)),
    C775
)</f>
        <v>Calicut</v>
      </c>
      <c r="R775">
        <f t="shared" ca="1" si="139"/>
        <v>21</v>
      </c>
      <c r="S775">
        <f t="shared" ca="1" si="140"/>
        <v>2000</v>
      </c>
      <c r="T775">
        <f t="shared" ca="1" si="141"/>
        <v>46035</v>
      </c>
      <c r="U775" s="2">
        <f t="shared" ca="1" si="142"/>
        <v>45424</v>
      </c>
    </row>
    <row r="776" spans="1:21">
      <c r="A776" t="str">
        <f t="shared" si="138"/>
        <v>MEM0775</v>
      </c>
      <c r="B776" t="str">
        <f ca="1">INDEX('Name pool'!A:A, RANDBETWEEN(2, COUNTA('Name pool'!A:A))) &amp; " " &amp; INDEX('Name pool'!B:B, RANDBETWEEN(2, COUNTA('Name pool'!B:B)))</f>
        <v>Nisha Desai</v>
      </c>
      <c r="C776" t="s">
        <v>83</v>
      </c>
      <c r="D776" t="str">
        <f t="shared" ca="1" si="137"/>
        <v>BR02</v>
      </c>
      <c r="E776" t="str">
        <f t="shared" ca="1" si="132"/>
        <v>Premium</v>
      </c>
      <c r="F776" s="2">
        <v>45667</v>
      </c>
      <c r="G776" s="2">
        <v>45697</v>
      </c>
      <c r="H776">
        <v>3500</v>
      </c>
      <c r="I776">
        <f t="shared" ca="1" si="133"/>
        <v>7000</v>
      </c>
      <c r="J776" t="s">
        <v>109</v>
      </c>
      <c r="K776" t="str">
        <f t="shared" ca="1" si="134"/>
        <v>Yes</v>
      </c>
      <c r="L776" t="str">
        <f t="shared" ca="1" si="135"/>
        <v>Weight Loss</v>
      </c>
      <c r="M776" t="str">
        <f t="shared" ca="1" si="136"/>
        <v>Active</v>
      </c>
      <c r="N776" s="2">
        <v>45911</v>
      </c>
      <c r="Q776" t="str">
        <f ca="1">IF(RAND()&lt;0.2,
    IF(RAND()&lt;0.5, LOWER(C776), UPPER(C776)),
    C776
)</f>
        <v>Trivandrum</v>
      </c>
      <c r="R776" t="str">
        <f t="shared" ca="1" si="139"/>
        <v>8 visits</v>
      </c>
      <c r="S776">
        <f t="shared" ca="1" si="140"/>
        <v>3500</v>
      </c>
      <c r="T776">
        <f t="shared" ca="1" si="141"/>
        <v>45672</v>
      </c>
      <c r="U776" s="2">
        <f t="shared" ca="1" si="142"/>
        <v>45911</v>
      </c>
    </row>
    <row r="777" spans="1:21">
      <c r="A777" t="str">
        <f t="shared" si="138"/>
        <v>MEM0776</v>
      </c>
      <c r="B777" t="str">
        <f ca="1">INDEX('Name pool'!A:A, RANDBETWEEN(2, COUNTA('Name pool'!A:A))) &amp; " " &amp; INDEX('Name pool'!B:B, RANDBETWEEN(2, COUNTA('Name pool'!B:B)))</f>
        <v>Deepak Fernandes</v>
      </c>
      <c r="C777" t="s">
        <v>131</v>
      </c>
      <c r="D777" t="str">
        <f t="shared" ca="1" si="137"/>
        <v>BR06</v>
      </c>
      <c r="E777" t="str">
        <f t="shared" ca="1" si="132"/>
        <v>Basic</v>
      </c>
      <c r="F777" s="2">
        <v>45042</v>
      </c>
      <c r="G777" s="2">
        <v>45072</v>
      </c>
      <c r="H777">
        <v>3500</v>
      </c>
      <c r="I777">
        <f t="shared" ca="1" si="133"/>
        <v>31500</v>
      </c>
      <c r="J777">
        <v>21</v>
      </c>
      <c r="K777" t="str">
        <f t="shared" ca="1" si="134"/>
        <v>No</v>
      </c>
      <c r="L777" t="str">
        <f t="shared" ca="1" si="135"/>
        <v>Muscle Gain</v>
      </c>
      <c r="M777" t="str">
        <f t="shared" ca="1" si="136"/>
        <v>Active</v>
      </c>
      <c r="N777" s="2">
        <v>45194</v>
      </c>
      <c r="Q777" t="str">
        <f ca="1">IF(RAND()&lt;0.2,
    IF(RAND()&lt;0.5, LOWER(C777), UPPER(C777)),
    C777
)</f>
        <v>BANGALORE</v>
      </c>
      <c r="R777">
        <f t="shared" ca="1" si="139"/>
        <v>21</v>
      </c>
      <c r="S777">
        <f t="shared" ca="1" si="140"/>
        <v>3500</v>
      </c>
      <c r="T777">
        <f t="shared" ca="1" si="141"/>
        <v>45225</v>
      </c>
      <c r="U777" s="2">
        <f t="shared" ca="1" si="142"/>
        <v>45194</v>
      </c>
    </row>
    <row r="778" spans="1:21">
      <c r="A778" t="str">
        <f t="shared" si="138"/>
        <v>MEM0777</v>
      </c>
      <c r="B778" t="str">
        <f ca="1">INDEX('Name pool'!A:A, RANDBETWEEN(2, COUNTA('Name pool'!A:A))) &amp; " " &amp; INDEX('Name pool'!B:B, RANDBETWEEN(2, COUNTA('Name pool'!B:B)))</f>
        <v>Deepak Chatterjee</v>
      </c>
      <c r="C778" t="s">
        <v>75</v>
      </c>
      <c r="D778" t="str">
        <f t="shared" ca="1" si="137"/>
        <v>BR04</v>
      </c>
      <c r="E778" t="str">
        <f t="shared" ca="1" si="132"/>
        <v>Premium</v>
      </c>
      <c r="F778" s="2">
        <v>44947</v>
      </c>
      <c r="G778" s="2">
        <v>45037</v>
      </c>
      <c r="H778">
        <v>2000</v>
      </c>
      <c r="I778">
        <f t="shared" ca="1" si="133"/>
        <v>6000</v>
      </c>
      <c r="J778">
        <v>15</v>
      </c>
      <c r="K778" t="str">
        <f t="shared" ca="1" si="134"/>
        <v>Yes</v>
      </c>
      <c r="L778" t="str">
        <f t="shared" ca="1" si="135"/>
        <v>General Fitness</v>
      </c>
      <c r="M778" t="str">
        <f t="shared" ca="1" si="136"/>
        <v>Active</v>
      </c>
      <c r="N778" s="2">
        <v>45235</v>
      </c>
      <c r="Q778" t="str">
        <f ca="1">IF(RAND()&lt;0.2,
    IF(RAND()&lt;0.5, LOWER(C778), UPPER(C778)),
    C778
)</f>
        <v>Bangalore</v>
      </c>
      <c r="R778" t="str">
        <f t="shared" ca="1" si="139"/>
        <v>15 visits</v>
      </c>
      <c r="S778">
        <f t="shared" ca="1" si="140"/>
        <v>2000</v>
      </c>
      <c r="T778">
        <f t="shared" ca="1" si="141"/>
        <v>44985</v>
      </c>
      <c r="U778" s="2">
        <f t="shared" ca="1" si="142"/>
        <v>45235</v>
      </c>
    </row>
    <row r="779" spans="1:21">
      <c r="A779" t="str">
        <f t="shared" si="138"/>
        <v>MEM0778</v>
      </c>
      <c r="B779" t="str">
        <f ca="1">INDEX('Name pool'!A:A, RANDBETWEEN(2, COUNTA('Name pool'!A:A))) &amp; " " &amp; INDEX('Name pool'!B:B, RANDBETWEEN(2, COUNTA('Name pool'!B:B)))</f>
        <v>Ayesha Mathew</v>
      </c>
      <c r="C779" t="s">
        <v>73</v>
      </c>
      <c r="D779" t="str">
        <f t="shared" ca="1" si="137"/>
        <v>BR04</v>
      </c>
      <c r="E779" t="str">
        <f t="shared" ca="1" si="132"/>
        <v>Standard</v>
      </c>
      <c r="F779" s="2">
        <v>45166</v>
      </c>
      <c r="G779" s="2">
        <v>45196</v>
      </c>
      <c r="H779">
        <v>1000</v>
      </c>
      <c r="I779">
        <f t="shared" ca="1" si="133"/>
        <v>4000</v>
      </c>
      <c r="J779" t="s">
        <v>142</v>
      </c>
      <c r="K779" t="str">
        <f t="shared" ca="1" si="134"/>
        <v>Yes</v>
      </c>
      <c r="L779" t="str">
        <f t="shared" ca="1" si="135"/>
        <v>Muscle Gain</v>
      </c>
      <c r="M779" t="str">
        <f t="shared" ca="1" si="136"/>
        <v>Active</v>
      </c>
      <c r="N779" s="2">
        <v>46118</v>
      </c>
      <c r="Q779" t="str">
        <f ca="1">IF(RAND()&lt;0.2,
    IF(RAND()&lt;0.5, LOWER(C779), UPPER(C779)),
    C779
)</f>
        <v>Kochi</v>
      </c>
      <c r="R779" t="str">
        <f t="shared" ca="1" si="139"/>
        <v>24 visits</v>
      </c>
      <c r="S779">
        <f t="shared" ca="1" si="140"/>
        <v>1000</v>
      </c>
      <c r="T779">
        <f t="shared" ca="1" si="141"/>
        <v>45392</v>
      </c>
      <c r="U779" s="2">
        <f t="shared" ca="1" si="142"/>
        <v>46118</v>
      </c>
    </row>
    <row r="780" spans="1:21">
      <c r="A780" t="str">
        <f t="shared" si="138"/>
        <v>MEM0779</v>
      </c>
      <c r="B780" t="str">
        <f ca="1">INDEX('Name pool'!A:A, RANDBETWEEN(2, COUNTA('Name pool'!A:A))) &amp; " " &amp; INDEX('Name pool'!B:B, RANDBETWEEN(2, COUNTA('Name pool'!B:B)))</f>
        <v>Varun Kapoor</v>
      </c>
      <c r="C780" t="s">
        <v>75</v>
      </c>
      <c r="D780" t="str">
        <f t="shared" ca="1" si="137"/>
        <v>BR02</v>
      </c>
      <c r="E780" t="str">
        <f t="shared" ca="1" si="132"/>
        <v>Basic</v>
      </c>
      <c r="F780" s="2">
        <v>45258</v>
      </c>
      <c r="G780" s="2">
        <v>45348</v>
      </c>
      <c r="H780">
        <v>3500</v>
      </c>
      <c r="I780">
        <f t="shared" ca="1" si="133"/>
        <v>28000</v>
      </c>
      <c r="J780">
        <v>18</v>
      </c>
      <c r="K780" t="str">
        <f t="shared" ca="1" si="134"/>
        <v>No</v>
      </c>
      <c r="L780" t="str">
        <f t="shared" ca="1" si="135"/>
        <v>Weight Loss</v>
      </c>
      <c r="M780" t="str">
        <f t="shared" ca="1" si="136"/>
        <v>Active</v>
      </c>
      <c r="N780" s="2">
        <v>45898</v>
      </c>
      <c r="Q780" t="str">
        <f ca="1">IF(RAND()&lt;0.2,
    IF(RAND()&lt;0.5, LOWER(C780), UPPER(C780)),
    C780
)</f>
        <v>Bangalore</v>
      </c>
      <c r="R780">
        <f t="shared" ca="1" si="139"/>
        <v>18</v>
      </c>
      <c r="S780">
        <f t="shared" ca="1" si="140"/>
        <v>3500</v>
      </c>
      <c r="T780">
        <f t="shared" ca="1" si="141"/>
        <v>45389</v>
      </c>
      <c r="U780" s="2">
        <f t="shared" ca="1" si="142"/>
        <v>45898</v>
      </c>
    </row>
    <row r="781" spans="1:21">
      <c r="A781" t="str">
        <f t="shared" si="138"/>
        <v>MEM0780</v>
      </c>
      <c r="B781" t="str">
        <f ca="1">INDEX('Name pool'!A:A, RANDBETWEEN(2, COUNTA('Name pool'!A:A))) &amp; " " &amp; INDEX('Name pool'!B:B, RANDBETWEEN(2, COUNTA('Name pool'!B:B)))</f>
        <v>Ankit Joshi</v>
      </c>
      <c r="C781" t="s">
        <v>81</v>
      </c>
      <c r="D781" t="str">
        <f t="shared" ca="1" si="137"/>
        <v>BR02</v>
      </c>
      <c r="E781" t="str">
        <f t="shared" ca="1" si="132"/>
        <v>Basic</v>
      </c>
      <c r="F781" s="2">
        <v>45117</v>
      </c>
      <c r="G781" s="2">
        <v>45147</v>
      </c>
      <c r="H781">
        <v>2000</v>
      </c>
      <c r="I781">
        <f t="shared" ca="1" si="133"/>
        <v>2000</v>
      </c>
      <c r="J781">
        <v>2</v>
      </c>
      <c r="K781" t="str">
        <f t="shared" ca="1" si="134"/>
        <v>No</v>
      </c>
      <c r="L781" t="str">
        <f t="shared" ca="1" si="135"/>
        <v>Weight Loss</v>
      </c>
      <c r="M781" t="str">
        <f t="shared" ca="1" si="136"/>
        <v>Cancelled</v>
      </c>
      <c r="N781" s="2">
        <v>45309</v>
      </c>
      <c r="Q781" t="str">
        <f ca="1">IF(RAND()&lt;0.2,
    IF(RAND()&lt;0.5, LOWER(C781), UPPER(C781)),
    C781
)</f>
        <v>Mumbai</v>
      </c>
      <c r="R781">
        <f t="shared" ca="1" si="139"/>
        <v>2</v>
      </c>
      <c r="S781">
        <f t="shared" ca="1" si="140"/>
        <v>2000</v>
      </c>
      <c r="T781">
        <f t="shared" ca="1" si="141"/>
        <v>45249</v>
      </c>
      <c r="U781" s="2">
        <f t="shared" ca="1" si="142"/>
        <v>45128</v>
      </c>
    </row>
    <row r="782" spans="1:21">
      <c r="A782" t="str">
        <f t="shared" si="138"/>
        <v>MEM0781</v>
      </c>
      <c r="B782" t="str">
        <f ca="1">INDEX('Name pool'!A:A, RANDBETWEEN(2, COUNTA('Name pool'!A:A))) &amp; " " &amp; INDEX('Name pool'!B:B, RANDBETWEEN(2, COUNTA('Name pool'!B:B)))</f>
        <v>Nisha Varghese</v>
      </c>
      <c r="C782" t="s">
        <v>77</v>
      </c>
      <c r="D782" t="str">
        <f t="shared" ca="1" si="137"/>
        <v>BR06</v>
      </c>
      <c r="E782" t="str">
        <f t="shared" ca="1" si="132"/>
        <v>Premium</v>
      </c>
      <c r="F782" s="2">
        <v>44958</v>
      </c>
      <c r="G782" s="2">
        <v>44988</v>
      </c>
      <c r="H782">
        <v>3500</v>
      </c>
      <c r="I782">
        <f t="shared" ca="1" si="133"/>
        <v>28000</v>
      </c>
      <c r="J782">
        <v>7</v>
      </c>
      <c r="K782" t="str">
        <f t="shared" ca="1" si="134"/>
        <v>No</v>
      </c>
      <c r="L782" t="str">
        <f t="shared" ca="1" si="135"/>
        <v>Weight Loss</v>
      </c>
      <c r="M782" t="str">
        <f t="shared" ca="1" si="136"/>
        <v>Active</v>
      </c>
      <c r="N782" s="2">
        <v>45056</v>
      </c>
      <c r="Q782" t="str">
        <f ca="1">IF(RAND()&lt;0.2,
    IF(RAND()&lt;0.5, LOWER(C782), UPPER(C782)),
    C782
)</f>
        <v>Chennai</v>
      </c>
      <c r="R782">
        <f t="shared" ca="1" si="139"/>
        <v>7</v>
      </c>
      <c r="S782">
        <f t="shared" ca="1" si="140"/>
        <v>3500</v>
      </c>
      <c r="T782">
        <f t="shared" ca="1" si="141"/>
        <v>45731</v>
      </c>
      <c r="U782" s="2">
        <f t="shared" ca="1" si="142"/>
        <v>45056</v>
      </c>
    </row>
    <row r="783" spans="1:21">
      <c r="A783" t="str">
        <f t="shared" si="138"/>
        <v>MEM0782</v>
      </c>
      <c r="B783" t="str">
        <f ca="1">INDEX('Name pool'!A:A, RANDBETWEEN(2, COUNTA('Name pool'!A:A))) &amp; " " &amp; INDEX('Name pool'!B:B, RANDBETWEEN(2, COUNTA('Name pool'!B:B)))</f>
        <v>Meera Nambiar</v>
      </c>
      <c r="C783" t="s">
        <v>73</v>
      </c>
      <c r="D783" t="str">
        <f t="shared" ca="1" si="137"/>
        <v>BR07</v>
      </c>
      <c r="E783" t="str">
        <f t="shared" ca="1" si="132"/>
        <v>Premium</v>
      </c>
      <c r="F783" s="2">
        <v>45144</v>
      </c>
      <c r="G783" s="2">
        <v>45174</v>
      </c>
      <c r="H783">
        <v>1000</v>
      </c>
      <c r="I783">
        <f t="shared" ca="1" si="133"/>
        <v>1000</v>
      </c>
      <c r="J783">
        <v>17</v>
      </c>
      <c r="K783" t="str">
        <f t="shared" ca="1" si="134"/>
        <v>No</v>
      </c>
      <c r="L783" t="str">
        <f t="shared" ca="1" si="135"/>
        <v>General Fitness</v>
      </c>
      <c r="M783" t="str">
        <f t="shared" ca="1" si="136"/>
        <v>Active</v>
      </c>
      <c r="N783" s="2">
        <v>45711</v>
      </c>
      <c r="Q783" t="str">
        <f ca="1">IF(RAND()&lt;0.2,
    IF(RAND()&lt;0.5, LOWER(C783), UPPER(C783)),
    C783
)</f>
        <v>KOCHI</v>
      </c>
      <c r="R783">
        <f t="shared" ca="1" si="139"/>
        <v>17</v>
      </c>
      <c r="S783">
        <f t="shared" ca="1" si="140"/>
        <v>1000</v>
      </c>
      <c r="T783">
        <f t="shared" ca="1" si="141"/>
        <v>45190</v>
      </c>
      <c r="U783" s="2">
        <f t="shared" ca="1" si="142"/>
        <v>45711</v>
      </c>
    </row>
    <row r="784" spans="1:21">
      <c r="A784" t="str">
        <f t="shared" si="138"/>
        <v>MEM0783</v>
      </c>
      <c r="B784" t="str">
        <f ca="1">INDEX('Name pool'!A:A, RANDBETWEEN(2, COUNTA('Name pool'!A:A))) &amp; " " &amp; INDEX('Name pool'!B:B, RANDBETWEEN(2, COUNTA('Name pool'!B:B)))</f>
        <v>Nisha Desai</v>
      </c>
      <c r="C784" t="s">
        <v>75</v>
      </c>
      <c r="D784" t="str">
        <f t="shared" ca="1" si="137"/>
        <v>BR02</v>
      </c>
      <c r="E784" t="str">
        <f t="shared" ca="1" si="132"/>
        <v>Premium</v>
      </c>
      <c r="F784" s="2">
        <v>45997</v>
      </c>
      <c r="G784" s="2">
        <v>46362</v>
      </c>
      <c r="H784">
        <v>2000</v>
      </c>
      <c r="I784">
        <f t="shared" ca="1" si="133"/>
        <v>16000</v>
      </c>
      <c r="J784">
        <v>9</v>
      </c>
      <c r="K784" t="str">
        <f t="shared" ca="1" si="134"/>
        <v>No</v>
      </c>
      <c r="L784" t="str">
        <f t="shared" ca="1" si="135"/>
        <v>Muscle Gain</v>
      </c>
      <c r="M784" t="str">
        <f t="shared" ca="1" si="136"/>
        <v>Active</v>
      </c>
      <c r="N784" s="2">
        <v>46016</v>
      </c>
      <c r="Q784" t="str">
        <f ca="1">IF(RAND()&lt;0.2,
    IF(RAND()&lt;0.5, LOWER(C784), UPPER(C784)),
    C784
)</f>
        <v>bangalore</v>
      </c>
      <c r="R784">
        <f t="shared" ca="1" si="139"/>
        <v>9</v>
      </c>
      <c r="S784">
        <f t="shared" ca="1" si="140"/>
        <v>2000</v>
      </c>
      <c r="T784">
        <f t="shared" ca="1" si="141"/>
        <v>45354</v>
      </c>
      <c r="U784" s="2">
        <f t="shared" ca="1" si="142"/>
        <v>46016</v>
      </c>
    </row>
    <row r="785" spans="1:21">
      <c r="A785" t="str">
        <f t="shared" si="138"/>
        <v>MEM0784</v>
      </c>
      <c r="B785" t="str">
        <f ca="1">INDEX('Name pool'!A:A, RANDBETWEEN(2, COUNTA('Name pool'!A:A))) &amp; " " &amp; INDEX('Name pool'!B:B, RANDBETWEEN(2, COUNTA('Name pool'!B:B)))</f>
        <v>Rahul Agarwal</v>
      </c>
      <c r="C785" t="s">
        <v>85</v>
      </c>
      <c r="D785" t="str">
        <f t="shared" ca="1" si="137"/>
        <v>BR06</v>
      </c>
      <c r="E785" t="str">
        <f t="shared" ca="1" si="132"/>
        <v>Basic</v>
      </c>
      <c r="F785" s="2">
        <v>45298</v>
      </c>
      <c r="G785" s="2">
        <v>45663</v>
      </c>
      <c r="H785">
        <v>2000</v>
      </c>
      <c r="I785">
        <f t="shared" ca="1" si="133"/>
        <v>20000</v>
      </c>
      <c r="J785">
        <v>4</v>
      </c>
      <c r="K785" t="str">
        <f t="shared" ca="1" si="134"/>
        <v>Yes</v>
      </c>
      <c r="L785" t="str">
        <f t="shared" ca="1" si="135"/>
        <v>General Fitness</v>
      </c>
      <c r="M785" t="str">
        <f t="shared" ca="1" si="136"/>
        <v>Cancelled</v>
      </c>
      <c r="N785" s="2">
        <v>45611</v>
      </c>
      <c r="Q785" t="str">
        <f ca="1">IF(RAND()&lt;0.2,
    IF(RAND()&lt;0.5, LOWER(C785), UPPER(C785)),
    C785
)</f>
        <v>Calicut</v>
      </c>
      <c r="R785">
        <f t="shared" ca="1" si="139"/>
        <v>4</v>
      </c>
      <c r="S785">
        <f t="shared" ca="1" si="140"/>
        <v>2000</v>
      </c>
      <c r="T785">
        <f t="shared" ca="1" si="141"/>
        <v>45021</v>
      </c>
      <c r="U785" s="2">
        <f t="shared" ca="1" si="142"/>
        <v>45611</v>
      </c>
    </row>
    <row r="786" spans="1:21">
      <c r="A786" t="str">
        <f t="shared" si="138"/>
        <v>MEM0785</v>
      </c>
      <c r="B786" t="str">
        <f ca="1">INDEX('Name pool'!A:A, RANDBETWEEN(2, COUNTA('Name pool'!A:A))) &amp; " " &amp; INDEX('Name pool'!B:B, RANDBETWEEN(2, COUNTA('Name pool'!B:B)))</f>
        <v>Anu Desai</v>
      </c>
      <c r="C786" t="s">
        <v>77</v>
      </c>
      <c r="D786" t="str">
        <f t="shared" ca="1" si="137"/>
        <v>BR07</v>
      </c>
      <c r="E786" t="str">
        <f t="shared" ca="1" si="132"/>
        <v>Standard</v>
      </c>
      <c r="F786" s="2">
        <v>45563</v>
      </c>
      <c r="G786" s="2">
        <v>45653</v>
      </c>
      <c r="H786">
        <v>2000</v>
      </c>
      <c r="I786">
        <f t="shared" ca="1" si="133"/>
        <v>6000</v>
      </c>
      <c r="J786">
        <v>21</v>
      </c>
      <c r="K786" t="str">
        <f t="shared" ca="1" si="134"/>
        <v>Yes</v>
      </c>
      <c r="L786" t="str">
        <f t="shared" ca="1" si="135"/>
        <v>Muscle Gain</v>
      </c>
      <c r="M786" t="str">
        <f t="shared" ca="1" si="136"/>
        <v>Active</v>
      </c>
      <c r="N786" s="2">
        <v>46088</v>
      </c>
      <c r="Q786" t="str">
        <f ca="1">IF(RAND()&lt;0.2,
    IF(RAND()&lt;0.5, LOWER(C786), UPPER(C786)),
    C786
)</f>
        <v>Chennai</v>
      </c>
      <c r="R786">
        <f t="shared" ca="1" si="139"/>
        <v>21</v>
      </c>
      <c r="S786">
        <f t="shared" ca="1" si="140"/>
        <v>2000</v>
      </c>
      <c r="T786">
        <f t="shared" ca="1" si="141"/>
        <v>44986</v>
      </c>
      <c r="U786" s="2">
        <f t="shared" ca="1" si="142"/>
        <v>46088</v>
      </c>
    </row>
    <row r="787" spans="1:21">
      <c r="A787" t="str">
        <f t="shared" si="138"/>
        <v>MEM0786</v>
      </c>
      <c r="B787" t="str">
        <f ca="1">INDEX('Name pool'!A:A, RANDBETWEEN(2, COUNTA('Name pool'!A:A))) &amp; " " &amp; INDEX('Name pool'!B:B, RANDBETWEEN(2, COUNTA('Name pool'!B:B)))</f>
        <v>Varun Verma</v>
      </c>
      <c r="C787" t="s">
        <v>73</v>
      </c>
      <c r="D787" t="str">
        <f t="shared" ca="1" si="137"/>
        <v>BR05</v>
      </c>
      <c r="E787" t="str">
        <f t="shared" ca="1" si="132"/>
        <v>Premium</v>
      </c>
      <c r="F787" s="2">
        <v>46043</v>
      </c>
      <c r="G787" s="2">
        <v>46073</v>
      </c>
      <c r="H787">
        <v>1000</v>
      </c>
      <c r="I787">
        <f t="shared" ca="1" si="133"/>
        <v>1000</v>
      </c>
      <c r="J787">
        <v>5</v>
      </c>
      <c r="K787" t="str">
        <f t="shared" ca="1" si="134"/>
        <v>Yes</v>
      </c>
      <c r="L787" t="str">
        <f t="shared" ca="1" si="135"/>
        <v>Weight Loss</v>
      </c>
      <c r="M787" t="str">
        <f t="shared" ca="1" si="136"/>
        <v>Active</v>
      </c>
      <c r="N787" s="2">
        <v>46116</v>
      </c>
      <c r="Q787" t="str">
        <f ca="1">IF(RAND()&lt;0.2,
    IF(RAND()&lt;0.5, LOWER(C787), UPPER(C787)),
    C787
)</f>
        <v>Kochi</v>
      </c>
      <c r="R787">
        <f t="shared" ca="1" si="139"/>
        <v>5</v>
      </c>
      <c r="S787">
        <f t="shared" ca="1" si="140"/>
        <v>1000</v>
      </c>
      <c r="T787">
        <f t="shared" ca="1" si="141"/>
        <v>45917</v>
      </c>
      <c r="U787" s="2">
        <f t="shared" ca="1" si="142"/>
        <v>46116</v>
      </c>
    </row>
    <row r="788" spans="1:21">
      <c r="A788" t="str">
        <f t="shared" si="138"/>
        <v>MEM0787</v>
      </c>
      <c r="B788" t="str">
        <f ca="1">INDEX('Name pool'!A:A, RANDBETWEEN(2, COUNTA('Name pool'!A:A))) &amp; " " &amp; INDEX('Name pool'!B:B, RANDBETWEEN(2, COUNTA('Name pool'!B:B)))</f>
        <v>Ishita Nair</v>
      </c>
      <c r="C788" t="s">
        <v>85</v>
      </c>
      <c r="D788" t="str">
        <f t="shared" ca="1" si="137"/>
        <v>BR07</v>
      </c>
      <c r="E788" t="str">
        <f t="shared" ca="1" si="132"/>
        <v>Standard</v>
      </c>
      <c r="F788" s="2">
        <v>45957</v>
      </c>
      <c r="G788" s="2">
        <v>46322</v>
      </c>
      <c r="H788">
        <v>2000</v>
      </c>
      <c r="I788">
        <f t="shared" ca="1" si="133"/>
        <v>14000</v>
      </c>
      <c r="J788">
        <v>5</v>
      </c>
      <c r="K788" t="str">
        <f t="shared" ca="1" si="134"/>
        <v>No</v>
      </c>
      <c r="L788" t="str">
        <f t="shared" ca="1" si="135"/>
        <v>General Fitness</v>
      </c>
      <c r="M788" t="str">
        <f t="shared" ca="1" si="136"/>
        <v>Active</v>
      </c>
      <c r="N788" s="2">
        <v>46101</v>
      </c>
      <c r="Q788" t="str">
        <f ca="1">IF(RAND()&lt;0.2,
    IF(RAND()&lt;0.5, LOWER(C788), UPPER(C788)),
    C788
)</f>
        <v>Calicut</v>
      </c>
      <c r="R788">
        <f t="shared" ca="1" si="139"/>
        <v>5</v>
      </c>
      <c r="S788">
        <f t="shared" ca="1" si="140"/>
        <v>2000</v>
      </c>
      <c r="T788">
        <f t="shared" ca="1" si="141"/>
        <v>45255</v>
      </c>
      <c r="U788" s="2">
        <f t="shared" ca="1" si="142"/>
        <v>46101</v>
      </c>
    </row>
    <row r="789" spans="1:21">
      <c r="A789" t="str">
        <f t="shared" si="138"/>
        <v>MEM0788</v>
      </c>
      <c r="B789" t="str">
        <f ca="1">INDEX('Name pool'!A:A, RANDBETWEEN(2, COUNTA('Name pool'!A:A))) &amp; " " &amp; INDEX('Name pool'!B:B, RANDBETWEEN(2, COUNTA('Name pool'!B:B)))</f>
        <v>Deepak Mathew</v>
      </c>
      <c r="C789" t="s">
        <v>75</v>
      </c>
      <c r="D789" t="str">
        <f t="shared" ca="1" si="137"/>
        <v>BR04</v>
      </c>
      <c r="E789" t="str">
        <f t="shared" ca="1" si="132"/>
        <v>Standard</v>
      </c>
      <c r="F789" s="2">
        <v>45614</v>
      </c>
      <c r="G789" s="2">
        <v>45644</v>
      </c>
      <c r="H789">
        <v>3500</v>
      </c>
      <c r="I789">
        <f t="shared" ca="1" si="133"/>
        <v>21000</v>
      </c>
      <c r="J789">
        <v>11</v>
      </c>
      <c r="K789" t="str">
        <f t="shared" ca="1" si="134"/>
        <v>No</v>
      </c>
      <c r="L789" t="str">
        <f t="shared" ca="1" si="135"/>
        <v>Muscle Gain</v>
      </c>
      <c r="M789" t="str">
        <f t="shared" ca="1" si="136"/>
        <v>Active</v>
      </c>
      <c r="N789" s="2">
        <v>45717</v>
      </c>
      <c r="Q789" t="str">
        <f ca="1">IF(RAND()&lt;0.2,
    IF(RAND()&lt;0.5, LOWER(C789), UPPER(C789)),
    C789
)</f>
        <v>Bangalore</v>
      </c>
      <c r="R789">
        <f t="shared" ca="1" si="139"/>
        <v>11</v>
      </c>
      <c r="S789">
        <f t="shared" ca="1" si="140"/>
        <v>3500</v>
      </c>
      <c r="T789">
        <f t="shared" ca="1" si="141"/>
        <v>45980</v>
      </c>
      <c r="U789" s="2">
        <f t="shared" ca="1" si="142"/>
        <v>45717</v>
      </c>
    </row>
    <row r="790" spans="1:21">
      <c r="A790" t="str">
        <f t="shared" si="138"/>
        <v>MEM0789</v>
      </c>
      <c r="B790" t="str">
        <f ca="1">INDEX('Name pool'!A:A, RANDBETWEEN(2, COUNTA('Name pool'!A:A))) &amp; " " &amp; INDEX('Name pool'!B:B, RANDBETWEEN(2, COUNTA('Name pool'!B:B)))</f>
        <v>Karthik Kapoor</v>
      </c>
      <c r="C790" t="s">
        <v>75</v>
      </c>
      <c r="D790" t="str">
        <f t="shared" ca="1" si="137"/>
        <v>BR01</v>
      </c>
      <c r="E790" t="str">
        <f t="shared" ca="1" si="132"/>
        <v>Standard</v>
      </c>
      <c r="F790" s="2">
        <v>45175</v>
      </c>
      <c r="G790" s="2">
        <v>45205</v>
      </c>
      <c r="H790">
        <v>2000</v>
      </c>
      <c r="I790">
        <f t="shared" ca="1" si="133"/>
        <v>10000</v>
      </c>
      <c r="J790">
        <v>21</v>
      </c>
      <c r="K790" t="str">
        <f t="shared" ca="1" si="134"/>
        <v>No</v>
      </c>
      <c r="L790" t="str">
        <f t="shared" ca="1" si="135"/>
        <v>General Fitness</v>
      </c>
      <c r="M790" t="str">
        <f t="shared" ca="1" si="136"/>
        <v>Active</v>
      </c>
      <c r="N790" s="2">
        <v>45934</v>
      </c>
      <c r="Q790" t="str">
        <f ca="1">IF(RAND()&lt;0.2,
    IF(RAND()&lt;0.5, LOWER(C790), UPPER(C790)),
    C790
)</f>
        <v>Bangalore</v>
      </c>
      <c r="R790" t="str">
        <f t="shared" ca="1" si="139"/>
        <v>21 visits</v>
      </c>
      <c r="S790">
        <f t="shared" ca="1" si="140"/>
        <v>2000</v>
      </c>
      <c r="T790">
        <f t="shared" ca="1" si="141"/>
        <v>45602</v>
      </c>
      <c r="U790" s="2">
        <f t="shared" ca="1" si="142"/>
        <v>45934</v>
      </c>
    </row>
    <row r="791" spans="1:21">
      <c r="A791" t="str">
        <f t="shared" si="138"/>
        <v>MEM0790</v>
      </c>
      <c r="B791" t="str">
        <f ca="1">INDEX('Name pool'!A:A, RANDBETWEEN(2, COUNTA('Name pool'!A:A))) &amp; " " &amp; INDEX('Name pool'!B:B, RANDBETWEEN(2, COUNTA('Name pool'!B:B)))</f>
        <v>Swathi Kapoor</v>
      </c>
      <c r="C791" t="s">
        <v>75</v>
      </c>
      <c r="D791" t="str">
        <f t="shared" ca="1" si="137"/>
        <v>BR06</v>
      </c>
      <c r="E791" t="str">
        <f t="shared" ca="1" si="132"/>
        <v>Premium</v>
      </c>
      <c r="F791" s="2">
        <v>45936</v>
      </c>
      <c r="G791" s="2">
        <v>46301</v>
      </c>
      <c r="H791">
        <v>1000</v>
      </c>
      <c r="I791">
        <f t="shared" ca="1" si="133"/>
        <v>11000</v>
      </c>
      <c r="J791">
        <v>1</v>
      </c>
      <c r="K791" t="str">
        <f t="shared" ca="1" si="134"/>
        <v>No</v>
      </c>
      <c r="L791" t="str">
        <f t="shared" ca="1" si="135"/>
        <v>Muscle Gain</v>
      </c>
      <c r="M791" t="str">
        <f t="shared" ca="1" si="136"/>
        <v>Active</v>
      </c>
      <c r="N791" s="2">
        <v>46124</v>
      </c>
      <c r="Q791" t="str">
        <f ca="1">IF(RAND()&lt;0.2,
    IF(RAND()&lt;0.5, LOWER(C791), UPPER(C791)),
    C791
)</f>
        <v>Bangalore</v>
      </c>
      <c r="R791">
        <f t="shared" ca="1" si="139"/>
        <v>1</v>
      </c>
      <c r="S791">
        <f t="shared" ca="1" si="140"/>
        <v>1000</v>
      </c>
      <c r="T791">
        <f t="shared" ca="1" si="141"/>
        <v>45716</v>
      </c>
      <c r="U791" s="2">
        <f t="shared" ca="1" si="142"/>
        <v>46124</v>
      </c>
    </row>
    <row r="792" spans="1:21">
      <c r="A792" t="str">
        <f t="shared" si="138"/>
        <v>MEM0791</v>
      </c>
      <c r="B792" t="str">
        <f ca="1">INDEX('Name pool'!A:A, RANDBETWEEN(2, COUNTA('Name pool'!A:A))) &amp; " " &amp; INDEX('Name pool'!B:B, RANDBETWEEN(2, COUNTA('Name pool'!B:B)))</f>
        <v>Aditya D’Souza</v>
      </c>
      <c r="C792" t="s">
        <v>123</v>
      </c>
      <c r="D792" t="str">
        <f t="shared" ca="1" si="137"/>
        <v>BR06</v>
      </c>
      <c r="E792" t="str">
        <f t="shared" ca="1" si="132"/>
        <v>Standard</v>
      </c>
      <c r="F792" s="2">
        <v>45364</v>
      </c>
      <c r="G792" s="2">
        <v>45454</v>
      </c>
      <c r="H792">
        <v>1000</v>
      </c>
      <c r="I792">
        <f t="shared" ca="1" si="133"/>
        <v>2000</v>
      </c>
      <c r="J792">
        <v>6</v>
      </c>
      <c r="K792" t="str">
        <f t="shared" ca="1" si="134"/>
        <v>No</v>
      </c>
      <c r="L792" t="str">
        <f t="shared" ca="1" si="135"/>
        <v>Weight Loss</v>
      </c>
      <c r="M792" t="str">
        <f t="shared" ca="1" si="136"/>
        <v>Active</v>
      </c>
      <c r="N792" s="2">
        <v>45731</v>
      </c>
      <c r="Q792" t="str">
        <f ca="1">IF(RAND()&lt;0.2,
    IF(RAND()&lt;0.5, LOWER(C792), UPPER(C792)),
    C792
)</f>
        <v>KOCHI</v>
      </c>
      <c r="R792" t="str">
        <f t="shared" ca="1" si="139"/>
        <v>6 visits</v>
      </c>
      <c r="S792">
        <f t="shared" ca="1" si="140"/>
        <v>1000</v>
      </c>
      <c r="T792">
        <f t="shared" ca="1" si="141"/>
        <v>45023</v>
      </c>
      <c r="U792" s="2">
        <f t="shared" ca="1" si="142"/>
        <v>45731</v>
      </c>
    </row>
    <row r="793" spans="1:21">
      <c r="A793" t="str">
        <f t="shared" si="138"/>
        <v>MEM0792</v>
      </c>
      <c r="B793" t="str">
        <f ca="1">INDEX('Name pool'!A:A, RANDBETWEEN(2, COUNTA('Name pool'!A:A))) &amp; " " &amp; INDEX('Name pool'!B:B, RANDBETWEEN(2, COUNTA('Name pool'!B:B)))</f>
        <v>Nikhil Sharma</v>
      </c>
      <c r="C793" t="s">
        <v>79</v>
      </c>
      <c r="D793" t="str">
        <f t="shared" ca="1" si="137"/>
        <v>BR07</v>
      </c>
      <c r="E793" t="str">
        <f t="shared" ca="1" si="132"/>
        <v>Standard</v>
      </c>
      <c r="F793" s="2">
        <v>45132</v>
      </c>
      <c r="G793" s="2">
        <v>45222</v>
      </c>
      <c r="H793">
        <v>3500</v>
      </c>
      <c r="I793">
        <f t="shared" ca="1" si="133"/>
        <v>28000</v>
      </c>
      <c r="J793" t="s">
        <v>133</v>
      </c>
      <c r="K793" t="str">
        <f t="shared" ca="1" si="134"/>
        <v>No</v>
      </c>
      <c r="L793" t="str">
        <f t="shared" ca="1" si="135"/>
        <v>General Fitness</v>
      </c>
      <c r="M793" t="str">
        <f t="shared" ca="1" si="136"/>
        <v>Active</v>
      </c>
      <c r="N793" s="2">
        <v>46083</v>
      </c>
      <c r="Q793" t="str">
        <f ca="1">IF(RAND()&lt;0.2,
    IF(RAND()&lt;0.5, LOWER(C793), UPPER(C793)),
    C793
)</f>
        <v>Hyderabad</v>
      </c>
      <c r="R793" t="str">
        <f t="shared" ca="1" si="139"/>
        <v>5 visits</v>
      </c>
      <c r="S793">
        <f t="shared" ca="1" si="140"/>
        <v>3500</v>
      </c>
      <c r="T793">
        <f t="shared" ca="1" si="141"/>
        <v>45206</v>
      </c>
      <c r="U793" s="2">
        <f t="shared" ca="1" si="142"/>
        <v>46083</v>
      </c>
    </row>
    <row r="794" spans="1:21">
      <c r="A794" t="str">
        <f t="shared" si="138"/>
        <v>MEM0793</v>
      </c>
      <c r="B794" t="str">
        <f ca="1">INDEX('Name pool'!A:A, RANDBETWEEN(2, COUNTA('Name pool'!A:A))) &amp; " " &amp; INDEX('Name pool'!B:B, RANDBETWEEN(2, COUNTA('Name pool'!B:B)))</f>
        <v>Aditya Desai</v>
      </c>
      <c r="C794" t="s">
        <v>81</v>
      </c>
      <c r="D794" t="str">
        <f t="shared" ca="1" si="137"/>
        <v>BR04</v>
      </c>
      <c r="E794" t="str">
        <f t="shared" ca="1" si="132"/>
        <v>Basic</v>
      </c>
      <c r="F794" s="2">
        <v>45285</v>
      </c>
      <c r="G794" s="2">
        <v>45650</v>
      </c>
      <c r="H794">
        <v>2000</v>
      </c>
      <c r="I794">
        <f t="shared" ca="1" si="133"/>
        <v>6000</v>
      </c>
      <c r="J794">
        <v>2</v>
      </c>
      <c r="K794" t="str">
        <f t="shared" ca="1" si="134"/>
        <v>No</v>
      </c>
      <c r="L794" t="str">
        <f t="shared" ca="1" si="135"/>
        <v>Weight Loss</v>
      </c>
      <c r="M794" t="str">
        <f t="shared" ca="1" si="136"/>
        <v>Cancelled</v>
      </c>
      <c r="N794" s="2">
        <v>45316</v>
      </c>
      <c r="Q794" t="str">
        <f ca="1">IF(RAND()&lt;0.2,
    IF(RAND()&lt;0.5, LOWER(C794), UPPER(C794)),
    C794
)</f>
        <v>Mumbai</v>
      </c>
      <c r="R794">
        <f t="shared" ca="1" si="139"/>
        <v>2</v>
      </c>
      <c r="S794">
        <f t="shared" ca="1" si="140"/>
        <v>2000</v>
      </c>
      <c r="T794">
        <f t="shared" ca="1" si="141"/>
        <v>45058</v>
      </c>
      <c r="U794" s="2">
        <f t="shared" ca="1" si="142"/>
        <v>45308</v>
      </c>
    </row>
    <row r="795" spans="1:21">
      <c r="A795" t="str">
        <f t="shared" si="138"/>
        <v>MEM0794</v>
      </c>
      <c r="B795" t="str">
        <f ca="1">INDEX('Name pool'!A:A, RANDBETWEEN(2, COUNTA('Name pool'!A:A))) &amp; " " &amp; INDEX('Name pool'!B:B, RANDBETWEEN(2, COUNTA('Name pool'!B:B)))</f>
        <v>Vivek Shaikh</v>
      </c>
      <c r="C795" t="s">
        <v>115</v>
      </c>
      <c r="D795" t="str">
        <f t="shared" ca="1" si="137"/>
        <v>BR07</v>
      </c>
      <c r="E795" t="str">
        <f t="shared" ca="1" si="132"/>
        <v>Premium</v>
      </c>
      <c r="F795" s="2">
        <v>45861</v>
      </c>
      <c r="G795" s="2">
        <v>45951</v>
      </c>
      <c r="H795" t="s">
        <v>105</v>
      </c>
      <c r="I795">
        <f t="shared" ca="1" si="133"/>
        <v>35000</v>
      </c>
      <c r="J795">
        <v>9</v>
      </c>
      <c r="K795" t="str">
        <f t="shared" ca="1" si="134"/>
        <v>No</v>
      </c>
      <c r="L795" t="str">
        <f t="shared" ca="1" si="135"/>
        <v>Weight Loss</v>
      </c>
      <c r="M795" t="str">
        <f t="shared" ca="1" si="136"/>
        <v>Active</v>
      </c>
      <c r="N795" s="2">
        <v>45949</v>
      </c>
      <c r="Q795" t="str">
        <f ca="1">IF(RAND()&lt;0.2,
    IF(RAND()&lt;0.5, LOWER(C795), UPPER(C795)),
    C795
)</f>
        <v>CHENNAI</v>
      </c>
      <c r="R795">
        <f t="shared" ca="1" si="139"/>
        <v>9</v>
      </c>
      <c r="S795" t="str">
        <f t="shared" ca="1" si="140"/>
        <v>3500</v>
      </c>
      <c r="T795">
        <f t="shared" ca="1" si="141"/>
        <v>45753</v>
      </c>
      <c r="U795" s="2">
        <f t="shared" ca="1" si="142"/>
        <v>45949</v>
      </c>
    </row>
    <row r="796" spans="1:21">
      <c r="A796" t="str">
        <f t="shared" si="138"/>
        <v>MEM0795</v>
      </c>
      <c r="B796" t="str">
        <f ca="1">INDEX('Name pool'!A:A, RANDBETWEEN(2, COUNTA('Name pool'!A:A))) &amp; " " &amp; INDEX('Name pool'!B:B, RANDBETWEEN(2, COUNTA('Name pool'!B:B)))</f>
        <v>Sneha Chatterjee</v>
      </c>
      <c r="C796" t="s">
        <v>85</v>
      </c>
      <c r="D796" t="str">
        <f t="shared" ca="1" si="137"/>
        <v>BR05</v>
      </c>
      <c r="E796" t="str">
        <f t="shared" ca="1" si="132"/>
        <v>Basic</v>
      </c>
      <c r="F796" s="2">
        <v>45194</v>
      </c>
      <c r="G796" s="2">
        <v>45224</v>
      </c>
      <c r="H796">
        <v>3500</v>
      </c>
      <c r="I796">
        <f t="shared" ca="1" si="133"/>
        <v>38500</v>
      </c>
      <c r="J796" t="s">
        <v>145</v>
      </c>
      <c r="K796" t="str">
        <f t="shared" ca="1" si="134"/>
        <v>No</v>
      </c>
      <c r="L796" t="str">
        <f t="shared" ca="1" si="135"/>
        <v>Weight Loss</v>
      </c>
      <c r="M796" t="str">
        <f t="shared" ca="1" si="136"/>
        <v>Active</v>
      </c>
      <c r="N796" s="2">
        <v>45710</v>
      </c>
      <c r="Q796" t="str">
        <f ca="1">IF(RAND()&lt;0.2,
    IF(RAND()&lt;0.5, LOWER(C796), UPPER(C796)),
    C796
)</f>
        <v>Calicut</v>
      </c>
      <c r="R796" t="str">
        <f t="shared" ca="1" si="139"/>
        <v>3 visits</v>
      </c>
      <c r="S796">
        <f t="shared" ca="1" si="140"/>
        <v>3500</v>
      </c>
      <c r="T796">
        <f t="shared" ca="1" si="141"/>
        <v>45676</v>
      </c>
      <c r="U796" s="2">
        <f t="shared" ca="1" si="142"/>
        <v>45710</v>
      </c>
    </row>
    <row r="797" spans="1:21">
      <c r="A797" t="str">
        <f t="shared" si="138"/>
        <v>MEM0796</v>
      </c>
      <c r="B797" t="str">
        <f ca="1">INDEX('Name pool'!A:A, RANDBETWEEN(2, COUNTA('Name pool'!A:A))) &amp; " " &amp; INDEX('Name pool'!B:B, RANDBETWEEN(2, COUNTA('Name pool'!B:B)))</f>
        <v>Manoj Iyer</v>
      </c>
      <c r="C797" t="s">
        <v>83</v>
      </c>
      <c r="D797" t="str">
        <f t="shared" ca="1" si="137"/>
        <v>BR02</v>
      </c>
      <c r="E797" t="str">
        <f t="shared" ca="1" si="132"/>
        <v>Standard</v>
      </c>
      <c r="F797" s="2">
        <v>45964</v>
      </c>
      <c r="G797" s="2">
        <v>46329</v>
      </c>
      <c r="H797">
        <v>2000</v>
      </c>
      <c r="I797">
        <f t="shared" ca="1" si="133"/>
        <v>14000</v>
      </c>
      <c r="J797" t="s">
        <v>111</v>
      </c>
      <c r="K797" t="str">
        <f t="shared" ca="1" si="134"/>
        <v>No</v>
      </c>
      <c r="L797" t="str">
        <f t="shared" ca="1" si="135"/>
        <v>Weight Loss</v>
      </c>
      <c r="M797" t="str">
        <f t="shared" ca="1" si="136"/>
        <v>Active</v>
      </c>
      <c r="N797" s="2">
        <v>46108</v>
      </c>
      <c r="Q797" t="str">
        <f ca="1">IF(RAND()&lt;0.2,
    IF(RAND()&lt;0.5, LOWER(C797), UPPER(C797)),
    C797
)</f>
        <v>Trivandrum</v>
      </c>
      <c r="R797" t="str">
        <f t="shared" ca="1" si="139"/>
        <v>23 visits</v>
      </c>
      <c r="S797">
        <f t="shared" ca="1" si="140"/>
        <v>2000</v>
      </c>
      <c r="T797">
        <f t="shared" ca="1" si="141"/>
        <v>45510</v>
      </c>
      <c r="U797" s="2">
        <f t="shared" ca="1" si="142"/>
        <v>46108</v>
      </c>
    </row>
    <row r="798" spans="1:21">
      <c r="A798" t="str">
        <f t="shared" si="138"/>
        <v>MEM0797</v>
      </c>
      <c r="B798" t="str">
        <f ca="1">INDEX('Name pool'!A:A, RANDBETWEEN(2, COUNTA('Name pool'!A:A))) &amp; " " &amp; INDEX('Name pool'!B:B, RANDBETWEEN(2, COUNTA('Name pool'!B:B)))</f>
        <v>Siddharth Banerjee</v>
      </c>
      <c r="C798" t="s">
        <v>85</v>
      </c>
      <c r="D798" t="str">
        <f t="shared" ca="1" si="137"/>
        <v>BR07</v>
      </c>
      <c r="E798" t="str">
        <f t="shared" ca="1" si="132"/>
        <v>Standard</v>
      </c>
      <c r="F798" s="2">
        <v>45108</v>
      </c>
      <c r="G798" s="2">
        <v>45473</v>
      </c>
      <c r="H798">
        <v>2000</v>
      </c>
      <c r="I798">
        <f t="shared" ca="1" si="133"/>
        <v>8000</v>
      </c>
      <c r="J798">
        <v>16</v>
      </c>
      <c r="K798" t="str">
        <f t="shared" ca="1" si="134"/>
        <v>No</v>
      </c>
      <c r="L798" t="str">
        <f t="shared" ca="1" si="135"/>
        <v>Muscle Gain</v>
      </c>
      <c r="M798" t="str">
        <f t="shared" ca="1" si="136"/>
        <v>Active</v>
      </c>
      <c r="N798" s="2">
        <v>45559</v>
      </c>
      <c r="Q798" t="str">
        <f ca="1">IF(RAND()&lt;0.2,
    IF(RAND()&lt;0.5, LOWER(C798), UPPER(C798)),
    C798
)</f>
        <v>Calicut</v>
      </c>
      <c r="R798">
        <f t="shared" ca="1" si="139"/>
        <v>16</v>
      </c>
      <c r="S798" t="str">
        <f t="shared" ca="1" si="140"/>
        <v>2000</v>
      </c>
      <c r="T798">
        <f t="shared" ca="1" si="141"/>
        <v>45826</v>
      </c>
      <c r="U798" s="2">
        <f t="shared" ca="1" si="142"/>
        <v>45559</v>
      </c>
    </row>
    <row r="799" spans="1:21">
      <c r="A799" t="str">
        <f t="shared" si="138"/>
        <v>MEM0798</v>
      </c>
      <c r="B799" t="str">
        <f ca="1">INDEX('Name pool'!A:A, RANDBETWEEN(2, COUNTA('Name pool'!A:A))) &amp; " " &amp; INDEX('Name pool'!B:B, RANDBETWEEN(2, COUNTA('Name pool'!B:B)))</f>
        <v>Arjun Verma</v>
      </c>
      <c r="C799" t="s">
        <v>79</v>
      </c>
      <c r="D799" t="str">
        <f t="shared" ca="1" si="137"/>
        <v>BR04</v>
      </c>
      <c r="E799" t="str">
        <f t="shared" ca="1" si="132"/>
        <v>Standard</v>
      </c>
      <c r="F799" s="2">
        <v>45627</v>
      </c>
      <c r="G799" s="2">
        <v>45657</v>
      </c>
      <c r="H799">
        <v>2000</v>
      </c>
      <c r="I799">
        <f t="shared" ca="1" si="133"/>
        <v>20000</v>
      </c>
      <c r="J799">
        <v>4</v>
      </c>
      <c r="K799" t="str">
        <f t="shared" ca="1" si="134"/>
        <v>No</v>
      </c>
      <c r="L799" t="str">
        <f t="shared" ca="1" si="135"/>
        <v>Muscle Gain</v>
      </c>
      <c r="M799" t="str">
        <f t="shared" ca="1" si="136"/>
        <v>Cancelled</v>
      </c>
      <c r="N799" s="2">
        <v>45680</v>
      </c>
      <c r="Q799" t="str">
        <f ca="1">IF(RAND()&lt;0.2,
    IF(RAND()&lt;0.5, LOWER(C799), UPPER(C799)),
    C799
)</f>
        <v>Hyderabad</v>
      </c>
      <c r="R799">
        <f t="shared" ca="1" si="139"/>
        <v>4</v>
      </c>
      <c r="S799">
        <f t="shared" ca="1" si="140"/>
        <v>2000</v>
      </c>
      <c r="T799">
        <f t="shared" ca="1" si="141"/>
        <v>45654</v>
      </c>
      <c r="U799" s="2">
        <f t="shared" ca="1" si="142"/>
        <v>45671</v>
      </c>
    </row>
    <row r="800" spans="1:21">
      <c r="A800" t="str">
        <f t="shared" si="138"/>
        <v>MEM0799</v>
      </c>
      <c r="B800" t="str">
        <f ca="1">INDEX('Name pool'!A:A, RANDBETWEEN(2, COUNTA('Name pool'!A:A))) &amp; " " &amp; INDEX('Name pool'!B:B, RANDBETWEEN(2, COUNTA('Name pool'!B:B)))</f>
        <v>Aditya Thomas</v>
      </c>
      <c r="C800" t="s">
        <v>73</v>
      </c>
      <c r="D800" t="str">
        <f t="shared" ca="1" si="137"/>
        <v>BR04</v>
      </c>
      <c r="E800" t="str">
        <f ca="1">CHOOSE(RANDBETWEEN(1,3),"Basic","Standard","Premium")</f>
        <v>Basic</v>
      </c>
      <c r="F800" s="2">
        <v>45192</v>
      </c>
      <c r="G800" s="2">
        <v>45282</v>
      </c>
      <c r="H800">
        <v>1000</v>
      </c>
      <c r="I800">
        <f t="shared" ca="1" si="133"/>
        <v>6000</v>
      </c>
      <c r="J800">
        <v>1</v>
      </c>
      <c r="K800" t="str">
        <f t="shared" ca="1" si="134"/>
        <v>Yes</v>
      </c>
      <c r="L800" t="str">
        <f t="shared" ca="1" si="135"/>
        <v>General Fitness</v>
      </c>
      <c r="M800" t="str">
        <f t="shared" ca="1" si="136"/>
        <v>Cancelled</v>
      </c>
      <c r="N800" s="2">
        <v>45826</v>
      </c>
      <c r="Q800" t="str">
        <f ca="1">IF(RAND()&lt;0.2,
    IF(RAND()&lt;0.5, LOWER(C800), UPPER(C800)),
    C800
)</f>
        <v>Kochi</v>
      </c>
      <c r="R800">
        <f t="shared" ca="1" si="139"/>
        <v>1</v>
      </c>
      <c r="S800" t="str">
        <f t="shared" ca="1" si="140"/>
        <v>1000</v>
      </c>
      <c r="T800">
        <f t="shared" ca="1" si="141"/>
        <v>46043</v>
      </c>
      <c r="U800" s="2">
        <f t="shared" ca="1" si="142"/>
        <v>45826</v>
      </c>
    </row>
    <row r="801" spans="1:21">
      <c r="A801" t="str">
        <f>"MEM" &amp; TEXT(ROW()-1,"0000")</f>
        <v>MEM0800</v>
      </c>
      <c r="B801" t="str">
        <f ca="1">INDEX('Name pool'!A:A, RANDBETWEEN(2, COUNTA('Name pool'!A:A))) &amp; " " &amp; INDEX('Name pool'!B:B, RANDBETWEEN(2, COUNTA('Name pool'!B:B)))</f>
        <v>Ayesha Agarwal</v>
      </c>
      <c r="C801" t="s">
        <v>124</v>
      </c>
      <c r="D801" t="str">
        <f t="shared" ca="1" si="137"/>
        <v>BR01</v>
      </c>
      <c r="E801" t="str">
        <f ca="1">CHOOSE(RANDBETWEEN(1,3),"Basic","Standard","Premium")</f>
        <v>Standard</v>
      </c>
      <c r="F801" s="2">
        <v>45975</v>
      </c>
      <c r="G801" s="2">
        <v>46065</v>
      </c>
      <c r="H801">
        <v>3500</v>
      </c>
      <c r="I801">
        <f ca="1">H801 * RANDBETWEEN(1,12)</f>
        <v>35000</v>
      </c>
      <c r="J801" t="s">
        <v>134</v>
      </c>
      <c r="K801" t="str">
        <f ca="1">CHOOSE(RANDBETWEEN(1,2),"Yes","No")</f>
        <v>No</v>
      </c>
      <c r="L801" t="str">
        <f ca="1">CHOOSE(RANDBETWEEN(1,3),"Weight Loss","Muscle Gain","General Fitness")</f>
        <v>Muscle Gain</v>
      </c>
      <c r="M801" t="str">
        <f ca="1">IF(J801&lt;5,IF(RANDBETWEEN(1,100)&lt;70,"Cancelled","Active"),"Active")</f>
        <v>Active</v>
      </c>
      <c r="N801" s="2">
        <v>46096</v>
      </c>
      <c r="Q801" t="str">
        <f ca="1">IF(RAND()&lt;0.2,
    IF(RAND()&lt;0.5, LOWER(C801), UPPER(C801)),
    C801
)</f>
        <v>chennai</v>
      </c>
      <c r="R801" t="str">
        <f t="shared" ca="1" si="139"/>
        <v>4 visits visits</v>
      </c>
      <c r="S801">
        <f t="shared" ca="1" si="140"/>
        <v>3500</v>
      </c>
      <c r="T801">
        <f t="shared" ca="1" si="141"/>
        <v>45187</v>
      </c>
      <c r="U801" s="2">
        <f t="shared" ca="1" si="142"/>
        <v>46096</v>
      </c>
    </row>
    <row r="802" spans="1:21">
      <c r="A802" t="str">
        <f t="shared" ref="A802:A819" si="143">"MEM" &amp; TEXT(ROW()-1,"0000")</f>
        <v>MEM0801</v>
      </c>
      <c r="B802" s="4" t="str">
        <f ca="1">INDEX('Name pool'!A:A, RANDBETWEEN(2, COUNTA('Name pool'!A:A))) &amp; " " &amp; INDEX('Name pool'!B:B, RANDBETWEEN(2, COUNTA('Name pool'!B:B)))</f>
        <v>Sanjay Lewis</v>
      </c>
      <c r="D802" s="4" t="str">
        <f t="shared" ref="D802:D819" ca="1" si="144">CHOOSE(RANDBETWEEN(1,7),"BR01","BR02","BR03","BR04","BR05","BR06","BR07")</f>
        <v>BR04</v>
      </c>
      <c r="E802" t="str">
        <f t="shared" ref="E802:E819" ca="1" si="145">CHOOSE(RANDBETWEEN(1,3),"Basic","Standard","Premium")</f>
        <v>Premium</v>
      </c>
      <c r="F802" s="26">
        <v>45630</v>
      </c>
      <c r="G802" s="26">
        <v>45995</v>
      </c>
      <c r="H802">
        <v>1000</v>
      </c>
      <c r="I802">
        <f t="shared" ref="I802:I819" ca="1" si="146">H802 * RANDBETWEEN(1,12)</f>
        <v>5000</v>
      </c>
      <c r="K802" t="str">
        <f t="shared" ref="K802:K819" ca="1" si="147">CHOOSE(RANDBETWEEN(1,2),"Yes","No")</f>
        <v>Yes</v>
      </c>
      <c r="L802" t="str">
        <f t="shared" ref="L802:L819" ca="1" si="148">CHOOSE(RANDBETWEEN(1,3),"Weight Loss","Muscle Gain","General Fitness")</f>
        <v>General Fitness</v>
      </c>
      <c r="M802" t="str">
        <f t="shared" ref="M802:M819" ca="1" si="149">IF(J802&lt;5,IF(RANDBETWEEN(1,100)&lt;70,"Cancelled","Active"),"Active")</f>
        <v>Cancelled</v>
      </c>
      <c r="N802" s="2">
        <v>46022</v>
      </c>
    </row>
    <row r="803" spans="1:21">
      <c r="A803" t="str">
        <f t="shared" si="143"/>
        <v>MEM0802</v>
      </c>
      <c r="B803" s="4" t="str">
        <f ca="1">INDEX('Name pool'!A:A, RANDBETWEEN(2, COUNTA('Name pool'!A:A))) &amp; " " &amp; INDEX('Name pool'!B:B, RANDBETWEEN(2, COUNTA('Name pool'!B:B)))</f>
        <v>Lakshmi Iyer</v>
      </c>
      <c r="D803" s="4" t="str">
        <f t="shared" ca="1" si="144"/>
        <v>BR03</v>
      </c>
      <c r="E803" t="str">
        <f t="shared" ca="1" si="145"/>
        <v>Standard</v>
      </c>
      <c r="F803" s="26">
        <v>45794</v>
      </c>
      <c r="G803" s="26">
        <v>45824</v>
      </c>
      <c r="H803" t="s">
        <v>105</v>
      </c>
      <c r="I803">
        <f t="shared" ca="1" si="146"/>
        <v>38500</v>
      </c>
      <c r="K803" t="str">
        <f t="shared" ca="1" si="147"/>
        <v>No</v>
      </c>
      <c r="L803" t="str">
        <f t="shared" ca="1" si="148"/>
        <v>Muscle Gain</v>
      </c>
      <c r="M803" t="str">
        <f t="shared" ca="1" si="149"/>
        <v>Cancelled</v>
      </c>
      <c r="N803" s="2">
        <v>46050</v>
      </c>
    </row>
    <row r="804" spans="1:21">
      <c r="A804" t="str">
        <f t="shared" si="143"/>
        <v>MEM0803</v>
      </c>
      <c r="B804" s="4" t="str">
        <f ca="1">INDEX('Name pool'!A:A, RANDBETWEEN(2, COUNTA('Name pool'!A:A))) &amp; " " &amp; INDEX('Name pool'!B:B, RANDBETWEEN(2, COUNTA('Name pool'!B:B)))</f>
        <v>Siddharth Pillai</v>
      </c>
      <c r="D804" s="4" t="str">
        <f t="shared" ca="1" si="144"/>
        <v>BR02</v>
      </c>
      <c r="E804" t="str">
        <f t="shared" ca="1" si="145"/>
        <v>Premium</v>
      </c>
      <c r="F804" s="26">
        <v>45919</v>
      </c>
      <c r="G804" s="26">
        <v>45949</v>
      </c>
      <c r="H804">
        <v>3500</v>
      </c>
      <c r="I804">
        <f t="shared" ca="1" si="146"/>
        <v>28000</v>
      </c>
      <c r="K804" t="str">
        <f t="shared" ca="1" si="147"/>
        <v>No</v>
      </c>
      <c r="L804" t="str">
        <f t="shared" ca="1" si="148"/>
        <v>General Fitness</v>
      </c>
      <c r="M804" t="str">
        <f t="shared" ca="1" si="149"/>
        <v>Cancelled</v>
      </c>
      <c r="N804" s="2">
        <v>45257</v>
      </c>
    </row>
    <row r="805" spans="1:21">
      <c r="A805" t="str">
        <f t="shared" si="143"/>
        <v>MEM0804</v>
      </c>
      <c r="B805" s="4" t="str">
        <f ca="1">INDEX('Name pool'!A:A, RANDBETWEEN(2, COUNTA('Name pool'!A:A))) &amp; " " &amp; INDEX('Name pool'!B:B, RANDBETWEEN(2, COUNTA('Name pool'!B:B)))</f>
        <v>Pooja Desai</v>
      </c>
      <c r="D805" s="4" t="str">
        <f t="shared" ca="1" si="144"/>
        <v>BR06</v>
      </c>
      <c r="E805" t="str">
        <f t="shared" ca="1" si="145"/>
        <v>Premium</v>
      </c>
      <c r="F805" s="26">
        <v>45439</v>
      </c>
      <c r="G805" s="26">
        <v>45804</v>
      </c>
      <c r="H805">
        <v>3500</v>
      </c>
      <c r="I805">
        <f t="shared" ca="1" si="146"/>
        <v>10500</v>
      </c>
      <c r="K805" t="str">
        <f t="shared" ca="1" si="147"/>
        <v>No</v>
      </c>
      <c r="L805" t="str">
        <f t="shared" ca="1" si="148"/>
        <v>Muscle Gain</v>
      </c>
      <c r="M805" t="str">
        <f t="shared" ca="1" si="149"/>
        <v>Active</v>
      </c>
      <c r="N805" s="2">
        <v>45937</v>
      </c>
    </row>
    <row r="806" spans="1:21">
      <c r="A806" t="str">
        <f t="shared" si="143"/>
        <v>MEM0805</v>
      </c>
      <c r="B806" s="4" t="str">
        <f ca="1">INDEX('Name pool'!A:A, RANDBETWEEN(2, COUNTA('Name pool'!A:A))) &amp; " " &amp; INDEX('Name pool'!B:B, RANDBETWEEN(2, COUNTA('Name pool'!B:B)))</f>
        <v>Harish Joshi</v>
      </c>
      <c r="D806" s="4" t="str">
        <f t="shared" ca="1" si="144"/>
        <v>BR06</v>
      </c>
      <c r="E806" t="str">
        <f t="shared" ca="1" si="145"/>
        <v>Premium</v>
      </c>
      <c r="F806" s="26">
        <v>45635</v>
      </c>
      <c r="G806" s="26">
        <v>45725</v>
      </c>
      <c r="H806">
        <v>1000</v>
      </c>
      <c r="I806">
        <f t="shared" ca="1" si="146"/>
        <v>4000</v>
      </c>
      <c r="K806" t="str">
        <f t="shared" ca="1" si="147"/>
        <v>Yes</v>
      </c>
      <c r="L806" t="str">
        <f t="shared" ca="1" si="148"/>
        <v>General Fitness</v>
      </c>
      <c r="M806" t="str">
        <f t="shared" ca="1" si="149"/>
        <v>Active</v>
      </c>
      <c r="N806" s="2">
        <v>45960</v>
      </c>
    </row>
    <row r="807" spans="1:21">
      <c r="A807" t="str">
        <f t="shared" si="143"/>
        <v>MEM0806</v>
      </c>
      <c r="B807" s="4" t="str">
        <f ca="1">INDEX('Name pool'!A:A, RANDBETWEEN(2, COUNTA('Name pool'!A:A))) &amp; " " &amp; INDEX('Name pool'!B:B, RANDBETWEEN(2, COUNTA('Name pool'!B:B)))</f>
        <v>Zara Verma</v>
      </c>
      <c r="D807" s="4" t="str">
        <f t="shared" ca="1" si="144"/>
        <v>BR06</v>
      </c>
      <c r="E807" t="str">
        <f t="shared" ca="1" si="145"/>
        <v>Premium</v>
      </c>
      <c r="F807" s="26">
        <v>46018</v>
      </c>
      <c r="G807" s="26">
        <v>46108</v>
      </c>
      <c r="H807">
        <v>3500</v>
      </c>
      <c r="I807">
        <f t="shared" ca="1" si="146"/>
        <v>17500</v>
      </c>
      <c r="K807" t="str">
        <f t="shared" ca="1" si="147"/>
        <v>Yes</v>
      </c>
      <c r="L807" t="str">
        <f t="shared" ca="1" si="148"/>
        <v>General Fitness</v>
      </c>
      <c r="M807" t="str">
        <f t="shared" ca="1" si="149"/>
        <v>Cancelled</v>
      </c>
      <c r="N807" s="2">
        <v>46011</v>
      </c>
    </row>
    <row r="808" spans="1:21">
      <c r="A808" t="str">
        <f t="shared" si="143"/>
        <v>MEM0807</v>
      </c>
      <c r="B808" s="4" t="str">
        <f ca="1">INDEX('Name pool'!A:A, RANDBETWEEN(2, COUNTA('Name pool'!A:A))) &amp; " " &amp; INDEX('Name pool'!B:B, RANDBETWEEN(2, COUNTA('Name pool'!B:B)))</f>
        <v>Akash Gupta</v>
      </c>
      <c r="D808" s="4" t="str">
        <f t="shared" ca="1" si="144"/>
        <v>BR03</v>
      </c>
      <c r="E808" t="str">
        <f t="shared" ca="1" si="145"/>
        <v>Standard</v>
      </c>
      <c r="F808" s="26">
        <v>45474</v>
      </c>
      <c r="G808" s="26">
        <v>45504</v>
      </c>
      <c r="H808">
        <v>3500</v>
      </c>
      <c r="I808">
        <f t="shared" ca="1" si="146"/>
        <v>24500</v>
      </c>
      <c r="K808" t="str">
        <f t="shared" ca="1" si="147"/>
        <v>Yes</v>
      </c>
      <c r="L808" t="str">
        <f t="shared" ca="1" si="148"/>
        <v>Weight Loss</v>
      </c>
      <c r="M808" t="str">
        <f t="shared" ca="1" si="149"/>
        <v>Active</v>
      </c>
      <c r="N808" s="2">
        <v>45649</v>
      </c>
    </row>
    <row r="809" spans="1:21">
      <c r="A809" t="str">
        <f t="shared" si="143"/>
        <v>MEM0808</v>
      </c>
      <c r="B809" s="4" t="str">
        <f ca="1">INDEX('Name pool'!A:A, RANDBETWEEN(2, COUNTA('Name pool'!A:A))) &amp; " " &amp; INDEX('Name pool'!B:B, RANDBETWEEN(2, COUNTA('Name pool'!B:B)))</f>
        <v>Shreya Agarwal</v>
      </c>
      <c r="D809" s="4" t="str">
        <f t="shared" ca="1" si="144"/>
        <v>BR04</v>
      </c>
      <c r="E809" t="str">
        <f t="shared" ca="1" si="145"/>
        <v>Basic</v>
      </c>
      <c r="F809" s="26">
        <v>45948</v>
      </c>
      <c r="G809" s="26">
        <v>46313</v>
      </c>
      <c r="H809" t="s">
        <v>108</v>
      </c>
      <c r="I809">
        <f t="shared" ca="1" si="146"/>
        <v>8000</v>
      </c>
      <c r="K809" t="str">
        <f t="shared" ca="1" si="147"/>
        <v>Yes</v>
      </c>
      <c r="L809" t="str">
        <f t="shared" ca="1" si="148"/>
        <v>General Fitness</v>
      </c>
      <c r="M809" t="str">
        <f t="shared" ca="1" si="149"/>
        <v>Active</v>
      </c>
      <c r="N809" s="2">
        <v>46071</v>
      </c>
    </row>
    <row r="810" spans="1:21">
      <c r="A810" t="str">
        <f t="shared" si="143"/>
        <v>MEM0809</v>
      </c>
      <c r="B810" s="4" t="str">
        <f ca="1">INDEX('Name pool'!A:A, RANDBETWEEN(2, COUNTA('Name pool'!A:A))) &amp; " " &amp; INDEX('Name pool'!B:B, RANDBETWEEN(2, COUNTA('Name pool'!B:B)))</f>
        <v>Swathi Menon</v>
      </c>
      <c r="D810" s="4" t="str">
        <f t="shared" ca="1" si="144"/>
        <v>BR04</v>
      </c>
      <c r="E810" t="str">
        <f t="shared" ca="1" si="145"/>
        <v>Standard</v>
      </c>
      <c r="F810" s="26">
        <v>45098</v>
      </c>
      <c r="G810" s="26">
        <v>45463</v>
      </c>
      <c r="H810">
        <v>2000</v>
      </c>
      <c r="I810">
        <f t="shared" ca="1" si="146"/>
        <v>4000</v>
      </c>
      <c r="K810" t="str">
        <f t="shared" ca="1" si="147"/>
        <v>Yes</v>
      </c>
      <c r="L810" t="str">
        <f t="shared" ca="1" si="148"/>
        <v>General Fitness</v>
      </c>
      <c r="M810" t="str">
        <f t="shared" ca="1" si="149"/>
        <v>Active</v>
      </c>
      <c r="N810" s="2">
        <v>45846</v>
      </c>
    </row>
    <row r="811" spans="1:21">
      <c r="A811" t="str">
        <f t="shared" si="143"/>
        <v>MEM0810</v>
      </c>
      <c r="B811" s="4" t="str">
        <f ca="1">INDEX('Name pool'!A:A, RANDBETWEEN(2, COUNTA('Name pool'!A:A))) &amp; " " &amp; INDEX('Name pool'!B:B, RANDBETWEEN(2, COUNTA('Name pool'!B:B)))</f>
        <v>Priya Bhat</v>
      </c>
      <c r="D811" s="4" t="str">
        <f t="shared" ca="1" si="144"/>
        <v>BR05</v>
      </c>
      <c r="E811" t="str">
        <f t="shared" ca="1" si="145"/>
        <v>Basic</v>
      </c>
      <c r="F811" s="26">
        <v>45326</v>
      </c>
      <c r="G811" s="26">
        <v>45416</v>
      </c>
      <c r="H811">
        <v>3500</v>
      </c>
      <c r="I811">
        <f t="shared" ca="1" si="146"/>
        <v>24500</v>
      </c>
      <c r="K811" t="str">
        <f t="shared" ca="1" si="147"/>
        <v>Yes</v>
      </c>
      <c r="L811" t="str">
        <f t="shared" ca="1" si="148"/>
        <v>Weight Loss</v>
      </c>
      <c r="M811" t="str">
        <f t="shared" ca="1" si="149"/>
        <v>Active</v>
      </c>
      <c r="N811" s="2">
        <v>45926</v>
      </c>
    </row>
    <row r="812" spans="1:21">
      <c r="A812" t="str">
        <f t="shared" si="143"/>
        <v>MEM0811</v>
      </c>
      <c r="B812" s="4" t="str">
        <f ca="1">INDEX('Name pool'!A:A, RANDBETWEEN(2, COUNTA('Name pool'!A:A))) &amp; " " &amp; INDEX('Name pool'!B:B, RANDBETWEEN(2, COUNTA('Name pool'!B:B)))</f>
        <v>Anjali Malhotra</v>
      </c>
      <c r="D812" s="4" t="str">
        <f t="shared" ca="1" si="144"/>
        <v>BR02</v>
      </c>
      <c r="E812" t="str">
        <f t="shared" ca="1" si="145"/>
        <v>Premium</v>
      </c>
      <c r="F812" s="26">
        <v>45155</v>
      </c>
      <c r="G812" s="26">
        <v>45245</v>
      </c>
      <c r="H812">
        <v>2000</v>
      </c>
      <c r="I812">
        <f t="shared" ca="1" si="146"/>
        <v>24000</v>
      </c>
      <c r="K812" t="str">
        <f t="shared" ca="1" si="147"/>
        <v>No</v>
      </c>
      <c r="L812" t="str">
        <f t="shared" ca="1" si="148"/>
        <v>Muscle Gain</v>
      </c>
      <c r="M812" t="str">
        <f t="shared" ca="1" si="149"/>
        <v>Cancelled</v>
      </c>
      <c r="N812" s="2">
        <v>45535</v>
      </c>
    </row>
    <row r="813" spans="1:21">
      <c r="A813" t="str">
        <f t="shared" si="143"/>
        <v>MEM0812</v>
      </c>
      <c r="B813" s="4" t="str">
        <f ca="1">INDEX('Name pool'!A:A, RANDBETWEEN(2, COUNTA('Name pool'!A:A))) &amp; " " &amp; INDEX('Name pool'!B:B, RANDBETWEEN(2, COUNTA('Name pool'!B:B)))</f>
        <v>Arjun Nair</v>
      </c>
      <c r="D813" s="4" t="str">
        <f t="shared" ca="1" si="144"/>
        <v>BR01</v>
      </c>
      <c r="E813" t="str">
        <f t="shared" ca="1" si="145"/>
        <v>Premium</v>
      </c>
      <c r="F813" s="26">
        <v>45951</v>
      </c>
      <c r="G813" s="26">
        <v>45981</v>
      </c>
      <c r="H813">
        <v>2000</v>
      </c>
      <c r="I813">
        <f t="shared" ca="1" si="146"/>
        <v>10000</v>
      </c>
      <c r="K813" t="str">
        <f t="shared" ca="1" si="147"/>
        <v>No</v>
      </c>
      <c r="L813" t="str">
        <f t="shared" ca="1" si="148"/>
        <v>General Fitness</v>
      </c>
      <c r="M813" t="str">
        <f t="shared" ca="1" si="149"/>
        <v>Cancelled</v>
      </c>
      <c r="N813" s="2">
        <v>46031</v>
      </c>
    </row>
    <row r="814" spans="1:21">
      <c r="A814" t="str">
        <f t="shared" si="143"/>
        <v>MEM0813</v>
      </c>
      <c r="B814" s="4" t="str">
        <f ca="1">INDEX('Name pool'!A:A, RANDBETWEEN(2, COUNTA('Name pool'!A:A))) &amp; " " &amp; INDEX('Name pool'!B:B, RANDBETWEEN(2, COUNTA('Name pool'!B:B)))</f>
        <v>Aditya Singh</v>
      </c>
      <c r="D814" s="4" t="str">
        <f t="shared" ca="1" si="144"/>
        <v>BR02</v>
      </c>
      <c r="E814" t="str">
        <f t="shared" ca="1" si="145"/>
        <v>Premium</v>
      </c>
      <c r="F814" s="26">
        <v>45765</v>
      </c>
      <c r="G814" s="26">
        <v>46130</v>
      </c>
      <c r="H814">
        <v>1000</v>
      </c>
      <c r="I814">
        <f t="shared" ca="1" si="146"/>
        <v>11000</v>
      </c>
      <c r="K814" t="str">
        <f t="shared" ca="1" si="147"/>
        <v>No</v>
      </c>
      <c r="L814" t="str">
        <f t="shared" ca="1" si="148"/>
        <v>Weight Loss</v>
      </c>
      <c r="M814" t="str">
        <f t="shared" ca="1" si="149"/>
        <v>Cancelled</v>
      </c>
      <c r="N814" s="2">
        <v>45895</v>
      </c>
    </row>
    <row r="815" spans="1:21">
      <c r="A815" t="str">
        <f t="shared" si="143"/>
        <v>MEM0814</v>
      </c>
      <c r="B815" s="4" t="str">
        <f ca="1">INDEX('Name pool'!A:A, RANDBETWEEN(2, COUNTA('Name pool'!A:A))) &amp; " " &amp; INDEX('Name pool'!B:B, RANDBETWEEN(2, COUNTA('Name pool'!B:B)))</f>
        <v>Manoj Sharma</v>
      </c>
      <c r="D815" s="4" t="str">
        <f t="shared" ca="1" si="144"/>
        <v>BR04</v>
      </c>
      <c r="E815" t="str">
        <f t="shared" ca="1" si="145"/>
        <v>Basic</v>
      </c>
      <c r="F815" s="26">
        <v>45193</v>
      </c>
      <c r="G815" s="26">
        <v>45558</v>
      </c>
      <c r="H815" t="s">
        <v>108</v>
      </c>
      <c r="I815">
        <f t="shared" ca="1" si="146"/>
        <v>2000</v>
      </c>
      <c r="K815" t="str">
        <f t="shared" ca="1" si="147"/>
        <v>No</v>
      </c>
      <c r="L815" t="str">
        <f t="shared" ca="1" si="148"/>
        <v>Weight Loss</v>
      </c>
      <c r="M815" t="str">
        <f t="shared" ca="1" si="149"/>
        <v>Cancelled</v>
      </c>
      <c r="N815" s="2">
        <v>45802</v>
      </c>
    </row>
    <row r="816" spans="1:21">
      <c r="A816" t="str">
        <f t="shared" si="143"/>
        <v>MEM0815</v>
      </c>
      <c r="B816" s="4" t="str">
        <f ca="1">INDEX('Name pool'!A:A, RANDBETWEEN(2, COUNTA('Name pool'!A:A))) &amp; " " &amp; INDEX('Name pool'!B:B, RANDBETWEEN(2, COUNTA('Name pool'!B:B)))</f>
        <v>Karthik Shaikh</v>
      </c>
      <c r="D816" s="4" t="str">
        <f t="shared" ca="1" si="144"/>
        <v>BR02</v>
      </c>
      <c r="E816" t="str">
        <f t="shared" ca="1" si="145"/>
        <v>Basic</v>
      </c>
      <c r="F816" s="26">
        <v>45427</v>
      </c>
      <c r="G816" s="26">
        <v>45792</v>
      </c>
      <c r="H816">
        <v>1000</v>
      </c>
      <c r="I816">
        <f t="shared" ca="1" si="146"/>
        <v>12000</v>
      </c>
      <c r="K816" t="str">
        <f t="shared" ca="1" si="147"/>
        <v>No</v>
      </c>
      <c r="L816" t="str">
        <f t="shared" ca="1" si="148"/>
        <v>General Fitness</v>
      </c>
      <c r="M816" t="str">
        <f t="shared" ca="1" si="149"/>
        <v>Active</v>
      </c>
      <c r="N816" s="2">
        <v>46003</v>
      </c>
    </row>
    <row r="817" spans="1:14">
      <c r="A817" t="str">
        <f t="shared" si="143"/>
        <v>MEM0816</v>
      </c>
      <c r="B817" s="4" t="str">
        <f ca="1">INDEX('Name pool'!A:A, RANDBETWEEN(2, COUNTA('Name pool'!A:A))) &amp; " " &amp; INDEX('Name pool'!B:B, RANDBETWEEN(2, COUNTA('Name pool'!B:B)))</f>
        <v>Meera Mathew</v>
      </c>
      <c r="D817" s="4" t="str">
        <f t="shared" ca="1" si="144"/>
        <v>BR06</v>
      </c>
      <c r="E817" t="str">
        <f t="shared" ca="1" si="145"/>
        <v>Premium</v>
      </c>
      <c r="F817" s="26">
        <v>46036</v>
      </c>
      <c r="G817" s="26">
        <v>46066</v>
      </c>
      <c r="H817">
        <v>3500</v>
      </c>
      <c r="I817">
        <f t="shared" ca="1" si="146"/>
        <v>42000</v>
      </c>
      <c r="K817" t="str">
        <f t="shared" ca="1" si="147"/>
        <v>Yes</v>
      </c>
      <c r="L817" t="str">
        <f t="shared" ca="1" si="148"/>
        <v>Weight Loss</v>
      </c>
      <c r="M817" t="str">
        <f t="shared" ca="1" si="149"/>
        <v>Cancelled</v>
      </c>
      <c r="N817" s="2">
        <v>45758</v>
      </c>
    </row>
    <row r="818" spans="1:14" ht="13.5" customHeight="1">
      <c r="A818" t="str">
        <f t="shared" si="143"/>
        <v>MEM0817</v>
      </c>
      <c r="B818" s="4" t="str">
        <f ca="1">INDEX('Name pool'!A:A, RANDBETWEEN(2, COUNTA('Name pool'!A:A))) &amp; " " &amp; INDEX('Name pool'!B:B, RANDBETWEEN(2, COUNTA('Name pool'!B:B)))</f>
        <v>Riya Nambiar</v>
      </c>
      <c r="D818" s="4" t="str">
        <f t="shared" ca="1" si="144"/>
        <v>BR05</v>
      </c>
      <c r="E818" t="str">
        <f t="shared" ca="1" si="145"/>
        <v>Premium</v>
      </c>
      <c r="F818" s="26">
        <v>45631</v>
      </c>
      <c r="G818" s="26">
        <v>45721</v>
      </c>
      <c r="H818">
        <v>3500</v>
      </c>
      <c r="I818">
        <f t="shared" ca="1" si="146"/>
        <v>28000</v>
      </c>
      <c r="K818" t="str">
        <f t="shared" ca="1" si="147"/>
        <v>Yes</v>
      </c>
      <c r="L818" t="str">
        <f t="shared" ca="1" si="148"/>
        <v>General Fitness</v>
      </c>
      <c r="M818" t="str">
        <f t="shared" ca="1" si="149"/>
        <v>Active</v>
      </c>
      <c r="N818" s="2">
        <v>45412</v>
      </c>
    </row>
    <row r="819" spans="1:14">
      <c r="A819" t="str">
        <f t="shared" si="143"/>
        <v>MEM0818</v>
      </c>
      <c r="B819" s="4" t="str">
        <f ca="1">INDEX('Name pool'!A:A, RANDBETWEEN(2, COUNTA('Name pool'!A:A))) &amp; " " &amp; INDEX('Name pool'!B:B, RANDBETWEEN(2, COUNTA('Name pool'!B:B)))</f>
        <v>Nikhil Malhotra</v>
      </c>
      <c r="D819" s="4" t="str">
        <f t="shared" ca="1" si="144"/>
        <v>BR06</v>
      </c>
      <c r="E819" t="str">
        <f t="shared" ca="1" si="145"/>
        <v>Premium</v>
      </c>
      <c r="F819" s="26">
        <v>45592</v>
      </c>
      <c r="G819" s="26">
        <v>45957</v>
      </c>
      <c r="H819">
        <v>3500</v>
      </c>
      <c r="I819">
        <f t="shared" ca="1" si="146"/>
        <v>10500</v>
      </c>
      <c r="K819" t="str">
        <f t="shared" ca="1" si="147"/>
        <v>Yes</v>
      </c>
      <c r="L819" t="str">
        <f t="shared" ca="1" si="148"/>
        <v>Muscle Gain</v>
      </c>
      <c r="M819" t="str">
        <f t="shared" ca="1" si="149"/>
        <v>Cancelled</v>
      </c>
      <c r="N819" s="2">
        <v>46059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B1EE-ACD7-4D9E-A61C-4E0C96586C33}">
  <sheetPr>
    <tabColor rgb="FF00B050"/>
  </sheetPr>
  <dimension ref="A1:R819"/>
  <sheetViews>
    <sheetView topLeftCell="A792" workbookViewId="0">
      <selection activeCell="K802" sqref="K802"/>
    </sheetView>
  </sheetViews>
  <sheetFormatPr defaultRowHeight="15" customHeight="1"/>
  <cols>
    <col min="1" max="1" width="12.85546875" bestFit="1" customWidth="1"/>
    <col min="2" max="2" width="15.85546875" customWidth="1"/>
    <col min="3" max="3" width="10.7109375" bestFit="1" customWidth="1"/>
    <col min="4" max="4" width="11.28515625" bestFit="1" customWidth="1"/>
    <col min="5" max="5" width="18.7109375" customWidth="1"/>
    <col min="6" max="6" width="10.85546875" customWidth="1"/>
    <col min="7" max="7" width="12.7109375" style="2" customWidth="1"/>
    <col min="8" max="8" width="13.85546875" customWidth="1"/>
    <col min="9" max="9" width="16.140625" customWidth="1"/>
    <col min="10" max="10" width="12.85546875" customWidth="1"/>
    <col min="11" max="11" width="17.28515625" customWidth="1"/>
    <col min="12" max="12" width="15.42578125" bestFit="1" customWidth="1"/>
    <col min="13" max="13" width="9.42578125" bestFit="1" customWidth="1"/>
    <col min="14" max="15" width="15" customWidth="1"/>
    <col min="16" max="16" width="13.7109375" bestFit="1" customWidth="1"/>
    <col min="17" max="17" width="18.85546875" bestFit="1" customWidth="1"/>
    <col min="18" max="18" width="15.5703125" bestFit="1" customWidth="1"/>
  </cols>
  <sheetData>
    <row r="1" spans="1:18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s="2" t="s">
        <v>92</v>
      </c>
      <c r="H1" s="5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P1" t="s">
        <v>148</v>
      </c>
      <c r="Q1" t="s">
        <v>149</v>
      </c>
      <c r="R1" t="s">
        <v>150</v>
      </c>
    </row>
    <row r="2" spans="1:18">
      <c r="A2" t="str">
        <f>TRIM(CLEAN(Raw_Data!A2))</f>
        <v>MEM0001</v>
      </c>
      <c r="B2" t="str">
        <f ca="1">TRIM(Raw_Data!B2)</f>
        <v>Karthik Joshi</v>
      </c>
      <c r="C2" t="str">
        <f ca="1">_xlfn.XLOOKUP(D2, Branch_Master!A:A, Branch_Master!B:B)</f>
        <v>Calicut</v>
      </c>
      <c r="D2" t="str">
        <f ca="1">TRIM(Raw_Data!D2)</f>
        <v>BR07</v>
      </c>
      <c r="E2" t="str">
        <f ca="1">PROPER(TRIM(Raw_Data!E2))</f>
        <v>Premium</v>
      </c>
      <c r="F2" s="2">
        <f>IFERROR(DATEVALUE(Raw_Data!F2), Raw_Data!F2)</f>
        <v>45630</v>
      </c>
      <c r="G2" s="2">
        <f>IFERROR(
    IF(
        IFERROR(DATEVALUE(Raw_Data!G2), Raw_Data!G2) &lt;
        IFERROR(DATEVALUE(Raw_Data!F2), Raw_Data!F2),
        IFERROR(DATEVALUE(Raw_Data!F2), Raw_Data!F2) + 30,
        IFERROR(DATEVALUE(Raw_Data!G2), Raw_Data!G2)
    ),
    ""
)</f>
        <v>45660</v>
      </c>
      <c r="H2">
        <f>IFERROR(VALUE(Raw_Data!H2), "")</f>
        <v>1000</v>
      </c>
      <c r="I2">
        <f ca="1">IFERROR(VALUE(Raw_Data!I2), "")</f>
        <v>8000</v>
      </c>
      <c r="J2">
        <f>IFERROR(
    VALUE(SUBSTITUTE(Raw_Data!J2," visits","")),
    ""
)</f>
        <v>18</v>
      </c>
      <c r="K2" t="str">
        <f ca="1">IF(TRIM(Raw_Data!K2)="","No",PROPER(TRIM(Raw_Data!K2)))</f>
        <v>No</v>
      </c>
      <c r="L2" t="str">
        <f ca="1">PROPER(TRIM(Raw_Data!L2))</f>
        <v>Weight Loss</v>
      </c>
      <c r="M2" t="s">
        <v>151</v>
      </c>
      <c r="N2" s="2">
        <f>IFERROR(DATEVALUE(Raw_Data!N2), Raw_Data!N2)</f>
        <v>46022</v>
      </c>
      <c r="O2" s="2"/>
      <c r="P2" t="str">
        <f>IF(COUNTIF($A$2:A2,A2)&gt;1,"Duplicate","Unique")</f>
        <v>Unique</v>
      </c>
      <c r="Q2" t="str">
        <f>IF(G2&lt;F2,"Expiry Error",
IF(AND(M2="Cancelled",N2&lt;&gt;""),"Cancelled but Active",
IF(J2&gt;30,"Invalid Attendance","OK")))</f>
        <v>OK</v>
      </c>
      <c r="R2" t="str">
        <f>IF(N2="","Missing","Available")</f>
        <v>Available</v>
      </c>
    </row>
    <row r="3" spans="1:18">
      <c r="A3" t="str">
        <f>TRIM(CLEAN(Raw_Data!A3))</f>
        <v>MEM0002</v>
      </c>
      <c r="B3" t="str">
        <f ca="1">TRIM(Raw_Data!B3)</f>
        <v>Meera George</v>
      </c>
      <c r="C3" t="str">
        <f ca="1">_xlfn.XLOOKUP(D3, Branch_Master!A:A, Branch_Master!B:B)</f>
        <v>Kochi</v>
      </c>
      <c r="D3" t="str">
        <f ca="1">TRIM(Raw_Data!D3)</f>
        <v>BR01</v>
      </c>
      <c r="E3" t="str">
        <f ca="1">PROPER(TRIM(Raw_Data!E3))</f>
        <v>Basic</v>
      </c>
      <c r="F3" s="2">
        <f>IFERROR(DATEVALUE(Raw_Data!F3), Raw_Data!F3)</f>
        <v>45446</v>
      </c>
      <c r="G3" s="2">
        <f>IFERROR(
    IF(
        IFERROR(DATEVALUE(Raw_Data!G3), Raw_Data!G3) &lt;
        IFERROR(DATEVALUE(Raw_Data!F3), Raw_Data!F3),
        IFERROR(DATEVALUE(Raw_Data!F3), Raw_Data!F3) + 30,
        IFERROR(DATEVALUE(Raw_Data!G3), Raw_Data!G3)
    ),
    ""
)</f>
        <v>45536</v>
      </c>
      <c r="H3">
        <f>IFERROR(VALUE(Raw_Data!H3), "")</f>
        <v>3500</v>
      </c>
      <c r="I3">
        <f ca="1">IFERROR(VALUE(Raw_Data!I3), "")</f>
        <v>17500</v>
      </c>
      <c r="J3">
        <f>IFERROR(
    VALUE(SUBSTITUTE(Raw_Data!J3," visits","")),
    ""
)</f>
        <v>0</v>
      </c>
      <c r="K3" t="str">
        <f ca="1">IF(TRIM(Raw_Data!K3)="","No",PROPER(TRIM(Raw_Data!K3)))</f>
        <v>No</v>
      </c>
      <c r="L3" t="str">
        <f ca="1">PROPER(TRIM(Raw_Data!L3))</f>
        <v>Muscle Gain</v>
      </c>
      <c r="M3" t="s">
        <v>152</v>
      </c>
      <c r="N3" s="2">
        <f>IFERROR(DATEVALUE(Raw_Data!N3), Raw_Data!N3)</f>
        <v>46050</v>
      </c>
      <c r="O3" s="2"/>
      <c r="P3" t="str">
        <f>IF(COUNTIF($A$2:A3,A3)&gt;1,"Duplicate","Unique")</f>
        <v>Unique</v>
      </c>
      <c r="Q3" t="str">
        <f t="shared" ref="Q3:Q66" si="0">IF(G3&lt;F3,"Expiry Error",
IF(AND(M3="Cancelled",N3&lt;&gt;""),"Cancelled but Active",
IF(J3&gt;30,"Invalid Attendance","OK")))</f>
        <v>Cancelled but Active</v>
      </c>
      <c r="R3" t="str">
        <f t="shared" ref="R3:R66" si="1">IF(N3="","Missing","Available")</f>
        <v>Available</v>
      </c>
    </row>
    <row r="4" spans="1:18">
      <c r="A4" t="str">
        <f>TRIM(CLEAN(Raw_Data!A4))</f>
        <v>MEM0003</v>
      </c>
      <c r="B4" t="str">
        <f ca="1">TRIM(Raw_Data!B4)</f>
        <v>Fatima Das</v>
      </c>
      <c r="C4" t="str">
        <f ca="1">_xlfn.XLOOKUP(D4, Branch_Master!A:A, Branch_Master!B:B)</f>
        <v>Mumbai</v>
      </c>
      <c r="D4" t="str">
        <f ca="1">TRIM(Raw_Data!D4)</f>
        <v>BR05</v>
      </c>
      <c r="E4" t="str">
        <f ca="1">PROPER(TRIM(Raw_Data!E4))</f>
        <v>Premium</v>
      </c>
      <c r="F4" s="2">
        <f>IFERROR(DATEVALUE(Raw_Data!F4), Raw_Data!F4)</f>
        <v>44945</v>
      </c>
      <c r="G4" s="2">
        <f>IFERROR(
    IF(
        IFERROR(DATEVALUE(Raw_Data!G4), Raw_Data!G4) &lt;
        IFERROR(DATEVALUE(Raw_Data!F4), Raw_Data!F4),
        IFERROR(DATEVALUE(Raw_Data!F4), Raw_Data!F4) + 30,
        IFERROR(DATEVALUE(Raw_Data!G4), Raw_Data!G4)
    ),
    ""
)</f>
        <v>45035</v>
      </c>
      <c r="H4">
        <f>IFERROR(VALUE(Raw_Data!H4), "")</f>
        <v>3500</v>
      </c>
      <c r="I4">
        <f ca="1">IFERROR(VALUE(Raw_Data!I4), "")</f>
        <v>42000</v>
      </c>
      <c r="J4">
        <f>IFERROR(
    VALUE(SUBSTITUTE(Raw_Data!J4," visits","")),
    ""
)</f>
        <v>1</v>
      </c>
      <c r="K4" t="str">
        <f ca="1">IF(TRIM(Raw_Data!K4)="","No",PROPER(TRIM(Raw_Data!K4)))</f>
        <v>No</v>
      </c>
      <c r="L4" t="str">
        <f ca="1">PROPER(TRIM(Raw_Data!L4))</f>
        <v>Weight Loss</v>
      </c>
      <c r="M4" t="s">
        <v>152</v>
      </c>
      <c r="N4" s="2">
        <f>IFERROR(DATEVALUE(Raw_Data!N4), Raw_Data!N4)</f>
        <v>45257</v>
      </c>
      <c r="O4" s="2"/>
      <c r="P4" t="str">
        <f>IF(COUNTIF($A$2:A4,A4)&gt;1,"Duplicate","Unique")</f>
        <v>Unique</v>
      </c>
      <c r="Q4" t="str">
        <f t="shared" si="0"/>
        <v>Cancelled but Active</v>
      </c>
      <c r="R4" t="str">
        <f t="shared" si="1"/>
        <v>Available</v>
      </c>
    </row>
    <row r="5" spans="1:18">
      <c r="A5" t="str">
        <f>TRIM(CLEAN(Raw_Data!A5))</f>
        <v>MEM0004</v>
      </c>
      <c r="B5" t="str">
        <f ca="1">TRIM(Raw_Data!B5)</f>
        <v>Priya D’Souza</v>
      </c>
      <c r="C5" t="str">
        <f ca="1">_xlfn.XLOOKUP(D5, Branch_Master!A:A, Branch_Master!B:B)</f>
        <v>Hyderabad</v>
      </c>
      <c r="D5" t="str">
        <f ca="1">TRIM(Raw_Data!D5)</f>
        <v>BR04</v>
      </c>
      <c r="E5" t="str">
        <f ca="1">PROPER(TRIM(Raw_Data!E5))</f>
        <v>Premium</v>
      </c>
      <c r="F5" s="2">
        <f>IFERROR(DATEVALUE(Raw_Data!F5), Raw_Data!F5)</f>
        <v>45342</v>
      </c>
      <c r="G5" s="2">
        <f>IFERROR(
    IF(
        IFERROR(DATEVALUE(Raw_Data!G5), Raw_Data!G5) &lt;
        IFERROR(DATEVALUE(Raw_Data!F5), Raw_Data!F5),
        IFERROR(DATEVALUE(Raw_Data!F5), Raw_Data!F5) + 30,
        IFERROR(DATEVALUE(Raw_Data!G5), Raw_Data!G5)
    ),
    ""
)</f>
        <v>45432</v>
      </c>
      <c r="H5">
        <f>IFERROR(VALUE(Raw_Data!H5), "")</f>
        <v>3500</v>
      </c>
      <c r="I5">
        <f ca="1">IFERROR(VALUE(Raw_Data!I5), "")</f>
        <v>14000</v>
      </c>
      <c r="J5">
        <f>IFERROR(
    VALUE(SUBSTITUTE(Raw_Data!J5," visits","")),
    ""
)</f>
        <v>13</v>
      </c>
      <c r="K5" t="str">
        <f ca="1">IF(TRIM(Raw_Data!K5)="","No",PROPER(TRIM(Raw_Data!K5)))</f>
        <v>Yes</v>
      </c>
      <c r="L5" t="str">
        <f ca="1">PROPER(TRIM(Raw_Data!L5))</f>
        <v>Weight Loss</v>
      </c>
      <c r="M5" t="s">
        <v>151</v>
      </c>
      <c r="N5" s="2">
        <f>IFERROR(DATEVALUE(Raw_Data!N5), Raw_Data!N5)</f>
        <v>45937</v>
      </c>
      <c r="O5" s="2"/>
      <c r="P5" t="str">
        <f>IF(COUNTIF($A$2:A5,A5)&gt;1,"Duplicate","Unique")</f>
        <v>Unique</v>
      </c>
      <c r="Q5" t="str">
        <f t="shared" si="0"/>
        <v>OK</v>
      </c>
      <c r="R5" t="str">
        <f t="shared" si="1"/>
        <v>Available</v>
      </c>
    </row>
    <row r="6" spans="1:18">
      <c r="A6" t="str">
        <f>TRIM(CLEAN(Raw_Data!A6))</f>
        <v>MEM0005</v>
      </c>
      <c r="B6" t="str">
        <f ca="1">TRIM(Raw_Data!B6)</f>
        <v>Sanjay Patel</v>
      </c>
      <c r="C6" t="str">
        <f ca="1">_xlfn.XLOOKUP(D6, Branch_Master!A:A, Branch_Master!B:B)</f>
        <v>Hyderabad</v>
      </c>
      <c r="D6" t="str">
        <f ca="1">TRIM(Raw_Data!D6)</f>
        <v>BR04</v>
      </c>
      <c r="E6" t="str">
        <f ca="1">PROPER(TRIM(Raw_Data!E6))</f>
        <v>Standard</v>
      </c>
      <c r="F6" s="2">
        <f>IFERROR(DATEVALUE(Raw_Data!F6), Raw_Data!F6)</f>
        <v>45891</v>
      </c>
      <c r="G6" s="2">
        <f>IFERROR(
    IF(
        IFERROR(DATEVALUE(Raw_Data!G6), Raw_Data!G6) &lt;
        IFERROR(DATEVALUE(Raw_Data!F6), Raw_Data!F6),
        IFERROR(DATEVALUE(Raw_Data!F6), Raw_Data!F6) + 30,
        IFERROR(DATEVALUE(Raw_Data!G6), Raw_Data!G6)
    ),
    ""
)</f>
        <v>46256</v>
      </c>
      <c r="H6">
        <f>IFERROR(VALUE(Raw_Data!H6), "")</f>
        <v>1000</v>
      </c>
      <c r="I6">
        <f ca="1">IFERROR(VALUE(Raw_Data!I6), "")</f>
        <v>6000</v>
      </c>
      <c r="J6">
        <f>IFERROR(
    VALUE(SUBSTITUTE(Raw_Data!J6," visits","")),
    ""
)</f>
        <v>20</v>
      </c>
      <c r="K6" t="str">
        <f ca="1">IF(TRIM(Raw_Data!K6)="","No",PROPER(TRIM(Raw_Data!K6)))</f>
        <v>No</v>
      </c>
      <c r="L6" t="str">
        <f ca="1">PROPER(TRIM(Raw_Data!L6))</f>
        <v>Weight Loss</v>
      </c>
      <c r="M6" t="s">
        <v>151</v>
      </c>
      <c r="N6" s="2">
        <f>IFERROR(DATEVALUE(Raw_Data!N6), Raw_Data!N6)</f>
        <v>45960</v>
      </c>
      <c r="O6" s="2"/>
      <c r="P6" t="str">
        <f>IF(COUNTIF($A$2:A6,A6)&gt;1,"Duplicate","Unique")</f>
        <v>Unique</v>
      </c>
      <c r="Q6" t="str">
        <f t="shared" si="0"/>
        <v>OK</v>
      </c>
      <c r="R6" t="str">
        <f t="shared" si="1"/>
        <v>Available</v>
      </c>
    </row>
    <row r="7" spans="1:18">
      <c r="A7" t="str">
        <f>TRIM(CLEAN(Raw_Data!A7))</f>
        <v>MEM0006</v>
      </c>
      <c r="B7" t="str">
        <f ca="1">TRIM(Raw_Data!B7)</f>
        <v>Varun Yadav</v>
      </c>
      <c r="C7" t="str">
        <f ca="1">_xlfn.XLOOKUP(D7, Branch_Master!A:A, Branch_Master!B:B)</f>
        <v>Chennai</v>
      </c>
      <c r="D7" t="str">
        <f ca="1">TRIM(Raw_Data!D7)</f>
        <v>BR03</v>
      </c>
      <c r="E7" t="str">
        <f ca="1">PROPER(TRIM(Raw_Data!E7))</f>
        <v>Standard</v>
      </c>
      <c r="F7" s="2">
        <f>IFERROR(DATEVALUE(Raw_Data!F7), Raw_Data!F7)</f>
        <v>45669</v>
      </c>
      <c r="G7" s="2">
        <f>IFERROR(
    IF(
        IFERROR(DATEVALUE(Raw_Data!G7), Raw_Data!G7) &lt;
        IFERROR(DATEVALUE(Raw_Data!F7), Raw_Data!F7),
        IFERROR(DATEVALUE(Raw_Data!F7), Raw_Data!F7) + 30,
        IFERROR(DATEVALUE(Raw_Data!G7), Raw_Data!G7)
    ),
    ""
)</f>
        <v>46034</v>
      </c>
      <c r="H7">
        <f>IFERROR(VALUE(Raw_Data!H7), "")</f>
        <v>3500</v>
      </c>
      <c r="I7">
        <f ca="1">IFERROR(VALUE(Raw_Data!I7), "")</f>
        <v>31500</v>
      </c>
      <c r="J7">
        <f>IFERROR(
    VALUE(SUBSTITUTE(Raw_Data!J7," visits","")),
    ""
)</f>
        <v>1</v>
      </c>
      <c r="K7" t="str">
        <f ca="1">IF(TRIM(Raw_Data!K7)="","No",PROPER(TRIM(Raw_Data!K7)))</f>
        <v>No</v>
      </c>
      <c r="L7" t="str">
        <f ca="1">PROPER(TRIM(Raw_Data!L7))</f>
        <v>Weight Loss</v>
      </c>
      <c r="M7" t="s">
        <v>152</v>
      </c>
      <c r="N7" s="2">
        <f>IFERROR(DATEVALUE(Raw_Data!N7), Raw_Data!N7)</f>
        <v>46011</v>
      </c>
      <c r="O7" s="2"/>
      <c r="P7" t="str">
        <f>IF(COUNTIF($A$2:A7,A7)&gt;1,"Duplicate","Unique")</f>
        <v>Unique</v>
      </c>
      <c r="Q7" t="str">
        <f t="shared" si="0"/>
        <v>Cancelled but Active</v>
      </c>
      <c r="R7" t="str">
        <f t="shared" si="1"/>
        <v>Available</v>
      </c>
    </row>
    <row r="8" spans="1:18">
      <c r="A8" t="str">
        <f>TRIM(CLEAN(Raw_Data!A8))</f>
        <v>MEM0007</v>
      </c>
      <c r="B8" t="str">
        <f ca="1">TRIM(Raw_Data!B8)</f>
        <v>Zara Joshi</v>
      </c>
      <c r="C8" t="str">
        <f ca="1">_xlfn.XLOOKUP(D8, Branch_Master!A:A, Branch_Master!B:B)</f>
        <v>Kochi</v>
      </c>
      <c r="D8" t="str">
        <f ca="1">TRIM(Raw_Data!D8)</f>
        <v>BR01</v>
      </c>
      <c r="E8" t="str">
        <f ca="1">PROPER(TRIM(Raw_Data!E8))</f>
        <v>Standard</v>
      </c>
      <c r="F8" s="2">
        <f>IFERROR(DATEVALUE(Raw_Data!F8), Raw_Data!F8)</f>
        <v>45116</v>
      </c>
      <c r="G8" s="2">
        <f>IFERROR(
    IF(
        IFERROR(DATEVALUE(Raw_Data!G8), Raw_Data!G8) &lt;
        IFERROR(DATEVALUE(Raw_Data!F8), Raw_Data!F8),
        IFERROR(DATEVALUE(Raw_Data!F8), Raw_Data!F8) + 30,
        IFERROR(DATEVALUE(Raw_Data!G8), Raw_Data!G8)
    ),
    ""
)</f>
        <v>45146</v>
      </c>
      <c r="H8">
        <f>IFERROR(VALUE(Raw_Data!H8), "")</f>
        <v>3500</v>
      </c>
      <c r="I8">
        <f ca="1">IFERROR(VALUE(Raw_Data!I8), "")</f>
        <v>17500</v>
      </c>
      <c r="J8">
        <f>IFERROR(
    VALUE(SUBSTITUTE(Raw_Data!J8," visits","")),
    ""
)</f>
        <v>7</v>
      </c>
      <c r="K8" t="str">
        <f ca="1">IF(TRIM(Raw_Data!K8)="","No",PROPER(TRIM(Raw_Data!K8)))</f>
        <v>No</v>
      </c>
      <c r="L8" t="str">
        <f ca="1">PROPER(TRIM(Raw_Data!L8))</f>
        <v>Weight Loss</v>
      </c>
      <c r="M8" t="s">
        <v>151</v>
      </c>
      <c r="N8" s="2">
        <f>IFERROR(DATEVALUE(Raw_Data!N8), Raw_Data!N8)</f>
        <v>45649</v>
      </c>
      <c r="O8" s="2"/>
      <c r="P8" t="str">
        <f>IF(COUNTIF($A$2:A8,A8)&gt;1,"Duplicate","Unique")</f>
        <v>Unique</v>
      </c>
      <c r="Q8" t="str">
        <f t="shared" si="0"/>
        <v>OK</v>
      </c>
      <c r="R8" t="str">
        <f t="shared" si="1"/>
        <v>Available</v>
      </c>
    </row>
    <row r="9" spans="1:18">
      <c r="A9" t="str">
        <f>TRIM(CLEAN(Raw_Data!A9))</f>
        <v>MEM0008</v>
      </c>
      <c r="B9" t="str">
        <f ca="1">TRIM(Raw_Data!B9)</f>
        <v>Aditya Khan</v>
      </c>
      <c r="C9" t="str">
        <f ca="1">_xlfn.XLOOKUP(D9, Branch_Master!A:A, Branch_Master!B:B)</f>
        <v>Kochi</v>
      </c>
      <c r="D9" t="str">
        <f ca="1">TRIM(Raw_Data!D9)</f>
        <v>BR01</v>
      </c>
      <c r="E9" t="str">
        <f ca="1">PROPER(TRIM(Raw_Data!E9))</f>
        <v>Standard</v>
      </c>
      <c r="F9" s="2">
        <f>IFERROR(DATEVALUE(Raw_Data!F9), Raw_Data!F9)</f>
        <v>45986</v>
      </c>
      <c r="G9" s="2">
        <f>IFERROR(
    IF(
        IFERROR(DATEVALUE(Raw_Data!G9), Raw_Data!G9) &lt;
        IFERROR(DATEVALUE(Raw_Data!F9), Raw_Data!F9),
        IFERROR(DATEVALUE(Raw_Data!F9), Raw_Data!F9) + 30,
        IFERROR(DATEVALUE(Raw_Data!G9), Raw_Data!G9)
    ),
    ""
)</f>
        <v>46076</v>
      </c>
      <c r="H9">
        <f>IFERROR(VALUE(Raw_Data!H9), "")</f>
        <v>1000</v>
      </c>
      <c r="I9">
        <f ca="1">IFERROR(VALUE(Raw_Data!I9), "")</f>
        <v>3000</v>
      </c>
      <c r="J9">
        <f>IFERROR(
    VALUE(SUBSTITUTE(Raw_Data!J9," visits","")),
    ""
)</f>
        <v>8</v>
      </c>
      <c r="K9" t="str">
        <f ca="1">IF(TRIM(Raw_Data!K9)="","No",PROPER(TRIM(Raw_Data!K9)))</f>
        <v>No</v>
      </c>
      <c r="L9" t="str">
        <f ca="1">PROPER(TRIM(Raw_Data!L9))</f>
        <v>Muscle Gain</v>
      </c>
      <c r="M9" t="s">
        <v>151</v>
      </c>
      <c r="N9" s="2">
        <f>IFERROR(DATEVALUE(Raw_Data!N9), Raw_Data!N9)</f>
        <v>46071</v>
      </c>
      <c r="O9" s="2"/>
      <c r="P9" t="str">
        <f>IF(COUNTIF($A$2:A9,A9)&gt;1,"Duplicate","Unique")</f>
        <v>Unique</v>
      </c>
      <c r="Q9" t="str">
        <f t="shared" si="0"/>
        <v>OK</v>
      </c>
      <c r="R9" t="str">
        <f t="shared" si="1"/>
        <v>Available</v>
      </c>
    </row>
    <row r="10" spans="1:18">
      <c r="A10" t="str">
        <f>TRIM(CLEAN(Raw_Data!A10))</f>
        <v>MEM0009</v>
      </c>
      <c r="B10" t="str">
        <f ca="1">TRIM(Raw_Data!B10)</f>
        <v>Lakshmi Shetty</v>
      </c>
      <c r="C10" t="str">
        <f ca="1">_xlfn.XLOOKUP(D10, Branch_Master!A:A, Branch_Master!B:B)</f>
        <v>Trivandrum</v>
      </c>
      <c r="D10" t="str">
        <f ca="1">TRIM(Raw_Data!D10)</f>
        <v>BR06</v>
      </c>
      <c r="E10" t="str">
        <f ca="1">PROPER(TRIM(Raw_Data!E10))</f>
        <v>Premium</v>
      </c>
      <c r="F10" s="2">
        <f>IFERROR(DATEVALUE(Raw_Data!F10), Raw_Data!F10)</f>
        <v>45552</v>
      </c>
      <c r="G10" s="2">
        <f>IFERROR(
    IF(
        IFERROR(DATEVALUE(Raw_Data!G10), Raw_Data!G10) &lt;
        IFERROR(DATEVALUE(Raw_Data!F10), Raw_Data!F10),
        IFERROR(DATEVALUE(Raw_Data!F10), Raw_Data!F10) + 30,
        IFERROR(DATEVALUE(Raw_Data!G10), Raw_Data!G10)
    ),
    ""
)</f>
        <v>45582</v>
      </c>
      <c r="H10">
        <f>IFERROR(VALUE(Raw_Data!H10), "")</f>
        <v>2000</v>
      </c>
      <c r="I10">
        <f ca="1">IFERROR(VALUE(Raw_Data!I10), "")</f>
        <v>4000</v>
      </c>
      <c r="J10">
        <f>IFERROR(
    VALUE(SUBSTITUTE(Raw_Data!J10," visits","")),
    ""
)</f>
        <v>14</v>
      </c>
      <c r="K10" t="str">
        <f ca="1">IF(TRIM(Raw_Data!K10)="","No",PROPER(TRIM(Raw_Data!K10)))</f>
        <v>Yes</v>
      </c>
      <c r="L10" t="str">
        <f ca="1">PROPER(TRIM(Raw_Data!L10))</f>
        <v>General Fitness</v>
      </c>
      <c r="M10" t="s">
        <v>151</v>
      </c>
      <c r="N10" s="2">
        <f>IFERROR(DATEVALUE(Raw_Data!N10), Raw_Data!N10)</f>
        <v>45846</v>
      </c>
      <c r="O10" s="2"/>
      <c r="P10" t="str">
        <f>IF(COUNTIF($A$2:A10,A10)&gt;1,"Duplicate","Unique")</f>
        <v>Unique</v>
      </c>
      <c r="Q10" t="str">
        <f t="shared" si="0"/>
        <v>OK</v>
      </c>
      <c r="R10" t="str">
        <f t="shared" si="1"/>
        <v>Available</v>
      </c>
    </row>
    <row r="11" spans="1:18">
      <c r="A11" t="str">
        <f>TRIM(CLEAN(Raw_Data!A11))</f>
        <v>MEM0010</v>
      </c>
      <c r="B11" t="str">
        <f ca="1">TRIM(Raw_Data!B11)</f>
        <v>Pooja Iyer</v>
      </c>
      <c r="C11" t="str">
        <f ca="1">_xlfn.XLOOKUP(D11, Branch_Master!A:A, Branch_Master!B:B)</f>
        <v>Chennai</v>
      </c>
      <c r="D11" t="str">
        <f ca="1">TRIM(Raw_Data!D11)</f>
        <v>BR03</v>
      </c>
      <c r="E11" t="str">
        <f ca="1">PROPER(TRIM(Raw_Data!E11))</f>
        <v>Basic</v>
      </c>
      <c r="F11" s="2">
        <f>IFERROR(DATEVALUE(Raw_Data!F11), Raw_Data!F11)</f>
        <v>45390</v>
      </c>
      <c r="G11" s="2">
        <f>IFERROR(
    IF(
        IFERROR(DATEVALUE(Raw_Data!G11), Raw_Data!G11) &lt;
        IFERROR(DATEVALUE(Raw_Data!F11), Raw_Data!F11),
        IFERROR(DATEVALUE(Raw_Data!F11), Raw_Data!F11) + 30,
        IFERROR(DATEVALUE(Raw_Data!G11), Raw_Data!G11)
    ),
    ""
)</f>
        <v>45420</v>
      </c>
      <c r="H11">
        <f>IFERROR(VALUE(Raw_Data!H11), "")</f>
        <v>3500</v>
      </c>
      <c r="I11">
        <f ca="1">IFERROR(VALUE(Raw_Data!I11), "")</f>
        <v>24500</v>
      </c>
      <c r="J11">
        <f>IFERROR(
    VALUE(SUBSTITUTE(Raw_Data!J11," visits","")),
    ""
)</f>
        <v>15</v>
      </c>
      <c r="K11" t="str">
        <f ca="1">IF(TRIM(Raw_Data!K11)="","No",PROPER(TRIM(Raw_Data!K11)))</f>
        <v>Yes</v>
      </c>
      <c r="L11" t="str">
        <f ca="1">PROPER(TRIM(Raw_Data!L11))</f>
        <v>Muscle Gain</v>
      </c>
      <c r="M11" t="s">
        <v>151</v>
      </c>
      <c r="N11" s="2">
        <f>IFERROR(DATEVALUE(Raw_Data!N11), Raw_Data!N11)</f>
        <v>45926</v>
      </c>
      <c r="O11" s="2"/>
      <c r="P11" t="str">
        <f>IF(COUNTIF($A$2:A11,A11)&gt;1,"Duplicate","Unique")</f>
        <v>Unique</v>
      </c>
      <c r="Q11" t="str">
        <f t="shared" si="0"/>
        <v>OK</v>
      </c>
      <c r="R11" t="str">
        <f t="shared" si="1"/>
        <v>Available</v>
      </c>
    </row>
    <row r="12" spans="1:18">
      <c r="A12" t="str">
        <f>TRIM(CLEAN(Raw_Data!A12))</f>
        <v>MEM0011</v>
      </c>
      <c r="B12" t="str">
        <f ca="1">TRIM(Raw_Data!B12)</f>
        <v>Siddharth Shaikh</v>
      </c>
      <c r="C12" t="str">
        <f ca="1">_xlfn.XLOOKUP(D12, Branch_Master!A:A, Branch_Master!B:B)</f>
        <v>Kochi</v>
      </c>
      <c r="D12" t="str">
        <f ca="1">TRIM(Raw_Data!D12)</f>
        <v>BR01</v>
      </c>
      <c r="E12" t="str">
        <f ca="1">PROPER(TRIM(Raw_Data!E12))</f>
        <v>Standard</v>
      </c>
      <c r="F12" s="2">
        <f>IFERROR(DATEVALUE(Raw_Data!F12), Raw_Data!F12)</f>
        <v>45093</v>
      </c>
      <c r="G12" s="2">
        <f>IFERROR(
    IF(
        IFERROR(DATEVALUE(Raw_Data!G12), Raw_Data!G12) &lt;
        IFERROR(DATEVALUE(Raw_Data!F12), Raw_Data!F12),
        IFERROR(DATEVALUE(Raw_Data!F12), Raw_Data!F12) + 30,
        IFERROR(DATEVALUE(Raw_Data!G12), Raw_Data!G12)
    ),
    ""
)</f>
        <v>45458</v>
      </c>
      <c r="H12">
        <f>IFERROR(VALUE(Raw_Data!H12), "")</f>
        <v>2000</v>
      </c>
      <c r="I12">
        <f ca="1">IFERROR(VALUE(Raw_Data!I12), "")</f>
        <v>2000</v>
      </c>
      <c r="J12">
        <f>IFERROR(
    VALUE(SUBSTITUTE(Raw_Data!J12," visits","")),
    ""
)</f>
        <v>23</v>
      </c>
      <c r="K12" t="str">
        <f ca="1">IF(TRIM(Raw_Data!K12)="","No",PROPER(TRIM(Raw_Data!K12)))</f>
        <v>Yes</v>
      </c>
      <c r="L12" t="str">
        <f ca="1">PROPER(TRIM(Raw_Data!L12))</f>
        <v>General Fitness</v>
      </c>
      <c r="M12" t="s">
        <v>151</v>
      </c>
      <c r="N12" s="2">
        <f>IFERROR(DATEVALUE(Raw_Data!N12), Raw_Data!N12)</f>
        <v>45535</v>
      </c>
      <c r="O12" s="2"/>
      <c r="P12" t="str">
        <f>IF(COUNTIF($A$2:A12,A12)&gt;1,"Duplicate","Unique")</f>
        <v>Unique</v>
      </c>
      <c r="Q12" t="str">
        <f t="shared" si="0"/>
        <v>OK</v>
      </c>
      <c r="R12" t="str">
        <f t="shared" si="1"/>
        <v>Available</v>
      </c>
    </row>
    <row r="13" spans="1:18">
      <c r="A13" t="str">
        <f>TRIM(CLEAN(Raw_Data!A13))</f>
        <v>MEM0012</v>
      </c>
      <c r="B13" t="str">
        <f ca="1">TRIM(Raw_Data!B13)</f>
        <v>Ishita Nambiar</v>
      </c>
      <c r="C13" t="str">
        <f ca="1">_xlfn.XLOOKUP(D13, Branch_Master!A:A, Branch_Master!B:B)</f>
        <v>Trivandrum</v>
      </c>
      <c r="D13" t="str">
        <f ca="1">TRIM(Raw_Data!D13)</f>
        <v>BR06</v>
      </c>
      <c r="E13" t="str">
        <f ca="1">PROPER(TRIM(Raw_Data!E13))</f>
        <v>Basic</v>
      </c>
      <c r="F13" s="2">
        <f>IFERROR(DATEVALUE(Raw_Data!F13), Raw_Data!F13)</f>
        <v>45363</v>
      </c>
      <c r="G13" s="2">
        <f>IFERROR(
    IF(
        IFERROR(DATEVALUE(Raw_Data!G13), Raw_Data!G13) &lt;
        IFERROR(DATEVALUE(Raw_Data!F13), Raw_Data!F13),
        IFERROR(DATEVALUE(Raw_Data!F13), Raw_Data!F13) + 30,
        IFERROR(DATEVALUE(Raw_Data!G13), Raw_Data!G13)
    ),
    ""
)</f>
        <v>45728</v>
      </c>
      <c r="H13">
        <f>IFERROR(VALUE(Raw_Data!H13), "")</f>
        <v>2000</v>
      </c>
      <c r="I13">
        <f ca="1">IFERROR(VALUE(Raw_Data!I13), "")</f>
        <v>24000</v>
      </c>
      <c r="J13">
        <f>IFERROR(
    VALUE(SUBSTITUTE(Raw_Data!J13," visits","")),
    ""
)</f>
        <v>14</v>
      </c>
      <c r="K13" t="str">
        <f ca="1">IF(TRIM(Raw_Data!K13)="","No",PROPER(TRIM(Raw_Data!K13)))</f>
        <v>Yes</v>
      </c>
      <c r="L13" t="str">
        <f ca="1">PROPER(TRIM(Raw_Data!L13))</f>
        <v>Weight Loss</v>
      </c>
      <c r="M13" t="s">
        <v>151</v>
      </c>
      <c r="N13" s="2">
        <f>IFERROR(DATEVALUE(Raw_Data!N13), Raw_Data!N13)</f>
        <v>46031</v>
      </c>
      <c r="O13" s="2"/>
      <c r="P13" t="str">
        <f>IF(COUNTIF($A$2:A13,A13)&gt;1,"Duplicate","Unique")</f>
        <v>Unique</v>
      </c>
      <c r="Q13" t="str">
        <f t="shared" si="0"/>
        <v>OK</v>
      </c>
      <c r="R13" t="str">
        <f t="shared" si="1"/>
        <v>Available</v>
      </c>
    </row>
    <row r="14" spans="1:18">
      <c r="A14" t="str">
        <f>TRIM(CLEAN(Raw_Data!A14))</f>
        <v>MEM0013</v>
      </c>
      <c r="B14" t="str">
        <f ca="1">TRIM(Raw_Data!B14)</f>
        <v>Aditya Fernandes</v>
      </c>
      <c r="C14" t="str">
        <f ca="1">_xlfn.XLOOKUP(D14, Branch_Master!A:A, Branch_Master!B:B)</f>
        <v>Mumbai</v>
      </c>
      <c r="D14" t="str">
        <f ca="1">TRIM(Raw_Data!D14)</f>
        <v>BR05</v>
      </c>
      <c r="E14" t="str">
        <f ca="1">PROPER(TRIM(Raw_Data!E14))</f>
        <v>Premium</v>
      </c>
      <c r="F14" s="2">
        <f>IFERROR(DATEVALUE(Raw_Data!F14), Raw_Data!F14)</f>
        <v>45518</v>
      </c>
      <c r="G14" s="2">
        <f>IFERROR(
    IF(
        IFERROR(DATEVALUE(Raw_Data!G14), Raw_Data!G14) &lt;
        IFERROR(DATEVALUE(Raw_Data!F14), Raw_Data!F14),
        IFERROR(DATEVALUE(Raw_Data!F14), Raw_Data!F14) + 30,
        IFERROR(DATEVALUE(Raw_Data!G14), Raw_Data!G14)
    ),
    ""
)</f>
        <v>45548</v>
      </c>
      <c r="H14">
        <f>IFERROR(VALUE(Raw_Data!H14), "")</f>
        <v>1000</v>
      </c>
      <c r="I14">
        <f ca="1">IFERROR(VALUE(Raw_Data!I14), "")</f>
        <v>2000</v>
      </c>
      <c r="J14">
        <f>IFERROR(
    VALUE(SUBSTITUTE(Raw_Data!J14," visits","")),
    ""
)</f>
        <v>15</v>
      </c>
      <c r="K14" t="str">
        <f ca="1">IF(TRIM(Raw_Data!K14)="","No",PROPER(TRIM(Raw_Data!K14)))</f>
        <v>No</v>
      </c>
      <c r="L14" t="str">
        <f ca="1">PROPER(TRIM(Raw_Data!L14))</f>
        <v>General Fitness</v>
      </c>
      <c r="M14" t="s">
        <v>151</v>
      </c>
      <c r="N14" s="2">
        <f>IFERROR(DATEVALUE(Raw_Data!N14), Raw_Data!N14)</f>
        <v>45895</v>
      </c>
      <c r="O14" s="2"/>
      <c r="P14" t="str">
        <f>IF(COUNTIF($A$2:A14,A14)&gt;1,"Duplicate","Unique")</f>
        <v>Unique</v>
      </c>
      <c r="Q14" t="str">
        <f t="shared" si="0"/>
        <v>OK</v>
      </c>
      <c r="R14" t="str">
        <f t="shared" si="1"/>
        <v>Available</v>
      </c>
    </row>
    <row r="15" spans="1:18">
      <c r="A15" t="str">
        <f>TRIM(CLEAN(Raw_Data!A15))</f>
        <v>MEM0014</v>
      </c>
      <c r="B15" t="str">
        <f ca="1">TRIM(Raw_Data!B15)</f>
        <v>Pooja Agarwal</v>
      </c>
      <c r="C15" t="str">
        <f ca="1">_xlfn.XLOOKUP(D15, Branch_Master!A:A, Branch_Master!B:B)</f>
        <v>Chennai</v>
      </c>
      <c r="D15" t="str">
        <f ca="1">TRIM(Raw_Data!D15)</f>
        <v>BR03</v>
      </c>
      <c r="E15" t="str">
        <f ca="1">PROPER(TRIM(Raw_Data!E15))</f>
        <v>Premium</v>
      </c>
      <c r="F15" s="2">
        <f>IFERROR(DATEVALUE(Raw_Data!F15), Raw_Data!F15)</f>
        <v>45394</v>
      </c>
      <c r="G15" s="2">
        <f>IFERROR(
    IF(
        IFERROR(DATEVALUE(Raw_Data!G15), Raw_Data!G15) &lt;
        IFERROR(DATEVALUE(Raw_Data!F15), Raw_Data!F15),
        IFERROR(DATEVALUE(Raw_Data!F15), Raw_Data!F15) + 30,
        IFERROR(DATEVALUE(Raw_Data!G15), Raw_Data!G15)
    ),
    ""
)</f>
        <v>45484</v>
      </c>
      <c r="H15">
        <f>IFERROR(VALUE(Raw_Data!H15), "")</f>
        <v>1000</v>
      </c>
      <c r="I15">
        <f ca="1">IFERROR(VALUE(Raw_Data!I15), "")</f>
        <v>9000</v>
      </c>
      <c r="J15">
        <f>IFERROR(
    VALUE(SUBSTITUTE(Raw_Data!J15," visits","")),
    ""
)</f>
        <v>10</v>
      </c>
      <c r="K15" t="str">
        <f ca="1">IF(TRIM(Raw_Data!K15)="","No",PROPER(TRIM(Raw_Data!K15)))</f>
        <v>No</v>
      </c>
      <c r="L15" t="str">
        <f ca="1">PROPER(TRIM(Raw_Data!L15))</f>
        <v>General Fitness</v>
      </c>
      <c r="M15" t="s">
        <v>151</v>
      </c>
      <c r="N15" s="2">
        <f>IFERROR(DATEVALUE(Raw_Data!N15), Raw_Data!N15)</f>
        <v>45802</v>
      </c>
      <c r="O15" s="2"/>
      <c r="P15" t="str">
        <f>IF(COUNTIF($A$2:A15,A15)&gt;1,"Duplicate","Unique")</f>
        <v>Unique</v>
      </c>
      <c r="Q15" t="str">
        <f t="shared" si="0"/>
        <v>OK</v>
      </c>
      <c r="R15" t="str">
        <f t="shared" si="1"/>
        <v>Available</v>
      </c>
    </row>
    <row r="16" spans="1:18">
      <c r="A16" t="str">
        <f>TRIM(CLEAN(Raw_Data!A16))</f>
        <v>MEM0015</v>
      </c>
      <c r="B16" t="str">
        <f ca="1">TRIM(Raw_Data!B16)</f>
        <v>Nikhil Verma</v>
      </c>
      <c r="C16" t="str">
        <f ca="1">_xlfn.XLOOKUP(D16, Branch_Master!A:A, Branch_Master!B:B)</f>
        <v>Mumbai</v>
      </c>
      <c r="D16" t="str">
        <f ca="1">TRIM(Raw_Data!D16)</f>
        <v>BR05</v>
      </c>
      <c r="E16" t="str">
        <f ca="1">PROPER(TRIM(Raw_Data!E16))</f>
        <v>Standard</v>
      </c>
      <c r="F16" s="2">
        <f>IFERROR(DATEVALUE(Raw_Data!F16), Raw_Data!F16)</f>
        <v>45496</v>
      </c>
      <c r="G16" s="2">
        <f>IFERROR(
    IF(
        IFERROR(DATEVALUE(Raw_Data!G16), Raw_Data!G16) &lt;
        IFERROR(DATEVALUE(Raw_Data!F16), Raw_Data!F16),
        IFERROR(DATEVALUE(Raw_Data!F16), Raw_Data!F16) + 30,
        IFERROR(DATEVALUE(Raw_Data!G16), Raw_Data!G16)
    ),
    ""
)</f>
        <v>45861</v>
      </c>
      <c r="H16">
        <f>IFERROR(VALUE(Raw_Data!H16), "")</f>
        <v>1000</v>
      </c>
      <c r="I16">
        <f ca="1">IFERROR(VALUE(Raw_Data!I16), "")</f>
        <v>8000</v>
      </c>
      <c r="J16">
        <f>IFERROR(
    VALUE(SUBSTITUTE(Raw_Data!J16," visits","")),
    ""
)</f>
        <v>21</v>
      </c>
      <c r="K16" t="str">
        <f ca="1">IF(TRIM(Raw_Data!K16)="","No",PROPER(TRIM(Raw_Data!K16)))</f>
        <v>Yes</v>
      </c>
      <c r="L16" t="str">
        <f ca="1">PROPER(TRIM(Raw_Data!L16))</f>
        <v>Weight Loss</v>
      </c>
      <c r="M16" t="s">
        <v>151</v>
      </c>
      <c r="N16" s="2">
        <f>IFERROR(DATEVALUE(Raw_Data!N16), Raw_Data!N16)</f>
        <v>46003</v>
      </c>
      <c r="O16" s="2"/>
      <c r="P16" t="str">
        <f>IF(COUNTIF($A$2:A16,A16)&gt;1,"Duplicate","Unique")</f>
        <v>Unique</v>
      </c>
      <c r="Q16" t="str">
        <f t="shared" si="0"/>
        <v>OK</v>
      </c>
      <c r="R16" t="str">
        <f t="shared" si="1"/>
        <v>Available</v>
      </c>
    </row>
    <row r="17" spans="1:18">
      <c r="A17" t="str">
        <f>TRIM(CLEAN(Raw_Data!A17))</f>
        <v>MEM0016</v>
      </c>
      <c r="B17" t="str">
        <f ca="1">TRIM(Raw_Data!B17)</f>
        <v>Riya Kapoor</v>
      </c>
      <c r="C17" t="str">
        <f ca="1">_xlfn.XLOOKUP(D17, Branch_Master!A:A, Branch_Master!B:B)</f>
        <v>Kochi</v>
      </c>
      <c r="D17" t="str">
        <f ca="1">TRIM(Raw_Data!D17)</f>
        <v>BR01</v>
      </c>
      <c r="E17" t="str">
        <f ca="1">PROPER(TRIM(Raw_Data!E17))</f>
        <v>Premium</v>
      </c>
      <c r="F17" s="2">
        <f>IFERROR(DATEVALUE(Raw_Data!F17), Raw_Data!F17)</f>
        <v>45689</v>
      </c>
      <c r="G17" s="2">
        <f>IFERROR(
    IF(
        IFERROR(DATEVALUE(Raw_Data!G17), Raw_Data!G17) &lt;
        IFERROR(DATEVALUE(Raw_Data!F17), Raw_Data!F17),
        IFERROR(DATEVALUE(Raw_Data!F17), Raw_Data!F17) + 30,
        IFERROR(DATEVALUE(Raw_Data!G17), Raw_Data!G17)
    ),
    ""
)</f>
        <v>45719</v>
      </c>
      <c r="H17">
        <f>IFERROR(VALUE(Raw_Data!H17), "")</f>
        <v>3500</v>
      </c>
      <c r="I17">
        <f ca="1">IFERROR(VALUE(Raw_Data!I17), "")</f>
        <v>42000</v>
      </c>
      <c r="J17">
        <f>IFERROR(
    VALUE(SUBSTITUTE(Raw_Data!J17," visits","")),
    ""
)</f>
        <v>6</v>
      </c>
      <c r="K17" t="str">
        <f ca="1">IF(TRIM(Raw_Data!K17)="","No",PROPER(TRIM(Raw_Data!K17)))</f>
        <v>Yes</v>
      </c>
      <c r="L17" t="str">
        <f ca="1">PROPER(TRIM(Raw_Data!L17))</f>
        <v>Muscle Gain</v>
      </c>
      <c r="M17" t="s">
        <v>151</v>
      </c>
      <c r="N17" s="2">
        <f>IFERROR(DATEVALUE(Raw_Data!N17), Raw_Data!N17)</f>
        <v>45758</v>
      </c>
      <c r="O17" s="2"/>
      <c r="P17" t="str">
        <f>IF(COUNTIF($A$2:A17,A17)&gt;1,"Duplicate","Unique")</f>
        <v>Unique</v>
      </c>
      <c r="Q17" t="str">
        <f t="shared" si="0"/>
        <v>OK</v>
      </c>
      <c r="R17" t="str">
        <f t="shared" si="1"/>
        <v>Available</v>
      </c>
    </row>
    <row r="18" spans="1:18">
      <c r="A18" t="str">
        <f>TRIM(CLEAN(Raw_Data!A18))</f>
        <v>MEM0017</v>
      </c>
      <c r="B18" t="str">
        <f ca="1">TRIM(Raw_Data!B18)</f>
        <v>Deepak Agarwal</v>
      </c>
      <c r="C18" t="str">
        <f ca="1">_xlfn.XLOOKUP(D18, Branch_Master!A:A, Branch_Master!B:B)</f>
        <v>Hyderabad</v>
      </c>
      <c r="D18" t="str">
        <f ca="1">TRIM(Raw_Data!D18)</f>
        <v>BR04</v>
      </c>
      <c r="E18" t="str">
        <f ca="1">PROPER(TRIM(Raw_Data!E18))</f>
        <v>Basic</v>
      </c>
      <c r="F18" s="2">
        <f>IFERROR(DATEVALUE(Raw_Data!F18), Raw_Data!F18)</f>
        <v>45358</v>
      </c>
      <c r="G18" s="2">
        <f>IFERROR(
    IF(
        IFERROR(DATEVALUE(Raw_Data!G18), Raw_Data!G18) &lt;
        IFERROR(DATEVALUE(Raw_Data!F18), Raw_Data!F18),
        IFERROR(DATEVALUE(Raw_Data!F18), Raw_Data!F18) + 30,
        IFERROR(DATEVALUE(Raw_Data!G18), Raw_Data!G18)
    ),
    ""
)</f>
        <v>45723</v>
      </c>
      <c r="H18">
        <f>IFERROR(VALUE(Raw_Data!H18), "")</f>
        <v>3500</v>
      </c>
      <c r="I18">
        <f ca="1">IFERROR(VALUE(Raw_Data!I18), "")</f>
        <v>24500</v>
      </c>
      <c r="J18">
        <f>IFERROR(
    VALUE(SUBSTITUTE(Raw_Data!J18," visits","")),
    ""
)</f>
        <v>16</v>
      </c>
      <c r="K18" t="str">
        <f ca="1">IF(TRIM(Raw_Data!K18)="","No",PROPER(TRIM(Raw_Data!K18)))</f>
        <v>Yes</v>
      </c>
      <c r="L18" t="str">
        <f ca="1">PROPER(TRIM(Raw_Data!L18))</f>
        <v>General Fitness</v>
      </c>
      <c r="M18" t="s">
        <v>151</v>
      </c>
      <c r="N18" s="2">
        <f>IFERROR(DATEVALUE(Raw_Data!N18), Raw_Data!N18)</f>
        <v>45412</v>
      </c>
      <c r="O18" s="2"/>
      <c r="P18" t="str">
        <f>IF(COUNTIF($A$2:A18,A18)&gt;1,"Duplicate","Unique")</f>
        <v>Unique</v>
      </c>
      <c r="Q18" t="str">
        <f t="shared" si="0"/>
        <v>OK</v>
      </c>
      <c r="R18" t="str">
        <f t="shared" si="1"/>
        <v>Available</v>
      </c>
    </row>
    <row r="19" spans="1:18">
      <c r="A19" t="str">
        <f>TRIM(CLEAN(Raw_Data!A19))</f>
        <v>MEM0018</v>
      </c>
      <c r="B19" t="str">
        <f ca="1">TRIM(Raw_Data!B19)</f>
        <v>Ankit Naidu</v>
      </c>
      <c r="C19" t="str">
        <f ca="1">_xlfn.XLOOKUP(D19, Branch_Master!A:A, Branch_Master!B:B)</f>
        <v>Bangalore</v>
      </c>
      <c r="D19" t="str">
        <f ca="1">TRIM(Raw_Data!D19)</f>
        <v>BR02</v>
      </c>
      <c r="E19" t="str">
        <f ca="1">PROPER(TRIM(Raw_Data!E19))</f>
        <v>Premium</v>
      </c>
      <c r="F19" s="2">
        <f>IFERROR(DATEVALUE(Raw_Data!F19), Raw_Data!F19)</f>
        <v>45872</v>
      </c>
      <c r="G19" s="2">
        <f>IFERROR(
    IF(
        IFERROR(DATEVALUE(Raw_Data!G19), Raw_Data!G19) &lt;
        IFERROR(DATEVALUE(Raw_Data!F19), Raw_Data!F19),
        IFERROR(DATEVALUE(Raw_Data!F19), Raw_Data!F19) + 30,
        IFERROR(DATEVALUE(Raw_Data!G19), Raw_Data!G19)
    ),
    ""
)</f>
        <v>46237</v>
      </c>
      <c r="H19">
        <f>IFERROR(VALUE(Raw_Data!H19), "")</f>
        <v>3500</v>
      </c>
      <c r="I19">
        <f ca="1">IFERROR(VALUE(Raw_Data!I19), "")</f>
        <v>38500</v>
      </c>
      <c r="J19">
        <f>IFERROR(
    VALUE(SUBSTITUTE(Raw_Data!J19," visits","")),
    ""
)</f>
        <v>14</v>
      </c>
      <c r="K19" t="str">
        <f ca="1">IF(TRIM(Raw_Data!K19)="","No",PROPER(TRIM(Raw_Data!K19)))</f>
        <v>Yes</v>
      </c>
      <c r="L19" t="str">
        <f ca="1">PROPER(TRIM(Raw_Data!L19))</f>
        <v>Muscle Gain</v>
      </c>
      <c r="M19" t="s">
        <v>152</v>
      </c>
      <c r="N19" s="2">
        <f>IFERROR(DATEVALUE(Raw_Data!N19), Raw_Data!N19)</f>
        <v>46059</v>
      </c>
      <c r="O19" s="2"/>
      <c r="P19" t="str">
        <f>IF(COUNTIF($A$2:A19,A19)&gt;1,"Duplicate","Unique")</f>
        <v>Unique</v>
      </c>
      <c r="Q19" t="str">
        <f t="shared" si="0"/>
        <v>Cancelled but Active</v>
      </c>
      <c r="R19" t="str">
        <f t="shared" si="1"/>
        <v>Available</v>
      </c>
    </row>
    <row r="20" spans="1:18">
      <c r="A20" t="str">
        <f>TRIM(CLEAN(Raw_Data!A20))</f>
        <v>MEM0019</v>
      </c>
      <c r="B20" t="str">
        <f ca="1">TRIM(Raw_Data!B20)</f>
        <v>Fatima Gupta</v>
      </c>
      <c r="C20" t="str">
        <f ca="1">_xlfn.XLOOKUP(D20, Branch_Master!A:A, Branch_Master!B:B)</f>
        <v>Calicut</v>
      </c>
      <c r="D20" t="str">
        <f ca="1">TRIM(Raw_Data!D20)</f>
        <v>BR07</v>
      </c>
      <c r="E20" t="str">
        <f ca="1">PROPER(TRIM(Raw_Data!E20))</f>
        <v>Basic</v>
      </c>
      <c r="F20" s="2">
        <f>IFERROR(DATEVALUE(Raw_Data!F20), Raw_Data!F20)</f>
        <v>45429</v>
      </c>
      <c r="G20" s="2">
        <f>IFERROR(
    IF(
        IFERROR(DATEVALUE(Raw_Data!G20), Raw_Data!G20) &lt;
        IFERROR(DATEVALUE(Raw_Data!F20), Raw_Data!F20),
        IFERROR(DATEVALUE(Raw_Data!F20), Raw_Data!F20) + 30,
        IFERROR(DATEVALUE(Raw_Data!G20), Raw_Data!G20)
    ),
    ""
)</f>
        <v>45459</v>
      </c>
      <c r="H20">
        <f>IFERROR(VALUE(Raw_Data!H20), "")</f>
        <v>3500</v>
      </c>
      <c r="I20">
        <f ca="1">IFERROR(VALUE(Raw_Data!I20), "")</f>
        <v>24500</v>
      </c>
      <c r="J20">
        <f>IFERROR(
    VALUE(SUBSTITUTE(Raw_Data!J20," visits","")),
    ""
)</f>
        <v>23</v>
      </c>
      <c r="K20" t="str">
        <f ca="1">IF(TRIM(Raw_Data!K20)="","No",PROPER(TRIM(Raw_Data!K20)))</f>
        <v>Yes</v>
      </c>
      <c r="L20" t="str">
        <f ca="1">PROPER(TRIM(Raw_Data!L20))</f>
        <v>General Fitness</v>
      </c>
      <c r="M20" t="s">
        <v>151</v>
      </c>
      <c r="N20" s="2">
        <f>IFERROR(DATEVALUE(Raw_Data!N20), Raw_Data!N20)</f>
        <v>46072</v>
      </c>
      <c r="O20" s="2"/>
      <c r="P20" t="str">
        <f>IF(COUNTIF($A$2:A20,A20)&gt;1,"Duplicate","Unique")</f>
        <v>Unique</v>
      </c>
      <c r="Q20" t="str">
        <f t="shared" si="0"/>
        <v>OK</v>
      </c>
      <c r="R20" t="str">
        <f t="shared" si="1"/>
        <v>Available</v>
      </c>
    </row>
    <row r="21" spans="1:18">
      <c r="A21" t="str">
        <f>TRIM(CLEAN(Raw_Data!A21))</f>
        <v>MEM0020</v>
      </c>
      <c r="B21" t="str">
        <f ca="1">TRIM(Raw_Data!B21)</f>
        <v>Priya Gupta</v>
      </c>
      <c r="C21" t="str">
        <f ca="1">_xlfn.XLOOKUP(D21, Branch_Master!A:A, Branch_Master!B:B)</f>
        <v>Trivandrum</v>
      </c>
      <c r="D21" t="str">
        <f ca="1">TRIM(Raw_Data!D21)</f>
        <v>BR06</v>
      </c>
      <c r="E21" t="str">
        <f ca="1">PROPER(TRIM(Raw_Data!E21))</f>
        <v>Basic</v>
      </c>
      <c r="F21" s="2">
        <f>IFERROR(DATEVALUE(Raw_Data!F21), Raw_Data!F21)</f>
        <v>44974</v>
      </c>
      <c r="G21" s="2">
        <f>IFERROR(
    IF(
        IFERROR(DATEVALUE(Raw_Data!G21), Raw_Data!G21) &lt;
        IFERROR(DATEVALUE(Raw_Data!F21), Raw_Data!F21),
        IFERROR(DATEVALUE(Raw_Data!F21), Raw_Data!F21) + 30,
        IFERROR(DATEVALUE(Raw_Data!G21), Raw_Data!G21)
    ),
    ""
)</f>
        <v>45004</v>
      </c>
      <c r="H21">
        <f>IFERROR(VALUE(Raw_Data!H21), "")</f>
        <v>2000</v>
      </c>
      <c r="I21">
        <f ca="1">IFERROR(VALUE(Raw_Data!I21), "")</f>
        <v>6000</v>
      </c>
      <c r="J21">
        <f>IFERROR(
    VALUE(SUBSTITUTE(Raw_Data!J21," visits","")),
    ""
)</f>
        <v>19</v>
      </c>
      <c r="K21" t="str">
        <f ca="1">IF(TRIM(Raw_Data!K21)="","No",PROPER(TRIM(Raw_Data!K21)))</f>
        <v>Yes</v>
      </c>
      <c r="L21" t="str">
        <f ca="1">PROPER(TRIM(Raw_Data!L21))</f>
        <v>Weight Loss</v>
      </c>
      <c r="M21" t="s">
        <v>151</v>
      </c>
      <c r="N21" s="2">
        <f>IFERROR(DATEVALUE(Raw_Data!N21), Raw_Data!N21)</f>
        <v>45123</v>
      </c>
      <c r="O21" s="2"/>
      <c r="P21" t="str">
        <f>IF(COUNTIF($A$2:A21,A21)&gt;1,"Duplicate","Unique")</f>
        <v>Unique</v>
      </c>
      <c r="Q21" t="str">
        <f t="shared" si="0"/>
        <v>OK</v>
      </c>
      <c r="R21" t="str">
        <f t="shared" si="1"/>
        <v>Available</v>
      </c>
    </row>
    <row r="22" spans="1:18">
      <c r="A22" t="str">
        <f>TRIM(CLEAN(Raw_Data!A22))</f>
        <v>MEM0021</v>
      </c>
      <c r="B22" t="str">
        <f ca="1">TRIM(Raw_Data!B22)</f>
        <v>Rohit Singh</v>
      </c>
      <c r="C22" t="str">
        <f ca="1">_xlfn.XLOOKUP(D22, Branch_Master!A:A, Branch_Master!B:B)</f>
        <v>Calicut</v>
      </c>
      <c r="D22" t="str">
        <f ca="1">TRIM(Raw_Data!D22)</f>
        <v>BR07</v>
      </c>
      <c r="E22" t="str">
        <f ca="1">PROPER(TRIM(Raw_Data!E22))</f>
        <v>Basic</v>
      </c>
      <c r="F22" s="2">
        <f>IFERROR(DATEVALUE(Raw_Data!F22), Raw_Data!F22)</f>
        <v>45629</v>
      </c>
      <c r="G22" s="2">
        <f>IFERROR(
    IF(
        IFERROR(DATEVALUE(Raw_Data!G22), Raw_Data!G22) &lt;
        IFERROR(DATEVALUE(Raw_Data!F22), Raw_Data!F22),
        IFERROR(DATEVALUE(Raw_Data!F22), Raw_Data!F22) + 30,
        IFERROR(DATEVALUE(Raw_Data!G22), Raw_Data!G22)
    ),
    ""
)</f>
        <v>45659</v>
      </c>
      <c r="H22">
        <f>IFERROR(VALUE(Raw_Data!H22), "")</f>
        <v>3500</v>
      </c>
      <c r="I22">
        <f ca="1">IFERROR(VALUE(Raw_Data!I22), "")</f>
        <v>3500</v>
      </c>
      <c r="J22">
        <f>IFERROR(
    VALUE(SUBSTITUTE(Raw_Data!J22," visits","")),
    ""
)</f>
        <v>17</v>
      </c>
      <c r="K22" t="str">
        <f ca="1">IF(TRIM(Raw_Data!K22)="","No",PROPER(TRIM(Raw_Data!K22)))</f>
        <v>No</v>
      </c>
      <c r="L22" t="str">
        <f ca="1">PROPER(TRIM(Raw_Data!L22))</f>
        <v>Weight Loss</v>
      </c>
      <c r="M22" t="s">
        <v>151</v>
      </c>
      <c r="N22" s="2">
        <f>IFERROR(DATEVALUE(Raw_Data!N22), Raw_Data!N22)</f>
        <v>45950</v>
      </c>
      <c r="O22" s="2"/>
      <c r="P22" t="str">
        <f>IF(COUNTIF($A$2:A22,A22)&gt;1,"Duplicate","Unique")</f>
        <v>Unique</v>
      </c>
      <c r="Q22" t="str">
        <f t="shared" si="0"/>
        <v>OK</v>
      </c>
      <c r="R22" t="str">
        <f t="shared" si="1"/>
        <v>Available</v>
      </c>
    </row>
    <row r="23" spans="1:18">
      <c r="A23" t="str">
        <f>TRIM(CLEAN(Raw_Data!A23))</f>
        <v>MEM0022</v>
      </c>
      <c r="B23" t="str">
        <f ca="1">TRIM(Raw_Data!B23)</f>
        <v>Zara Menon</v>
      </c>
      <c r="C23" t="str">
        <f ca="1">_xlfn.XLOOKUP(D23, Branch_Master!A:A, Branch_Master!B:B)</f>
        <v>Hyderabad</v>
      </c>
      <c r="D23" t="str">
        <f ca="1">TRIM(Raw_Data!D23)</f>
        <v>BR04</v>
      </c>
      <c r="E23" t="str">
        <f ca="1">PROPER(TRIM(Raw_Data!E23))</f>
        <v>Basic</v>
      </c>
      <c r="F23" s="2">
        <f>IFERROR(DATEVALUE(Raw_Data!F23), Raw_Data!F23)</f>
        <v>45326</v>
      </c>
      <c r="G23" s="2">
        <f>IFERROR(
    IF(
        IFERROR(DATEVALUE(Raw_Data!G23), Raw_Data!G23) &lt;
        IFERROR(DATEVALUE(Raw_Data!F23), Raw_Data!F23),
        IFERROR(DATEVALUE(Raw_Data!F23), Raw_Data!F23) + 30,
        IFERROR(DATEVALUE(Raw_Data!G23), Raw_Data!G23)
    ),
    ""
)</f>
        <v>45356</v>
      </c>
      <c r="H23">
        <f>IFERROR(VALUE(Raw_Data!H23), "")</f>
        <v>1000</v>
      </c>
      <c r="I23">
        <f ca="1">IFERROR(VALUE(Raw_Data!I23), "")</f>
        <v>2000</v>
      </c>
      <c r="J23">
        <f>IFERROR(
    VALUE(SUBSTITUTE(Raw_Data!J23," visits","")),
    ""
)</f>
        <v>18</v>
      </c>
      <c r="K23" t="str">
        <f ca="1">IF(TRIM(Raw_Data!K23)="","No",PROPER(TRIM(Raw_Data!K23)))</f>
        <v>Yes</v>
      </c>
      <c r="L23" t="str">
        <f ca="1">PROPER(TRIM(Raw_Data!L23))</f>
        <v>General Fitness</v>
      </c>
      <c r="M23" t="s">
        <v>151</v>
      </c>
      <c r="N23" s="2">
        <f>IFERROR(DATEVALUE(Raw_Data!N23), Raw_Data!N23)</f>
        <v>45865</v>
      </c>
      <c r="O23" s="2"/>
      <c r="P23" t="str">
        <f>IF(COUNTIF($A$2:A23,A23)&gt;1,"Duplicate","Unique")</f>
        <v>Unique</v>
      </c>
      <c r="Q23" t="str">
        <f t="shared" si="0"/>
        <v>OK</v>
      </c>
      <c r="R23" t="str">
        <f t="shared" si="1"/>
        <v>Available</v>
      </c>
    </row>
    <row r="24" spans="1:18">
      <c r="A24" t="str">
        <f>TRIM(CLEAN(Raw_Data!A24))</f>
        <v>MEM0023</v>
      </c>
      <c r="B24" t="str">
        <f ca="1">TRIM(Raw_Data!B24)</f>
        <v>Harish Desai</v>
      </c>
      <c r="C24" t="str">
        <f ca="1">_xlfn.XLOOKUP(D24, Branch_Master!A:A, Branch_Master!B:B)</f>
        <v>Calicut</v>
      </c>
      <c r="D24" t="str">
        <f ca="1">TRIM(Raw_Data!D24)</f>
        <v>BR07</v>
      </c>
      <c r="E24" t="str">
        <f ca="1">PROPER(TRIM(Raw_Data!E24))</f>
        <v>Basic</v>
      </c>
      <c r="F24" s="2">
        <f>IFERROR(DATEVALUE(Raw_Data!F24), Raw_Data!F24)</f>
        <v>45858</v>
      </c>
      <c r="G24" s="2">
        <f>IFERROR(
    IF(
        IFERROR(DATEVALUE(Raw_Data!G24), Raw_Data!G24) &lt;
        IFERROR(DATEVALUE(Raw_Data!F24), Raw_Data!F24),
        IFERROR(DATEVALUE(Raw_Data!F24), Raw_Data!F24) + 30,
        IFERROR(DATEVALUE(Raw_Data!G24), Raw_Data!G24)
    ),
    ""
)</f>
        <v>46223</v>
      </c>
      <c r="H24">
        <f>IFERROR(VALUE(Raw_Data!H24), "")</f>
        <v>1000</v>
      </c>
      <c r="I24">
        <f ca="1">IFERROR(VALUE(Raw_Data!I24), "")</f>
        <v>5000</v>
      </c>
      <c r="J24">
        <f>IFERROR(
    VALUE(SUBSTITUTE(Raw_Data!J24," visits","")),
    ""
)</f>
        <v>9</v>
      </c>
      <c r="K24" t="str">
        <f ca="1">IF(TRIM(Raw_Data!K24)="","No",PROPER(TRIM(Raw_Data!K24)))</f>
        <v>Yes</v>
      </c>
      <c r="L24" t="str">
        <f ca="1">PROPER(TRIM(Raw_Data!L24))</f>
        <v>General Fitness</v>
      </c>
      <c r="M24" t="s">
        <v>151</v>
      </c>
      <c r="N24" s="2">
        <f>IFERROR(DATEVALUE(Raw_Data!N24), Raw_Data!N24)</f>
        <v>46102</v>
      </c>
      <c r="O24" s="2"/>
      <c r="P24" t="str">
        <f>IF(COUNTIF($A$2:A24,A24)&gt;1,"Duplicate","Unique")</f>
        <v>Unique</v>
      </c>
      <c r="Q24" t="str">
        <f t="shared" si="0"/>
        <v>OK</v>
      </c>
      <c r="R24" t="str">
        <f t="shared" si="1"/>
        <v>Available</v>
      </c>
    </row>
    <row r="25" spans="1:18">
      <c r="A25" t="str">
        <f>TRIM(CLEAN(Raw_Data!A25))</f>
        <v>MEM0024</v>
      </c>
      <c r="B25" t="str">
        <f ca="1">TRIM(Raw_Data!B25)</f>
        <v>Harish Desai</v>
      </c>
      <c r="C25" t="str">
        <f ca="1">_xlfn.XLOOKUP(D25, Branch_Master!A:A, Branch_Master!B:B)</f>
        <v>Chennai</v>
      </c>
      <c r="D25" t="str">
        <f ca="1">TRIM(Raw_Data!D25)</f>
        <v>BR03</v>
      </c>
      <c r="E25" t="str">
        <f ca="1">PROPER(TRIM(Raw_Data!E25))</f>
        <v>Basic</v>
      </c>
      <c r="F25" s="2">
        <f>IFERROR(DATEVALUE(Raw_Data!F25), Raw_Data!F25)</f>
        <v>45814</v>
      </c>
      <c r="G25" s="2">
        <f>IFERROR(
    IF(
        IFERROR(DATEVALUE(Raw_Data!G25), Raw_Data!G25) &lt;
        IFERROR(DATEVALUE(Raw_Data!F25), Raw_Data!F25),
        IFERROR(DATEVALUE(Raw_Data!F25), Raw_Data!F25) + 30,
        IFERROR(DATEVALUE(Raw_Data!G25), Raw_Data!G25)
    ),
    ""
)</f>
        <v>45904</v>
      </c>
      <c r="H25">
        <f>IFERROR(VALUE(Raw_Data!H25), "")</f>
        <v>1000</v>
      </c>
      <c r="I25">
        <f ca="1">IFERROR(VALUE(Raw_Data!I25), "")</f>
        <v>5000</v>
      </c>
      <c r="J25">
        <f>IFERROR(
    VALUE(SUBSTITUTE(Raw_Data!J25," visits","")),
    ""
)</f>
        <v>4</v>
      </c>
      <c r="K25" t="str">
        <f ca="1">IF(TRIM(Raw_Data!K25)="","No",PROPER(TRIM(Raw_Data!K25)))</f>
        <v>No</v>
      </c>
      <c r="L25" t="str">
        <f ca="1">PROPER(TRIM(Raw_Data!L25))</f>
        <v>Weight Loss</v>
      </c>
      <c r="M25" t="s">
        <v>152</v>
      </c>
      <c r="N25" s="2">
        <f>IFERROR(DATEVALUE(Raw_Data!N25), Raw_Data!N25)</f>
        <v>45855</v>
      </c>
      <c r="O25" s="2"/>
      <c r="P25" t="str">
        <f>IF(COUNTIF($A$2:A25,A25)&gt;1,"Duplicate","Unique")</f>
        <v>Unique</v>
      </c>
      <c r="Q25" t="str">
        <f t="shared" si="0"/>
        <v>Cancelled but Active</v>
      </c>
      <c r="R25" t="str">
        <f t="shared" si="1"/>
        <v>Available</v>
      </c>
    </row>
    <row r="26" spans="1:18">
      <c r="A26" t="str">
        <f>TRIM(CLEAN(Raw_Data!A26))</f>
        <v>MEM0025</v>
      </c>
      <c r="B26" t="str">
        <f ca="1">TRIM(Raw_Data!B26)</f>
        <v>Ayesha Nair</v>
      </c>
      <c r="C26" t="str">
        <f ca="1">_xlfn.XLOOKUP(D26, Branch_Master!A:A, Branch_Master!B:B)</f>
        <v>Calicut</v>
      </c>
      <c r="D26" t="str">
        <f ca="1">TRIM(Raw_Data!D26)</f>
        <v>BR07</v>
      </c>
      <c r="E26" t="str">
        <f ca="1">PROPER(TRIM(Raw_Data!E26))</f>
        <v>Standard</v>
      </c>
      <c r="F26" s="2">
        <f>IFERROR(DATEVALUE(Raw_Data!F26), Raw_Data!F26)</f>
        <v>45963</v>
      </c>
      <c r="G26" s="2">
        <f>IFERROR(
    IF(
        IFERROR(DATEVALUE(Raw_Data!G26), Raw_Data!G26) &lt;
        IFERROR(DATEVALUE(Raw_Data!F26), Raw_Data!F26),
        IFERROR(DATEVALUE(Raw_Data!F26), Raw_Data!F26) + 30,
        IFERROR(DATEVALUE(Raw_Data!G26), Raw_Data!G26)
    ),
    ""
)</f>
        <v>46328</v>
      </c>
      <c r="H26">
        <f>IFERROR(VALUE(Raw_Data!H26), "")</f>
        <v>1000</v>
      </c>
      <c r="I26">
        <f ca="1">IFERROR(VALUE(Raw_Data!I26), "")</f>
        <v>4000</v>
      </c>
      <c r="J26">
        <f>IFERROR(
    VALUE(SUBSTITUTE(Raw_Data!J26," visits","")),
    ""
)</f>
        <v>13</v>
      </c>
      <c r="K26" t="str">
        <f ca="1">IF(TRIM(Raw_Data!K26)="","No",PROPER(TRIM(Raw_Data!K26)))</f>
        <v>Yes</v>
      </c>
      <c r="L26" t="str">
        <f ca="1">PROPER(TRIM(Raw_Data!L26))</f>
        <v>General Fitness</v>
      </c>
      <c r="M26" t="s">
        <v>151</v>
      </c>
      <c r="N26" s="2">
        <f>IFERROR(DATEVALUE(Raw_Data!N26), Raw_Data!N26)</f>
        <v>46058</v>
      </c>
      <c r="O26" s="2"/>
      <c r="P26" t="str">
        <f>IF(COUNTIF($A$2:A26,A26)&gt;1,"Duplicate","Unique")</f>
        <v>Unique</v>
      </c>
      <c r="Q26" t="str">
        <f t="shared" si="0"/>
        <v>OK</v>
      </c>
      <c r="R26" t="str">
        <f t="shared" si="1"/>
        <v>Available</v>
      </c>
    </row>
    <row r="27" spans="1:18">
      <c r="A27" t="str">
        <f>TRIM(CLEAN(Raw_Data!A27))</f>
        <v>MEM0026</v>
      </c>
      <c r="B27" t="str">
        <f ca="1">TRIM(Raw_Data!B27)</f>
        <v>Shreya Lewis</v>
      </c>
      <c r="C27" t="str">
        <f ca="1">_xlfn.XLOOKUP(D27, Branch_Master!A:A, Branch_Master!B:B)</f>
        <v>Hyderabad</v>
      </c>
      <c r="D27" t="str">
        <f ca="1">TRIM(Raw_Data!D27)</f>
        <v>BR04</v>
      </c>
      <c r="E27" t="str">
        <f ca="1">PROPER(TRIM(Raw_Data!E27))</f>
        <v>Premium</v>
      </c>
      <c r="F27" s="2">
        <f>IFERROR(DATEVALUE(Raw_Data!F27), Raw_Data!F27)</f>
        <v>45571</v>
      </c>
      <c r="G27" s="2">
        <f>IFERROR(
    IF(
        IFERROR(DATEVALUE(Raw_Data!G27), Raw_Data!G27) &lt;
        IFERROR(DATEVALUE(Raw_Data!F27), Raw_Data!F27),
        IFERROR(DATEVALUE(Raw_Data!F27), Raw_Data!F27) + 30,
        IFERROR(DATEVALUE(Raw_Data!G27), Raw_Data!G27)
    ),
    ""
)</f>
        <v>45661</v>
      </c>
      <c r="H27">
        <f>IFERROR(VALUE(Raw_Data!H27), "")</f>
        <v>3500</v>
      </c>
      <c r="I27">
        <f ca="1">IFERROR(VALUE(Raw_Data!I27), "")</f>
        <v>21000</v>
      </c>
      <c r="J27">
        <f>IFERROR(
    VALUE(SUBSTITUTE(Raw_Data!J27," visits","")),
    ""
)</f>
        <v>12</v>
      </c>
      <c r="K27" t="str">
        <f ca="1">IF(TRIM(Raw_Data!K27)="","No",PROPER(TRIM(Raw_Data!K27)))</f>
        <v>No</v>
      </c>
      <c r="L27" t="str">
        <f ca="1">PROPER(TRIM(Raw_Data!L27))</f>
        <v>Muscle Gain</v>
      </c>
      <c r="M27" t="s">
        <v>151</v>
      </c>
      <c r="N27" s="2">
        <f>IFERROR(DATEVALUE(Raw_Data!N27), Raw_Data!N27)</f>
        <v>45686</v>
      </c>
      <c r="O27" s="2"/>
      <c r="P27" t="str">
        <f>IF(COUNTIF($A$2:A27,A27)&gt;1,"Duplicate","Unique")</f>
        <v>Unique</v>
      </c>
      <c r="Q27" t="str">
        <f t="shared" si="0"/>
        <v>OK</v>
      </c>
      <c r="R27" t="str">
        <f t="shared" si="1"/>
        <v>Available</v>
      </c>
    </row>
    <row r="28" spans="1:18">
      <c r="A28" t="str">
        <f>TRIM(CLEAN(Raw_Data!A28))</f>
        <v>MEM0027</v>
      </c>
      <c r="B28" t="str">
        <f ca="1">TRIM(Raw_Data!B28)</f>
        <v>Fatima Reddy</v>
      </c>
      <c r="C28" t="str">
        <f ca="1">_xlfn.XLOOKUP(D28, Branch_Master!A:A, Branch_Master!B:B)</f>
        <v>Mumbai</v>
      </c>
      <c r="D28" t="str">
        <f ca="1">TRIM(Raw_Data!D28)</f>
        <v>BR05</v>
      </c>
      <c r="E28" t="str">
        <f ca="1">PROPER(TRIM(Raw_Data!E28))</f>
        <v>Standard</v>
      </c>
      <c r="F28" s="2">
        <f>IFERROR(DATEVALUE(Raw_Data!F28), Raw_Data!F28)</f>
        <v>44959</v>
      </c>
      <c r="G28" s="2">
        <f>IFERROR(
    IF(
        IFERROR(DATEVALUE(Raw_Data!G28), Raw_Data!G28) &lt;
        IFERROR(DATEVALUE(Raw_Data!F28), Raw_Data!F28),
        IFERROR(DATEVALUE(Raw_Data!F28), Raw_Data!F28) + 30,
        IFERROR(DATEVALUE(Raw_Data!G28), Raw_Data!G28)
    ),
    ""
)</f>
        <v>44989</v>
      </c>
      <c r="H28">
        <f>IFERROR(VALUE(Raw_Data!H28), "")</f>
        <v>3500</v>
      </c>
      <c r="I28">
        <f ca="1">IFERROR(VALUE(Raw_Data!I28), "")</f>
        <v>21000</v>
      </c>
      <c r="J28">
        <f>IFERROR(
    VALUE(SUBSTITUTE(Raw_Data!J28," visits","")),
    ""
)</f>
        <v>16</v>
      </c>
      <c r="K28" t="str">
        <f ca="1">IF(TRIM(Raw_Data!K28)="","No",PROPER(TRIM(Raw_Data!K28)))</f>
        <v>No</v>
      </c>
      <c r="L28" t="str">
        <f ca="1">PROPER(TRIM(Raw_Data!L28))</f>
        <v>General Fitness</v>
      </c>
      <c r="M28" t="s">
        <v>151</v>
      </c>
      <c r="N28" s="2">
        <f>IFERROR(DATEVALUE(Raw_Data!N28), Raw_Data!N28)</f>
        <v>45950</v>
      </c>
      <c r="O28" s="2"/>
      <c r="P28" t="str">
        <f>IF(COUNTIF($A$2:A28,A28)&gt;1,"Duplicate","Unique")</f>
        <v>Unique</v>
      </c>
      <c r="Q28" t="str">
        <f t="shared" si="0"/>
        <v>OK</v>
      </c>
      <c r="R28" t="str">
        <f t="shared" si="1"/>
        <v>Available</v>
      </c>
    </row>
    <row r="29" spans="1:18">
      <c r="A29" t="str">
        <f>TRIM(CLEAN(Raw_Data!A29))</f>
        <v>MEM0028</v>
      </c>
      <c r="B29" t="str">
        <f ca="1">TRIM(Raw_Data!B29)</f>
        <v>Pooja Fernandes</v>
      </c>
      <c r="C29" t="str">
        <f ca="1">_xlfn.XLOOKUP(D29, Branch_Master!A:A, Branch_Master!B:B)</f>
        <v>Calicut</v>
      </c>
      <c r="D29" t="str">
        <f ca="1">TRIM(Raw_Data!D29)</f>
        <v>BR07</v>
      </c>
      <c r="E29" t="str">
        <f ca="1">PROPER(TRIM(Raw_Data!E29))</f>
        <v>Standard</v>
      </c>
      <c r="F29" s="2">
        <f>IFERROR(DATEVALUE(Raw_Data!F29), Raw_Data!F29)</f>
        <v>45097</v>
      </c>
      <c r="G29" s="2">
        <f>IFERROR(
    IF(
        IFERROR(DATEVALUE(Raw_Data!G29), Raw_Data!G29) &lt;
        IFERROR(DATEVALUE(Raw_Data!F29), Raw_Data!F29),
        IFERROR(DATEVALUE(Raw_Data!F29), Raw_Data!F29) + 30,
        IFERROR(DATEVALUE(Raw_Data!G29), Raw_Data!G29)
    ),
    ""
)</f>
        <v>45462</v>
      </c>
      <c r="H29">
        <f>IFERROR(VALUE(Raw_Data!H29), "")</f>
        <v>1000</v>
      </c>
      <c r="I29">
        <f ca="1">IFERROR(VALUE(Raw_Data!I29), "")</f>
        <v>10000</v>
      </c>
      <c r="J29">
        <f>IFERROR(
    VALUE(SUBSTITUTE(Raw_Data!J29," visits","")),
    ""
)</f>
        <v>17</v>
      </c>
      <c r="K29" t="str">
        <f ca="1">IF(TRIM(Raw_Data!K29)="","No",PROPER(TRIM(Raw_Data!K29)))</f>
        <v>No</v>
      </c>
      <c r="L29" t="str">
        <f ca="1">PROPER(TRIM(Raw_Data!L29))</f>
        <v>Muscle Gain</v>
      </c>
      <c r="M29" t="s">
        <v>151</v>
      </c>
      <c r="N29" s="2">
        <f>IFERROR(DATEVALUE(Raw_Data!N29), Raw_Data!N29)</f>
        <v>45499</v>
      </c>
      <c r="O29" s="2"/>
      <c r="P29" t="str">
        <f>IF(COUNTIF($A$2:A29,A29)&gt;1,"Duplicate","Unique")</f>
        <v>Unique</v>
      </c>
      <c r="Q29" t="str">
        <f t="shared" si="0"/>
        <v>OK</v>
      </c>
      <c r="R29" t="str">
        <f t="shared" si="1"/>
        <v>Available</v>
      </c>
    </row>
    <row r="30" spans="1:18">
      <c r="A30" t="str">
        <f>TRIM(CLEAN(Raw_Data!A30))</f>
        <v>MEM0029</v>
      </c>
      <c r="B30" t="str">
        <f ca="1">TRIM(Raw_Data!B30)</f>
        <v>Siddharth Shetty</v>
      </c>
      <c r="C30" t="str">
        <f ca="1">_xlfn.XLOOKUP(D30, Branch_Master!A:A, Branch_Master!B:B)</f>
        <v>Calicut</v>
      </c>
      <c r="D30" t="str">
        <f ca="1">TRIM(Raw_Data!D30)</f>
        <v>BR07</v>
      </c>
      <c r="E30" t="str">
        <f ca="1">PROPER(TRIM(Raw_Data!E30))</f>
        <v>Basic</v>
      </c>
      <c r="F30" s="2">
        <f>IFERROR(DATEVALUE(Raw_Data!F30), Raw_Data!F30)</f>
        <v>45971</v>
      </c>
      <c r="G30" s="2">
        <f>IFERROR(
    IF(
        IFERROR(DATEVALUE(Raw_Data!G30), Raw_Data!G30) &lt;
        IFERROR(DATEVALUE(Raw_Data!F30), Raw_Data!F30),
        IFERROR(DATEVALUE(Raw_Data!F30), Raw_Data!F30) + 30,
        IFERROR(DATEVALUE(Raw_Data!G30), Raw_Data!G30)
    ),
    ""
)</f>
        <v>46336</v>
      </c>
      <c r="H30">
        <f>IFERROR(VALUE(Raw_Data!H30), "")</f>
        <v>3500</v>
      </c>
      <c r="I30">
        <f ca="1">IFERROR(VALUE(Raw_Data!I30), "")</f>
        <v>10500</v>
      </c>
      <c r="J30">
        <f>IFERROR(
    VALUE(SUBSTITUTE(Raw_Data!J30," visits","")),
    ""
)</f>
        <v>1</v>
      </c>
      <c r="K30" t="str">
        <f ca="1">IF(TRIM(Raw_Data!K30)="","No",PROPER(TRIM(Raw_Data!K30)))</f>
        <v>No</v>
      </c>
      <c r="L30" t="str">
        <f ca="1">PROPER(TRIM(Raw_Data!L30))</f>
        <v>Muscle Gain</v>
      </c>
      <c r="M30" t="s">
        <v>152</v>
      </c>
      <c r="N30" s="2">
        <f>IFERROR(DATEVALUE(Raw_Data!N30), Raw_Data!N30)</f>
        <v>46110</v>
      </c>
      <c r="O30" s="2"/>
      <c r="P30" t="str">
        <f>IF(COUNTIF($A$2:A30,A30)&gt;1,"Duplicate","Unique")</f>
        <v>Unique</v>
      </c>
      <c r="Q30" t="str">
        <f t="shared" si="0"/>
        <v>Cancelled but Active</v>
      </c>
      <c r="R30" t="str">
        <f t="shared" si="1"/>
        <v>Available</v>
      </c>
    </row>
    <row r="31" spans="1:18">
      <c r="A31" t="str">
        <f>TRIM(CLEAN(Raw_Data!A31))</f>
        <v>MEM0030</v>
      </c>
      <c r="B31" t="str">
        <f ca="1">TRIM(Raw_Data!B31)</f>
        <v>Riya Gupta</v>
      </c>
      <c r="C31" t="str">
        <f ca="1">_xlfn.XLOOKUP(D31, Branch_Master!A:A, Branch_Master!B:B)</f>
        <v>Kochi</v>
      </c>
      <c r="D31" t="str">
        <f ca="1">TRIM(Raw_Data!D31)</f>
        <v>BR01</v>
      </c>
      <c r="E31" t="str">
        <f ca="1">PROPER(TRIM(Raw_Data!E31))</f>
        <v>Premium</v>
      </c>
      <c r="F31" s="2">
        <f>IFERROR(DATEVALUE(Raw_Data!F31), Raw_Data!F31)</f>
        <v>44988</v>
      </c>
      <c r="G31" s="2">
        <f>IFERROR(
    IF(
        IFERROR(DATEVALUE(Raw_Data!G31), Raw_Data!G31) &lt;
        IFERROR(DATEVALUE(Raw_Data!F31), Raw_Data!F31),
        IFERROR(DATEVALUE(Raw_Data!F31), Raw_Data!F31) + 30,
        IFERROR(DATEVALUE(Raw_Data!G31), Raw_Data!G31)
    ),
    ""
)</f>
        <v>45353</v>
      </c>
      <c r="H31">
        <f>IFERROR(VALUE(Raw_Data!H31), "")</f>
        <v>3500</v>
      </c>
      <c r="I31">
        <f ca="1">IFERROR(VALUE(Raw_Data!I31), "")</f>
        <v>17500</v>
      </c>
      <c r="J31">
        <f>IFERROR(
    VALUE(SUBSTITUTE(Raw_Data!J31," visits","")),
    ""
)</f>
        <v>0</v>
      </c>
      <c r="K31" t="str">
        <f ca="1">IF(TRIM(Raw_Data!K31)="","No",PROPER(TRIM(Raw_Data!K31)))</f>
        <v>Yes</v>
      </c>
      <c r="L31" t="str">
        <f ca="1">PROPER(TRIM(Raw_Data!L31))</f>
        <v>General Fitness</v>
      </c>
      <c r="M31" t="s">
        <v>152</v>
      </c>
      <c r="N31" s="2">
        <f>IFERROR(DATEVALUE(Raw_Data!N31), Raw_Data!N31)</f>
        <v>45264</v>
      </c>
      <c r="O31" s="2"/>
      <c r="P31" t="str">
        <f>IF(COUNTIF($A$2:A31,A31)&gt;1,"Duplicate","Unique")</f>
        <v>Unique</v>
      </c>
      <c r="Q31" t="str">
        <f t="shared" si="0"/>
        <v>Cancelled but Active</v>
      </c>
      <c r="R31" t="str">
        <f t="shared" si="1"/>
        <v>Available</v>
      </c>
    </row>
    <row r="32" spans="1:18">
      <c r="A32" t="str">
        <f>TRIM(CLEAN(Raw_Data!A32))</f>
        <v>MEM0031</v>
      </c>
      <c r="B32" t="str">
        <f ca="1">TRIM(Raw_Data!B32)</f>
        <v>Karthik George</v>
      </c>
      <c r="C32" t="str">
        <f ca="1">_xlfn.XLOOKUP(D32, Branch_Master!A:A, Branch_Master!B:B)</f>
        <v>Calicut</v>
      </c>
      <c r="D32" t="str">
        <f ca="1">TRIM(Raw_Data!D32)</f>
        <v>BR07</v>
      </c>
      <c r="E32" t="str">
        <f ca="1">PROPER(TRIM(Raw_Data!E32))</f>
        <v>Premium</v>
      </c>
      <c r="F32" s="2">
        <f>IFERROR(DATEVALUE(Raw_Data!F32), Raw_Data!F32)</f>
        <v>45493</v>
      </c>
      <c r="G32" s="2">
        <f>IFERROR(
    IF(
        IFERROR(DATEVALUE(Raw_Data!G32), Raw_Data!G32) &lt;
        IFERROR(DATEVALUE(Raw_Data!F32), Raw_Data!F32),
        IFERROR(DATEVALUE(Raw_Data!F32), Raw_Data!F32) + 30,
        IFERROR(DATEVALUE(Raw_Data!G32), Raw_Data!G32)
    ),
    ""
)</f>
        <v>45583</v>
      </c>
      <c r="H32">
        <f>IFERROR(VALUE(Raw_Data!H32), "")</f>
        <v>2000</v>
      </c>
      <c r="I32">
        <f ca="1">IFERROR(VALUE(Raw_Data!I32), "")</f>
        <v>18000</v>
      </c>
      <c r="J32">
        <f>IFERROR(
    VALUE(SUBSTITUTE(Raw_Data!J32," visits","")),
    ""
)</f>
        <v>19</v>
      </c>
      <c r="K32" t="str">
        <f ca="1">IF(TRIM(Raw_Data!K32)="","No",PROPER(TRIM(Raw_Data!K32)))</f>
        <v>No</v>
      </c>
      <c r="L32" t="str">
        <f ca="1">PROPER(TRIM(Raw_Data!L32))</f>
        <v>Muscle Gain</v>
      </c>
      <c r="M32" t="s">
        <v>151</v>
      </c>
      <c r="N32" s="2">
        <f>IFERROR(DATEVALUE(Raw_Data!N32), Raw_Data!N32)</f>
        <v>45827</v>
      </c>
      <c r="O32" s="2"/>
      <c r="P32" t="str">
        <f>IF(COUNTIF($A$2:A32,A32)&gt;1,"Duplicate","Unique")</f>
        <v>Unique</v>
      </c>
      <c r="Q32" t="str">
        <f t="shared" si="0"/>
        <v>OK</v>
      </c>
      <c r="R32" t="str">
        <f t="shared" si="1"/>
        <v>Available</v>
      </c>
    </row>
    <row r="33" spans="1:18">
      <c r="A33" t="str">
        <f>TRIM(CLEAN(Raw_Data!A33))</f>
        <v>MEM0032</v>
      </c>
      <c r="B33" t="str">
        <f ca="1">TRIM(Raw_Data!B33)</f>
        <v>Meera Reddy</v>
      </c>
      <c r="C33" t="str">
        <f ca="1">_xlfn.XLOOKUP(D33, Branch_Master!A:A, Branch_Master!B:B)</f>
        <v>Bangalore</v>
      </c>
      <c r="D33" t="str">
        <f ca="1">TRIM(Raw_Data!D33)</f>
        <v>BR02</v>
      </c>
      <c r="E33" t="str">
        <f ca="1">PROPER(TRIM(Raw_Data!E33))</f>
        <v>Basic</v>
      </c>
      <c r="F33" s="2">
        <f>IFERROR(DATEVALUE(Raw_Data!F33), Raw_Data!F33)</f>
        <v>45247</v>
      </c>
      <c r="G33" s="2">
        <f>IFERROR(
    IF(
        IFERROR(DATEVALUE(Raw_Data!G33), Raw_Data!G33) &lt;
        IFERROR(DATEVALUE(Raw_Data!F33), Raw_Data!F33),
        IFERROR(DATEVALUE(Raw_Data!F33), Raw_Data!F33) + 30,
        IFERROR(DATEVALUE(Raw_Data!G33), Raw_Data!G33)
    ),
    ""
)</f>
        <v>45337</v>
      </c>
      <c r="H33">
        <f>IFERROR(VALUE(Raw_Data!H33), "")</f>
        <v>3500</v>
      </c>
      <c r="I33">
        <f ca="1">IFERROR(VALUE(Raw_Data!I33), "")</f>
        <v>31500</v>
      </c>
      <c r="J33">
        <f>IFERROR(
    VALUE(SUBSTITUTE(Raw_Data!J33," visits","")),
    ""
)</f>
        <v>11</v>
      </c>
      <c r="K33" t="str">
        <f ca="1">IF(TRIM(Raw_Data!K33)="","No",PROPER(TRIM(Raw_Data!K33)))</f>
        <v>No</v>
      </c>
      <c r="L33" t="str">
        <f ca="1">PROPER(TRIM(Raw_Data!L33))</f>
        <v>Muscle Gain</v>
      </c>
      <c r="M33" t="s">
        <v>151</v>
      </c>
      <c r="N33" s="2">
        <f>IFERROR(DATEVALUE(Raw_Data!N33), Raw_Data!N33)</f>
        <v>45987</v>
      </c>
      <c r="O33" s="2"/>
      <c r="P33" t="str">
        <f>IF(COUNTIF($A$2:A33,A33)&gt;1,"Duplicate","Unique")</f>
        <v>Unique</v>
      </c>
      <c r="Q33" t="str">
        <f t="shared" si="0"/>
        <v>OK</v>
      </c>
      <c r="R33" t="str">
        <f t="shared" si="1"/>
        <v>Available</v>
      </c>
    </row>
    <row r="34" spans="1:18">
      <c r="A34" t="str">
        <f>TRIM(CLEAN(Raw_Data!A34))</f>
        <v>MEM0033</v>
      </c>
      <c r="B34" t="str">
        <f ca="1">TRIM(Raw_Data!B34)</f>
        <v>Varun George</v>
      </c>
      <c r="C34" t="str">
        <f ca="1">_xlfn.XLOOKUP(D34, Branch_Master!A:A, Branch_Master!B:B)</f>
        <v>Calicut</v>
      </c>
      <c r="D34" t="str">
        <f ca="1">TRIM(Raw_Data!D34)</f>
        <v>BR07</v>
      </c>
      <c r="E34" t="str">
        <f ca="1">PROPER(TRIM(Raw_Data!E34))</f>
        <v>Basic</v>
      </c>
      <c r="F34" s="2">
        <f>IFERROR(DATEVALUE(Raw_Data!F34), Raw_Data!F34)</f>
        <v>45276</v>
      </c>
      <c r="G34" s="2">
        <f>IFERROR(
    IF(
        IFERROR(DATEVALUE(Raw_Data!G34), Raw_Data!G34) &lt;
        IFERROR(DATEVALUE(Raw_Data!F34), Raw_Data!F34),
        IFERROR(DATEVALUE(Raw_Data!F34), Raw_Data!F34) + 30,
        IFERROR(DATEVALUE(Raw_Data!G34), Raw_Data!G34)
    ),
    ""
)</f>
        <v>45641</v>
      </c>
      <c r="H34">
        <f>IFERROR(VALUE(Raw_Data!H34), "")</f>
        <v>2000</v>
      </c>
      <c r="I34">
        <f ca="1">IFERROR(VALUE(Raw_Data!I34), "")</f>
        <v>12000</v>
      </c>
      <c r="J34">
        <f>IFERROR(
    VALUE(SUBSTITUTE(Raw_Data!J34," visits","")),
    ""
)</f>
        <v>21</v>
      </c>
      <c r="K34" t="str">
        <f ca="1">IF(TRIM(Raw_Data!K34)="","No",PROPER(TRIM(Raw_Data!K34)))</f>
        <v>Yes</v>
      </c>
      <c r="L34" t="str">
        <f ca="1">PROPER(TRIM(Raw_Data!L34))</f>
        <v>Muscle Gain</v>
      </c>
      <c r="M34" t="s">
        <v>151</v>
      </c>
      <c r="N34" s="2">
        <f>IFERROR(DATEVALUE(Raw_Data!N34), Raw_Data!N34)</f>
        <v>45981</v>
      </c>
      <c r="O34" s="2"/>
      <c r="P34" t="str">
        <f>IF(COUNTIF($A$2:A34,A34)&gt;1,"Duplicate","Unique")</f>
        <v>Unique</v>
      </c>
      <c r="Q34" t="str">
        <f t="shared" si="0"/>
        <v>OK</v>
      </c>
      <c r="R34" t="str">
        <f t="shared" si="1"/>
        <v>Available</v>
      </c>
    </row>
    <row r="35" spans="1:18">
      <c r="A35" t="str">
        <f>TRIM(CLEAN(Raw_Data!A35))</f>
        <v>MEM0034</v>
      </c>
      <c r="B35" t="str">
        <f ca="1">TRIM(Raw_Data!B35)</f>
        <v>Riya Singh</v>
      </c>
      <c r="C35" t="str">
        <f ca="1">_xlfn.XLOOKUP(D35, Branch_Master!A:A, Branch_Master!B:B)</f>
        <v>Kochi</v>
      </c>
      <c r="D35" t="str">
        <f ca="1">TRIM(Raw_Data!D35)</f>
        <v>BR01</v>
      </c>
      <c r="E35" t="str">
        <f ca="1">PROPER(TRIM(Raw_Data!E35))</f>
        <v>Standard</v>
      </c>
      <c r="F35" s="2">
        <f>IFERROR(DATEVALUE(Raw_Data!F35), Raw_Data!F35)</f>
        <v>45621</v>
      </c>
      <c r="G35" s="2">
        <f>IFERROR(
    IF(
        IFERROR(DATEVALUE(Raw_Data!G35), Raw_Data!G35) &lt;
        IFERROR(DATEVALUE(Raw_Data!F35), Raw_Data!F35),
        IFERROR(DATEVALUE(Raw_Data!F35), Raw_Data!F35) + 30,
        IFERROR(DATEVALUE(Raw_Data!G35), Raw_Data!G35)
    ),
    ""
)</f>
        <v>45986</v>
      </c>
      <c r="H35">
        <f>IFERROR(VALUE(Raw_Data!H35), "")</f>
        <v>2000</v>
      </c>
      <c r="I35">
        <f ca="1">IFERROR(VALUE(Raw_Data!I35), "")</f>
        <v>4000</v>
      </c>
      <c r="J35">
        <f>IFERROR(
    VALUE(SUBSTITUTE(Raw_Data!J35," visits","")),
    ""
)</f>
        <v>24</v>
      </c>
      <c r="K35" t="str">
        <f ca="1">IF(TRIM(Raw_Data!K35)="","No",PROPER(TRIM(Raw_Data!K35)))</f>
        <v>No</v>
      </c>
      <c r="L35" t="str">
        <f ca="1">PROPER(TRIM(Raw_Data!L35))</f>
        <v>Weight Loss</v>
      </c>
      <c r="M35" t="s">
        <v>151</v>
      </c>
      <c r="N35" s="2">
        <f>IFERROR(DATEVALUE(Raw_Data!N35), Raw_Data!N35)</f>
        <v>45718</v>
      </c>
      <c r="O35" s="2"/>
      <c r="P35" t="str">
        <f>IF(COUNTIF($A$2:A35,A35)&gt;1,"Duplicate","Unique")</f>
        <v>Unique</v>
      </c>
      <c r="Q35" t="str">
        <f t="shared" si="0"/>
        <v>OK</v>
      </c>
      <c r="R35" t="str">
        <f t="shared" si="1"/>
        <v>Available</v>
      </c>
    </row>
    <row r="36" spans="1:18">
      <c r="A36" t="str">
        <f>TRIM(CLEAN(Raw_Data!A36))</f>
        <v>MEM0035</v>
      </c>
      <c r="B36" t="str">
        <f ca="1">TRIM(Raw_Data!B36)</f>
        <v>Neha Gupta</v>
      </c>
      <c r="C36" t="str">
        <f ca="1">_xlfn.XLOOKUP(D36, Branch_Master!A:A, Branch_Master!B:B)</f>
        <v>Mumbai</v>
      </c>
      <c r="D36" t="str">
        <f ca="1">TRIM(Raw_Data!D36)</f>
        <v>BR05</v>
      </c>
      <c r="E36" t="str">
        <f ca="1">PROPER(TRIM(Raw_Data!E36))</f>
        <v>Premium</v>
      </c>
      <c r="F36" s="2">
        <f>IFERROR(DATEVALUE(Raw_Data!F36), Raw_Data!F36)</f>
        <v>45340</v>
      </c>
      <c r="G36" s="2">
        <f>IFERROR(
    IF(
        IFERROR(DATEVALUE(Raw_Data!G36), Raw_Data!G36) &lt;
        IFERROR(DATEVALUE(Raw_Data!F36), Raw_Data!F36),
        IFERROR(DATEVALUE(Raw_Data!F36), Raw_Data!F36) + 30,
        IFERROR(DATEVALUE(Raw_Data!G36), Raw_Data!G36)
    ),
    ""
)</f>
        <v>45370</v>
      </c>
      <c r="H36">
        <f>IFERROR(VALUE(Raw_Data!H36), "")</f>
        <v>1000</v>
      </c>
      <c r="I36">
        <f ca="1">IFERROR(VALUE(Raw_Data!I36), "")</f>
        <v>9000</v>
      </c>
      <c r="J36">
        <f>IFERROR(
    VALUE(SUBSTITUTE(Raw_Data!J36," visits","")),
    ""
)</f>
        <v>1</v>
      </c>
      <c r="K36" t="str">
        <f ca="1">IF(TRIM(Raw_Data!K36)="","No",PROPER(TRIM(Raw_Data!K36)))</f>
        <v>Yes</v>
      </c>
      <c r="L36" t="str">
        <f ca="1">PROPER(TRIM(Raw_Data!L36))</f>
        <v>Weight Loss</v>
      </c>
      <c r="M36" t="s">
        <v>151</v>
      </c>
      <c r="N36" s="2">
        <f>IFERROR(DATEVALUE(Raw_Data!N36), Raw_Data!N36)</f>
        <v>45881</v>
      </c>
      <c r="O36" s="2"/>
      <c r="P36" t="str">
        <f>IF(COUNTIF($A$2:A36,A36)&gt;1,"Duplicate","Unique")</f>
        <v>Unique</v>
      </c>
      <c r="Q36" t="str">
        <f t="shared" si="0"/>
        <v>OK</v>
      </c>
      <c r="R36" t="str">
        <f t="shared" si="1"/>
        <v>Available</v>
      </c>
    </row>
    <row r="37" spans="1:18">
      <c r="A37" t="str">
        <f>TRIM(CLEAN(Raw_Data!A37))</f>
        <v>MEM0036</v>
      </c>
      <c r="B37" t="str">
        <f ca="1">TRIM(Raw_Data!B37)</f>
        <v>Varun Joseph</v>
      </c>
      <c r="C37" t="str">
        <f ca="1">_xlfn.XLOOKUP(D37, Branch_Master!A:A, Branch_Master!B:B)</f>
        <v>Trivandrum</v>
      </c>
      <c r="D37" t="str">
        <f ca="1">TRIM(Raw_Data!D37)</f>
        <v>BR06</v>
      </c>
      <c r="E37" t="str">
        <f ca="1">PROPER(TRIM(Raw_Data!E37))</f>
        <v>Basic</v>
      </c>
      <c r="F37" s="2">
        <f>IFERROR(DATEVALUE(Raw_Data!F37), Raw_Data!F37)</f>
        <v>44950</v>
      </c>
      <c r="G37" s="2">
        <f>IFERROR(
    IF(
        IFERROR(DATEVALUE(Raw_Data!G37), Raw_Data!G37) &lt;
        IFERROR(DATEVALUE(Raw_Data!F37), Raw_Data!F37),
        IFERROR(DATEVALUE(Raw_Data!F37), Raw_Data!F37) + 30,
        IFERROR(DATEVALUE(Raw_Data!G37), Raw_Data!G37)
    ),
    ""
)</f>
        <v>45040</v>
      </c>
      <c r="H37">
        <f>IFERROR(VALUE(Raw_Data!H37), "")</f>
        <v>3500</v>
      </c>
      <c r="I37">
        <f ca="1">IFERROR(VALUE(Raw_Data!I37), "")</f>
        <v>7000</v>
      </c>
      <c r="J37">
        <f>IFERROR(
    VALUE(SUBSTITUTE(Raw_Data!J37," visits","")),
    ""
)</f>
        <v>9</v>
      </c>
      <c r="K37" t="str">
        <f ca="1">IF(TRIM(Raw_Data!K37)="","No",PROPER(TRIM(Raw_Data!K37)))</f>
        <v>No</v>
      </c>
      <c r="L37" t="str">
        <f ca="1">PROPER(TRIM(Raw_Data!L37))</f>
        <v>Weight Loss</v>
      </c>
      <c r="M37" t="s">
        <v>151</v>
      </c>
      <c r="N37" s="2">
        <f>IFERROR(DATEVALUE(Raw_Data!N37), Raw_Data!N37)</f>
        <v>45961</v>
      </c>
      <c r="O37" s="2"/>
      <c r="P37" t="str">
        <f>IF(COUNTIF($A$2:A37,A37)&gt;1,"Duplicate","Unique")</f>
        <v>Unique</v>
      </c>
      <c r="Q37" t="str">
        <f t="shared" si="0"/>
        <v>OK</v>
      </c>
      <c r="R37" t="str">
        <f t="shared" si="1"/>
        <v>Available</v>
      </c>
    </row>
    <row r="38" spans="1:18">
      <c r="A38" t="str">
        <f>TRIM(CLEAN(Raw_Data!A38))</f>
        <v>MEM0037</v>
      </c>
      <c r="B38" t="str">
        <f ca="1">TRIM(Raw_Data!B38)</f>
        <v>Ayesha Nair</v>
      </c>
      <c r="C38" t="str">
        <f ca="1">_xlfn.XLOOKUP(D38, Branch_Master!A:A, Branch_Master!B:B)</f>
        <v>Mumbai</v>
      </c>
      <c r="D38" t="str">
        <f ca="1">TRIM(Raw_Data!D38)</f>
        <v>BR05</v>
      </c>
      <c r="E38" t="str">
        <f ca="1">PROPER(TRIM(Raw_Data!E38))</f>
        <v>Standard</v>
      </c>
      <c r="F38" s="2">
        <f>IFERROR(DATEVALUE(Raw_Data!F38), Raw_Data!F38)</f>
        <v>45855</v>
      </c>
      <c r="G38" s="2">
        <f>IFERROR(
    IF(
        IFERROR(DATEVALUE(Raw_Data!G38), Raw_Data!G38) &lt;
        IFERROR(DATEVALUE(Raw_Data!F38), Raw_Data!F38),
        IFERROR(DATEVALUE(Raw_Data!F38), Raw_Data!F38) + 30,
        IFERROR(DATEVALUE(Raw_Data!G38), Raw_Data!G38)
    ),
    ""
)</f>
        <v>45945</v>
      </c>
      <c r="H38">
        <f>IFERROR(VALUE(Raw_Data!H38), "")</f>
        <v>3500</v>
      </c>
      <c r="I38">
        <f ca="1">IFERROR(VALUE(Raw_Data!I38), "")</f>
        <v>3500</v>
      </c>
      <c r="J38">
        <f>IFERROR(
    VALUE(SUBSTITUTE(Raw_Data!J38," visits","")),
    ""
)</f>
        <v>13</v>
      </c>
      <c r="K38" t="str">
        <f ca="1">IF(TRIM(Raw_Data!K38)="","No",PROPER(TRIM(Raw_Data!K38)))</f>
        <v>No</v>
      </c>
      <c r="L38" t="str">
        <f ca="1">PROPER(TRIM(Raw_Data!L38))</f>
        <v>Weight Loss</v>
      </c>
      <c r="M38" t="s">
        <v>151</v>
      </c>
      <c r="N38" s="2">
        <f>IFERROR(DATEVALUE(Raw_Data!N38), Raw_Data!N38)</f>
        <v>46053</v>
      </c>
      <c r="O38" s="2"/>
      <c r="P38" t="str">
        <f>IF(COUNTIF($A$2:A38,A38)&gt;1,"Duplicate","Unique")</f>
        <v>Unique</v>
      </c>
      <c r="Q38" t="str">
        <f t="shared" si="0"/>
        <v>OK</v>
      </c>
      <c r="R38" t="str">
        <f t="shared" si="1"/>
        <v>Available</v>
      </c>
    </row>
    <row r="39" spans="1:18">
      <c r="A39" t="str">
        <f>TRIM(CLEAN(Raw_Data!A39))</f>
        <v>MEM0038</v>
      </c>
      <c r="B39" t="str">
        <f ca="1">TRIM(Raw_Data!B39)</f>
        <v>Akash Mathew</v>
      </c>
      <c r="C39" t="str">
        <f ca="1">_xlfn.XLOOKUP(D39, Branch_Master!A:A, Branch_Master!B:B)</f>
        <v>Bangalore</v>
      </c>
      <c r="D39" t="str">
        <f ca="1">TRIM(Raw_Data!D39)</f>
        <v>BR02</v>
      </c>
      <c r="E39" t="str">
        <f ca="1">PROPER(TRIM(Raw_Data!E39))</f>
        <v>Basic</v>
      </c>
      <c r="F39" s="2">
        <f>IFERROR(DATEVALUE(Raw_Data!F39), Raw_Data!F39)</f>
        <v>45673</v>
      </c>
      <c r="G39" s="2">
        <f>IFERROR(
    IF(
        IFERROR(DATEVALUE(Raw_Data!G39), Raw_Data!G39) &lt;
        IFERROR(DATEVALUE(Raw_Data!F39), Raw_Data!F39),
        IFERROR(DATEVALUE(Raw_Data!F39), Raw_Data!F39) + 30,
        IFERROR(DATEVALUE(Raw_Data!G39), Raw_Data!G39)
    ),
    ""
)</f>
        <v>45763</v>
      </c>
      <c r="H39">
        <f>IFERROR(VALUE(Raw_Data!H39), "")</f>
        <v>3500</v>
      </c>
      <c r="I39">
        <f ca="1">IFERROR(VALUE(Raw_Data!I39), "")</f>
        <v>17500</v>
      </c>
      <c r="J39">
        <f>IFERROR(
    VALUE(SUBSTITUTE(Raw_Data!J39," visits","")),
    ""
)</f>
        <v>13</v>
      </c>
      <c r="K39" t="str">
        <f ca="1">IF(TRIM(Raw_Data!K39)="","No",PROPER(TRIM(Raw_Data!K39)))</f>
        <v>Yes</v>
      </c>
      <c r="L39" t="str">
        <f ca="1">PROPER(TRIM(Raw_Data!L39))</f>
        <v>Muscle Gain</v>
      </c>
      <c r="M39" t="s">
        <v>151</v>
      </c>
      <c r="N39" s="2">
        <f>IFERROR(DATEVALUE(Raw_Data!N39), Raw_Data!N39)</f>
        <v>45759</v>
      </c>
      <c r="O39" s="2"/>
      <c r="P39" t="str">
        <f>IF(COUNTIF($A$2:A39,A39)&gt;1,"Duplicate","Unique")</f>
        <v>Unique</v>
      </c>
      <c r="Q39" t="str">
        <f t="shared" si="0"/>
        <v>OK</v>
      </c>
      <c r="R39" t="str">
        <f t="shared" si="1"/>
        <v>Available</v>
      </c>
    </row>
    <row r="40" spans="1:18">
      <c r="A40" t="str">
        <f>TRIM(CLEAN(Raw_Data!A40))</f>
        <v>MEM0039</v>
      </c>
      <c r="B40" t="str">
        <f ca="1">TRIM(Raw_Data!B40)</f>
        <v>Neha Menon</v>
      </c>
      <c r="C40" t="str">
        <f ca="1">_xlfn.XLOOKUP(D40, Branch_Master!A:A, Branch_Master!B:B)</f>
        <v>Hyderabad</v>
      </c>
      <c r="D40" t="str">
        <f ca="1">TRIM(Raw_Data!D40)</f>
        <v>BR04</v>
      </c>
      <c r="E40" t="str">
        <f ca="1">PROPER(TRIM(Raw_Data!E40))</f>
        <v>Basic</v>
      </c>
      <c r="F40" s="2">
        <f>IFERROR(DATEVALUE(Raw_Data!F40), Raw_Data!F40)</f>
        <v>46018</v>
      </c>
      <c r="G40" s="2">
        <f>IFERROR(
    IF(
        IFERROR(DATEVALUE(Raw_Data!G40), Raw_Data!G40) &lt;
        IFERROR(DATEVALUE(Raw_Data!F40), Raw_Data!F40),
        IFERROR(DATEVALUE(Raw_Data!F40), Raw_Data!F40) + 30,
        IFERROR(DATEVALUE(Raw_Data!G40), Raw_Data!G40)
    ),
    ""
)</f>
        <v>46048</v>
      </c>
      <c r="H40">
        <f>IFERROR(VALUE(Raw_Data!H40), "")</f>
        <v>2000</v>
      </c>
      <c r="I40">
        <f ca="1">IFERROR(VALUE(Raw_Data!I40), "")</f>
        <v>12000</v>
      </c>
      <c r="J40">
        <f>IFERROR(
    VALUE(SUBSTITUTE(Raw_Data!J40," visits","")),
    ""
)</f>
        <v>15</v>
      </c>
      <c r="K40" t="str">
        <f ca="1">IF(TRIM(Raw_Data!K40)="","No",PROPER(TRIM(Raw_Data!K40)))</f>
        <v>No</v>
      </c>
      <c r="L40" t="str">
        <f ca="1">PROPER(TRIM(Raw_Data!L40))</f>
        <v>General Fitness</v>
      </c>
      <c r="M40" t="s">
        <v>151</v>
      </c>
      <c r="N40" s="2">
        <f>IFERROR(DATEVALUE(Raw_Data!N40), Raw_Data!N40)</f>
        <v>46088</v>
      </c>
      <c r="O40" s="2"/>
      <c r="P40" t="str">
        <f>IF(COUNTIF($A$2:A40,A40)&gt;1,"Duplicate","Unique")</f>
        <v>Unique</v>
      </c>
      <c r="Q40" t="str">
        <f t="shared" si="0"/>
        <v>OK</v>
      </c>
      <c r="R40" t="str">
        <f t="shared" si="1"/>
        <v>Available</v>
      </c>
    </row>
    <row r="41" spans="1:18">
      <c r="A41" t="str">
        <f>TRIM(CLEAN(Raw_Data!A41))</f>
        <v>MEM0040</v>
      </c>
      <c r="B41" t="str">
        <f ca="1">TRIM(Raw_Data!B41)</f>
        <v>Lakshmi Chatterjee</v>
      </c>
      <c r="C41" t="str">
        <f ca="1">_xlfn.XLOOKUP(D41, Branch_Master!A:A, Branch_Master!B:B)</f>
        <v>Chennai</v>
      </c>
      <c r="D41" t="str">
        <f ca="1">TRIM(Raw_Data!D41)</f>
        <v>BR03</v>
      </c>
      <c r="E41" t="str">
        <f ca="1">PROPER(TRIM(Raw_Data!E41))</f>
        <v>Premium</v>
      </c>
      <c r="F41" s="2">
        <f>IFERROR(DATEVALUE(Raw_Data!F41), Raw_Data!F41)</f>
        <v>45987</v>
      </c>
      <c r="G41" s="2">
        <f>IFERROR(
    IF(
        IFERROR(DATEVALUE(Raw_Data!G41), Raw_Data!G41) &lt;
        IFERROR(DATEVALUE(Raw_Data!F41), Raw_Data!F41),
        IFERROR(DATEVALUE(Raw_Data!F41), Raw_Data!F41) + 30,
        IFERROR(DATEVALUE(Raw_Data!G41), Raw_Data!G41)
    ),
    ""
)</f>
        <v>46352</v>
      </c>
      <c r="H41">
        <f>IFERROR(VALUE(Raw_Data!H41), "")</f>
        <v>3500</v>
      </c>
      <c r="I41">
        <f ca="1">IFERROR(VALUE(Raw_Data!I41), "")</f>
        <v>42000</v>
      </c>
      <c r="J41">
        <f>IFERROR(
    VALUE(SUBSTITUTE(Raw_Data!J41," visits","")),
    ""
)</f>
        <v>15</v>
      </c>
      <c r="K41" t="str">
        <f ca="1">IF(TRIM(Raw_Data!K41)="","No",PROPER(TRIM(Raw_Data!K41)))</f>
        <v>Yes</v>
      </c>
      <c r="L41" t="str">
        <f ca="1">PROPER(TRIM(Raw_Data!L41))</f>
        <v>General Fitness</v>
      </c>
      <c r="M41" t="s">
        <v>152</v>
      </c>
      <c r="N41" s="2">
        <f>IFERROR(DATEVALUE(Raw_Data!N41), Raw_Data!N41)</f>
        <v>46092</v>
      </c>
      <c r="O41" s="2"/>
      <c r="P41" t="str">
        <f>IF(COUNTIF($A$2:A41,A41)&gt;1,"Duplicate","Unique")</f>
        <v>Unique</v>
      </c>
      <c r="Q41" t="str">
        <f t="shared" si="0"/>
        <v>Cancelled but Active</v>
      </c>
      <c r="R41" t="str">
        <f t="shared" si="1"/>
        <v>Available</v>
      </c>
    </row>
    <row r="42" spans="1:18">
      <c r="A42" t="str">
        <f>TRIM(CLEAN(Raw_Data!A42))</f>
        <v>MEM0041</v>
      </c>
      <c r="B42" t="str">
        <f ca="1">TRIM(Raw_Data!B42)</f>
        <v>Aditya Bhat</v>
      </c>
      <c r="C42" t="str">
        <f ca="1">_xlfn.XLOOKUP(D42, Branch_Master!A:A, Branch_Master!B:B)</f>
        <v>Mumbai</v>
      </c>
      <c r="D42" t="str">
        <f ca="1">TRIM(Raw_Data!D42)</f>
        <v>BR05</v>
      </c>
      <c r="E42" t="str">
        <f ca="1">PROPER(TRIM(Raw_Data!E42))</f>
        <v>Standard</v>
      </c>
      <c r="F42" s="2">
        <f>IFERROR(DATEVALUE(Raw_Data!F42), Raw_Data!F42)</f>
        <v>45459</v>
      </c>
      <c r="G42" s="2">
        <f>IFERROR(
    IF(
        IFERROR(DATEVALUE(Raw_Data!G42), Raw_Data!G42) &lt;
        IFERROR(DATEVALUE(Raw_Data!F42), Raw_Data!F42),
        IFERROR(DATEVALUE(Raw_Data!F42), Raw_Data!F42) + 30,
        IFERROR(DATEVALUE(Raw_Data!G42), Raw_Data!G42)
    ),
    ""
)</f>
        <v>45824</v>
      </c>
      <c r="H42">
        <f>IFERROR(VALUE(Raw_Data!H42), "")</f>
        <v>1000</v>
      </c>
      <c r="I42">
        <f ca="1">IFERROR(VALUE(Raw_Data!I42), "")</f>
        <v>10000</v>
      </c>
      <c r="J42">
        <f>IFERROR(
    VALUE(SUBSTITUTE(Raw_Data!J42," visits","")),
    ""
)</f>
        <v>17</v>
      </c>
      <c r="K42" t="str">
        <f ca="1">IF(TRIM(Raw_Data!K42)="","No",PROPER(TRIM(Raw_Data!K42)))</f>
        <v>Yes</v>
      </c>
      <c r="L42" t="str">
        <f ca="1">PROPER(TRIM(Raw_Data!L42))</f>
        <v>General Fitness</v>
      </c>
      <c r="M42" t="s">
        <v>151</v>
      </c>
      <c r="N42" s="2">
        <f>IFERROR(DATEVALUE(Raw_Data!N42), Raw_Data!N42)</f>
        <v>45590</v>
      </c>
      <c r="O42" s="2"/>
      <c r="P42" t="str">
        <f>IF(COUNTIF($A$2:A42,A42)&gt;1,"Duplicate","Unique")</f>
        <v>Unique</v>
      </c>
      <c r="Q42" t="str">
        <f t="shared" si="0"/>
        <v>OK</v>
      </c>
      <c r="R42" t="str">
        <f t="shared" si="1"/>
        <v>Available</v>
      </c>
    </row>
    <row r="43" spans="1:18">
      <c r="A43" t="str">
        <f>TRIM(CLEAN(Raw_Data!A43))</f>
        <v>MEM0042</v>
      </c>
      <c r="B43" t="str">
        <f ca="1">TRIM(Raw_Data!B43)</f>
        <v>Zara Verma</v>
      </c>
      <c r="C43" t="str">
        <f ca="1">_xlfn.XLOOKUP(D43, Branch_Master!A:A, Branch_Master!B:B)</f>
        <v>Chennai</v>
      </c>
      <c r="D43" t="str">
        <f ca="1">TRIM(Raw_Data!D43)</f>
        <v>BR03</v>
      </c>
      <c r="E43" t="str">
        <f ca="1">PROPER(TRIM(Raw_Data!E43))</f>
        <v>Premium</v>
      </c>
      <c r="F43" s="2">
        <f>IFERROR(DATEVALUE(Raw_Data!F43), Raw_Data!F43)</f>
        <v>45171</v>
      </c>
      <c r="G43" s="2">
        <f>IFERROR(
    IF(
        IFERROR(DATEVALUE(Raw_Data!G43), Raw_Data!G43) &lt;
        IFERROR(DATEVALUE(Raw_Data!F43), Raw_Data!F43),
        IFERROR(DATEVALUE(Raw_Data!F43), Raw_Data!F43) + 30,
        IFERROR(DATEVALUE(Raw_Data!G43), Raw_Data!G43)
    ),
    ""
)</f>
        <v>45201</v>
      </c>
      <c r="H43">
        <f>IFERROR(VALUE(Raw_Data!H43), "")</f>
        <v>3500</v>
      </c>
      <c r="I43">
        <f ca="1">IFERROR(VALUE(Raw_Data!I43), "")</f>
        <v>7000</v>
      </c>
      <c r="J43">
        <f>IFERROR(
    VALUE(SUBSTITUTE(Raw_Data!J43," visits","")),
    ""
)</f>
        <v>20</v>
      </c>
      <c r="K43" t="str">
        <f ca="1">IF(TRIM(Raw_Data!K43)="","No",PROPER(TRIM(Raw_Data!K43)))</f>
        <v>No</v>
      </c>
      <c r="L43" t="str">
        <f ca="1">PROPER(TRIM(Raw_Data!L43))</f>
        <v>General Fitness</v>
      </c>
      <c r="M43" t="s">
        <v>152</v>
      </c>
      <c r="N43" s="2">
        <f>IFERROR(DATEVALUE(Raw_Data!N43), Raw_Data!N43)</f>
        <v>46017</v>
      </c>
      <c r="O43" s="2"/>
      <c r="P43" t="str">
        <f>IF(COUNTIF($A$2:A43,A43)&gt;1,"Duplicate","Unique")</f>
        <v>Unique</v>
      </c>
      <c r="Q43" t="str">
        <f t="shared" si="0"/>
        <v>Cancelled but Active</v>
      </c>
      <c r="R43" t="str">
        <f t="shared" si="1"/>
        <v>Available</v>
      </c>
    </row>
    <row r="44" spans="1:18">
      <c r="A44" t="str">
        <f>TRIM(CLEAN(Raw_Data!A44))</f>
        <v>MEM0043</v>
      </c>
      <c r="B44" t="str">
        <f ca="1">TRIM(Raw_Data!B44)</f>
        <v>Vivek Fernandes</v>
      </c>
      <c r="C44" t="str">
        <f ca="1">_xlfn.XLOOKUP(D44, Branch_Master!A:A, Branch_Master!B:B)</f>
        <v>Calicut</v>
      </c>
      <c r="D44" t="str">
        <f ca="1">TRIM(Raw_Data!D44)</f>
        <v>BR07</v>
      </c>
      <c r="E44" t="str">
        <f ca="1">PROPER(TRIM(Raw_Data!E44))</f>
        <v>Basic</v>
      </c>
      <c r="F44" s="2">
        <f>IFERROR(DATEVALUE(Raw_Data!F44), Raw_Data!F44)</f>
        <v>45759</v>
      </c>
      <c r="G44" s="2">
        <f>IFERROR(
    IF(
        IFERROR(DATEVALUE(Raw_Data!G44), Raw_Data!G44) &lt;
        IFERROR(DATEVALUE(Raw_Data!F44), Raw_Data!F44),
        IFERROR(DATEVALUE(Raw_Data!F44), Raw_Data!F44) + 30,
        IFERROR(DATEVALUE(Raw_Data!G44), Raw_Data!G44)
    ),
    ""
)</f>
        <v>45849</v>
      </c>
      <c r="H44">
        <f>IFERROR(VALUE(Raw_Data!H44), "")</f>
        <v>3500</v>
      </c>
      <c r="I44">
        <f ca="1">IFERROR(VALUE(Raw_Data!I44), "")</f>
        <v>17500</v>
      </c>
      <c r="J44">
        <f>IFERROR(
    VALUE(SUBSTITUTE(Raw_Data!J44," visits","")),
    ""
)</f>
        <v>13</v>
      </c>
      <c r="K44" t="str">
        <f ca="1">IF(TRIM(Raw_Data!K44)="","No",PROPER(TRIM(Raw_Data!K44)))</f>
        <v>Yes</v>
      </c>
      <c r="L44" t="str">
        <f ca="1">PROPER(TRIM(Raw_Data!L44))</f>
        <v>General Fitness</v>
      </c>
      <c r="M44" t="s">
        <v>151</v>
      </c>
      <c r="N44" s="2">
        <f>IFERROR(DATEVALUE(Raw_Data!N44), Raw_Data!N44)</f>
        <v>46011</v>
      </c>
      <c r="O44" s="2"/>
      <c r="P44" t="str">
        <f>IF(COUNTIF($A$2:A44,A44)&gt;1,"Duplicate","Unique")</f>
        <v>Unique</v>
      </c>
      <c r="Q44" t="str">
        <f t="shared" si="0"/>
        <v>OK</v>
      </c>
      <c r="R44" t="str">
        <f t="shared" si="1"/>
        <v>Available</v>
      </c>
    </row>
    <row r="45" spans="1:18">
      <c r="A45" t="str">
        <f>TRIM(CLEAN(Raw_Data!A45))</f>
        <v>MEM0044</v>
      </c>
      <c r="B45" t="str">
        <f ca="1">TRIM(Raw_Data!B45)</f>
        <v>Karthik Joshi</v>
      </c>
      <c r="C45" t="str">
        <f ca="1">_xlfn.XLOOKUP(D45, Branch_Master!A:A, Branch_Master!B:B)</f>
        <v>Bangalore</v>
      </c>
      <c r="D45" t="str">
        <f ca="1">TRIM(Raw_Data!D45)</f>
        <v>BR02</v>
      </c>
      <c r="E45" t="str">
        <f ca="1">PROPER(TRIM(Raw_Data!E45))</f>
        <v>Basic</v>
      </c>
      <c r="F45" s="2">
        <f>IFERROR(DATEVALUE(Raw_Data!F45), Raw_Data!F45)</f>
        <v>45142</v>
      </c>
      <c r="G45" s="2">
        <f>IFERROR(
    IF(
        IFERROR(DATEVALUE(Raw_Data!G45), Raw_Data!G45) &lt;
        IFERROR(DATEVALUE(Raw_Data!F45), Raw_Data!F45),
        IFERROR(DATEVALUE(Raw_Data!F45), Raw_Data!F45) + 30,
        IFERROR(DATEVALUE(Raw_Data!G45), Raw_Data!G45)
    ),
    ""
)</f>
        <v>45172</v>
      </c>
      <c r="H45">
        <f>IFERROR(VALUE(Raw_Data!H45), "")</f>
        <v>2000</v>
      </c>
      <c r="I45">
        <f ca="1">IFERROR(VALUE(Raw_Data!I45), "")</f>
        <v>6000</v>
      </c>
      <c r="J45">
        <f>IFERROR(
    VALUE(SUBSTITUTE(Raw_Data!J45," visits","")),
    ""
)</f>
        <v>11</v>
      </c>
      <c r="K45" t="str">
        <f ca="1">IF(TRIM(Raw_Data!K45)="","No",PROPER(TRIM(Raw_Data!K45)))</f>
        <v>No</v>
      </c>
      <c r="L45" t="str">
        <f ca="1">PROPER(TRIM(Raw_Data!L45))</f>
        <v>General Fitness</v>
      </c>
      <c r="M45" t="s">
        <v>151</v>
      </c>
      <c r="N45" s="2">
        <f>IFERROR(DATEVALUE(Raw_Data!N45), Raw_Data!N45)</f>
        <v>45524</v>
      </c>
      <c r="O45" s="2"/>
      <c r="P45" t="str">
        <f>IF(COUNTIF($A$2:A45,A45)&gt;1,"Duplicate","Unique")</f>
        <v>Unique</v>
      </c>
      <c r="Q45" t="str">
        <f t="shared" si="0"/>
        <v>OK</v>
      </c>
      <c r="R45" t="str">
        <f t="shared" si="1"/>
        <v>Available</v>
      </c>
    </row>
    <row r="46" spans="1:18">
      <c r="A46" t="str">
        <f>TRIM(CLEAN(Raw_Data!A46))</f>
        <v>MEM0045</v>
      </c>
      <c r="B46" t="str">
        <f ca="1">TRIM(Raw_Data!B46)</f>
        <v>Nisha Bhat</v>
      </c>
      <c r="C46" t="str">
        <f ca="1">_xlfn.XLOOKUP(D46, Branch_Master!A:A, Branch_Master!B:B)</f>
        <v>Mumbai</v>
      </c>
      <c r="D46" t="str">
        <f ca="1">TRIM(Raw_Data!D46)</f>
        <v>BR05</v>
      </c>
      <c r="E46" t="str">
        <f ca="1">PROPER(TRIM(Raw_Data!E46))</f>
        <v>Basic</v>
      </c>
      <c r="F46" s="2">
        <f>IFERROR(DATEVALUE(Raw_Data!F46), Raw_Data!F46)</f>
        <v>45894</v>
      </c>
      <c r="G46" s="2">
        <f>IFERROR(
    IF(
        IFERROR(DATEVALUE(Raw_Data!G46), Raw_Data!G46) &lt;
        IFERROR(DATEVALUE(Raw_Data!F46), Raw_Data!F46),
        IFERROR(DATEVALUE(Raw_Data!F46), Raw_Data!F46) + 30,
        IFERROR(DATEVALUE(Raw_Data!G46), Raw_Data!G46)
    ),
    ""
)</f>
        <v>45984</v>
      </c>
      <c r="H46">
        <f>IFERROR(VALUE(Raw_Data!H46), "")</f>
        <v>1000</v>
      </c>
      <c r="I46">
        <f ca="1">IFERROR(VALUE(Raw_Data!I46), "")</f>
        <v>3000</v>
      </c>
      <c r="J46">
        <f>IFERROR(
    VALUE(SUBSTITUTE(Raw_Data!J46," visits","")),
    ""
)</f>
        <v>23</v>
      </c>
      <c r="K46" t="str">
        <f ca="1">IF(TRIM(Raw_Data!K46)="","No",PROPER(TRIM(Raw_Data!K46)))</f>
        <v>No</v>
      </c>
      <c r="L46" t="str">
        <f ca="1">PROPER(TRIM(Raw_Data!L46))</f>
        <v>Muscle Gain</v>
      </c>
      <c r="M46" t="s">
        <v>151</v>
      </c>
      <c r="N46" s="2">
        <f>IFERROR(DATEVALUE(Raw_Data!N46), Raw_Data!N46)</f>
        <v>46042</v>
      </c>
      <c r="O46" s="2"/>
      <c r="P46" t="str">
        <f>IF(COUNTIF($A$2:A46,A46)&gt;1,"Duplicate","Unique")</f>
        <v>Unique</v>
      </c>
      <c r="Q46" t="str">
        <f t="shared" si="0"/>
        <v>OK</v>
      </c>
      <c r="R46" t="str">
        <f t="shared" si="1"/>
        <v>Available</v>
      </c>
    </row>
    <row r="47" spans="1:18">
      <c r="A47" t="str">
        <f>TRIM(CLEAN(Raw_Data!A47))</f>
        <v>MEM0046</v>
      </c>
      <c r="B47" t="str">
        <f ca="1">TRIM(Raw_Data!B47)</f>
        <v>Divya Das</v>
      </c>
      <c r="C47" t="str">
        <f ca="1">_xlfn.XLOOKUP(D47, Branch_Master!A:A, Branch_Master!B:B)</f>
        <v>Trivandrum</v>
      </c>
      <c r="D47" t="str">
        <f ca="1">TRIM(Raw_Data!D47)</f>
        <v>BR06</v>
      </c>
      <c r="E47" t="str">
        <f ca="1">PROPER(TRIM(Raw_Data!E47))</f>
        <v>Premium</v>
      </c>
      <c r="F47" s="2">
        <f>IFERROR(DATEVALUE(Raw_Data!F47), Raw_Data!F47)</f>
        <v>45497</v>
      </c>
      <c r="G47" s="2">
        <f>IFERROR(
    IF(
        IFERROR(DATEVALUE(Raw_Data!G47), Raw_Data!G47) &lt;
        IFERROR(DATEVALUE(Raw_Data!F47), Raw_Data!F47),
        IFERROR(DATEVALUE(Raw_Data!F47), Raw_Data!F47) + 30,
        IFERROR(DATEVALUE(Raw_Data!G47), Raw_Data!G47)
    ),
    ""
)</f>
        <v>45527</v>
      </c>
      <c r="H47">
        <f>IFERROR(VALUE(Raw_Data!H47), "")</f>
        <v>1000</v>
      </c>
      <c r="I47">
        <f ca="1">IFERROR(VALUE(Raw_Data!I47), "")</f>
        <v>12000</v>
      </c>
      <c r="J47">
        <f>IFERROR(
    VALUE(SUBSTITUTE(Raw_Data!J47," visits","")),
    ""
)</f>
        <v>24</v>
      </c>
      <c r="K47" t="str">
        <f ca="1">IF(TRIM(Raw_Data!K47)="","No",PROPER(TRIM(Raw_Data!K47)))</f>
        <v>No</v>
      </c>
      <c r="L47" t="str">
        <f ca="1">PROPER(TRIM(Raw_Data!L47))</f>
        <v>Muscle Gain</v>
      </c>
      <c r="M47" t="s">
        <v>151</v>
      </c>
      <c r="N47" s="2">
        <f>IFERROR(DATEVALUE(Raw_Data!N47), Raw_Data!N47)</f>
        <v>45947</v>
      </c>
      <c r="O47" s="2"/>
      <c r="P47" t="str">
        <f>IF(COUNTIF($A$2:A47,A47)&gt;1,"Duplicate","Unique")</f>
        <v>Unique</v>
      </c>
      <c r="Q47" t="str">
        <f t="shared" si="0"/>
        <v>OK</v>
      </c>
      <c r="R47" t="str">
        <f t="shared" si="1"/>
        <v>Available</v>
      </c>
    </row>
    <row r="48" spans="1:18">
      <c r="A48" t="str">
        <f>TRIM(CLEAN(Raw_Data!A48))</f>
        <v>MEM0047</v>
      </c>
      <c r="B48" t="str">
        <f ca="1">TRIM(Raw_Data!B48)</f>
        <v>Arjun D’Souza</v>
      </c>
      <c r="C48" t="str">
        <f ca="1">_xlfn.XLOOKUP(D48, Branch_Master!A:A, Branch_Master!B:B)</f>
        <v>Chennai</v>
      </c>
      <c r="D48" t="str">
        <f ca="1">TRIM(Raw_Data!D48)</f>
        <v>BR03</v>
      </c>
      <c r="E48" t="str">
        <f ca="1">PROPER(TRIM(Raw_Data!E48))</f>
        <v>Standard</v>
      </c>
      <c r="F48" s="2">
        <f>IFERROR(DATEVALUE(Raw_Data!F48), Raw_Data!F48)</f>
        <v>45541</v>
      </c>
      <c r="G48" s="2">
        <f>IFERROR(
    IF(
        IFERROR(DATEVALUE(Raw_Data!G48), Raw_Data!G48) &lt;
        IFERROR(DATEVALUE(Raw_Data!F48), Raw_Data!F48),
        IFERROR(DATEVALUE(Raw_Data!F48), Raw_Data!F48) + 30,
        IFERROR(DATEVALUE(Raw_Data!G48), Raw_Data!G48)
    ),
    ""
)</f>
        <v>45571</v>
      </c>
      <c r="H48">
        <f>IFERROR(VALUE(Raw_Data!H48), "")</f>
        <v>1000</v>
      </c>
      <c r="I48">
        <f ca="1">IFERROR(VALUE(Raw_Data!I48), "")</f>
        <v>5000</v>
      </c>
      <c r="J48">
        <f>IFERROR(
    VALUE(SUBSTITUTE(Raw_Data!J48," visits","")),
    ""
)</f>
        <v>12</v>
      </c>
      <c r="K48" t="str">
        <f ca="1">IF(TRIM(Raw_Data!K48)="","No",PROPER(TRIM(Raw_Data!K48)))</f>
        <v>No</v>
      </c>
      <c r="L48" t="str">
        <f ca="1">PROPER(TRIM(Raw_Data!L48))</f>
        <v>Weight Loss</v>
      </c>
      <c r="M48" t="s">
        <v>151</v>
      </c>
      <c r="N48" s="2">
        <f>IFERROR(DATEVALUE(Raw_Data!N48), Raw_Data!N48)</f>
        <v>45597</v>
      </c>
      <c r="O48" s="2"/>
      <c r="P48" t="str">
        <f>IF(COUNTIF($A$2:A48,A48)&gt;1,"Duplicate","Unique")</f>
        <v>Unique</v>
      </c>
      <c r="Q48" t="str">
        <f t="shared" si="0"/>
        <v>OK</v>
      </c>
      <c r="R48" t="str">
        <f t="shared" si="1"/>
        <v>Available</v>
      </c>
    </row>
    <row r="49" spans="1:18">
      <c r="A49" t="str">
        <f>TRIM(CLEAN(Raw_Data!A49))</f>
        <v>MEM0048</v>
      </c>
      <c r="B49" t="str">
        <f ca="1">TRIM(Raw_Data!B49)</f>
        <v>Shreya Shaikh</v>
      </c>
      <c r="C49" t="str">
        <f ca="1">_xlfn.XLOOKUP(D49, Branch_Master!A:A, Branch_Master!B:B)</f>
        <v>Hyderabad</v>
      </c>
      <c r="D49" t="str">
        <f ca="1">TRIM(Raw_Data!D49)</f>
        <v>BR04</v>
      </c>
      <c r="E49" t="str">
        <f ca="1">PROPER(TRIM(Raw_Data!E49))</f>
        <v>Basic</v>
      </c>
      <c r="F49" s="2">
        <f>IFERROR(DATEVALUE(Raw_Data!F49), Raw_Data!F49)</f>
        <v>45015</v>
      </c>
      <c r="G49" s="2">
        <f>IFERROR(
    IF(
        IFERROR(DATEVALUE(Raw_Data!G49), Raw_Data!G49) &lt;
        IFERROR(DATEVALUE(Raw_Data!F49), Raw_Data!F49),
        IFERROR(DATEVALUE(Raw_Data!F49), Raw_Data!F49) + 30,
        IFERROR(DATEVALUE(Raw_Data!G49), Raw_Data!G49)
    ),
    ""
)</f>
        <v>45380</v>
      </c>
      <c r="H49">
        <f>IFERROR(VALUE(Raw_Data!H49), "")</f>
        <v>1000</v>
      </c>
      <c r="I49">
        <f ca="1">IFERROR(VALUE(Raw_Data!I49), "")</f>
        <v>4000</v>
      </c>
      <c r="J49">
        <f>IFERROR(
    VALUE(SUBSTITUTE(Raw_Data!J49," visits","")),
    ""
)</f>
        <v>9</v>
      </c>
      <c r="K49" t="str">
        <f ca="1">IF(TRIM(Raw_Data!K49)="","No",PROPER(TRIM(Raw_Data!K49)))</f>
        <v>No</v>
      </c>
      <c r="L49" t="str">
        <f ca="1">PROPER(TRIM(Raw_Data!L49))</f>
        <v>Weight Loss</v>
      </c>
      <c r="M49" t="s">
        <v>151</v>
      </c>
      <c r="N49" s="2">
        <f>IFERROR(DATEVALUE(Raw_Data!N49), Raw_Data!N49)</f>
        <v>45936</v>
      </c>
      <c r="O49" s="2"/>
      <c r="P49" t="str">
        <f>IF(COUNTIF($A$2:A49,A49)&gt;1,"Duplicate","Unique")</f>
        <v>Unique</v>
      </c>
      <c r="Q49" t="str">
        <f t="shared" si="0"/>
        <v>OK</v>
      </c>
      <c r="R49" t="str">
        <f t="shared" si="1"/>
        <v>Available</v>
      </c>
    </row>
    <row r="50" spans="1:18">
      <c r="A50" t="str">
        <f>TRIM(CLEAN(Raw_Data!A50))</f>
        <v>MEM0049</v>
      </c>
      <c r="B50" t="str">
        <f ca="1">TRIM(Raw_Data!B50)</f>
        <v>Varun Gupta</v>
      </c>
      <c r="C50" t="str">
        <f ca="1">_xlfn.XLOOKUP(D50, Branch_Master!A:A, Branch_Master!B:B)</f>
        <v>Calicut</v>
      </c>
      <c r="D50" t="str">
        <f ca="1">TRIM(Raw_Data!D50)</f>
        <v>BR07</v>
      </c>
      <c r="E50" t="str">
        <f ca="1">PROPER(TRIM(Raw_Data!E50))</f>
        <v>Basic</v>
      </c>
      <c r="F50" s="2">
        <f>IFERROR(DATEVALUE(Raw_Data!F50), Raw_Data!F50)</f>
        <v>46003</v>
      </c>
      <c r="G50" s="2">
        <f>IFERROR(
    IF(
        IFERROR(DATEVALUE(Raw_Data!G50), Raw_Data!G50) &lt;
        IFERROR(DATEVALUE(Raw_Data!F50), Raw_Data!F50),
        IFERROR(DATEVALUE(Raw_Data!F50), Raw_Data!F50) + 30,
        IFERROR(DATEVALUE(Raw_Data!G50), Raw_Data!G50)
    ),
    ""
)</f>
        <v>46093</v>
      </c>
      <c r="H50">
        <f>IFERROR(VALUE(Raw_Data!H50), "")</f>
        <v>3500</v>
      </c>
      <c r="I50">
        <f ca="1">IFERROR(VALUE(Raw_Data!I50), "")</f>
        <v>42000</v>
      </c>
      <c r="J50">
        <f>IFERROR(
    VALUE(SUBSTITUTE(Raw_Data!J50," visits","")),
    ""
)</f>
        <v>24</v>
      </c>
      <c r="K50" t="str">
        <f ca="1">IF(TRIM(Raw_Data!K50)="","No",PROPER(TRIM(Raw_Data!K50)))</f>
        <v>No</v>
      </c>
      <c r="L50" t="str">
        <f ca="1">PROPER(TRIM(Raw_Data!L50))</f>
        <v>Muscle Gain</v>
      </c>
      <c r="M50" t="s">
        <v>151</v>
      </c>
      <c r="N50" s="2">
        <f>IFERROR(DATEVALUE(Raw_Data!N50), Raw_Data!N50)</f>
        <v>46118</v>
      </c>
      <c r="O50" s="2"/>
      <c r="P50" t="str">
        <f>IF(COUNTIF($A$2:A50,A50)&gt;1,"Duplicate","Unique")</f>
        <v>Unique</v>
      </c>
      <c r="Q50" t="str">
        <f t="shared" si="0"/>
        <v>OK</v>
      </c>
      <c r="R50" t="str">
        <f t="shared" si="1"/>
        <v>Available</v>
      </c>
    </row>
    <row r="51" spans="1:18">
      <c r="A51" t="str">
        <f>TRIM(CLEAN(Raw_Data!A51))</f>
        <v>MEM0050</v>
      </c>
      <c r="B51" t="str">
        <f ca="1">TRIM(Raw_Data!B51)</f>
        <v>Ayesha Reddy</v>
      </c>
      <c r="C51" t="str">
        <f ca="1">_xlfn.XLOOKUP(D51, Branch_Master!A:A, Branch_Master!B:B)</f>
        <v>Kochi</v>
      </c>
      <c r="D51" t="str">
        <f ca="1">TRIM(Raw_Data!D51)</f>
        <v>BR01</v>
      </c>
      <c r="E51" t="str">
        <f ca="1">PROPER(TRIM(Raw_Data!E51))</f>
        <v>Basic</v>
      </c>
      <c r="F51" s="2">
        <f>IFERROR(DATEVALUE(Raw_Data!F51), Raw_Data!F51)</f>
        <v>45330</v>
      </c>
      <c r="G51" s="2">
        <f>IFERROR(
    IF(
        IFERROR(DATEVALUE(Raw_Data!G51), Raw_Data!G51) &lt;
        IFERROR(DATEVALUE(Raw_Data!F51), Raw_Data!F51),
        IFERROR(DATEVALUE(Raw_Data!F51), Raw_Data!F51) + 30,
        IFERROR(DATEVALUE(Raw_Data!G51), Raw_Data!G51)
    ),
    ""
)</f>
        <v>45695</v>
      </c>
      <c r="H51">
        <f>IFERROR(VALUE(Raw_Data!H51), "")</f>
        <v>3500</v>
      </c>
      <c r="I51">
        <f ca="1">IFERROR(VALUE(Raw_Data!I51), "")</f>
        <v>14000</v>
      </c>
      <c r="J51">
        <f>IFERROR(
    VALUE(SUBSTITUTE(Raw_Data!J51," visits","")),
    ""
)</f>
        <v>22</v>
      </c>
      <c r="K51" t="str">
        <f ca="1">IF(TRIM(Raw_Data!K51)="","No",PROPER(TRIM(Raw_Data!K51)))</f>
        <v>No</v>
      </c>
      <c r="L51" t="str">
        <f ca="1">PROPER(TRIM(Raw_Data!L51))</f>
        <v>Weight Loss</v>
      </c>
      <c r="M51" t="s">
        <v>152</v>
      </c>
      <c r="N51" s="2">
        <f>IFERROR(DATEVALUE(Raw_Data!N51), Raw_Data!N51)</f>
        <v>45998</v>
      </c>
      <c r="O51" s="2"/>
      <c r="P51" t="str">
        <f>IF(COUNTIF($A$2:A51,A51)&gt;1,"Duplicate","Unique")</f>
        <v>Unique</v>
      </c>
      <c r="Q51" t="str">
        <f t="shared" si="0"/>
        <v>Cancelled but Active</v>
      </c>
      <c r="R51" t="str">
        <f t="shared" si="1"/>
        <v>Available</v>
      </c>
    </row>
    <row r="52" spans="1:18">
      <c r="A52" t="str">
        <f>TRIM(CLEAN(Raw_Data!A52))</f>
        <v>MEM0051</v>
      </c>
      <c r="B52" t="str">
        <f ca="1">TRIM(Raw_Data!B52)</f>
        <v>Rahul Reddy</v>
      </c>
      <c r="C52" t="str">
        <f ca="1">_xlfn.XLOOKUP(D52, Branch_Master!A:A, Branch_Master!B:B)</f>
        <v>Bangalore</v>
      </c>
      <c r="D52" t="str">
        <f ca="1">TRIM(Raw_Data!D52)</f>
        <v>BR02</v>
      </c>
      <c r="E52" t="str">
        <f ca="1">PROPER(TRIM(Raw_Data!E52))</f>
        <v>Basic</v>
      </c>
      <c r="F52" s="2">
        <f>IFERROR(DATEVALUE(Raw_Data!F52), Raw_Data!F52)</f>
        <v>44984</v>
      </c>
      <c r="G52" s="2">
        <f>IFERROR(
    IF(
        IFERROR(DATEVALUE(Raw_Data!G52), Raw_Data!G52) &lt;
        IFERROR(DATEVALUE(Raw_Data!F52), Raw_Data!F52),
        IFERROR(DATEVALUE(Raw_Data!F52), Raw_Data!F52) + 30,
        IFERROR(DATEVALUE(Raw_Data!G52), Raw_Data!G52)
    ),
    ""
)</f>
        <v>45349</v>
      </c>
      <c r="H52">
        <f>IFERROR(VALUE(Raw_Data!H52), "")</f>
        <v>3500</v>
      </c>
      <c r="I52">
        <f ca="1">IFERROR(VALUE(Raw_Data!I52), "")</f>
        <v>21000</v>
      </c>
      <c r="J52">
        <f>IFERROR(
    VALUE(SUBSTITUTE(Raw_Data!J52," visits","")),
    ""
)</f>
        <v>0</v>
      </c>
      <c r="K52" t="str">
        <f ca="1">IF(TRIM(Raw_Data!K52)="","No",PROPER(TRIM(Raw_Data!K52)))</f>
        <v>No</v>
      </c>
      <c r="L52" t="str">
        <f ca="1">PROPER(TRIM(Raw_Data!L52))</f>
        <v>General Fitness</v>
      </c>
      <c r="M52" t="s">
        <v>151</v>
      </c>
      <c r="N52" s="2">
        <f>IFERROR(DATEVALUE(Raw_Data!N52), Raw_Data!N52)</f>
        <v>45014</v>
      </c>
      <c r="O52" s="2"/>
      <c r="P52" t="str">
        <f>IF(COUNTIF($A$2:A52,A52)&gt;1,"Duplicate","Unique")</f>
        <v>Unique</v>
      </c>
      <c r="Q52" t="str">
        <f t="shared" si="0"/>
        <v>OK</v>
      </c>
      <c r="R52" t="str">
        <f t="shared" si="1"/>
        <v>Available</v>
      </c>
    </row>
    <row r="53" spans="1:18">
      <c r="A53" t="str">
        <f>TRIM(CLEAN(Raw_Data!A53))</f>
        <v>MEM0052</v>
      </c>
      <c r="B53" t="str">
        <f ca="1">TRIM(Raw_Data!B53)</f>
        <v>Anu Pillai</v>
      </c>
      <c r="C53" t="str">
        <f ca="1">_xlfn.XLOOKUP(D53, Branch_Master!A:A, Branch_Master!B:B)</f>
        <v>Mumbai</v>
      </c>
      <c r="D53" t="str">
        <f ca="1">TRIM(Raw_Data!D53)</f>
        <v>BR05</v>
      </c>
      <c r="E53" t="str">
        <f ca="1">PROPER(TRIM(Raw_Data!E53))</f>
        <v>Basic</v>
      </c>
      <c r="F53" s="2">
        <f>IFERROR(DATEVALUE(Raw_Data!F53), Raw_Data!F53)</f>
        <v>45237</v>
      </c>
      <c r="G53" s="2">
        <f>IFERROR(
    IF(
        IFERROR(DATEVALUE(Raw_Data!G53), Raw_Data!G53) &lt;
        IFERROR(DATEVALUE(Raw_Data!F53), Raw_Data!F53),
        IFERROR(DATEVALUE(Raw_Data!F53), Raw_Data!F53) + 30,
        IFERROR(DATEVALUE(Raw_Data!G53), Raw_Data!G53)
    ),
    ""
)</f>
        <v>45602</v>
      </c>
      <c r="H53">
        <f>IFERROR(VALUE(Raw_Data!H53), "")</f>
        <v>2000</v>
      </c>
      <c r="I53">
        <f ca="1">IFERROR(VALUE(Raw_Data!I53), "")</f>
        <v>2000</v>
      </c>
      <c r="J53">
        <f>IFERROR(
    VALUE(SUBSTITUTE(Raw_Data!J53," visits","")),
    ""
)</f>
        <v>1</v>
      </c>
      <c r="K53" t="str">
        <f ca="1">IF(TRIM(Raw_Data!K53)="","No",PROPER(TRIM(Raw_Data!K53)))</f>
        <v>No</v>
      </c>
      <c r="L53" t="str">
        <f ca="1">PROPER(TRIM(Raw_Data!L53))</f>
        <v>Muscle Gain</v>
      </c>
      <c r="M53" t="s">
        <v>152</v>
      </c>
      <c r="N53" s="2">
        <f>IFERROR(DATEVALUE(Raw_Data!N53), Raw_Data!N53)</f>
        <v>45312</v>
      </c>
      <c r="O53" s="2"/>
      <c r="P53" t="str">
        <f>IF(COUNTIF($A$2:A53,A53)&gt;1,"Duplicate","Unique")</f>
        <v>Unique</v>
      </c>
      <c r="Q53" t="str">
        <f t="shared" si="0"/>
        <v>Cancelled but Active</v>
      </c>
      <c r="R53" t="str">
        <f t="shared" si="1"/>
        <v>Available</v>
      </c>
    </row>
    <row r="54" spans="1:18">
      <c r="A54" t="str">
        <f>TRIM(CLEAN(Raw_Data!A54))</f>
        <v>MEM0053</v>
      </c>
      <c r="B54" t="str">
        <f ca="1">TRIM(Raw_Data!B54)</f>
        <v>Manoj Thomas</v>
      </c>
      <c r="C54" t="str">
        <f ca="1">_xlfn.XLOOKUP(D54, Branch_Master!A:A, Branch_Master!B:B)</f>
        <v>Kochi</v>
      </c>
      <c r="D54" t="str">
        <f ca="1">TRIM(Raw_Data!D54)</f>
        <v>BR01</v>
      </c>
      <c r="E54" t="str">
        <f ca="1">PROPER(TRIM(Raw_Data!E54))</f>
        <v>Standard</v>
      </c>
      <c r="F54" s="2">
        <f>IFERROR(DATEVALUE(Raw_Data!F54), Raw_Data!F54)</f>
        <v>45022</v>
      </c>
      <c r="G54" s="2">
        <f>IFERROR(
    IF(
        IFERROR(DATEVALUE(Raw_Data!G54), Raw_Data!G54) &lt;
        IFERROR(DATEVALUE(Raw_Data!F54), Raw_Data!F54),
        IFERROR(DATEVALUE(Raw_Data!F54), Raw_Data!F54) + 30,
        IFERROR(DATEVALUE(Raw_Data!G54), Raw_Data!G54)
    ),
    ""
)</f>
        <v>45387</v>
      </c>
      <c r="H54">
        <f>IFERROR(VALUE(Raw_Data!H54), "")</f>
        <v>2000</v>
      </c>
      <c r="I54">
        <f ca="1">IFERROR(VALUE(Raw_Data!I54), "")</f>
        <v>24000</v>
      </c>
      <c r="J54">
        <f>IFERROR(
    VALUE(SUBSTITUTE(Raw_Data!J54," visits","")),
    ""
)</f>
        <v>6</v>
      </c>
      <c r="K54" t="str">
        <f ca="1">IF(TRIM(Raw_Data!K54)="","No",PROPER(TRIM(Raw_Data!K54)))</f>
        <v>Yes</v>
      </c>
      <c r="L54" t="str">
        <f ca="1">PROPER(TRIM(Raw_Data!L54))</f>
        <v>General Fitness</v>
      </c>
      <c r="M54" t="s">
        <v>151</v>
      </c>
      <c r="N54" s="2">
        <f>IFERROR(DATEVALUE(Raw_Data!N54), Raw_Data!N54)</f>
        <v>45829</v>
      </c>
      <c r="O54" s="2"/>
      <c r="P54" t="str">
        <f>IF(COUNTIF($A$2:A54,A54)&gt;1,"Duplicate","Unique")</f>
        <v>Unique</v>
      </c>
      <c r="Q54" t="str">
        <f t="shared" si="0"/>
        <v>OK</v>
      </c>
      <c r="R54" t="str">
        <f t="shared" si="1"/>
        <v>Available</v>
      </c>
    </row>
    <row r="55" spans="1:18">
      <c r="A55" t="str">
        <f>TRIM(CLEAN(Raw_Data!A55))</f>
        <v>MEM0054</v>
      </c>
      <c r="B55" t="str">
        <f ca="1">TRIM(Raw_Data!B55)</f>
        <v>Zara Kapoor</v>
      </c>
      <c r="C55" t="str">
        <f ca="1">_xlfn.XLOOKUP(D55, Branch_Master!A:A, Branch_Master!B:B)</f>
        <v>Hyderabad</v>
      </c>
      <c r="D55" t="str">
        <f ca="1">TRIM(Raw_Data!D55)</f>
        <v>BR04</v>
      </c>
      <c r="E55" t="str">
        <f ca="1">PROPER(TRIM(Raw_Data!E55))</f>
        <v>Premium</v>
      </c>
      <c r="F55" s="2">
        <f>IFERROR(DATEVALUE(Raw_Data!F55), Raw_Data!F55)</f>
        <v>45341</v>
      </c>
      <c r="G55" s="2">
        <f>IFERROR(
    IF(
        IFERROR(DATEVALUE(Raw_Data!G55), Raw_Data!G55) &lt;
        IFERROR(DATEVALUE(Raw_Data!F55), Raw_Data!F55),
        IFERROR(DATEVALUE(Raw_Data!F55), Raw_Data!F55) + 30,
        IFERROR(DATEVALUE(Raw_Data!G55), Raw_Data!G55)
    ),
    ""
)</f>
        <v>45371</v>
      </c>
      <c r="H55">
        <f>IFERROR(VALUE(Raw_Data!H55), "")</f>
        <v>2000</v>
      </c>
      <c r="I55">
        <f ca="1">IFERROR(VALUE(Raw_Data!I55), "")</f>
        <v>10000</v>
      </c>
      <c r="J55">
        <f>IFERROR(
    VALUE(SUBSTITUTE(Raw_Data!J55," visits","")),
    ""
)</f>
        <v>17</v>
      </c>
      <c r="K55" t="str">
        <f ca="1">IF(TRIM(Raw_Data!K55)="","No",PROPER(TRIM(Raw_Data!K55)))</f>
        <v>No</v>
      </c>
      <c r="L55" t="str">
        <f ca="1">PROPER(TRIM(Raw_Data!L55))</f>
        <v>General Fitness</v>
      </c>
      <c r="M55" t="s">
        <v>151</v>
      </c>
      <c r="N55" s="2">
        <f>IFERROR(DATEVALUE(Raw_Data!N55), Raw_Data!N55)</f>
        <v>45406</v>
      </c>
      <c r="O55" s="2"/>
      <c r="P55" t="str">
        <f>IF(COUNTIF($A$2:A55,A55)&gt;1,"Duplicate","Unique")</f>
        <v>Unique</v>
      </c>
      <c r="Q55" t="str">
        <f t="shared" si="0"/>
        <v>OK</v>
      </c>
      <c r="R55" t="str">
        <f t="shared" si="1"/>
        <v>Available</v>
      </c>
    </row>
    <row r="56" spans="1:18">
      <c r="A56" t="str">
        <f>TRIM(CLEAN(Raw_Data!A56))</f>
        <v>MEM0055</v>
      </c>
      <c r="B56" t="str">
        <f ca="1">TRIM(Raw_Data!B56)</f>
        <v>Kavya George</v>
      </c>
      <c r="C56" t="str">
        <f ca="1">_xlfn.XLOOKUP(D56, Branch_Master!A:A, Branch_Master!B:B)</f>
        <v>Hyderabad</v>
      </c>
      <c r="D56" t="str">
        <f ca="1">TRIM(Raw_Data!D56)</f>
        <v>BR04</v>
      </c>
      <c r="E56" t="str">
        <f ca="1">PROPER(TRIM(Raw_Data!E56))</f>
        <v>Basic</v>
      </c>
      <c r="F56" s="2">
        <f>IFERROR(DATEVALUE(Raw_Data!F56), Raw_Data!F56)</f>
        <v>45631</v>
      </c>
      <c r="G56" s="2">
        <f>IFERROR(
    IF(
        IFERROR(DATEVALUE(Raw_Data!G56), Raw_Data!G56) &lt;
        IFERROR(DATEVALUE(Raw_Data!F56), Raw_Data!F56),
        IFERROR(DATEVALUE(Raw_Data!F56), Raw_Data!F56) + 30,
        IFERROR(DATEVALUE(Raw_Data!G56), Raw_Data!G56)
    ),
    ""
)</f>
        <v>45721</v>
      </c>
      <c r="H56">
        <f>IFERROR(VALUE(Raw_Data!H56), "")</f>
        <v>3500</v>
      </c>
      <c r="I56">
        <f ca="1">IFERROR(VALUE(Raw_Data!I56), "")</f>
        <v>28000</v>
      </c>
      <c r="J56">
        <f>IFERROR(
    VALUE(SUBSTITUTE(Raw_Data!J56," visits","")),
    ""
)</f>
        <v>15</v>
      </c>
      <c r="K56" t="str">
        <f ca="1">IF(TRIM(Raw_Data!K56)="","No",PROPER(TRIM(Raw_Data!K56)))</f>
        <v>Yes</v>
      </c>
      <c r="L56" t="str">
        <f ca="1">PROPER(TRIM(Raw_Data!L56))</f>
        <v>Weight Loss</v>
      </c>
      <c r="M56" t="s">
        <v>151</v>
      </c>
      <c r="N56" s="2">
        <f>IFERROR(DATEVALUE(Raw_Data!N56), Raw_Data!N56)</f>
        <v>46120</v>
      </c>
      <c r="O56" s="2"/>
      <c r="P56" t="str">
        <f>IF(COUNTIF($A$2:A56,A56)&gt;1,"Duplicate","Unique")</f>
        <v>Unique</v>
      </c>
      <c r="Q56" t="str">
        <f t="shared" si="0"/>
        <v>OK</v>
      </c>
      <c r="R56" t="str">
        <f t="shared" si="1"/>
        <v>Available</v>
      </c>
    </row>
    <row r="57" spans="1:18">
      <c r="A57" t="str">
        <f>TRIM(CLEAN(Raw_Data!A57))</f>
        <v>MEM0056</v>
      </c>
      <c r="B57" t="str">
        <f ca="1">TRIM(Raw_Data!B57)</f>
        <v>Lakshmi Shaikh</v>
      </c>
      <c r="C57" t="str">
        <f ca="1">_xlfn.XLOOKUP(D57, Branch_Master!A:A, Branch_Master!B:B)</f>
        <v>Mumbai</v>
      </c>
      <c r="D57" t="str">
        <f ca="1">TRIM(Raw_Data!D57)</f>
        <v>BR05</v>
      </c>
      <c r="E57" t="str">
        <f ca="1">PROPER(TRIM(Raw_Data!E57))</f>
        <v>Standard</v>
      </c>
      <c r="F57" s="2">
        <f>IFERROR(DATEVALUE(Raw_Data!F57), Raw_Data!F57)</f>
        <v>45697</v>
      </c>
      <c r="G57" s="2">
        <f>IFERROR(
    IF(
        IFERROR(DATEVALUE(Raw_Data!G57), Raw_Data!G57) &lt;
        IFERROR(DATEVALUE(Raw_Data!F57), Raw_Data!F57),
        IFERROR(DATEVALUE(Raw_Data!F57), Raw_Data!F57) + 30,
        IFERROR(DATEVALUE(Raw_Data!G57), Raw_Data!G57)
    ),
    ""
)</f>
        <v>45727</v>
      </c>
      <c r="H57">
        <f>IFERROR(VALUE(Raw_Data!H57), "")</f>
        <v>2000</v>
      </c>
      <c r="I57">
        <f ca="1">IFERROR(VALUE(Raw_Data!I57), "")</f>
        <v>24000</v>
      </c>
      <c r="J57">
        <f>IFERROR(
    VALUE(SUBSTITUTE(Raw_Data!J57," visits","")),
    ""
)</f>
        <v>23</v>
      </c>
      <c r="K57" t="str">
        <f ca="1">IF(TRIM(Raw_Data!K57)="","No",PROPER(TRIM(Raw_Data!K57)))</f>
        <v>Yes</v>
      </c>
      <c r="L57" t="str">
        <f ca="1">PROPER(TRIM(Raw_Data!L57))</f>
        <v>General Fitness</v>
      </c>
      <c r="M57" t="s">
        <v>151</v>
      </c>
      <c r="N57" s="2">
        <f>IFERROR(DATEVALUE(Raw_Data!N57), Raw_Data!N57)</f>
        <v>45892</v>
      </c>
      <c r="O57" s="2"/>
      <c r="P57" t="str">
        <f>IF(COUNTIF($A$2:A57,A57)&gt;1,"Duplicate","Unique")</f>
        <v>Unique</v>
      </c>
      <c r="Q57" t="str">
        <f t="shared" si="0"/>
        <v>OK</v>
      </c>
      <c r="R57" t="str">
        <f t="shared" si="1"/>
        <v>Available</v>
      </c>
    </row>
    <row r="58" spans="1:18">
      <c r="A58" t="str">
        <f>TRIM(CLEAN(Raw_Data!A58))</f>
        <v>MEM0057</v>
      </c>
      <c r="B58" t="str">
        <f ca="1">TRIM(Raw_Data!B58)</f>
        <v>Varun Reddy</v>
      </c>
      <c r="C58" t="str">
        <f ca="1">_xlfn.XLOOKUP(D58, Branch_Master!A:A, Branch_Master!B:B)</f>
        <v>Bangalore</v>
      </c>
      <c r="D58" t="str">
        <f ca="1">TRIM(Raw_Data!D58)</f>
        <v>BR02</v>
      </c>
      <c r="E58" t="str">
        <f ca="1">PROPER(TRIM(Raw_Data!E58))</f>
        <v>Standard</v>
      </c>
      <c r="F58" s="2">
        <f>IFERROR(DATEVALUE(Raw_Data!F58), Raw_Data!F58)</f>
        <v>45491</v>
      </c>
      <c r="G58" s="2">
        <f>IFERROR(
    IF(
        IFERROR(DATEVALUE(Raw_Data!G58), Raw_Data!G58) &lt;
        IFERROR(DATEVALUE(Raw_Data!F58), Raw_Data!F58),
        IFERROR(DATEVALUE(Raw_Data!F58), Raw_Data!F58) + 30,
        IFERROR(DATEVALUE(Raw_Data!G58), Raw_Data!G58)
    ),
    ""
)</f>
        <v>45581</v>
      </c>
      <c r="H58">
        <f>IFERROR(VALUE(Raw_Data!H58), "")</f>
        <v>3500</v>
      </c>
      <c r="I58">
        <f ca="1">IFERROR(VALUE(Raw_Data!I58), "")</f>
        <v>24500</v>
      </c>
      <c r="J58">
        <f>IFERROR(
    VALUE(SUBSTITUTE(Raw_Data!J58," visits","")),
    ""
)</f>
        <v>1</v>
      </c>
      <c r="K58" t="str">
        <f ca="1">IF(TRIM(Raw_Data!K58)="","No",PROPER(TRIM(Raw_Data!K58)))</f>
        <v>No</v>
      </c>
      <c r="L58" t="str">
        <f ca="1">PROPER(TRIM(Raw_Data!L58))</f>
        <v>Weight Loss</v>
      </c>
      <c r="M58" t="s">
        <v>152</v>
      </c>
      <c r="N58" s="2">
        <f>IFERROR(DATEVALUE(Raw_Data!N58), Raw_Data!N58)</f>
        <v>45506</v>
      </c>
      <c r="O58" s="2"/>
      <c r="P58" t="str">
        <f>IF(COUNTIF($A$2:A58,A58)&gt;1,"Duplicate","Unique")</f>
        <v>Unique</v>
      </c>
      <c r="Q58" t="str">
        <f t="shared" si="0"/>
        <v>Cancelled but Active</v>
      </c>
      <c r="R58" t="str">
        <f t="shared" si="1"/>
        <v>Available</v>
      </c>
    </row>
    <row r="59" spans="1:18">
      <c r="A59" t="str">
        <f>TRIM(CLEAN(Raw_Data!A59))</f>
        <v>MEM0058</v>
      </c>
      <c r="B59" t="str">
        <f ca="1">TRIM(Raw_Data!B59)</f>
        <v>Akash Menon</v>
      </c>
      <c r="C59" t="str">
        <f ca="1">_xlfn.XLOOKUP(D59, Branch_Master!A:A, Branch_Master!B:B)</f>
        <v>Trivandrum</v>
      </c>
      <c r="D59" t="str">
        <f ca="1">TRIM(Raw_Data!D59)</f>
        <v>BR06</v>
      </c>
      <c r="E59" t="str">
        <f ca="1">PROPER(TRIM(Raw_Data!E59))</f>
        <v>Standard</v>
      </c>
      <c r="F59" s="2">
        <f>IFERROR(DATEVALUE(Raw_Data!F59), Raw_Data!F59)</f>
        <v>45183</v>
      </c>
      <c r="G59" s="2">
        <f>IFERROR(
    IF(
        IFERROR(DATEVALUE(Raw_Data!G59), Raw_Data!G59) &lt;
        IFERROR(DATEVALUE(Raw_Data!F59), Raw_Data!F59),
        IFERROR(DATEVALUE(Raw_Data!F59), Raw_Data!F59) + 30,
        IFERROR(DATEVALUE(Raw_Data!G59), Raw_Data!G59)
    ),
    ""
)</f>
        <v>45213</v>
      </c>
      <c r="H59">
        <f>IFERROR(VALUE(Raw_Data!H59), "")</f>
        <v>1000</v>
      </c>
      <c r="I59">
        <f ca="1">IFERROR(VALUE(Raw_Data!I59), "")</f>
        <v>12000</v>
      </c>
      <c r="J59">
        <f>IFERROR(
    VALUE(SUBSTITUTE(Raw_Data!J59," visits","")),
    ""
)</f>
        <v>17</v>
      </c>
      <c r="K59" t="str">
        <f ca="1">IF(TRIM(Raw_Data!K59)="","No",PROPER(TRIM(Raw_Data!K59)))</f>
        <v>No</v>
      </c>
      <c r="L59" t="str">
        <f ca="1">PROPER(TRIM(Raw_Data!L59))</f>
        <v>Muscle Gain</v>
      </c>
      <c r="M59" t="s">
        <v>151</v>
      </c>
      <c r="N59" s="2">
        <f>IFERROR(DATEVALUE(Raw_Data!N59), Raw_Data!N59)</f>
        <v>45712</v>
      </c>
      <c r="O59" s="2"/>
      <c r="P59" t="str">
        <f>IF(COUNTIF($A$2:A59,A59)&gt;1,"Duplicate","Unique")</f>
        <v>Unique</v>
      </c>
      <c r="Q59" t="str">
        <f t="shared" si="0"/>
        <v>OK</v>
      </c>
      <c r="R59" t="str">
        <f t="shared" si="1"/>
        <v>Available</v>
      </c>
    </row>
    <row r="60" spans="1:18">
      <c r="A60" t="str">
        <f>TRIM(CLEAN(Raw_Data!A60))</f>
        <v>MEM0059</v>
      </c>
      <c r="B60" t="str">
        <f ca="1">TRIM(Raw_Data!B60)</f>
        <v>Kavya Reddy</v>
      </c>
      <c r="C60" t="str">
        <f ca="1">_xlfn.XLOOKUP(D60, Branch_Master!A:A, Branch_Master!B:B)</f>
        <v>Mumbai</v>
      </c>
      <c r="D60" t="str">
        <f ca="1">TRIM(Raw_Data!D60)</f>
        <v>BR05</v>
      </c>
      <c r="E60" t="str">
        <f ca="1">PROPER(TRIM(Raw_Data!E60))</f>
        <v>Premium</v>
      </c>
      <c r="F60" s="2">
        <f>IFERROR(DATEVALUE(Raw_Data!F60), Raw_Data!F60)</f>
        <v>45067</v>
      </c>
      <c r="G60" s="2">
        <f>IFERROR(
    IF(
        IFERROR(DATEVALUE(Raw_Data!G60), Raw_Data!G60) &lt;
        IFERROR(DATEVALUE(Raw_Data!F60), Raw_Data!F60),
        IFERROR(DATEVALUE(Raw_Data!F60), Raw_Data!F60) + 30,
        IFERROR(DATEVALUE(Raw_Data!G60), Raw_Data!G60)
    ),
    ""
)</f>
        <v>45097</v>
      </c>
      <c r="H60">
        <f>IFERROR(VALUE(Raw_Data!H60), "")</f>
        <v>1000</v>
      </c>
      <c r="I60">
        <f ca="1">IFERROR(VALUE(Raw_Data!I60), "")</f>
        <v>5000</v>
      </c>
      <c r="J60">
        <f>IFERROR(
    VALUE(SUBSTITUTE(Raw_Data!J60," visits","")),
    ""
)</f>
        <v>9</v>
      </c>
      <c r="K60" t="str">
        <f ca="1">IF(TRIM(Raw_Data!K60)="","No",PROPER(TRIM(Raw_Data!K60)))</f>
        <v>Yes</v>
      </c>
      <c r="L60" t="str">
        <f ca="1">PROPER(TRIM(Raw_Data!L60))</f>
        <v>Weight Loss</v>
      </c>
      <c r="M60" t="s">
        <v>151</v>
      </c>
      <c r="N60" s="2">
        <f>IFERROR(DATEVALUE(Raw_Data!N60), Raw_Data!N60)</f>
        <v>45130</v>
      </c>
      <c r="O60" s="2"/>
      <c r="P60" t="str">
        <f>IF(COUNTIF($A$2:A60,A60)&gt;1,"Duplicate","Unique")</f>
        <v>Unique</v>
      </c>
      <c r="Q60" t="str">
        <f t="shared" si="0"/>
        <v>OK</v>
      </c>
      <c r="R60" t="str">
        <f t="shared" si="1"/>
        <v>Available</v>
      </c>
    </row>
    <row r="61" spans="1:18">
      <c r="A61" t="str">
        <f>TRIM(CLEAN(Raw_Data!A61))</f>
        <v>MEM0060</v>
      </c>
      <c r="B61" t="str">
        <f ca="1">TRIM(Raw_Data!B61)</f>
        <v>Manoj Sharma</v>
      </c>
      <c r="C61" t="str">
        <f ca="1">_xlfn.XLOOKUP(D61, Branch_Master!A:A, Branch_Master!B:B)</f>
        <v>Kochi</v>
      </c>
      <c r="D61" t="str">
        <f ca="1">TRIM(Raw_Data!D61)</f>
        <v>BR01</v>
      </c>
      <c r="E61" t="str">
        <f ca="1">PROPER(TRIM(Raw_Data!E61))</f>
        <v>Premium</v>
      </c>
      <c r="F61" s="2">
        <f>IFERROR(DATEVALUE(Raw_Data!F61), Raw_Data!F61)</f>
        <v>45324</v>
      </c>
      <c r="G61" s="2">
        <f>IFERROR(
    IF(
        IFERROR(DATEVALUE(Raw_Data!G61), Raw_Data!G61) &lt;
        IFERROR(DATEVALUE(Raw_Data!F61), Raw_Data!F61),
        IFERROR(DATEVALUE(Raw_Data!F61), Raw_Data!F61) + 30,
        IFERROR(DATEVALUE(Raw_Data!G61), Raw_Data!G61)
    ),
    ""
)</f>
        <v>45414</v>
      </c>
      <c r="H61">
        <f>IFERROR(VALUE(Raw_Data!H61), "")</f>
        <v>1000</v>
      </c>
      <c r="I61">
        <f ca="1">IFERROR(VALUE(Raw_Data!I61), "")</f>
        <v>2000</v>
      </c>
      <c r="J61">
        <f>IFERROR(
    VALUE(SUBSTITUTE(Raw_Data!J61," visits","")),
    ""
)</f>
        <v>13</v>
      </c>
      <c r="K61" t="str">
        <f ca="1">IF(TRIM(Raw_Data!K61)="","No",PROPER(TRIM(Raw_Data!K61)))</f>
        <v>Yes</v>
      </c>
      <c r="L61" t="str">
        <f ca="1">PROPER(TRIM(Raw_Data!L61))</f>
        <v>General Fitness</v>
      </c>
      <c r="M61" t="s">
        <v>151</v>
      </c>
      <c r="N61" s="2">
        <f>IFERROR(DATEVALUE(Raw_Data!N61), Raw_Data!N61)</f>
        <v>46073</v>
      </c>
      <c r="O61" s="2"/>
      <c r="P61" t="str">
        <f>IF(COUNTIF($A$2:A61,A61)&gt;1,"Duplicate","Unique")</f>
        <v>Unique</v>
      </c>
      <c r="Q61" t="str">
        <f t="shared" si="0"/>
        <v>OK</v>
      </c>
      <c r="R61" t="str">
        <f t="shared" si="1"/>
        <v>Available</v>
      </c>
    </row>
    <row r="62" spans="1:18">
      <c r="A62" t="str">
        <f>TRIM(CLEAN(Raw_Data!A62))</f>
        <v>MEM0061</v>
      </c>
      <c r="B62" t="str">
        <f ca="1">TRIM(Raw_Data!B62)</f>
        <v>Pooja Banerjee</v>
      </c>
      <c r="C62" t="str">
        <f ca="1">_xlfn.XLOOKUP(D62, Branch_Master!A:A, Branch_Master!B:B)</f>
        <v>Mumbai</v>
      </c>
      <c r="D62" t="str">
        <f ca="1">TRIM(Raw_Data!D62)</f>
        <v>BR05</v>
      </c>
      <c r="E62" t="str">
        <f ca="1">PROPER(TRIM(Raw_Data!E62))</f>
        <v>Basic</v>
      </c>
      <c r="F62" s="2">
        <f>IFERROR(DATEVALUE(Raw_Data!F62), Raw_Data!F62)</f>
        <v>45396</v>
      </c>
      <c r="G62" s="2">
        <f>IFERROR(
    IF(
        IFERROR(DATEVALUE(Raw_Data!G62), Raw_Data!G62) &lt;
        IFERROR(DATEVALUE(Raw_Data!F62), Raw_Data!F62),
        IFERROR(DATEVALUE(Raw_Data!F62), Raw_Data!F62) + 30,
        IFERROR(DATEVALUE(Raw_Data!G62), Raw_Data!G62)
    ),
    ""
)</f>
        <v>45761</v>
      </c>
      <c r="H62">
        <f>IFERROR(VALUE(Raw_Data!H62), "")</f>
        <v>1000</v>
      </c>
      <c r="I62">
        <f ca="1">IFERROR(VALUE(Raw_Data!I62), "")</f>
        <v>10000</v>
      </c>
      <c r="J62">
        <f>IFERROR(
    VALUE(SUBSTITUTE(Raw_Data!J62," visits","")),
    ""
)</f>
        <v>7</v>
      </c>
      <c r="K62" t="str">
        <f ca="1">IF(TRIM(Raw_Data!K62)="","No",PROPER(TRIM(Raw_Data!K62)))</f>
        <v>No</v>
      </c>
      <c r="L62" t="str">
        <f ca="1">PROPER(TRIM(Raw_Data!L62))</f>
        <v>Muscle Gain</v>
      </c>
      <c r="M62" t="s">
        <v>151</v>
      </c>
      <c r="N62" s="2">
        <f>IFERROR(DATEVALUE(Raw_Data!N62), Raw_Data!N62)</f>
        <v>45852</v>
      </c>
      <c r="O62" s="2"/>
      <c r="P62" t="str">
        <f>IF(COUNTIF($A$2:A62,A62)&gt;1,"Duplicate","Unique")</f>
        <v>Unique</v>
      </c>
      <c r="Q62" t="str">
        <f t="shared" si="0"/>
        <v>OK</v>
      </c>
      <c r="R62" t="str">
        <f t="shared" si="1"/>
        <v>Available</v>
      </c>
    </row>
    <row r="63" spans="1:18">
      <c r="A63" t="str">
        <f>TRIM(CLEAN(Raw_Data!A63))</f>
        <v>MEM0062</v>
      </c>
      <c r="B63" t="str">
        <f ca="1">TRIM(Raw_Data!B63)</f>
        <v>Neha Lewis</v>
      </c>
      <c r="C63" t="str">
        <f ca="1">_xlfn.XLOOKUP(D63, Branch_Master!A:A, Branch_Master!B:B)</f>
        <v>Hyderabad</v>
      </c>
      <c r="D63" t="str">
        <f ca="1">TRIM(Raw_Data!D63)</f>
        <v>BR04</v>
      </c>
      <c r="E63" t="str">
        <f ca="1">PROPER(TRIM(Raw_Data!E63))</f>
        <v>Standard</v>
      </c>
      <c r="F63" s="2">
        <f>IFERROR(DATEVALUE(Raw_Data!F63), Raw_Data!F63)</f>
        <v>45861</v>
      </c>
      <c r="G63" s="2">
        <f>IFERROR(
    IF(
        IFERROR(DATEVALUE(Raw_Data!G63), Raw_Data!G63) &lt;
        IFERROR(DATEVALUE(Raw_Data!F63), Raw_Data!F63),
        IFERROR(DATEVALUE(Raw_Data!F63), Raw_Data!F63) + 30,
        IFERROR(DATEVALUE(Raw_Data!G63), Raw_Data!G63)
    ),
    ""
)</f>
        <v>46226</v>
      </c>
      <c r="H63">
        <f>IFERROR(VALUE(Raw_Data!H63), "")</f>
        <v>1000</v>
      </c>
      <c r="I63">
        <f ca="1">IFERROR(VALUE(Raw_Data!I63), "")</f>
        <v>7000</v>
      </c>
      <c r="J63">
        <f>IFERROR(
    VALUE(SUBSTITUTE(Raw_Data!J63," visits","")),
    ""
)</f>
        <v>8</v>
      </c>
      <c r="K63" t="str">
        <f ca="1">IF(TRIM(Raw_Data!K63)="","No",PROPER(TRIM(Raw_Data!K63)))</f>
        <v>Yes</v>
      </c>
      <c r="L63" t="str">
        <f ca="1">PROPER(TRIM(Raw_Data!L63))</f>
        <v>Weight Loss</v>
      </c>
      <c r="M63" t="s">
        <v>151</v>
      </c>
      <c r="N63" s="2">
        <f>IFERROR(DATEVALUE(Raw_Data!N63), Raw_Data!N63)</f>
        <v>45875</v>
      </c>
      <c r="O63" s="2"/>
      <c r="P63" t="str">
        <f>IF(COUNTIF($A$2:A63,A63)&gt;1,"Duplicate","Unique")</f>
        <v>Unique</v>
      </c>
      <c r="Q63" t="str">
        <f t="shared" si="0"/>
        <v>OK</v>
      </c>
      <c r="R63" t="str">
        <f t="shared" si="1"/>
        <v>Available</v>
      </c>
    </row>
    <row r="64" spans="1:18">
      <c r="A64" t="str">
        <f>TRIM(CLEAN(Raw_Data!A64))</f>
        <v>MEM0063</v>
      </c>
      <c r="B64" t="str">
        <f ca="1">TRIM(Raw_Data!B64)</f>
        <v>Rahul Malhotra</v>
      </c>
      <c r="C64" t="str">
        <f ca="1">_xlfn.XLOOKUP(D64, Branch_Master!A:A, Branch_Master!B:B)</f>
        <v>Bangalore</v>
      </c>
      <c r="D64" t="str">
        <f ca="1">TRIM(Raw_Data!D64)</f>
        <v>BR02</v>
      </c>
      <c r="E64" t="str">
        <f ca="1">PROPER(TRIM(Raw_Data!E64))</f>
        <v>Premium</v>
      </c>
      <c r="F64" s="2">
        <f>IFERROR(DATEVALUE(Raw_Data!F64), Raw_Data!F64)</f>
        <v>45251</v>
      </c>
      <c r="G64" s="2">
        <f>IFERROR(
    IF(
        IFERROR(DATEVALUE(Raw_Data!G64), Raw_Data!G64) &lt;
        IFERROR(DATEVALUE(Raw_Data!F64), Raw_Data!F64),
        IFERROR(DATEVALUE(Raw_Data!F64), Raw_Data!F64) + 30,
        IFERROR(DATEVALUE(Raw_Data!G64), Raw_Data!G64)
    ),
    ""
)</f>
        <v>45281</v>
      </c>
      <c r="H64">
        <f>IFERROR(VALUE(Raw_Data!H64), "")</f>
        <v>3500</v>
      </c>
      <c r="I64">
        <f ca="1">IFERROR(VALUE(Raw_Data!I64), "")</f>
        <v>17500</v>
      </c>
      <c r="J64">
        <f>IFERROR(
    VALUE(SUBSTITUTE(Raw_Data!J64," visits","")),
    ""
)</f>
        <v>10</v>
      </c>
      <c r="K64" t="str">
        <f ca="1">IF(TRIM(Raw_Data!K64)="","No",PROPER(TRIM(Raw_Data!K64)))</f>
        <v>Yes</v>
      </c>
      <c r="L64" t="str">
        <f ca="1">PROPER(TRIM(Raw_Data!L64))</f>
        <v>Muscle Gain</v>
      </c>
      <c r="M64" t="s">
        <v>151</v>
      </c>
      <c r="N64" s="2">
        <f>IFERROR(DATEVALUE(Raw_Data!N64), Raw_Data!N64)</f>
        <v>45500</v>
      </c>
      <c r="O64" s="2"/>
      <c r="P64" t="str">
        <f>IF(COUNTIF($A$2:A64,A64)&gt;1,"Duplicate","Unique")</f>
        <v>Unique</v>
      </c>
      <c r="Q64" t="str">
        <f t="shared" si="0"/>
        <v>OK</v>
      </c>
      <c r="R64" t="str">
        <f t="shared" si="1"/>
        <v>Available</v>
      </c>
    </row>
    <row r="65" spans="1:18">
      <c r="A65" t="str">
        <f>TRIM(CLEAN(Raw_Data!A65))</f>
        <v>MEM0064</v>
      </c>
      <c r="B65" t="str">
        <f ca="1">TRIM(Raw_Data!B65)</f>
        <v>Riya Nambiar</v>
      </c>
      <c r="C65" t="str">
        <f ca="1">_xlfn.XLOOKUP(D65, Branch_Master!A:A, Branch_Master!B:B)</f>
        <v>Chennai</v>
      </c>
      <c r="D65" t="str">
        <f ca="1">TRIM(Raw_Data!D65)</f>
        <v>BR03</v>
      </c>
      <c r="E65" t="str">
        <f ca="1">PROPER(TRIM(Raw_Data!E65))</f>
        <v>Basic</v>
      </c>
      <c r="F65" s="2">
        <f>IFERROR(DATEVALUE(Raw_Data!F65), Raw_Data!F65)</f>
        <v>45570</v>
      </c>
      <c r="G65" s="2">
        <f>IFERROR(
    IF(
        IFERROR(DATEVALUE(Raw_Data!G65), Raw_Data!G65) &lt;
        IFERROR(DATEVALUE(Raw_Data!F65), Raw_Data!F65),
        IFERROR(DATEVALUE(Raw_Data!F65), Raw_Data!F65) + 30,
        IFERROR(DATEVALUE(Raw_Data!G65), Raw_Data!G65)
    ),
    ""
)</f>
        <v>45660</v>
      </c>
      <c r="H65">
        <f>IFERROR(VALUE(Raw_Data!H65), "")</f>
        <v>1000</v>
      </c>
      <c r="I65">
        <f ca="1">IFERROR(VALUE(Raw_Data!I65), "")</f>
        <v>9000</v>
      </c>
      <c r="J65">
        <f>IFERROR(
    VALUE(SUBSTITUTE(Raw_Data!J65," visits","")),
    ""
)</f>
        <v>14</v>
      </c>
      <c r="K65" t="str">
        <f ca="1">IF(TRIM(Raw_Data!K65)="","No",PROPER(TRIM(Raw_Data!K65)))</f>
        <v>Yes</v>
      </c>
      <c r="L65" t="str">
        <f ca="1">PROPER(TRIM(Raw_Data!L65))</f>
        <v>Weight Loss</v>
      </c>
      <c r="M65" t="s">
        <v>151</v>
      </c>
      <c r="N65" s="2">
        <f>IFERROR(DATEVALUE(Raw_Data!N65), Raw_Data!N65)</f>
        <v>45771</v>
      </c>
      <c r="O65" s="2"/>
      <c r="P65" t="str">
        <f>IF(COUNTIF($A$2:A65,A65)&gt;1,"Duplicate","Unique")</f>
        <v>Unique</v>
      </c>
      <c r="Q65" t="str">
        <f t="shared" si="0"/>
        <v>OK</v>
      </c>
      <c r="R65" t="str">
        <f t="shared" si="1"/>
        <v>Available</v>
      </c>
    </row>
    <row r="66" spans="1:18">
      <c r="A66" t="str">
        <f>TRIM(CLEAN(Raw_Data!A66))</f>
        <v>MEM0065</v>
      </c>
      <c r="B66" t="str">
        <f ca="1">TRIM(Raw_Data!B66)</f>
        <v>Fatima Varghese</v>
      </c>
      <c r="C66" t="str">
        <f ca="1">_xlfn.XLOOKUP(D66, Branch_Master!A:A, Branch_Master!B:B)</f>
        <v>Kochi</v>
      </c>
      <c r="D66" t="str">
        <f ca="1">TRIM(Raw_Data!D66)</f>
        <v>BR01</v>
      </c>
      <c r="E66" t="str">
        <f ca="1">PROPER(TRIM(Raw_Data!E66))</f>
        <v>Basic</v>
      </c>
      <c r="F66" s="2">
        <f>IFERROR(DATEVALUE(Raw_Data!F66), Raw_Data!F66)</f>
        <v>45572</v>
      </c>
      <c r="G66" s="2">
        <f>IFERROR(
    IF(
        IFERROR(DATEVALUE(Raw_Data!G66), Raw_Data!G66) &lt;
        IFERROR(DATEVALUE(Raw_Data!F66), Raw_Data!F66),
        IFERROR(DATEVALUE(Raw_Data!F66), Raw_Data!F66) + 30,
        IFERROR(DATEVALUE(Raw_Data!G66), Raw_Data!G66)
    ),
    ""
)</f>
        <v>45937</v>
      </c>
      <c r="H66">
        <f>IFERROR(VALUE(Raw_Data!H66), "")</f>
        <v>1000</v>
      </c>
      <c r="I66">
        <f ca="1">IFERROR(VALUE(Raw_Data!I66), "")</f>
        <v>9000</v>
      </c>
      <c r="J66">
        <f>IFERROR(
    VALUE(SUBSTITUTE(Raw_Data!J66," visits","")),
    ""
)</f>
        <v>14</v>
      </c>
      <c r="K66" t="str">
        <f ca="1">IF(TRIM(Raw_Data!K66)="","No",PROPER(TRIM(Raw_Data!K66)))</f>
        <v>No</v>
      </c>
      <c r="L66" t="str">
        <f ca="1">PROPER(TRIM(Raw_Data!L66))</f>
        <v>Weight Loss</v>
      </c>
      <c r="M66" t="s">
        <v>151</v>
      </c>
      <c r="N66" s="2">
        <f>IFERROR(DATEVALUE(Raw_Data!N66), Raw_Data!N66)</f>
        <v>45760</v>
      </c>
      <c r="O66" s="2"/>
      <c r="P66" t="str">
        <f>IF(COUNTIF($A$2:A66,A66)&gt;1,"Duplicate","Unique")</f>
        <v>Unique</v>
      </c>
      <c r="Q66" t="str">
        <f t="shared" si="0"/>
        <v>OK</v>
      </c>
      <c r="R66" t="str">
        <f t="shared" si="1"/>
        <v>Available</v>
      </c>
    </row>
    <row r="67" spans="1:18">
      <c r="A67" t="str">
        <f>TRIM(CLEAN(Raw_Data!A67))</f>
        <v>MEM0066</v>
      </c>
      <c r="B67" t="str">
        <f ca="1">TRIM(Raw_Data!B67)</f>
        <v>Meera Joshi</v>
      </c>
      <c r="C67" t="str">
        <f ca="1">_xlfn.XLOOKUP(D67, Branch_Master!A:A, Branch_Master!B:B)</f>
        <v>Bangalore</v>
      </c>
      <c r="D67" t="str">
        <f ca="1">TRIM(Raw_Data!D67)</f>
        <v>BR02</v>
      </c>
      <c r="E67" t="str">
        <f ca="1">PROPER(TRIM(Raw_Data!E67))</f>
        <v>Standard</v>
      </c>
      <c r="F67" s="2">
        <f>IFERROR(DATEVALUE(Raw_Data!F67), Raw_Data!F67)</f>
        <v>45021</v>
      </c>
      <c r="G67" s="2">
        <f>IFERROR(
    IF(
        IFERROR(DATEVALUE(Raw_Data!G67), Raw_Data!G67) &lt;
        IFERROR(DATEVALUE(Raw_Data!F67), Raw_Data!F67),
        IFERROR(DATEVALUE(Raw_Data!F67), Raw_Data!F67) + 30,
        IFERROR(DATEVALUE(Raw_Data!G67), Raw_Data!G67)
    ),
    ""
)</f>
        <v>45111</v>
      </c>
      <c r="H67">
        <f>IFERROR(VALUE(Raw_Data!H67), "")</f>
        <v>2000</v>
      </c>
      <c r="I67">
        <f ca="1">IFERROR(VALUE(Raw_Data!I67), "")</f>
        <v>24000</v>
      </c>
      <c r="J67">
        <f>IFERROR(
    VALUE(SUBSTITUTE(Raw_Data!J67," visits","")),
    ""
)</f>
        <v>14</v>
      </c>
      <c r="K67" t="str">
        <f ca="1">IF(TRIM(Raw_Data!K67)="","No",PROPER(TRIM(Raw_Data!K67)))</f>
        <v>Yes</v>
      </c>
      <c r="L67" t="str">
        <f ca="1">PROPER(TRIM(Raw_Data!L67))</f>
        <v>General Fitness</v>
      </c>
      <c r="M67" t="s">
        <v>151</v>
      </c>
      <c r="N67" s="2">
        <f>IFERROR(DATEVALUE(Raw_Data!N67), Raw_Data!N67)</f>
        <v>45744</v>
      </c>
      <c r="O67" s="2"/>
      <c r="P67" t="str">
        <f>IF(COUNTIF($A$2:A67,A67)&gt;1,"Duplicate","Unique")</f>
        <v>Unique</v>
      </c>
      <c r="Q67" t="str">
        <f t="shared" ref="Q67:Q130" si="2">IF(G67&lt;F67,"Expiry Error",
IF(AND(M67="Cancelled",N67&lt;&gt;""),"Cancelled but Active",
IF(J67&gt;30,"Invalid Attendance","OK")))</f>
        <v>OK</v>
      </c>
      <c r="R67" t="str">
        <f t="shared" ref="R67:R130" si="3">IF(N67="","Missing","Available")</f>
        <v>Available</v>
      </c>
    </row>
    <row r="68" spans="1:18">
      <c r="A68" t="str">
        <f>TRIM(CLEAN(Raw_Data!A68))</f>
        <v>MEM0067</v>
      </c>
      <c r="B68" t="str">
        <f ca="1">TRIM(Raw_Data!B68)</f>
        <v>Karthik Yadav</v>
      </c>
      <c r="C68" t="str">
        <f ca="1">_xlfn.XLOOKUP(D68, Branch_Master!A:A, Branch_Master!B:B)</f>
        <v>Hyderabad</v>
      </c>
      <c r="D68" t="str">
        <f ca="1">TRIM(Raw_Data!D68)</f>
        <v>BR04</v>
      </c>
      <c r="E68" t="str">
        <f ca="1">PROPER(TRIM(Raw_Data!E68))</f>
        <v>Basic</v>
      </c>
      <c r="F68" s="2">
        <f>IFERROR(DATEVALUE(Raw_Data!F68), Raw_Data!F68)</f>
        <v>45198</v>
      </c>
      <c r="G68" s="2">
        <f>IFERROR(
    IF(
        IFERROR(DATEVALUE(Raw_Data!G68), Raw_Data!G68) &lt;
        IFERROR(DATEVALUE(Raw_Data!F68), Raw_Data!F68),
        IFERROR(DATEVALUE(Raw_Data!F68), Raw_Data!F68) + 30,
        IFERROR(DATEVALUE(Raw_Data!G68), Raw_Data!G68)
    ),
    ""
)</f>
        <v>45288</v>
      </c>
      <c r="H68">
        <f>IFERROR(VALUE(Raw_Data!H68), "")</f>
        <v>1000</v>
      </c>
      <c r="I68">
        <f ca="1">IFERROR(VALUE(Raw_Data!I68), "")</f>
        <v>10000</v>
      </c>
      <c r="J68">
        <f>IFERROR(
    VALUE(SUBSTITUTE(Raw_Data!J68," visits","")),
    ""
)</f>
        <v>7</v>
      </c>
      <c r="K68" t="str">
        <f ca="1">IF(TRIM(Raw_Data!K68)="","No",PROPER(TRIM(Raw_Data!K68)))</f>
        <v>Yes</v>
      </c>
      <c r="L68" t="str">
        <f ca="1">PROPER(TRIM(Raw_Data!L68))</f>
        <v>General Fitness</v>
      </c>
      <c r="M68" t="s">
        <v>152</v>
      </c>
      <c r="N68" s="2">
        <f>IFERROR(DATEVALUE(Raw_Data!N68), Raw_Data!N68)</f>
        <v>45636</v>
      </c>
      <c r="O68" s="2"/>
      <c r="P68" t="str">
        <f>IF(COUNTIF($A$2:A68,A68)&gt;1,"Duplicate","Unique")</f>
        <v>Unique</v>
      </c>
      <c r="Q68" t="str">
        <f t="shared" si="2"/>
        <v>Cancelled but Active</v>
      </c>
      <c r="R68" t="str">
        <f t="shared" si="3"/>
        <v>Available</v>
      </c>
    </row>
    <row r="69" spans="1:18">
      <c r="A69" t="str">
        <f>TRIM(CLEAN(Raw_Data!A69))</f>
        <v>MEM0068</v>
      </c>
      <c r="B69" t="str">
        <f ca="1">TRIM(Raw_Data!B69)</f>
        <v>Aditya Verma</v>
      </c>
      <c r="C69" t="str">
        <f ca="1">_xlfn.XLOOKUP(D69, Branch_Master!A:A, Branch_Master!B:B)</f>
        <v>Bangalore</v>
      </c>
      <c r="D69" t="str">
        <f ca="1">TRIM(Raw_Data!D69)</f>
        <v>BR02</v>
      </c>
      <c r="E69" t="str">
        <f ca="1">PROPER(TRIM(Raw_Data!E69))</f>
        <v>Standard</v>
      </c>
      <c r="F69" s="2">
        <f>IFERROR(DATEVALUE(Raw_Data!F69), Raw_Data!F69)</f>
        <v>45089</v>
      </c>
      <c r="G69" s="2">
        <f>IFERROR(
    IF(
        IFERROR(DATEVALUE(Raw_Data!G69), Raw_Data!G69) &lt;
        IFERROR(DATEVALUE(Raw_Data!F69), Raw_Data!F69),
        IFERROR(DATEVALUE(Raw_Data!F69), Raw_Data!F69) + 30,
        IFERROR(DATEVALUE(Raw_Data!G69), Raw_Data!G69)
    ),
    ""
)</f>
        <v>45454</v>
      </c>
      <c r="H69">
        <f>IFERROR(VALUE(Raw_Data!H69), "")</f>
        <v>3500</v>
      </c>
      <c r="I69">
        <f ca="1">IFERROR(VALUE(Raw_Data!I69), "")</f>
        <v>7000</v>
      </c>
      <c r="J69">
        <f>IFERROR(
    VALUE(SUBSTITUTE(Raw_Data!J69," visits","")),
    ""
)</f>
        <v>19</v>
      </c>
      <c r="K69" t="str">
        <f ca="1">IF(TRIM(Raw_Data!K69)="","No",PROPER(TRIM(Raw_Data!K69)))</f>
        <v>Yes</v>
      </c>
      <c r="L69" t="str">
        <f ca="1">PROPER(TRIM(Raw_Data!L69))</f>
        <v>General Fitness</v>
      </c>
      <c r="M69" t="s">
        <v>152</v>
      </c>
      <c r="N69" s="2">
        <f>IFERROR(DATEVALUE(Raw_Data!N69), Raw_Data!N69)</f>
        <v>45914</v>
      </c>
      <c r="O69" s="2"/>
      <c r="P69" t="str">
        <f>IF(COUNTIF($A$2:A69,A69)&gt;1,"Duplicate","Unique")</f>
        <v>Unique</v>
      </c>
      <c r="Q69" t="str">
        <f t="shared" si="2"/>
        <v>Cancelled but Active</v>
      </c>
      <c r="R69" t="str">
        <f t="shared" si="3"/>
        <v>Available</v>
      </c>
    </row>
    <row r="70" spans="1:18">
      <c r="A70" t="str">
        <f>TRIM(CLEAN(Raw_Data!A70))</f>
        <v>MEM0069</v>
      </c>
      <c r="B70" t="str">
        <f ca="1">TRIM(Raw_Data!B70)</f>
        <v>Varun Joseph</v>
      </c>
      <c r="C70" t="str">
        <f ca="1">_xlfn.XLOOKUP(D70, Branch_Master!A:A, Branch_Master!B:B)</f>
        <v>Kochi</v>
      </c>
      <c r="D70" t="str">
        <f ca="1">TRIM(Raw_Data!D70)</f>
        <v>BR01</v>
      </c>
      <c r="E70" t="str">
        <f ca="1">PROPER(TRIM(Raw_Data!E70))</f>
        <v>Premium</v>
      </c>
      <c r="F70" s="2">
        <f>IFERROR(DATEVALUE(Raw_Data!F70), Raw_Data!F70)</f>
        <v>45842</v>
      </c>
      <c r="G70" s="2">
        <f>IFERROR(
    IF(
        IFERROR(DATEVALUE(Raw_Data!G70), Raw_Data!G70) &lt;
        IFERROR(DATEVALUE(Raw_Data!F70), Raw_Data!F70),
        IFERROR(DATEVALUE(Raw_Data!F70), Raw_Data!F70) + 30,
        IFERROR(DATEVALUE(Raw_Data!G70), Raw_Data!G70)
    ),
    ""
)</f>
        <v>46207</v>
      </c>
      <c r="H70">
        <f>IFERROR(VALUE(Raw_Data!H70), "")</f>
        <v>3500</v>
      </c>
      <c r="I70">
        <f ca="1">IFERROR(VALUE(Raw_Data!I70), "")</f>
        <v>24500</v>
      </c>
      <c r="J70">
        <f>IFERROR(
    VALUE(SUBSTITUTE(Raw_Data!J70," visits","")),
    ""
)</f>
        <v>19</v>
      </c>
      <c r="K70" t="str">
        <f ca="1">IF(TRIM(Raw_Data!K70)="","No",PROPER(TRIM(Raw_Data!K70)))</f>
        <v>Yes</v>
      </c>
      <c r="L70" t="str">
        <f ca="1">PROPER(TRIM(Raw_Data!L70))</f>
        <v>General Fitness</v>
      </c>
      <c r="M70" t="s">
        <v>151</v>
      </c>
      <c r="N70" s="2">
        <f>IFERROR(DATEVALUE(Raw_Data!N70), Raw_Data!N70)</f>
        <v>46048</v>
      </c>
      <c r="O70" s="2"/>
      <c r="P70" t="str">
        <f>IF(COUNTIF($A$2:A70,A70)&gt;1,"Duplicate","Unique")</f>
        <v>Unique</v>
      </c>
      <c r="Q70" t="str">
        <f t="shared" si="2"/>
        <v>OK</v>
      </c>
      <c r="R70" t="str">
        <f t="shared" si="3"/>
        <v>Available</v>
      </c>
    </row>
    <row r="71" spans="1:18">
      <c r="A71" t="str">
        <f>TRIM(CLEAN(Raw_Data!A71))</f>
        <v>MEM0070</v>
      </c>
      <c r="B71" t="str">
        <f ca="1">TRIM(Raw_Data!B71)</f>
        <v>Nikhil Thomas</v>
      </c>
      <c r="C71" t="str">
        <f ca="1">_xlfn.XLOOKUP(D71, Branch_Master!A:A, Branch_Master!B:B)</f>
        <v>Kochi</v>
      </c>
      <c r="D71" t="str">
        <f ca="1">TRIM(Raw_Data!D71)</f>
        <v>BR01</v>
      </c>
      <c r="E71" t="str">
        <f ca="1">PROPER(TRIM(Raw_Data!E71))</f>
        <v>Premium</v>
      </c>
      <c r="F71" s="2">
        <f>IFERROR(DATEVALUE(Raw_Data!F71), Raw_Data!F71)</f>
        <v>45047</v>
      </c>
      <c r="G71" s="2">
        <f>IFERROR(
    IF(
        IFERROR(DATEVALUE(Raw_Data!G71), Raw_Data!G71) &lt;
        IFERROR(DATEVALUE(Raw_Data!F71), Raw_Data!F71),
        IFERROR(DATEVALUE(Raw_Data!F71), Raw_Data!F71) + 30,
        IFERROR(DATEVALUE(Raw_Data!G71), Raw_Data!G71)
    ),
    ""
)</f>
        <v>45412</v>
      </c>
      <c r="H71">
        <f>IFERROR(VALUE(Raw_Data!H71), "")</f>
        <v>1000</v>
      </c>
      <c r="I71">
        <f ca="1">IFERROR(VALUE(Raw_Data!I71), "")</f>
        <v>5000</v>
      </c>
      <c r="J71">
        <f>IFERROR(
    VALUE(SUBSTITUTE(Raw_Data!J71," visits","")),
    ""
)</f>
        <v>17</v>
      </c>
      <c r="K71" t="str">
        <f ca="1">IF(TRIM(Raw_Data!K71)="","No",PROPER(TRIM(Raw_Data!K71)))</f>
        <v>Yes</v>
      </c>
      <c r="L71" t="str">
        <f ca="1">PROPER(TRIM(Raw_Data!L71))</f>
        <v>Muscle Gain</v>
      </c>
      <c r="M71" t="s">
        <v>152</v>
      </c>
      <c r="N71" s="2">
        <f>IFERROR(DATEVALUE(Raw_Data!N71), Raw_Data!N71)</f>
        <v>46030</v>
      </c>
      <c r="O71" s="2"/>
      <c r="P71" t="str">
        <f>IF(COUNTIF($A$2:A71,A71)&gt;1,"Duplicate","Unique")</f>
        <v>Unique</v>
      </c>
      <c r="Q71" t="str">
        <f t="shared" si="2"/>
        <v>Cancelled but Active</v>
      </c>
      <c r="R71" t="str">
        <f t="shared" si="3"/>
        <v>Available</v>
      </c>
    </row>
    <row r="72" spans="1:18">
      <c r="A72" t="str">
        <f>TRIM(CLEAN(Raw_Data!A72))</f>
        <v>MEM0071</v>
      </c>
      <c r="B72" t="str">
        <f ca="1">TRIM(Raw_Data!B72)</f>
        <v>Tanvi George</v>
      </c>
      <c r="C72" t="str">
        <f ca="1">_xlfn.XLOOKUP(D72, Branch_Master!A:A, Branch_Master!B:B)</f>
        <v>Calicut</v>
      </c>
      <c r="D72" t="str">
        <f ca="1">TRIM(Raw_Data!D72)</f>
        <v>BR07</v>
      </c>
      <c r="E72" t="str">
        <f ca="1">PROPER(TRIM(Raw_Data!E72))</f>
        <v>Basic</v>
      </c>
      <c r="F72" s="2">
        <f>IFERROR(DATEVALUE(Raw_Data!F72), Raw_Data!F72)</f>
        <v>45628</v>
      </c>
      <c r="G72" s="2">
        <f>IFERROR(
    IF(
        IFERROR(DATEVALUE(Raw_Data!G72), Raw_Data!G72) &lt;
        IFERROR(DATEVALUE(Raw_Data!F72), Raw_Data!F72),
        IFERROR(DATEVALUE(Raw_Data!F72), Raw_Data!F72) + 30,
        IFERROR(DATEVALUE(Raw_Data!G72), Raw_Data!G72)
    ),
    ""
)</f>
        <v>45658</v>
      </c>
      <c r="H72">
        <f>IFERROR(VALUE(Raw_Data!H72), "")</f>
        <v>2000</v>
      </c>
      <c r="I72">
        <f ca="1">IFERROR(VALUE(Raw_Data!I72), "")</f>
        <v>24000</v>
      </c>
      <c r="J72">
        <f>IFERROR(
    VALUE(SUBSTITUTE(Raw_Data!J72," visits","")),
    ""
)</f>
        <v>17</v>
      </c>
      <c r="K72" t="str">
        <f ca="1">IF(TRIM(Raw_Data!K72)="","No",PROPER(TRIM(Raw_Data!K72)))</f>
        <v>Yes</v>
      </c>
      <c r="L72" t="str">
        <f ca="1">PROPER(TRIM(Raw_Data!L72))</f>
        <v>General Fitness</v>
      </c>
      <c r="M72" t="s">
        <v>151</v>
      </c>
      <c r="N72" s="2">
        <f>IFERROR(DATEVALUE(Raw_Data!N72), Raw_Data!N72)</f>
        <v>45681</v>
      </c>
      <c r="O72" s="2"/>
      <c r="P72" t="str">
        <f>IF(COUNTIF($A$2:A72,A72)&gt;1,"Duplicate","Unique")</f>
        <v>Unique</v>
      </c>
      <c r="Q72" t="str">
        <f t="shared" si="2"/>
        <v>OK</v>
      </c>
      <c r="R72" t="str">
        <f t="shared" si="3"/>
        <v>Available</v>
      </c>
    </row>
    <row r="73" spans="1:18">
      <c r="A73" t="str">
        <f>TRIM(CLEAN(Raw_Data!A73))</f>
        <v>MEM0072</v>
      </c>
      <c r="B73" t="str">
        <f ca="1">TRIM(Raw_Data!B73)</f>
        <v>Swathi Sharma</v>
      </c>
      <c r="C73" t="str">
        <f ca="1">_xlfn.XLOOKUP(D73, Branch_Master!A:A, Branch_Master!B:B)</f>
        <v>Bangalore</v>
      </c>
      <c r="D73" t="str">
        <f ca="1">TRIM(Raw_Data!D73)</f>
        <v>BR02</v>
      </c>
      <c r="E73" t="str">
        <f ca="1">PROPER(TRIM(Raw_Data!E73))</f>
        <v>Premium</v>
      </c>
      <c r="F73" s="2">
        <f>IFERROR(DATEVALUE(Raw_Data!F73), Raw_Data!F73)</f>
        <v>45859</v>
      </c>
      <c r="G73" s="2">
        <f>IFERROR(
    IF(
        IFERROR(DATEVALUE(Raw_Data!G73), Raw_Data!G73) &lt;
        IFERROR(DATEVALUE(Raw_Data!F73), Raw_Data!F73),
        IFERROR(DATEVALUE(Raw_Data!F73), Raw_Data!F73) + 30,
        IFERROR(DATEVALUE(Raw_Data!G73), Raw_Data!G73)
    ),
    ""
)</f>
        <v>46224</v>
      </c>
      <c r="H73">
        <f>IFERROR(VALUE(Raw_Data!H73), "")</f>
        <v>2000</v>
      </c>
      <c r="I73">
        <f ca="1">IFERROR(VALUE(Raw_Data!I73), "")</f>
        <v>2000</v>
      </c>
      <c r="J73">
        <f>IFERROR(
    VALUE(SUBSTITUTE(Raw_Data!J73," visits","")),
    ""
)</f>
        <v>4</v>
      </c>
      <c r="K73" t="str">
        <f ca="1">IF(TRIM(Raw_Data!K73)="","No",PROPER(TRIM(Raw_Data!K73)))</f>
        <v>No</v>
      </c>
      <c r="L73" t="str">
        <f ca="1">PROPER(TRIM(Raw_Data!L73))</f>
        <v>Weight Loss</v>
      </c>
      <c r="M73" t="s">
        <v>151</v>
      </c>
      <c r="N73" s="2">
        <f>IFERROR(DATEVALUE(Raw_Data!N73), Raw_Data!N73)</f>
        <v>45957</v>
      </c>
      <c r="O73" s="2"/>
      <c r="P73" t="str">
        <f>IF(COUNTIF($A$2:A73,A73)&gt;1,"Duplicate","Unique")</f>
        <v>Unique</v>
      </c>
      <c r="Q73" t="str">
        <f t="shared" si="2"/>
        <v>OK</v>
      </c>
      <c r="R73" t="str">
        <f t="shared" si="3"/>
        <v>Available</v>
      </c>
    </row>
    <row r="74" spans="1:18">
      <c r="A74" t="str">
        <f>TRIM(CLEAN(Raw_Data!A74))</f>
        <v>MEM0073</v>
      </c>
      <c r="B74" t="str">
        <f ca="1">TRIM(Raw_Data!B74)</f>
        <v>Deepak Gupta</v>
      </c>
      <c r="C74" t="str">
        <f ca="1">_xlfn.XLOOKUP(D74, Branch_Master!A:A, Branch_Master!B:B)</f>
        <v>Hyderabad</v>
      </c>
      <c r="D74" t="str">
        <f ca="1">TRIM(Raw_Data!D74)</f>
        <v>BR04</v>
      </c>
      <c r="E74" t="str">
        <f ca="1">PROPER(TRIM(Raw_Data!E74))</f>
        <v>Standard</v>
      </c>
      <c r="F74" s="2">
        <f>IFERROR(DATEVALUE(Raw_Data!F74), Raw_Data!F74)</f>
        <v>45687</v>
      </c>
      <c r="G74" s="2">
        <f>IFERROR(
    IF(
        IFERROR(DATEVALUE(Raw_Data!G74), Raw_Data!G74) &lt;
        IFERROR(DATEVALUE(Raw_Data!F74), Raw_Data!F74),
        IFERROR(DATEVALUE(Raw_Data!F74), Raw_Data!F74) + 30,
        IFERROR(DATEVALUE(Raw_Data!G74), Raw_Data!G74)
    ),
    ""
)</f>
        <v>45717</v>
      </c>
      <c r="H74">
        <f>IFERROR(VALUE(Raw_Data!H74), "")</f>
        <v>3500</v>
      </c>
      <c r="I74">
        <f ca="1">IFERROR(VALUE(Raw_Data!I74), "")</f>
        <v>3500</v>
      </c>
      <c r="J74">
        <f>IFERROR(
    VALUE(SUBSTITUTE(Raw_Data!J74," visits","")),
    ""
)</f>
        <v>18</v>
      </c>
      <c r="K74" t="str">
        <f ca="1">IF(TRIM(Raw_Data!K74)="","No",PROPER(TRIM(Raw_Data!K74)))</f>
        <v>Yes</v>
      </c>
      <c r="L74" t="str">
        <f ca="1">PROPER(TRIM(Raw_Data!L74))</f>
        <v>General Fitness</v>
      </c>
      <c r="M74" t="s">
        <v>151</v>
      </c>
      <c r="N74" s="2">
        <f>IFERROR(DATEVALUE(Raw_Data!N74), Raw_Data!N74)</f>
        <v>45912</v>
      </c>
      <c r="O74" s="2"/>
      <c r="P74" t="str">
        <f>IF(COUNTIF($A$2:A74,A74)&gt;1,"Duplicate","Unique")</f>
        <v>Unique</v>
      </c>
      <c r="Q74" t="str">
        <f t="shared" si="2"/>
        <v>OK</v>
      </c>
      <c r="R74" t="str">
        <f t="shared" si="3"/>
        <v>Available</v>
      </c>
    </row>
    <row r="75" spans="1:18">
      <c r="A75" t="str">
        <f>TRIM(CLEAN(Raw_Data!A75))</f>
        <v>MEM0074</v>
      </c>
      <c r="B75" t="str">
        <f ca="1">TRIM(Raw_Data!B75)</f>
        <v>Swathi Das</v>
      </c>
      <c r="C75" t="str">
        <f ca="1">_xlfn.XLOOKUP(D75, Branch_Master!A:A, Branch_Master!B:B)</f>
        <v>Calicut</v>
      </c>
      <c r="D75" t="str">
        <f ca="1">TRIM(Raw_Data!D75)</f>
        <v>BR07</v>
      </c>
      <c r="E75" t="str">
        <f ca="1">PROPER(TRIM(Raw_Data!E75))</f>
        <v>Basic</v>
      </c>
      <c r="F75" s="2">
        <f>IFERROR(DATEVALUE(Raw_Data!F75), Raw_Data!F75)</f>
        <v>45243</v>
      </c>
      <c r="G75" s="2">
        <f>IFERROR(
    IF(
        IFERROR(DATEVALUE(Raw_Data!G75), Raw_Data!G75) &lt;
        IFERROR(DATEVALUE(Raw_Data!F75), Raw_Data!F75),
        IFERROR(DATEVALUE(Raw_Data!F75), Raw_Data!F75) + 30,
        IFERROR(DATEVALUE(Raw_Data!G75), Raw_Data!G75)
    ),
    ""
)</f>
        <v>45608</v>
      </c>
      <c r="H75">
        <f>IFERROR(VALUE(Raw_Data!H75), "")</f>
        <v>1000</v>
      </c>
      <c r="I75">
        <f ca="1">IFERROR(VALUE(Raw_Data!I75), "")</f>
        <v>8000</v>
      </c>
      <c r="J75">
        <f>IFERROR(
    VALUE(SUBSTITUTE(Raw_Data!J75," visits","")),
    ""
)</f>
        <v>8</v>
      </c>
      <c r="K75" t="str">
        <f ca="1">IF(TRIM(Raw_Data!K75)="","No",PROPER(TRIM(Raw_Data!K75)))</f>
        <v>Yes</v>
      </c>
      <c r="L75" t="str">
        <f ca="1">PROPER(TRIM(Raw_Data!L75))</f>
        <v>Muscle Gain</v>
      </c>
      <c r="M75" t="s">
        <v>151</v>
      </c>
      <c r="N75" s="2">
        <f>IFERROR(DATEVALUE(Raw_Data!N75), Raw_Data!N75)</f>
        <v>45664</v>
      </c>
      <c r="O75" s="2"/>
      <c r="P75" t="str">
        <f>IF(COUNTIF($A$2:A75,A75)&gt;1,"Duplicate","Unique")</f>
        <v>Unique</v>
      </c>
      <c r="Q75" t="str">
        <f t="shared" si="2"/>
        <v>OK</v>
      </c>
      <c r="R75" t="str">
        <f t="shared" si="3"/>
        <v>Available</v>
      </c>
    </row>
    <row r="76" spans="1:18">
      <c r="A76" t="str">
        <f>TRIM(CLEAN(Raw_Data!A76))</f>
        <v>MEM0075</v>
      </c>
      <c r="B76" t="str">
        <f ca="1">TRIM(Raw_Data!B76)</f>
        <v>Divya Nambiar</v>
      </c>
      <c r="C76" t="str">
        <f ca="1">_xlfn.XLOOKUP(D76, Branch_Master!A:A, Branch_Master!B:B)</f>
        <v>Kochi</v>
      </c>
      <c r="D76" t="str">
        <f ca="1">TRIM(Raw_Data!D76)</f>
        <v>BR01</v>
      </c>
      <c r="E76" t="str">
        <f ca="1">PROPER(TRIM(Raw_Data!E76))</f>
        <v>Premium</v>
      </c>
      <c r="F76" s="2">
        <f>IFERROR(DATEVALUE(Raw_Data!F76), Raw_Data!F76)</f>
        <v>45762</v>
      </c>
      <c r="G76" s="2">
        <f>IFERROR(
    IF(
        IFERROR(DATEVALUE(Raw_Data!G76), Raw_Data!G76) &lt;
        IFERROR(DATEVALUE(Raw_Data!F76), Raw_Data!F76),
        IFERROR(DATEVALUE(Raw_Data!F76), Raw_Data!F76) + 30,
        IFERROR(DATEVALUE(Raw_Data!G76), Raw_Data!G76)
    ),
    ""
)</f>
        <v>45792</v>
      </c>
      <c r="H76">
        <f>IFERROR(VALUE(Raw_Data!H76), "")</f>
        <v>2000</v>
      </c>
      <c r="I76">
        <f ca="1">IFERROR(VALUE(Raw_Data!I76), "")</f>
        <v>14000</v>
      </c>
      <c r="J76">
        <f>IFERROR(
    VALUE(SUBSTITUTE(Raw_Data!J76," visits","")),
    ""
)</f>
        <v>8</v>
      </c>
      <c r="K76" t="str">
        <f ca="1">IF(TRIM(Raw_Data!K76)="","No",PROPER(TRIM(Raw_Data!K76)))</f>
        <v>No</v>
      </c>
      <c r="L76" t="str">
        <f ca="1">PROPER(TRIM(Raw_Data!L76))</f>
        <v>Weight Loss</v>
      </c>
      <c r="M76" t="s">
        <v>151</v>
      </c>
      <c r="N76" s="2">
        <f>IFERROR(DATEVALUE(Raw_Data!N76), Raw_Data!N76)</f>
        <v>46054</v>
      </c>
      <c r="O76" s="2"/>
      <c r="P76" t="str">
        <f>IF(COUNTIF($A$2:A76,A76)&gt;1,"Duplicate","Unique")</f>
        <v>Unique</v>
      </c>
      <c r="Q76" t="str">
        <f t="shared" si="2"/>
        <v>OK</v>
      </c>
      <c r="R76" t="str">
        <f t="shared" si="3"/>
        <v>Available</v>
      </c>
    </row>
    <row r="77" spans="1:18">
      <c r="A77" t="str">
        <f>TRIM(CLEAN(Raw_Data!A77))</f>
        <v>MEM0076</v>
      </c>
      <c r="B77" t="str">
        <f ca="1">TRIM(Raw_Data!B77)</f>
        <v>Priya Malhotra</v>
      </c>
      <c r="C77" t="str">
        <f ca="1">_xlfn.XLOOKUP(D77, Branch_Master!A:A, Branch_Master!B:B)</f>
        <v>Calicut</v>
      </c>
      <c r="D77" t="str">
        <f ca="1">TRIM(Raw_Data!D77)</f>
        <v>BR07</v>
      </c>
      <c r="E77" t="str">
        <f ca="1">PROPER(TRIM(Raw_Data!E77))</f>
        <v>Premium</v>
      </c>
      <c r="F77" s="2">
        <f>IFERROR(DATEVALUE(Raw_Data!F77), Raw_Data!F77)</f>
        <v>45803</v>
      </c>
      <c r="G77" s="2">
        <f>IFERROR(
    IF(
        IFERROR(DATEVALUE(Raw_Data!G77), Raw_Data!G77) &lt;
        IFERROR(DATEVALUE(Raw_Data!F77), Raw_Data!F77),
        IFERROR(DATEVALUE(Raw_Data!F77), Raw_Data!F77) + 30,
        IFERROR(DATEVALUE(Raw_Data!G77), Raw_Data!G77)
    ),
    ""
)</f>
        <v>46168</v>
      </c>
      <c r="H77">
        <f>IFERROR(VALUE(Raw_Data!H77), "")</f>
        <v>1000</v>
      </c>
      <c r="I77">
        <f ca="1">IFERROR(VALUE(Raw_Data!I77), "")</f>
        <v>1000</v>
      </c>
      <c r="J77">
        <f>IFERROR(
    VALUE(SUBSTITUTE(Raw_Data!J77," visits","")),
    ""
)</f>
        <v>0</v>
      </c>
      <c r="K77" t="str">
        <f ca="1">IF(TRIM(Raw_Data!K77)="","No",PROPER(TRIM(Raw_Data!K77)))</f>
        <v>Yes</v>
      </c>
      <c r="L77" t="str">
        <f ca="1">PROPER(TRIM(Raw_Data!L77))</f>
        <v>Muscle Gain</v>
      </c>
      <c r="M77" t="s">
        <v>152</v>
      </c>
      <c r="N77" s="2">
        <f>IFERROR(DATEVALUE(Raw_Data!N77), Raw_Data!N77)</f>
        <v>46015</v>
      </c>
      <c r="O77" s="2"/>
      <c r="P77" t="str">
        <f>IF(COUNTIF($A$2:A77,A77)&gt;1,"Duplicate","Unique")</f>
        <v>Unique</v>
      </c>
      <c r="Q77" t="str">
        <f t="shared" si="2"/>
        <v>Cancelled but Active</v>
      </c>
      <c r="R77" t="str">
        <f t="shared" si="3"/>
        <v>Available</v>
      </c>
    </row>
    <row r="78" spans="1:18">
      <c r="A78" t="str">
        <f>TRIM(CLEAN(Raw_Data!A78))</f>
        <v>MEM0077</v>
      </c>
      <c r="B78" t="str">
        <f ca="1">TRIM(Raw_Data!B78)</f>
        <v>Riya Pillai</v>
      </c>
      <c r="C78" t="str">
        <f ca="1">_xlfn.XLOOKUP(D78, Branch_Master!A:A, Branch_Master!B:B)</f>
        <v>Mumbai</v>
      </c>
      <c r="D78" t="str">
        <f ca="1">TRIM(Raw_Data!D78)</f>
        <v>BR05</v>
      </c>
      <c r="E78" t="str">
        <f ca="1">PROPER(TRIM(Raw_Data!E78))</f>
        <v>Standard</v>
      </c>
      <c r="F78" s="2">
        <f>IFERROR(DATEVALUE(Raw_Data!F78), Raw_Data!F78)</f>
        <v>45964</v>
      </c>
      <c r="G78" s="2">
        <f>IFERROR(
    IF(
        IFERROR(DATEVALUE(Raw_Data!G78), Raw_Data!G78) &lt;
        IFERROR(DATEVALUE(Raw_Data!F78), Raw_Data!F78),
        IFERROR(DATEVALUE(Raw_Data!F78), Raw_Data!F78) + 30,
        IFERROR(DATEVALUE(Raw_Data!G78), Raw_Data!G78)
    ),
    ""
)</f>
        <v>45994</v>
      </c>
      <c r="H78">
        <f>IFERROR(VALUE(Raw_Data!H78), "")</f>
        <v>1000</v>
      </c>
      <c r="I78">
        <f ca="1">IFERROR(VALUE(Raw_Data!I78), "")</f>
        <v>1000</v>
      </c>
      <c r="J78">
        <f>IFERROR(
    VALUE(SUBSTITUTE(Raw_Data!J78," visits","")),
    ""
)</f>
        <v>14</v>
      </c>
      <c r="K78" t="str">
        <f ca="1">IF(TRIM(Raw_Data!K78)="","No",PROPER(TRIM(Raw_Data!K78)))</f>
        <v>No</v>
      </c>
      <c r="L78" t="str">
        <f ca="1">PROPER(TRIM(Raw_Data!L78))</f>
        <v>Muscle Gain</v>
      </c>
      <c r="M78" t="s">
        <v>151</v>
      </c>
      <c r="N78" s="2">
        <f>IFERROR(DATEVALUE(Raw_Data!N78), Raw_Data!N78)</f>
        <v>45971</v>
      </c>
      <c r="O78" s="2"/>
      <c r="P78" t="str">
        <f>IF(COUNTIF($A$2:A78,A78)&gt;1,"Duplicate","Unique")</f>
        <v>Unique</v>
      </c>
      <c r="Q78" t="str">
        <f t="shared" si="2"/>
        <v>OK</v>
      </c>
      <c r="R78" t="str">
        <f t="shared" si="3"/>
        <v>Available</v>
      </c>
    </row>
    <row r="79" spans="1:18">
      <c r="A79" t="str">
        <f>TRIM(CLEAN(Raw_Data!A79))</f>
        <v>MEM0078</v>
      </c>
      <c r="B79" t="str">
        <f ca="1">TRIM(Raw_Data!B79)</f>
        <v>Anjali Desai</v>
      </c>
      <c r="C79" t="str">
        <f ca="1">_xlfn.XLOOKUP(D79, Branch_Master!A:A, Branch_Master!B:B)</f>
        <v>Mumbai</v>
      </c>
      <c r="D79" t="str">
        <f ca="1">TRIM(Raw_Data!D79)</f>
        <v>BR05</v>
      </c>
      <c r="E79" t="str">
        <f ca="1">PROPER(TRIM(Raw_Data!E79))</f>
        <v>Standard</v>
      </c>
      <c r="F79" s="2">
        <f>IFERROR(DATEVALUE(Raw_Data!F79), Raw_Data!F79)</f>
        <v>45124</v>
      </c>
      <c r="G79" s="2">
        <f>IFERROR(
    IF(
        IFERROR(DATEVALUE(Raw_Data!G79), Raw_Data!G79) &lt;
        IFERROR(DATEVALUE(Raw_Data!F79), Raw_Data!F79),
        IFERROR(DATEVALUE(Raw_Data!F79), Raw_Data!F79) + 30,
        IFERROR(DATEVALUE(Raw_Data!G79), Raw_Data!G79)
    ),
    ""
)</f>
        <v>45489</v>
      </c>
      <c r="H79">
        <f>IFERROR(VALUE(Raw_Data!H79), "")</f>
        <v>3500</v>
      </c>
      <c r="I79">
        <f ca="1">IFERROR(VALUE(Raw_Data!I79), "")</f>
        <v>38500</v>
      </c>
      <c r="J79">
        <f>IFERROR(
    VALUE(SUBSTITUTE(Raw_Data!J79," visits","")),
    ""
)</f>
        <v>20</v>
      </c>
      <c r="K79" t="str">
        <f ca="1">IF(TRIM(Raw_Data!K79)="","No",PROPER(TRIM(Raw_Data!K79)))</f>
        <v>Yes</v>
      </c>
      <c r="L79" t="str">
        <f ca="1">PROPER(TRIM(Raw_Data!L79))</f>
        <v>General Fitness</v>
      </c>
      <c r="M79" t="s">
        <v>151</v>
      </c>
      <c r="N79" s="2">
        <f>IFERROR(DATEVALUE(Raw_Data!N79), Raw_Data!N79)</f>
        <v>45171</v>
      </c>
      <c r="O79" s="2"/>
      <c r="P79" t="str">
        <f>IF(COUNTIF($A$2:A79,A79)&gt;1,"Duplicate","Unique")</f>
        <v>Unique</v>
      </c>
      <c r="Q79" t="str">
        <f t="shared" si="2"/>
        <v>OK</v>
      </c>
      <c r="R79" t="str">
        <f t="shared" si="3"/>
        <v>Available</v>
      </c>
    </row>
    <row r="80" spans="1:18">
      <c r="A80" t="str">
        <f>TRIM(CLEAN(Raw_Data!A80))</f>
        <v>MEM0079</v>
      </c>
      <c r="B80" t="str">
        <f ca="1">TRIM(Raw_Data!B80)</f>
        <v>Akash George</v>
      </c>
      <c r="C80" t="str">
        <f ca="1">_xlfn.XLOOKUP(D80, Branch_Master!A:A, Branch_Master!B:B)</f>
        <v>Bangalore</v>
      </c>
      <c r="D80" t="str">
        <f ca="1">TRIM(Raw_Data!D80)</f>
        <v>BR02</v>
      </c>
      <c r="E80" t="str">
        <f ca="1">PROPER(TRIM(Raw_Data!E80))</f>
        <v>Standard</v>
      </c>
      <c r="F80" s="2">
        <f>IFERROR(DATEVALUE(Raw_Data!F80), Raw_Data!F80)</f>
        <v>45868</v>
      </c>
      <c r="G80" s="2">
        <f>IFERROR(
    IF(
        IFERROR(DATEVALUE(Raw_Data!G80), Raw_Data!G80) &lt;
        IFERROR(DATEVALUE(Raw_Data!F80), Raw_Data!F80),
        IFERROR(DATEVALUE(Raw_Data!F80), Raw_Data!F80) + 30,
        IFERROR(DATEVALUE(Raw_Data!G80), Raw_Data!G80)
    ),
    ""
)</f>
        <v>45958</v>
      </c>
      <c r="H80">
        <f>IFERROR(VALUE(Raw_Data!H80), "")</f>
        <v>3500</v>
      </c>
      <c r="I80">
        <f ca="1">IFERROR(VALUE(Raw_Data!I80), "")</f>
        <v>21000</v>
      </c>
      <c r="J80">
        <f>IFERROR(
    VALUE(SUBSTITUTE(Raw_Data!J80," visits","")),
    ""
)</f>
        <v>4</v>
      </c>
      <c r="K80" t="str">
        <f ca="1">IF(TRIM(Raw_Data!K80)="","No",PROPER(TRIM(Raw_Data!K80)))</f>
        <v>Yes</v>
      </c>
      <c r="L80" t="str">
        <f ca="1">PROPER(TRIM(Raw_Data!L80))</f>
        <v>Weight Loss</v>
      </c>
      <c r="M80" t="s">
        <v>152</v>
      </c>
      <c r="N80" s="2">
        <f>IFERROR(DATEVALUE(Raw_Data!N80), Raw_Data!N80)</f>
        <v>45949</v>
      </c>
      <c r="O80" s="2"/>
      <c r="P80" t="str">
        <f>IF(COUNTIF($A$2:A80,A80)&gt;1,"Duplicate","Unique")</f>
        <v>Unique</v>
      </c>
      <c r="Q80" t="str">
        <f t="shared" si="2"/>
        <v>Cancelled but Active</v>
      </c>
      <c r="R80" t="str">
        <f t="shared" si="3"/>
        <v>Available</v>
      </c>
    </row>
    <row r="81" spans="1:18">
      <c r="A81" t="str">
        <f>TRIM(CLEAN(Raw_Data!A81))</f>
        <v>MEM0080</v>
      </c>
      <c r="B81" t="str">
        <f ca="1">TRIM(Raw_Data!B81)</f>
        <v>Sneha Patel</v>
      </c>
      <c r="C81" t="str">
        <f ca="1">_xlfn.XLOOKUP(D81, Branch_Master!A:A, Branch_Master!B:B)</f>
        <v>Mumbai</v>
      </c>
      <c r="D81" t="str">
        <f ca="1">TRIM(Raw_Data!D81)</f>
        <v>BR05</v>
      </c>
      <c r="E81" t="str">
        <f ca="1">PROPER(TRIM(Raw_Data!E81))</f>
        <v>Premium</v>
      </c>
      <c r="F81" s="2">
        <f>IFERROR(DATEVALUE(Raw_Data!F81), Raw_Data!F81)</f>
        <v>45000</v>
      </c>
      <c r="G81" s="2">
        <f>IFERROR(
    IF(
        IFERROR(DATEVALUE(Raw_Data!G81), Raw_Data!G81) &lt;
        IFERROR(DATEVALUE(Raw_Data!F81), Raw_Data!F81),
        IFERROR(DATEVALUE(Raw_Data!F81), Raw_Data!F81) + 30,
        IFERROR(DATEVALUE(Raw_Data!G81), Raw_Data!G81)
    ),
    ""
)</f>
        <v>45365</v>
      </c>
      <c r="H81">
        <f>IFERROR(VALUE(Raw_Data!H81), "")</f>
        <v>3500</v>
      </c>
      <c r="I81">
        <f ca="1">IFERROR(VALUE(Raw_Data!I81), "")</f>
        <v>38500</v>
      </c>
      <c r="J81">
        <f>IFERROR(
    VALUE(SUBSTITUTE(Raw_Data!J81," visits","")),
    ""
)</f>
        <v>25</v>
      </c>
      <c r="K81" t="str">
        <f ca="1">IF(TRIM(Raw_Data!K81)="","No",PROPER(TRIM(Raw_Data!K81)))</f>
        <v>Yes</v>
      </c>
      <c r="L81" t="str">
        <f ca="1">PROPER(TRIM(Raw_Data!L81))</f>
        <v>General Fitness</v>
      </c>
      <c r="M81" t="s">
        <v>151</v>
      </c>
      <c r="N81" s="2">
        <f>IFERROR(DATEVALUE(Raw_Data!N81), Raw_Data!N81)</f>
        <v>45842</v>
      </c>
      <c r="O81" s="2"/>
      <c r="P81" t="str">
        <f>IF(COUNTIF($A$2:A81,A81)&gt;1,"Duplicate","Unique")</f>
        <v>Unique</v>
      </c>
      <c r="Q81" t="str">
        <f t="shared" si="2"/>
        <v>OK</v>
      </c>
      <c r="R81" t="str">
        <f t="shared" si="3"/>
        <v>Available</v>
      </c>
    </row>
    <row r="82" spans="1:18">
      <c r="A82" t="str">
        <f>TRIM(CLEAN(Raw_Data!A82))</f>
        <v>MEM0081</v>
      </c>
      <c r="B82" t="str">
        <f ca="1">TRIM(Raw_Data!B82)</f>
        <v>Sanjay Patel</v>
      </c>
      <c r="C82" t="str">
        <f ca="1">_xlfn.XLOOKUP(D82, Branch_Master!A:A, Branch_Master!B:B)</f>
        <v>Chennai</v>
      </c>
      <c r="D82" t="str">
        <f ca="1">TRIM(Raw_Data!D82)</f>
        <v>BR03</v>
      </c>
      <c r="E82" t="str">
        <f ca="1">PROPER(TRIM(Raw_Data!E82))</f>
        <v>Standard</v>
      </c>
      <c r="F82" s="2">
        <f>IFERROR(DATEVALUE(Raw_Data!F82), Raw_Data!F82)</f>
        <v>45204</v>
      </c>
      <c r="G82" s="2">
        <f>IFERROR(
    IF(
        IFERROR(DATEVALUE(Raw_Data!G82), Raw_Data!G82) &lt;
        IFERROR(DATEVALUE(Raw_Data!F82), Raw_Data!F82),
        IFERROR(DATEVALUE(Raw_Data!F82), Raw_Data!F82) + 30,
        IFERROR(DATEVALUE(Raw_Data!G82), Raw_Data!G82)
    ),
    ""
)</f>
        <v>45234</v>
      </c>
      <c r="H82">
        <f>IFERROR(VALUE(Raw_Data!H82), "")</f>
        <v>3500</v>
      </c>
      <c r="I82">
        <f ca="1">IFERROR(VALUE(Raw_Data!I82), "")</f>
        <v>28000</v>
      </c>
      <c r="J82">
        <f>IFERROR(
    VALUE(SUBSTITUTE(Raw_Data!J82," visits","")),
    ""
)</f>
        <v>23</v>
      </c>
      <c r="K82" t="str">
        <f ca="1">IF(TRIM(Raw_Data!K82)="","No",PROPER(TRIM(Raw_Data!K82)))</f>
        <v>No</v>
      </c>
      <c r="L82" t="str">
        <f ca="1">PROPER(TRIM(Raw_Data!L82))</f>
        <v>General Fitness</v>
      </c>
      <c r="M82" t="s">
        <v>151</v>
      </c>
      <c r="N82" s="2">
        <f>IFERROR(DATEVALUE(Raw_Data!N82), Raw_Data!N82)</f>
        <v>46063</v>
      </c>
      <c r="O82" s="2"/>
      <c r="P82" t="str">
        <f>IF(COUNTIF($A$2:A82,A82)&gt;1,"Duplicate","Unique")</f>
        <v>Unique</v>
      </c>
      <c r="Q82" t="str">
        <f t="shared" si="2"/>
        <v>OK</v>
      </c>
      <c r="R82" t="str">
        <f t="shared" si="3"/>
        <v>Available</v>
      </c>
    </row>
    <row r="83" spans="1:18">
      <c r="A83" t="str">
        <f>TRIM(CLEAN(Raw_Data!A83))</f>
        <v>MEM0082</v>
      </c>
      <c r="B83" t="str">
        <f ca="1">TRIM(Raw_Data!B83)</f>
        <v>Aditya Singh</v>
      </c>
      <c r="C83" t="str">
        <f ca="1">_xlfn.XLOOKUP(D83, Branch_Master!A:A, Branch_Master!B:B)</f>
        <v>Chennai</v>
      </c>
      <c r="D83" t="str">
        <f ca="1">TRIM(Raw_Data!D83)</f>
        <v>BR03</v>
      </c>
      <c r="E83" t="str">
        <f ca="1">PROPER(TRIM(Raw_Data!E83))</f>
        <v>Standard</v>
      </c>
      <c r="F83" s="2">
        <f>IFERROR(DATEVALUE(Raw_Data!F83), Raw_Data!F83)</f>
        <v>45686</v>
      </c>
      <c r="G83" s="2">
        <f>IFERROR(
    IF(
        IFERROR(DATEVALUE(Raw_Data!G83), Raw_Data!G83) &lt;
        IFERROR(DATEVALUE(Raw_Data!F83), Raw_Data!F83),
        IFERROR(DATEVALUE(Raw_Data!F83), Raw_Data!F83) + 30,
        IFERROR(DATEVALUE(Raw_Data!G83), Raw_Data!G83)
    ),
    ""
)</f>
        <v>45716</v>
      </c>
      <c r="H83">
        <f>IFERROR(VALUE(Raw_Data!H83), "")</f>
        <v>3500</v>
      </c>
      <c r="I83">
        <f ca="1">IFERROR(VALUE(Raw_Data!I83), "")</f>
        <v>7000</v>
      </c>
      <c r="J83">
        <f>IFERROR(
    VALUE(SUBSTITUTE(Raw_Data!J83," visits","")),
    ""
)</f>
        <v>20</v>
      </c>
      <c r="K83" t="str">
        <f ca="1">IF(TRIM(Raw_Data!K83)="","No",PROPER(TRIM(Raw_Data!K83)))</f>
        <v>Yes</v>
      </c>
      <c r="L83" t="str">
        <f ca="1">PROPER(TRIM(Raw_Data!L83))</f>
        <v>Muscle Gain</v>
      </c>
      <c r="M83" t="s">
        <v>151</v>
      </c>
      <c r="N83" s="2">
        <f>IFERROR(DATEVALUE(Raw_Data!N83), Raw_Data!N83)</f>
        <v>45949</v>
      </c>
      <c r="O83" s="2"/>
      <c r="P83" t="str">
        <f>IF(COUNTIF($A$2:A83,A83)&gt;1,"Duplicate","Unique")</f>
        <v>Unique</v>
      </c>
      <c r="Q83" t="str">
        <f t="shared" si="2"/>
        <v>OK</v>
      </c>
      <c r="R83" t="str">
        <f t="shared" si="3"/>
        <v>Available</v>
      </c>
    </row>
    <row r="84" spans="1:18">
      <c r="A84" t="str">
        <f>TRIM(CLEAN(Raw_Data!A84))</f>
        <v>MEM0083</v>
      </c>
      <c r="B84" t="str">
        <f ca="1">TRIM(Raw_Data!B84)</f>
        <v>Aditya Malhotra</v>
      </c>
      <c r="C84" t="str">
        <f ca="1">_xlfn.XLOOKUP(D84, Branch_Master!A:A, Branch_Master!B:B)</f>
        <v>Trivandrum</v>
      </c>
      <c r="D84" t="str">
        <f ca="1">TRIM(Raw_Data!D84)</f>
        <v>BR06</v>
      </c>
      <c r="E84" t="str">
        <f ca="1">PROPER(TRIM(Raw_Data!E84))</f>
        <v>Premium</v>
      </c>
      <c r="F84" s="2">
        <f>IFERROR(DATEVALUE(Raw_Data!F84), Raw_Data!F84)</f>
        <v>45756</v>
      </c>
      <c r="G84" s="2">
        <f>IFERROR(
    IF(
        IFERROR(DATEVALUE(Raw_Data!G84), Raw_Data!G84) &lt;
        IFERROR(DATEVALUE(Raw_Data!F84), Raw_Data!F84),
        IFERROR(DATEVALUE(Raw_Data!F84), Raw_Data!F84) + 30,
        IFERROR(DATEVALUE(Raw_Data!G84), Raw_Data!G84)
    ),
    ""
)</f>
        <v>46121</v>
      </c>
      <c r="H84">
        <f>IFERROR(VALUE(Raw_Data!H84), "")</f>
        <v>1000</v>
      </c>
      <c r="I84">
        <f ca="1">IFERROR(VALUE(Raw_Data!I84), "")</f>
        <v>9000</v>
      </c>
      <c r="J84">
        <f>IFERROR(
    VALUE(SUBSTITUTE(Raw_Data!J84," visits","")),
    ""
)</f>
        <v>13</v>
      </c>
      <c r="K84" t="str">
        <f ca="1">IF(TRIM(Raw_Data!K84)="","No",PROPER(TRIM(Raw_Data!K84)))</f>
        <v>No</v>
      </c>
      <c r="L84" t="str">
        <f ca="1">PROPER(TRIM(Raw_Data!L84))</f>
        <v>General Fitness</v>
      </c>
      <c r="M84" t="s">
        <v>151</v>
      </c>
      <c r="N84" s="2">
        <f>IFERROR(DATEVALUE(Raw_Data!N84), Raw_Data!N84)</f>
        <v>46055</v>
      </c>
      <c r="O84" s="2"/>
      <c r="P84" t="str">
        <f>IF(COUNTIF($A$2:A84,A84)&gt;1,"Duplicate","Unique")</f>
        <v>Unique</v>
      </c>
      <c r="Q84" t="str">
        <f t="shared" si="2"/>
        <v>OK</v>
      </c>
      <c r="R84" t="str">
        <f t="shared" si="3"/>
        <v>Available</v>
      </c>
    </row>
    <row r="85" spans="1:18">
      <c r="A85" t="str">
        <f>TRIM(CLEAN(Raw_Data!A85))</f>
        <v>MEM0084</v>
      </c>
      <c r="B85" t="str">
        <f ca="1">TRIM(Raw_Data!B85)</f>
        <v>Sanjay George</v>
      </c>
      <c r="C85" t="str">
        <f ca="1">_xlfn.XLOOKUP(D85, Branch_Master!A:A, Branch_Master!B:B)</f>
        <v>Bangalore</v>
      </c>
      <c r="D85" t="str">
        <f ca="1">TRIM(Raw_Data!D85)</f>
        <v>BR02</v>
      </c>
      <c r="E85" t="str">
        <f ca="1">PROPER(TRIM(Raw_Data!E85))</f>
        <v>Basic</v>
      </c>
      <c r="F85" s="2">
        <f>IFERROR(DATEVALUE(Raw_Data!F85), Raw_Data!F85)</f>
        <v>45832</v>
      </c>
      <c r="G85" s="2">
        <f>IFERROR(
    IF(
        IFERROR(DATEVALUE(Raw_Data!G85), Raw_Data!G85) &lt;
        IFERROR(DATEVALUE(Raw_Data!F85), Raw_Data!F85),
        IFERROR(DATEVALUE(Raw_Data!F85), Raw_Data!F85) + 30,
        IFERROR(DATEVALUE(Raw_Data!G85), Raw_Data!G85)
    ),
    ""
)</f>
        <v>45922</v>
      </c>
      <c r="H85">
        <f>IFERROR(VALUE(Raw_Data!H85), "")</f>
        <v>2000</v>
      </c>
      <c r="I85">
        <f ca="1">IFERROR(VALUE(Raw_Data!I85), "")</f>
        <v>8000</v>
      </c>
      <c r="J85">
        <f>IFERROR(
    VALUE(SUBSTITUTE(Raw_Data!J85," visits","")),
    ""
)</f>
        <v>7</v>
      </c>
      <c r="K85" t="str">
        <f ca="1">IF(TRIM(Raw_Data!K85)="","No",PROPER(TRIM(Raw_Data!K85)))</f>
        <v>No</v>
      </c>
      <c r="L85" t="str">
        <f ca="1">PROPER(TRIM(Raw_Data!L85))</f>
        <v>Muscle Gain</v>
      </c>
      <c r="M85" t="s">
        <v>151</v>
      </c>
      <c r="N85" s="2">
        <f>IFERROR(DATEVALUE(Raw_Data!N85), Raw_Data!N85)</f>
        <v>46003</v>
      </c>
      <c r="O85" s="2"/>
      <c r="P85" t="str">
        <f>IF(COUNTIF($A$2:A85,A85)&gt;1,"Duplicate","Unique")</f>
        <v>Unique</v>
      </c>
      <c r="Q85" t="str">
        <f t="shared" si="2"/>
        <v>OK</v>
      </c>
      <c r="R85" t="str">
        <f t="shared" si="3"/>
        <v>Available</v>
      </c>
    </row>
    <row r="86" spans="1:18">
      <c r="A86" t="str">
        <f>TRIM(CLEAN(Raw_Data!A86))</f>
        <v>MEM0085</v>
      </c>
      <c r="B86" t="str">
        <f ca="1">TRIM(Raw_Data!B86)</f>
        <v>Shreya Banerjee</v>
      </c>
      <c r="C86" t="str">
        <f ca="1">_xlfn.XLOOKUP(D86, Branch_Master!A:A, Branch_Master!B:B)</f>
        <v>Calicut</v>
      </c>
      <c r="D86" t="str">
        <f ca="1">TRIM(Raw_Data!D86)</f>
        <v>BR07</v>
      </c>
      <c r="E86" t="str">
        <f ca="1">PROPER(TRIM(Raw_Data!E86))</f>
        <v>Basic</v>
      </c>
      <c r="F86" s="2">
        <f>IFERROR(DATEVALUE(Raw_Data!F86), Raw_Data!F86)</f>
        <v>45764</v>
      </c>
      <c r="G86" s="2">
        <f>IFERROR(
    IF(
        IFERROR(DATEVALUE(Raw_Data!G86), Raw_Data!G86) &lt;
        IFERROR(DATEVALUE(Raw_Data!F86), Raw_Data!F86),
        IFERROR(DATEVALUE(Raw_Data!F86), Raw_Data!F86) + 30,
        IFERROR(DATEVALUE(Raw_Data!G86), Raw_Data!G86)
    ),
    ""
)</f>
        <v>45854</v>
      </c>
      <c r="H86">
        <f>IFERROR(VALUE(Raw_Data!H86), "")</f>
        <v>1000</v>
      </c>
      <c r="I86">
        <f ca="1">IFERROR(VALUE(Raw_Data!I86), "")</f>
        <v>2000</v>
      </c>
      <c r="J86">
        <f>IFERROR(
    VALUE(SUBSTITUTE(Raw_Data!J86," visits","")),
    ""
)</f>
        <v>20</v>
      </c>
      <c r="K86" t="str">
        <f ca="1">IF(TRIM(Raw_Data!K86)="","No",PROPER(TRIM(Raw_Data!K86)))</f>
        <v>Yes</v>
      </c>
      <c r="L86" t="str">
        <f ca="1">PROPER(TRIM(Raw_Data!L86))</f>
        <v>Weight Loss</v>
      </c>
      <c r="M86" t="s">
        <v>151</v>
      </c>
      <c r="N86" s="2">
        <f>IFERROR(DATEVALUE(Raw_Data!N86), Raw_Data!N86)</f>
        <v>46029</v>
      </c>
      <c r="O86" s="2"/>
      <c r="P86" t="str">
        <f>IF(COUNTIF($A$2:A86,A86)&gt;1,"Duplicate","Unique")</f>
        <v>Unique</v>
      </c>
      <c r="Q86" t="str">
        <f t="shared" si="2"/>
        <v>OK</v>
      </c>
      <c r="R86" t="str">
        <f t="shared" si="3"/>
        <v>Available</v>
      </c>
    </row>
    <row r="87" spans="1:18">
      <c r="A87" t="str">
        <f>TRIM(CLEAN(Raw_Data!A87))</f>
        <v>MEM0086</v>
      </c>
      <c r="B87" t="str">
        <f ca="1">TRIM(Raw_Data!B87)</f>
        <v>Nisha Reddy</v>
      </c>
      <c r="C87" t="str">
        <f ca="1">_xlfn.XLOOKUP(D87, Branch_Master!A:A, Branch_Master!B:B)</f>
        <v>Kochi</v>
      </c>
      <c r="D87" t="str">
        <f ca="1">TRIM(Raw_Data!D87)</f>
        <v>BR01</v>
      </c>
      <c r="E87" t="str">
        <f ca="1">PROPER(TRIM(Raw_Data!E87))</f>
        <v>Premium</v>
      </c>
      <c r="F87" s="2">
        <f>IFERROR(DATEVALUE(Raw_Data!F87), Raw_Data!F87)</f>
        <v>45938</v>
      </c>
      <c r="G87" s="2">
        <f>IFERROR(
    IF(
        IFERROR(DATEVALUE(Raw_Data!G87), Raw_Data!G87) &lt;
        IFERROR(DATEVALUE(Raw_Data!F87), Raw_Data!F87),
        IFERROR(DATEVALUE(Raw_Data!F87), Raw_Data!F87) + 30,
        IFERROR(DATEVALUE(Raw_Data!G87), Raw_Data!G87)
    ),
    ""
)</f>
        <v>46028</v>
      </c>
      <c r="H87">
        <f>IFERROR(VALUE(Raw_Data!H87), "")</f>
        <v>2000</v>
      </c>
      <c r="I87">
        <f ca="1">IFERROR(VALUE(Raw_Data!I87), "")</f>
        <v>12000</v>
      </c>
      <c r="J87">
        <f>IFERROR(
    VALUE(SUBSTITUTE(Raw_Data!J87," visits","")),
    ""
)</f>
        <v>25</v>
      </c>
      <c r="K87" t="str">
        <f ca="1">IF(TRIM(Raw_Data!K87)="","No",PROPER(TRIM(Raw_Data!K87)))</f>
        <v>No</v>
      </c>
      <c r="L87" t="str">
        <f ca="1">PROPER(TRIM(Raw_Data!L87))</f>
        <v>Muscle Gain</v>
      </c>
      <c r="M87" t="s">
        <v>151</v>
      </c>
      <c r="N87" s="2">
        <f>IFERROR(DATEVALUE(Raw_Data!N87), Raw_Data!N87)</f>
        <v>45944</v>
      </c>
      <c r="O87" s="2"/>
      <c r="P87" t="str">
        <f>IF(COUNTIF($A$2:A87,A87)&gt;1,"Duplicate","Unique")</f>
        <v>Unique</v>
      </c>
      <c r="Q87" t="str">
        <f t="shared" si="2"/>
        <v>OK</v>
      </c>
      <c r="R87" t="str">
        <f t="shared" si="3"/>
        <v>Available</v>
      </c>
    </row>
    <row r="88" spans="1:18">
      <c r="A88" t="str">
        <f>TRIM(CLEAN(Raw_Data!A88))</f>
        <v>MEM0087</v>
      </c>
      <c r="B88" t="str">
        <f ca="1">TRIM(Raw_Data!B88)</f>
        <v>Kavya Iyer</v>
      </c>
      <c r="C88" t="str">
        <f ca="1">_xlfn.XLOOKUP(D88, Branch_Master!A:A, Branch_Master!B:B)</f>
        <v>Trivandrum</v>
      </c>
      <c r="D88" t="str">
        <f ca="1">TRIM(Raw_Data!D88)</f>
        <v>BR06</v>
      </c>
      <c r="E88" t="str">
        <f ca="1">PROPER(TRIM(Raw_Data!E88))</f>
        <v>Premium</v>
      </c>
      <c r="F88" s="2">
        <f>IFERROR(DATEVALUE(Raw_Data!F88), Raw_Data!F88)</f>
        <v>45087</v>
      </c>
      <c r="G88" s="2">
        <f>IFERROR(
    IF(
        IFERROR(DATEVALUE(Raw_Data!G88), Raw_Data!G88) &lt;
        IFERROR(DATEVALUE(Raw_Data!F88), Raw_Data!F88),
        IFERROR(DATEVALUE(Raw_Data!F88), Raw_Data!F88) + 30,
        IFERROR(DATEVALUE(Raw_Data!G88), Raw_Data!G88)
    ),
    ""
)</f>
        <v>45117</v>
      </c>
      <c r="H88">
        <f>IFERROR(VALUE(Raw_Data!H88), "")</f>
        <v>1000</v>
      </c>
      <c r="I88">
        <f ca="1">IFERROR(VALUE(Raw_Data!I88), "")</f>
        <v>1000</v>
      </c>
      <c r="J88">
        <f>IFERROR(
    VALUE(SUBSTITUTE(Raw_Data!J88," visits","")),
    ""
)</f>
        <v>18</v>
      </c>
      <c r="K88" t="str">
        <f ca="1">IF(TRIM(Raw_Data!K88)="","No",PROPER(TRIM(Raw_Data!K88)))</f>
        <v>Yes</v>
      </c>
      <c r="L88" t="str">
        <f ca="1">PROPER(TRIM(Raw_Data!L88))</f>
        <v>Weight Loss</v>
      </c>
      <c r="M88" t="s">
        <v>151</v>
      </c>
      <c r="N88" s="2">
        <f>IFERROR(DATEVALUE(Raw_Data!N88), Raw_Data!N88)</f>
        <v>45655</v>
      </c>
      <c r="O88" s="2"/>
      <c r="P88" t="str">
        <f>IF(COUNTIF($A$2:A88,A88)&gt;1,"Duplicate","Unique")</f>
        <v>Unique</v>
      </c>
      <c r="Q88" t="str">
        <f t="shared" si="2"/>
        <v>OK</v>
      </c>
      <c r="R88" t="str">
        <f t="shared" si="3"/>
        <v>Available</v>
      </c>
    </row>
    <row r="89" spans="1:18">
      <c r="A89" t="str">
        <f>TRIM(CLEAN(Raw_Data!A89))</f>
        <v>MEM0088</v>
      </c>
      <c r="B89" t="str">
        <f ca="1">TRIM(Raw_Data!B89)</f>
        <v>Anu Nambiar</v>
      </c>
      <c r="C89" t="str">
        <f ca="1">_xlfn.XLOOKUP(D89, Branch_Master!A:A, Branch_Master!B:B)</f>
        <v>Bangalore</v>
      </c>
      <c r="D89" t="str">
        <f ca="1">TRIM(Raw_Data!D89)</f>
        <v>BR02</v>
      </c>
      <c r="E89" t="str">
        <f ca="1">PROPER(TRIM(Raw_Data!E89))</f>
        <v>Premium</v>
      </c>
      <c r="F89" s="2">
        <f>IFERROR(DATEVALUE(Raw_Data!F89), Raw_Data!F89)</f>
        <v>45500</v>
      </c>
      <c r="G89" s="2">
        <f>IFERROR(
    IF(
        IFERROR(DATEVALUE(Raw_Data!G89), Raw_Data!G89) &lt;
        IFERROR(DATEVALUE(Raw_Data!F89), Raw_Data!F89),
        IFERROR(DATEVALUE(Raw_Data!F89), Raw_Data!F89) + 30,
        IFERROR(DATEVALUE(Raw_Data!G89), Raw_Data!G89)
    ),
    ""
)</f>
        <v>45865</v>
      </c>
      <c r="H89">
        <f>IFERROR(VALUE(Raw_Data!H89), "")</f>
        <v>2000</v>
      </c>
      <c r="I89">
        <f ca="1">IFERROR(VALUE(Raw_Data!I89), "")</f>
        <v>18000</v>
      </c>
      <c r="J89">
        <f>IFERROR(
    VALUE(SUBSTITUTE(Raw_Data!J89," visits","")),
    ""
)</f>
        <v>4</v>
      </c>
      <c r="K89" t="str">
        <f ca="1">IF(TRIM(Raw_Data!K89)="","No",PROPER(TRIM(Raw_Data!K89)))</f>
        <v>Yes</v>
      </c>
      <c r="L89" t="str">
        <f ca="1">PROPER(TRIM(Raw_Data!L89))</f>
        <v>Muscle Gain</v>
      </c>
      <c r="M89" t="s">
        <v>152</v>
      </c>
      <c r="N89" s="2">
        <f>IFERROR(DATEVALUE(Raw_Data!N89), Raw_Data!N89)</f>
        <v>45511</v>
      </c>
      <c r="O89" s="2"/>
      <c r="P89" t="str">
        <f>IF(COUNTIF($A$2:A89,A89)&gt;1,"Duplicate","Unique")</f>
        <v>Unique</v>
      </c>
      <c r="Q89" t="str">
        <f t="shared" si="2"/>
        <v>Cancelled but Active</v>
      </c>
      <c r="R89" t="str">
        <f t="shared" si="3"/>
        <v>Available</v>
      </c>
    </row>
    <row r="90" spans="1:18">
      <c r="A90" t="str">
        <f>TRIM(CLEAN(Raw_Data!A90))</f>
        <v>MEM0089</v>
      </c>
      <c r="B90" t="str">
        <f ca="1">TRIM(Raw_Data!B90)</f>
        <v>Ishita Nair</v>
      </c>
      <c r="C90" t="str">
        <f ca="1">_xlfn.XLOOKUP(D90, Branch_Master!A:A, Branch_Master!B:B)</f>
        <v>Chennai</v>
      </c>
      <c r="D90" t="str">
        <f ca="1">TRIM(Raw_Data!D90)</f>
        <v>BR03</v>
      </c>
      <c r="E90" t="str">
        <f ca="1">PROPER(TRIM(Raw_Data!E90))</f>
        <v>Premium</v>
      </c>
      <c r="F90" s="2">
        <f>IFERROR(DATEVALUE(Raw_Data!F90), Raw_Data!F90)</f>
        <v>45834</v>
      </c>
      <c r="G90" s="2">
        <f>IFERROR(
    IF(
        IFERROR(DATEVALUE(Raw_Data!G90), Raw_Data!G90) &lt;
        IFERROR(DATEVALUE(Raw_Data!F90), Raw_Data!F90),
        IFERROR(DATEVALUE(Raw_Data!F90), Raw_Data!F90) + 30,
        IFERROR(DATEVALUE(Raw_Data!G90), Raw_Data!G90)
    ),
    ""
)</f>
        <v>46199</v>
      </c>
      <c r="H90">
        <f>IFERROR(VALUE(Raw_Data!H90), "")</f>
        <v>2000</v>
      </c>
      <c r="I90">
        <f ca="1">IFERROR(VALUE(Raw_Data!I90), "")</f>
        <v>4000</v>
      </c>
      <c r="J90">
        <f>IFERROR(
    VALUE(SUBSTITUTE(Raw_Data!J90," visits","")),
    ""
)</f>
        <v>18</v>
      </c>
      <c r="K90" t="str">
        <f ca="1">IF(TRIM(Raw_Data!K90)="","No",PROPER(TRIM(Raw_Data!K90)))</f>
        <v>No</v>
      </c>
      <c r="L90" t="str">
        <f ca="1">PROPER(TRIM(Raw_Data!L90))</f>
        <v>Weight Loss</v>
      </c>
      <c r="M90" t="s">
        <v>151</v>
      </c>
      <c r="N90" s="2">
        <f>IFERROR(DATEVALUE(Raw_Data!N90), Raw_Data!N90)</f>
        <v>46099</v>
      </c>
      <c r="O90" s="2"/>
      <c r="P90" t="str">
        <f>IF(COUNTIF($A$2:A90,A90)&gt;1,"Duplicate","Unique")</f>
        <v>Unique</v>
      </c>
      <c r="Q90" t="str">
        <f t="shared" si="2"/>
        <v>OK</v>
      </c>
      <c r="R90" t="str">
        <f t="shared" si="3"/>
        <v>Available</v>
      </c>
    </row>
    <row r="91" spans="1:18">
      <c r="A91" t="str">
        <f>TRIM(CLEAN(Raw_Data!A91))</f>
        <v>MEM0090</v>
      </c>
      <c r="B91" t="str">
        <f ca="1">TRIM(Raw_Data!B91)</f>
        <v>Ankit Pillai</v>
      </c>
      <c r="C91" t="str">
        <f ca="1">_xlfn.XLOOKUP(D91, Branch_Master!A:A, Branch_Master!B:B)</f>
        <v>Kochi</v>
      </c>
      <c r="D91" t="str">
        <f ca="1">TRIM(Raw_Data!D91)</f>
        <v>BR01</v>
      </c>
      <c r="E91" t="str">
        <f ca="1">PROPER(TRIM(Raw_Data!E91))</f>
        <v>Basic</v>
      </c>
      <c r="F91" s="2">
        <f>IFERROR(DATEVALUE(Raw_Data!F91), Raw_Data!F91)</f>
        <v>45862</v>
      </c>
      <c r="G91" s="2">
        <f>IFERROR(
    IF(
        IFERROR(DATEVALUE(Raw_Data!G91), Raw_Data!G91) &lt;
        IFERROR(DATEVALUE(Raw_Data!F91), Raw_Data!F91),
        IFERROR(DATEVALUE(Raw_Data!F91), Raw_Data!F91) + 30,
        IFERROR(DATEVALUE(Raw_Data!G91), Raw_Data!G91)
    ),
    ""
)</f>
        <v>45952</v>
      </c>
      <c r="H91">
        <f>IFERROR(VALUE(Raw_Data!H91), "")</f>
        <v>3500</v>
      </c>
      <c r="I91">
        <f ca="1">IFERROR(VALUE(Raw_Data!I91), "")</f>
        <v>42000</v>
      </c>
      <c r="J91">
        <f>IFERROR(
    VALUE(SUBSTITUTE(Raw_Data!J91," visits","")),
    ""
)</f>
        <v>9</v>
      </c>
      <c r="K91" t="str">
        <f ca="1">IF(TRIM(Raw_Data!K91)="","No",PROPER(TRIM(Raw_Data!K91)))</f>
        <v>Yes</v>
      </c>
      <c r="L91" t="str">
        <f ca="1">PROPER(TRIM(Raw_Data!L91))</f>
        <v>Muscle Gain</v>
      </c>
      <c r="M91" t="s">
        <v>151</v>
      </c>
      <c r="N91" s="2">
        <f>IFERROR(DATEVALUE(Raw_Data!N91), Raw_Data!N91)</f>
        <v>45994</v>
      </c>
      <c r="O91" s="2"/>
      <c r="P91" t="str">
        <f>IF(COUNTIF($A$2:A91,A91)&gt;1,"Duplicate","Unique")</f>
        <v>Unique</v>
      </c>
      <c r="Q91" t="str">
        <f t="shared" si="2"/>
        <v>OK</v>
      </c>
      <c r="R91" t="str">
        <f t="shared" si="3"/>
        <v>Available</v>
      </c>
    </row>
    <row r="92" spans="1:18">
      <c r="A92" t="str">
        <f>TRIM(CLEAN(Raw_Data!A92))</f>
        <v>MEM0091</v>
      </c>
      <c r="B92" t="str">
        <f ca="1">TRIM(Raw_Data!B92)</f>
        <v>Tanvi Singh</v>
      </c>
      <c r="C92" t="str">
        <f ca="1">_xlfn.XLOOKUP(D92, Branch_Master!A:A, Branch_Master!B:B)</f>
        <v>Kochi</v>
      </c>
      <c r="D92" t="str">
        <f ca="1">TRIM(Raw_Data!D92)</f>
        <v>BR01</v>
      </c>
      <c r="E92" t="str">
        <f ca="1">PROPER(TRIM(Raw_Data!E92))</f>
        <v>Basic</v>
      </c>
      <c r="F92" s="2">
        <f>IFERROR(DATEVALUE(Raw_Data!F92), Raw_Data!F92)</f>
        <v>45869</v>
      </c>
      <c r="G92" s="2">
        <f>IFERROR(
    IF(
        IFERROR(DATEVALUE(Raw_Data!G92), Raw_Data!G92) &lt;
        IFERROR(DATEVALUE(Raw_Data!F92), Raw_Data!F92),
        IFERROR(DATEVALUE(Raw_Data!F92), Raw_Data!F92) + 30,
        IFERROR(DATEVALUE(Raw_Data!G92), Raw_Data!G92)
    ),
    ""
)</f>
        <v>45959</v>
      </c>
      <c r="H92">
        <f>IFERROR(VALUE(Raw_Data!H92), "")</f>
        <v>1000</v>
      </c>
      <c r="I92">
        <f ca="1">IFERROR(VALUE(Raw_Data!I92), "")</f>
        <v>8000</v>
      </c>
      <c r="J92">
        <f>IFERROR(
    VALUE(SUBSTITUTE(Raw_Data!J92," visits","")),
    ""
)</f>
        <v>1</v>
      </c>
      <c r="K92" t="str">
        <f ca="1">IF(TRIM(Raw_Data!K92)="","No",PROPER(TRIM(Raw_Data!K92)))</f>
        <v>Yes</v>
      </c>
      <c r="L92" t="str">
        <f ca="1">PROPER(TRIM(Raw_Data!L92))</f>
        <v>Weight Loss</v>
      </c>
      <c r="M92" t="s">
        <v>152</v>
      </c>
      <c r="N92" s="2">
        <f>IFERROR(DATEVALUE(Raw_Data!N92), Raw_Data!N92)</f>
        <v>45889</v>
      </c>
      <c r="O92" s="2"/>
      <c r="P92" t="str">
        <f>IF(COUNTIF($A$2:A92,A92)&gt;1,"Duplicate","Unique")</f>
        <v>Unique</v>
      </c>
      <c r="Q92" t="str">
        <f t="shared" si="2"/>
        <v>Cancelled but Active</v>
      </c>
      <c r="R92" t="str">
        <f t="shared" si="3"/>
        <v>Available</v>
      </c>
    </row>
    <row r="93" spans="1:18">
      <c r="A93" t="str">
        <f>TRIM(CLEAN(Raw_Data!A93))</f>
        <v>MEM0092</v>
      </c>
      <c r="B93" t="str">
        <f ca="1">TRIM(Raw_Data!B93)</f>
        <v>Ayesha Nambiar</v>
      </c>
      <c r="C93" t="str">
        <f ca="1">_xlfn.XLOOKUP(D93, Branch_Master!A:A, Branch_Master!B:B)</f>
        <v>Bangalore</v>
      </c>
      <c r="D93" t="str">
        <f ca="1">TRIM(Raw_Data!D93)</f>
        <v>BR02</v>
      </c>
      <c r="E93" t="str">
        <f ca="1">PROPER(TRIM(Raw_Data!E93))</f>
        <v>Premium</v>
      </c>
      <c r="F93" s="2">
        <f>IFERROR(DATEVALUE(Raw_Data!F93), Raw_Data!F93)</f>
        <v>45874</v>
      </c>
      <c r="G93" s="2">
        <f>IFERROR(
    IF(
        IFERROR(DATEVALUE(Raw_Data!G93), Raw_Data!G93) &lt;
        IFERROR(DATEVALUE(Raw_Data!F93), Raw_Data!F93),
        IFERROR(DATEVALUE(Raw_Data!F93), Raw_Data!F93) + 30,
        IFERROR(DATEVALUE(Raw_Data!G93), Raw_Data!G93)
    ),
    ""
)</f>
        <v>45904</v>
      </c>
      <c r="H93">
        <f>IFERROR(VALUE(Raw_Data!H93), "")</f>
        <v>3500</v>
      </c>
      <c r="I93">
        <f ca="1">IFERROR(VALUE(Raw_Data!I93), "")</f>
        <v>17500</v>
      </c>
      <c r="J93">
        <f>IFERROR(
    VALUE(SUBSTITUTE(Raw_Data!J93," visits","")),
    ""
)</f>
        <v>3</v>
      </c>
      <c r="K93" t="str">
        <f ca="1">IF(TRIM(Raw_Data!K93)="","No",PROPER(TRIM(Raw_Data!K93)))</f>
        <v>No</v>
      </c>
      <c r="L93" t="str">
        <f ca="1">PROPER(TRIM(Raw_Data!L93))</f>
        <v>Weight Loss</v>
      </c>
      <c r="M93" t="s">
        <v>152</v>
      </c>
      <c r="N93" s="2">
        <f>IFERROR(DATEVALUE(Raw_Data!N93), Raw_Data!N93)</f>
        <v>45910</v>
      </c>
      <c r="O93" s="2"/>
      <c r="P93" t="str">
        <f>IF(COUNTIF($A$2:A93,A93)&gt;1,"Duplicate","Unique")</f>
        <v>Unique</v>
      </c>
      <c r="Q93" t="str">
        <f t="shared" si="2"/>
        <v>Cancelled but Active</v>
      </c>
      <c r="R93" t="str">
        <f t="shared" si="3"/>
        <v>Available</v>
      </c>
    </row>
    <row r="94" spans="1:18">
      <c r="A94" t="str">
        <f>TRIM(CLEAN(Raw_Data!A94))</f>
        <v>MEM0093</v>
      </c>
      <c r="B94" t="str">
        <f ca="1">TRIM(Raw_Data!B94)</f>
        <v>Neha Shetty</v>
      </c>
      <c r="C94" t="str">
        <f ca="1">_xlfn.XLOOKUP(D94, Branch_Master!A:A, Branch_Master!B:B)</f>
        <v>Trivandrum</v>
      </c>
      <c r="D94" t="str">
        <f ca="1">TRIM(Raw_Data!D94)</f>
        <v>BR06</v>
      </c>
      <c r="E94" t="str">
        <f ca="1">PROPER(TRIM(Raw_Data!E94))</f>
        <v>Standard</v>
      </c>
      <c r="F94" s="2">
        <f>IFERROR(DATEVALUE(Raw_Data!F94), Raw_Data!F94)</f>
        <v>45277</v>
      </c>
      <c r="G94" s="2">
        <f>IFERROR(
    IF(
        IFERROR(DATEVALUE(Raw_Data!G94), Raw_Data!G94) &lt;
        IFERROR(DATEVALUE(Raw_Data!F94), Raw_Data!F94),
        IFERROR(DATEVALUE(Raw_Data!F94), Raw_Data!F94) + 30,
        IFERROR(DATEVALUE(Raw_Data!G94), Raw_Data!G94)
    ),
    ""
)</f>
        <v>45307</v>
      </c>
      <c r="H94">
        <f>IFERROR(VALUE(Raw_Data!H94), "")</f>
        <v>3500</v>
      </c>
      <c r="I94">
        <f ca="1">IFERROR(VALUE(Raw_Data!I94), "")</f>
        <v>38500</v>
      </c>
      <c r="J94">
        <f>IFERROR(
    VALUE(SUBSTITUTE(Raw_Data!J94," visits","")),
    ""
)</f>
        <v>15</v>
      </c>
      <c r="K94" t="str">
        <f ca="1">IF(TRIM(Raw_Data!K94)="","No",PROPER(TRIM(Raw_Data!K94)))</f>
        <v>No</v>
      </c>
      <c r="L94" t="str">
        <f ca="1">PROPER(TRIM(Raw_Data!L94))</f>
        <v>General Fitness</v>
      </c>
      <c r="M94" t="s">
        <v>151</v>
      </c>
      <c r="N94" s="2">
        <f>IFERROR(DATEVALUE(Raw_Data!N94), Raw_Data!N94)</f>
        <v>45927</v>
      </c>
      <c r="O94" s="2"/>
      <c r="P94" t="str">
        <f>IF(COUNTIF($A$2:A94,A94)&gt;1,"Duplicate","Unique")</f>
        <v>Unique</v>
      </c>
      <c r="Q94" t="str">
        <f t="shared" si="2"/>
        <v>OK</v>
      </c>
      <c r="R94" t="str">
        <f t="shared" si="3"/>
        <v>Available</v>
      </c>
    </row>
    <row r="95" spans="1:18">
      <c r="A95" t="str">
        <f>TRIM(CLEAN(Raw_Data!A95))</f>
        <v>MEM0094</v>
      </c>
      <c r="B95" t="str">
        <f ca="1">TRIM(Raw_Data!B95)</f>
        <v>Rohit Fernandes</v>
      </c>
      <c r="C95" t="str">
        <f ca="1">_xlfn.XLOOKUP(D95, Branch_Master!A:A, Branch_Master!B:B)</f>
        <v>Bangalore</v>
      </c>
      <c r="D95" t="str">
        <f ca="1">TRIM(Raw_Data!D95)</f>
        <v>BR02</v>
      </c>
      <c r="E95" t="str">
        <f ca="1">PROPER(TRIM(Raw_Data!E95))</f>
        <v>Basic</v>
      </c>
      <c r="F95" s="2">
        <f>IFERROR(DATEVALUE(Raw_Data!F95), Raw_Data!F95)</f>
        <v>45368</v>
      </c>
      <c r="G95" s="2">
        <f>IFERROR(
    IF(
        IFERROR(DATEVALUE(Raw_Data!G95), Raw_Data!G95) &lt;
        IFERROR(DATEVALUE(Raw_Data!F95), Raw_Data!F95),
        IFERROR(DATEVALUE(Raw_Data!F95), Raw_Data!F95) + 30,
        IFERROR(DATEVALUE(Raw_Data!G95), Raw_Data!G95)
    ),
    ""
)</f>
        <v>45398</v>
      </c>
      <c r="H95">
        <f>IFERROR(VALUE(Raw_Data!H95), "")</f>
        <v>2000</v>
      </c>
      <c r="I95">
        <f ca="1">IFERROR(VALUE(Raw_Data!I95), "")</f>
        <v>12000</v>
      </c>
      <c r="J95">
        <f>IFERROR(
    VALUE(SUBSTITUTE(Raw_Data!J95," visits","")),
    ""
)</f>
        <v>8</v>
      </c>
      <c r="K95" t="str">
        <f ca="1">IF(TRIM(Raw_Data!K95)="","No",PROPER(TRIM(Raw_Data!K95)))</f>
        <v>No</v>
      </c>
      <c r="L95" t="str">
        <f ca="1">PROPER(TRIM(Raw_Data!L95))</f>
        <v>Muscle Gain</v>
      </c>
      <c r="M95" t="s">
        <v>151</v>
      </c>
      <c r="N95" s="2">
        <f>IFERROR(DATEVALUE(Raw_Data!N95), Raw_Data!N95)</f>
        <v>45935</v>
      </c>
      <c r="O95" s="2"/>
      <c r="P95" t="str">
        <f>IF(COUNTIF($A$2:A95,A95)&gt;1,"Duplicate","Unique")</f>
        <v>Unique</v>
      </c>
      <c r="Q95" t="str">
        <f t="shared" si="2"/>
        <v>OK</v>
      </c>
      <c r="R95" t="str">
        <f t="shared" si="3"/>
        <v>Available</v>
      </c>
    </row>
    <row r="96" spans="1:18">
      <c r="A96" t="str">
        <f>TRIM(CLEAN(Raw_Data!A96))</f>
        <v>MEM0095</v>
      </c>
      <c r="B96" t="str">
        <f ca="1">TRIM(Raw_Data!B96)</f>
        <v>Meera Nambiar</v>
      </c>
      <c r="C96" t="str">
        <f ca="1">_xlfn.XLOOKUP(D96, Branch_Master!A:A, Branch_Master!B:B)</f>
        <v>Bangalore</v>
      </c>
      <c r="D96" t="str">
        <f ca="1">TRIM(Raw_Data!D96)</f>
        <v>BR02</v>
      </c>
      <c r="E96" t="str">
        <f ca="1">PROPER(TRIM(Raw_Data!E96))</f>
        <v>Basic</v>
      </c>
      <c r="F96" s="2">
        <f>IFERROR(DATEVALUE(Raw_Data!F96), Raw_Data!F96)</f>
        <v>45366</v>
      </c>
      <c r="G96" s="2">
        <f>IFERROR(
    IF(
        IFERROR(DATEVALUE(Raw_Data!G96), Raw_Data!G96) &lt;
        IFERROR(DATEVALUE(Raw_Data!F96), Raw_Data!F96),
        IFERROR(DATEVALUE(Raw_Data!F96), Raw_Data!F96) + 30,
        IFERROR(DATEVALUE(Raw_Data!G96), Raw_Data!G96)
    ),
    ""
)</f>
        <v>45396</v>
      </c>
      <c r="H96">
        <f>IFERROR(VALUE(Raw_Data!H96), "")</f>
        <v>2000</v>
      </c>
      <c r="I96">
        <f ca="1">IFERROR(VALUE(Raw_Data!I96), "")</f>
        <v>10000</v>
      </c>
      <c r="J96">
        <f>IFERROR(
    VALUE(SUBSTITUTE(Raw_Data!J96," visits","")),
    ""
)</f>
        <v>24</v>
      </c>
      <c r="K96" t="str">
        <f ca="1">IF(TRIM(Raw_Data!K96)="","No",PROPER(TRIM(Raw_Data!K96)))</f>
        <v>No</v>
      </c>
      <c r="L96" t="str">
        <f ca="1">PROPER(TRIM(Raw_Data!L96))</f>
        <v>Muscle Gain</v>
      </c>
      <c r="M96" t="s">
        <v>151</v>
      </c>
      <c r="N96" s="2">
        <f>IFERROR(DATEVALUE(Raw_Data!N96), Raw_Data!N96)</f>
        <v>45820</v>
      </c>
      <c r="O96" s="2"/>
      <c r="P96" t="str">
        <f>IF(COUNTIF($A$2:A96,A96)&gt;1,"Duplicate","Unique")</f>
        <v>Unique</v>
      </c>
      <c r="Q96" t="str">
        <f t="shared" si="2"/>
        <v>OK</v>
      </c>
      <c r="R96" t="str">
        <f t="shared" si="3"/>
        <v>Available</v>
      </c>
    </row>
    <row r="97" spans="1:18">
      <c r="A97" t="str">
        <f>TRIM(CLEAN(Raw_Data!A97))</f>
        <v>MEM0096</v>
      </c>
      <c r="B97" t="str">
        <f ca="1">TRIM(Raw_Data!B97)</f>
        <v>Nikhil Kulkarni</v>
      </c>
      <c r="C97" t="str">
        <f ca="1">_xlfn.XLOOKUP(D97, Branch_Master!A:A, Branch_Master!B:B)</f>
        <v>Bangalore</v>
      </c>
      <c r="D97" t="str">
        <f ca="1">TRIM(Raw_Data!D97)</f>
        <v>BR02</v>
      </c>
      <c r="E97" t="str">
        <f ca="1">PROPER(TRIM(Raw_Data!E97))</f>
        <v>Basic</v>
      </c>
      <c r="F97" s="2">
        <f>IFERROR(DATEVALUE(Raw_Data!F97), Raw_Data!F97)</f>
        <v>45780</v>
      </c>
      <c r="G97" s="2">
        <f>IFERROR(
    IF(
        IFERROR(DATEVALUE(Raw_Data!G97), Raw_Data!G97) &lt;
        IFERROR(DATEVALUE(Raw_Data!F97), Raw_Data!F97),
        IFERROR(DATEVALUE(Raw_Data!F97), Raw_Data!F97) + 30,
        IFERROR(DATEVALUE(Raw_Data!G97), Raw_Data!G97)
    ),
    ""
)</f>
        <v>45810</v>
      </c>
      <c r="H97">
        <f>IFERROR(VALUE(Raw_Data!H97), "")</f>
        <v>2000</v>
      </c>
      <c r="I97">
        <f ca="1">IFERROR(VALUE(Raw_Data!I97), "")</f>
        <v>8000</v>
      </c>
      <c r="J97">
        <f>IFERROR(
    VALUE(SUBSTITUTE(Raw_Data!J97," visits","")),
    ""
)</f>
        <v>5</v>
      </c>
      <c r="K97" t="str">
        <f ca="1">IF(TRIM(Raw_Data!K97)="","No",PROPER(TRIM(Raw_Data!K97)))</f>
        <v>Yes</v>
      </c>
      <c r="L97" t="str">
        <f ca="1">PROPER(TRIM(Raw_Data!L97))</f>
        <v>Weight Loss</v>
      </c>
      <c r="M97" t="s">
        <v>151</v>
      </c>
      <c r="N97" s="2">
        <f>IFERROR(DATEVALUE(Raw_Data!N97), Raw_Data!N97)</f>
        <v>45909</v>
      </c>
      <c r="O97" s="2"/>
      <c r="P97" t="str">
        <f>IF(COUNTIF($A$2:A97,A97)&gt;1,"Duplicate","Unique")</f>
        <v>Unique</v>
      </c>
      <c r="Q97" t="str">
        <f t="shared" si="2"/>
        <v>OK</v>
      </c>
      <c r="R97" t="str">
        <f t="shared" si="3"/>
        <v>Available</v>
      </c>
    </row>
    <row r="98" spans="1:18">
      <c r="A98" t="str">
        <f>TRIM(CLEAN(Raw_Data!A98))</f>
        <v>MEM0097</v>
      </c>
      <c r="B98" t="str">
        <f ca="1">TRIM(Raw_Data!B98)</f>
        <v>Neha Iyer</v>
      </c>
      <c r="C98" t="str">
        <f ca="1">_xlfn.XLOOKUP(D98, Branch_Master!A:A, Branch_Master!B:B)</f>
        <v>Calicut</v>
      </c>
      <c r="D98" t="str">
        <f ca="1">TRIM(Raw_Data!D98)</f>
        <v>BR07</v>
      </c>
      <c r="E98" t="str">
        <f ca="1">PROPER(TRIM(Raw_Data!E98))</f>
        <v>Standard</v>
      </c>
      <c r="F98" s="2">
        <f>IFERROR(DATEVALUE(Raw_Data!F98), Raw_Data!F98)</f>
        <v>45176</v>
      </c>
      <c r="G98" s="2">
        <f>IFERROR(
    IF(
        IFERROR(DATEVALUE(Raw_Data!G98), Raw_Data!G98) &lt;
        IFERROR(DATEVALUE(Raw_Data!F98), Raw_Data!F98),
        IFERROR(DATEVALUE(Raw_Data!F98), Raw_Data!F98) + 30,
        IFERROR(DATEVALUE(Raw_Data!G98), Raw_Data!G98)
    ),
    ""
)</f>
        <v>45541</v>
      </c>
      <c r="H98">
        <f>IFERROR(VALUE(Raw_Data!H98), "")</f>
        <v>1000</v>
      </c>
      <c r="I98">
        <f ca="1">IFERROR(VALUE(Raw_Data!I98), "")</f>
        <v>4000</v>
      </c>
      <c r="J98">
        <f>IFERROR(
    VALUE(SUBSTITUTE(Raw_Data!J98," visits","")),
    ""
)</f>
        <v>3</v>
      </c>
      <c r="K98" t="str">
        <f ca="1">IF(TRIM(Raw_Data!K98)="","No",PROPER(TRIM(Raw_Data!K98)))</f>
        <v>Yes</v>
      </c>
      <c r="L98" t="str">
        <f ca="1">PROPER(TRIM(Raw_Data!L98))</f>
        <v>General Fitness</v>
      </c>
      <c r="M98" t="s">
        <v>152</v>
      </c>
      <c r="N98" s="2">
        <f>IFERROR(DATEVALUE(Raw_Data!N98), Raw_Data!N98)</f>
        <v>45685</v>
      </c>
      <c r="O98" s="2"/>
      <c r="P98" t="str">
        <f>IF(COUNTIF($A$2:A98,A98)&gt;1,"Duplicate","Unique")</f>
        <v>Unique</v>
      </c>
      <c r="Q98" t="str">
        <f t="shared" si="2"/>
        <v>Cancelled but Active</v>
      </c>
      <c r="R98" t="str">
        <f t="shared" si="3"/>
        <v>Available</v>
      </c>
    </row>
    <row r="99" spans="1:18">
      <c r="A99" t="str">
        <f>TRIM(CLEAN(Raw_Data!A99))</f>
        <v>MEM0098</v>
      </c>
      <c r="B99" t="str">
        <f ca="1">TRIM(Raw_Data!B99)</f>
        <v>Sneha Kulkarni</v>
      </c>
      <c r="C99" t="str">
        <f ca="1">_xlfn.XLOOKUP(D99, Branch_Master!A:A, Branch_Master!B:B)</f>
        <v>Mumbai</v>
      </c>
      <c r="D99" t="str">
        <f ca="1">TRIM(Raw_Data!D99)</f>
        <v>BR05</v>
      </c>
      <c r="E99" t="str">
        <f ca="1">PROPER(TRIM(Raw_Data!E99))</f>
        <v>Basic</v>
      </c>
      <c r="F99" s="2">
        <f>IFERROR(DATEVALUE(Raw_Data!F99), Raw_Data!F99)</f>
        <v>45747</v>
      </c>
      <c r="G99" s="2">
        <f>IFERROR(
    IF(
        IFERROR(DATEVALUE(Raw_Data!G99), Raw_Data!G99) &lt;
        IFERROR(DATEVALUE(Raw_Data!F99), Raw_Data!F99),
        IFERROR(DATEVALUE(Raw_Data!F99), Raw_Data!F99) + 30,
        IFERROR(DATEVALUE(Raw_Data!G99), Raw_Data!G99)
    ),
    ""
)</f>
        <v>45837</v>
      </c>
      <c r="H99">
        <f>IFERROR(VALUE(Raw_Data!H99), "")</f>
        <v>1000</v>
      </c>
      <c r="I99">
        <f ca="1">IFERROR(VALUE(Raw_Data!I99), "")</f>
        <v>2000</v>
      </c>
      <c r="J99">
        <f>IFERROR(
    VALUE(SUBSTITUTE(Raw_Data!J99," visits","")),
    ""
)</f>
        <v>11</v>
      </c>
      <c r="K99" t="str">
        <f ca="1">IF(TRIM(Raw_Data!K99)="","No",PROPER(TRIM(Raw_Data!K99)))</f>
        <v>No</v>
      </c>
      <c r="L99" t="str">
        <f ca="1">PROPER(TRIM(Raw_Data!L99))</f>
        <v>Weight Loss</v>
      </c>
      <c r="M99" t="s">
        <v>151</v>
      </c>
      <c r="N99" s="2">
        <f>IFERROR(DATEVALUE(Raw_Data!N99), Raw_Data!N99)</f>
        <v>45942</v>
      </c>
      <c r="O99" s="2"/>
      <c r="P99" t="str">
        <f>IF(COUNTIF($A$2:A99,A99)&gt;1,"Duplicate","Unique")</f>
        <v>Unique</v>
      </c>
      <c r="Q99" t="str">
        <f t="shared" si="2"/>
        <v>OK</v>
      </c>
      <c r="R99" t="str">
        <f t="shared" si="3"/>
        <v>Available</v>
      </c>
    </row>
    <row r="100" spans="1:18">
      <c r="A100" t="str">
        <f>TRIM(CLEAN(Raw_Data!A100))</f>
        <v>MEM0099</v>
      </c>
      <c r="B100" t="str">
        <f ca="1">TRIM(Raw_Data!B100)</f>
        <v>Priya Khan</v>
      </c>
      <c r="C100" t="str">
        <f ca="1">_xlfn.XLOOKUP(D100, Branch_Master!A:A, Branch_Master!B:B)</f>
        <v>Trivandrum</v>
      </c>
      <c r="D100" t="str">
        <f ca="1">TRIM(Raw_Data!D100)</f>
        <v>BR06</v>
      </c>
      <c r="E100" t="str">
        <f ca="1">PROPER(TRIM(Raw_Data!E100))</f>
        <v>Premium</v>
      </c>
      <c r="F100" s="2">
        <f>IFERROR(DATEVALUE(Raw_Data!F100), Raw_Data!F100)</f>
        <v>45393</v>
      </c>
      <c r="G100" s="2">
        <f>IFERROR(
    IF(
        IFERROR(DATEVALUE(Raw_Data!G100), Raw_Data!G100) &lt;
        IFERROR(DATEVALUE(Raw_Data!F100), Raw_Data!F100),
        IFERROR(DATEVALUE(Raw_Data!F100), Raw_Data!F100) + 30,
        IFERROR(DATEVALUE(Raw_Data!G100), Raw_Data!G100)
    ),
    ""
)</f>
        <v>45758</v>
      </c>
      <c r="H100">
        <f>IFERROR(VALUE(Raw_Data!H100), "")</f>
        <v>3500</v>
      </c>
      <c r="I100">
        <f ca="1">IFERROR(VALUE(Raw_Data!I100), "")</f>
        <v>38500</v>
      </c>
      <c r="J100">
        <f>IFERROR(
    VALUE(SUBSTITUTE(Raw_Data!J100," visits","")),
    ""
)</f>
        <v>2</v>
      </c>
      <c r="K100" t="str">
        <f ca="1">IF(TRIM(Raw_Data!K100)="","No",PROPER(TRIM(Raw_Data!K100)))</f>
        <v>Yes</v>
      </c>
      <c r="L100" t="str">
        <f ca="1">PROPER(TRIM(Raw_Data!L100))</f>
        <v>Muscle Gain</v>
      </c>
      <c r="M100" t="s">
        <v>152</v>
      </c>
      <c r="N100" s="2">
        <f>IFERROR(DATEVALUE(Raw_Data!N100), Raw_Data!N100)</f>
        <v>45429</v>
      </c>
      <c r="O100" s="2"/>
      <c r="P100" t="str">
        <f>IF(COUNTIF($A$2:A100,A100)&gt;1,"Duplicate","Unique")</f>
        <v>Unique</v>
      </c>
      <c r="Q100" t="str">
        <f t="shared" si="2"/>
        <v>Cancelled but Active</v>
      </c>
      <c r="R100" t="str">
        <f t="shared" si="3"/>
        <v>Available</v>
      </c>
    </row>
    <row r="101" spans="1:18">
      <c r="A101" t="str">
        <f>TRIM(CLEAN(Raw_Data!A101))</f>
        <v>MEM0100</v>
      </c>
      <c r="B101" t="str">
        <f ca="1">TRIM(Raw_Data!B101)</f>
        <v>Deepak Das</v>
      </c>
      <c r="C101" t="str">
        <f ca="1">_xlfn.XLOOKUP(D101, Branch_Master!A:A, Branch_Master!B:B)</f>
        <v>Kochi</v>
      </c>
      <c r="D101" t="str">
        <f ca="1">TRIM(Raw_Data!D101)</f>
        <v>BR01</v>
      </c>
      <c r="E101" t="str">
        <f ca="1">PROPER(TRIM(Raw_Data!E101))</f>
        <v>Standard</v>
      </c>
      <c r="F101" s="2">
        <f>IFERROR(DATEVALUE(Raw_Data!F101), Raw_Data!F101)</f>
        <v>45387</v>
      </c>
      <c r="G101" s="2">
        <f>IFERROR(
    IF(
        IFERROR(DATEVALUE(Raw_Data!G101), Raw_Data!G101) &lt;
        IFERROR(DATEVALUE(Raw_Data!F101), Raw_Data!F101),
        IFERROR(DATEVALUE(Raw_Data!F101), Raw_Data!F101) + 30,
        IFERROR(DATEVALUE(Raw_Data!G101), Raw_Data!G101)
    ),
    ""
)</f>
        <v>45417</v>
      </c>
      <c r="H101">
        <f>IFERROR(VALUE(Raw_Data!H101), "")</f>
        <v>1000</v>
      </c>
      <c r="I101">
        <f ca="1">IFERROR(VALUE(Raw_Data!I101), "")</f>
        <v>6000</v>
      </c>
      <c r="J101">
        <f>IFERROR(
    VALUE(SUBSTITUTE(Raw_Data!J101," visits","")),
    ""
)</f>
        <v>14</v>
      </c>
      <c r="K101" t="str">
        <f ca="1">IF(TRIM(Raw_Data!K101)="","No",PROPER(TRIM(Raw_Data!K101)))</f>
        <v>No</v>
      </c>
      <c r="L101" t="str">
        <f ca="1">PROPER(TRIM(Raw_Data!L101))</f>
        <v>General Fitness</v>
      </c>
      <c r="M101" t="s">
        <v>151</v>
      </c>
      <c r="N101" s="2">
        <f>IFERROR(DATEVALUE(Raw_Data!N101), Raw_Data!N101)</f>
        <v>45536</v>
      </c>
      <c r="O101" s="2"/>
      <c r="P101" t="str">
        <f>IF(COUNTIF($A$2:A101,A101)&gt;1,"Duplicate","Unique")</f>
        <v>Unique</v>
      </c>
      <c r="Q101" t="str">
        <f t="shared" si="2"/>
        <v>OK</v>
      </c>
      <c r="R101" t="str">
        <f t="shared" si="3"/>
        <v>Available</v>
      </c>
    </row>
    <row r="102" spans="1:18">
      <c r="A102" t="str">
        <f>TRIM(CLEAN(Raw_Data!A102))</f>
        <v>MEM0101</v>
      </c>
      <c r="B102" t="str">
        <f ca="1">TRIM(Raw_Data!B102)</f>
        <v>Zara Sharma</v>
      </c>
      <c r="C102" t="str">
        <f ca="1">_xlfn.XLOOKUP(D102, Branch_Master!A:A, Branch_Master!B:B)</f>
        <v>Bangalore</v>
      </c>
      <c r="D102" t="str">
        <f ca="1">TRIM(Raw_Data!D102)</f>
        <v>BR02</v>
      </c>
      <c r="E102" t="str">
        <f ca="1">PROPER(TRIM(Raw_Data!E102))</f>
        <v>Standard</v>
      </c>
      <c r="F102" s="2">
        <f>IFERROR(DATEVALUE(Raw_Data!F102), Raw_Data!F102)</f>
        <v>44938</v>
      </c>
      <c r="G102" s="2">
        <f>IFERROR(
    IF(
        IFERROR(DATEVALUE(Raw_Data!G102), Raw_Data!G102) &lt;
        IFERROR(DATEVALUE(Raw_Data!F102), Raw_Data!F102),
        IFERROR(DATEVALUE(Raw_Data!F102), Raw_Data!F102) + 30,
        IFERROR(DATEVALUE(Raw_Data!G102), Raw_Data!G102)
    ),
    ""
)</f>
        <v>45303</v>
      </c>
      <c r="H102">
        <f>IFERROR(VALUE(Raw_Data!H102), "")</f>
        <v>2000</v>
      </c>
      <c r="I102">
        <f ca="1">IFERROR(VALUE(Raw_Data!I102), "")</f>
        <v>22000</v>
      </c>
      <c r="J102">
        <f>IFERROR(
    VALUE(SUBSTITUTE(Raw_Data!J102," visits","")),
    ""
)</f>
        <v>21</v>
      </c>
      <c r="K102" t="str">
        <f ca="1">IF(TRIM(Raw_Data!K102)="","No",PROPER(TRIM(Raw_Data!K102)))</f>
        <v>No</v>
      </c>
      <c r="L102" t="str">
        <f ca="1">PROPER(TRIM(Raw_Data!L102))</f>
        <v>Muscle Gain</v>
      </c>
      <c r="M102" t="s">
        <v>151</v>
      </c>
      <c r="N102" s="2">
        <f>IFERROR(DATEVALUE(Raw_Data!N102), Raw_Data!N102)</f>
        <v>45495</v>
      </c>
      <c r="O102" s="2"/>
      <c r="P102" t="str">
        <f>IF(COUNTIF($A$2:A102,A102)&gt;1,"Duplicate","Unique")</f>
        <v>Unique</v>
      </c>
      <c r="Q102" t="str">
        <f t="shared" si="2"/>
        <v>OK</v>
      </c>
      <c r="R102" t="str">
        <f t="shared" si="3"/>
        <v>Available</v>
      </c>
    </row>
    <row r="103" spans="1:18">
      <c r="A103" t="str">
        <f>TRIM(CLEAN(Raw_Data!A103))</f>
        <v>MEM0102</v>
      </c>
      <c r="B103" t="str">
        <f ca="1">TRIM(Raw_Data!B103)</f>
        <v>Lakshmi Iyer</v>
      </c>
      <c r="C103" t="str">
        <f ca="1">_xlfn.XLOOKUP(D103, Branch_Master!A:A, Branch_Master!B:B)</f>
        <v>Kochi</v>
      </c>
      <c r="D103" t="str">
        <f ca="1">TRIM(Raw_Data!D103)</f>
        <v>BR01</v>
      </c>
      <c r="E103" t="str">
        <f ca="1">PROPER(TRIM(Raw_Data!E103))</f>
        <v>Premium</v>
      </c>
      <c r="F103" s="2">
        <f>IFERROR(DATEVALUE(Raw_Data!F103), Raw_Data!F103)</f>
        <v>45278</v>
      </c>
      <c r="G103" s="2">
        <f>IFERROR(
    IF(
        IFERROR(DATEVALUE(Raw_Data!G103), Raw_Data!G103) &lt;
        IFERROR(DATEVALUE(Raw_Data!F103), Raw_Data!F103),
        IFERROR(DATEVALUE(Raw_Data!F103), Raw_Data!F103) + 30,
        IFERROR(DATEVALUE(Raw_Data!G103), Raw_Data!G103)
    ),
    ""
)</f>
        <v>45308</v>
      </c>
      <c r="H103">
        <f>IFERROR(VALUE(Raw_Data!H103), "")</f>
        <v>3500</v>
      </c>
      <c r="I103">
        <f ca="1">IFERROR(VALUE(Raw_Data!I103), "")</f>
        <v>10500</v>
      </c>
      <c r="J103">
        <f>IFERROR(
    VALUE(SUBSTITUTE(Raw_Data!J103," visits","")),
    ""
)</f>
        <v>12</v>
      </c>
      <c r="K103" t="str">
        <f ca="1">IF(TRIM(Raw_Data!K103)="","No",PROPER(TRIM(Raw_Data!K103)))</f>
        <v>No</v>
      </c>
      <c r="L103" t="str">
        <f ca="1">PROPER(TRIM(Raw_Data!L103))</f>
        <v>Weight Loss</v>
      </c>
      <c r="M103" t="s">
        <v>151</v>
      </c>
      <c r="N103" s="2">
        <f>IFERROR(DATEVALUE(Raw_Data!N103), Raw_Data!N103)</f>
        <v>45289</v>
      </c>
      <c r="O103" s="2"/>
      <c r="P103" t="str">
        <f>IF(COUNTIF($A$2:A103,A103)&gt;1,"Duplicate","Unique")</f>
        <v>Unique</v>
      </c>
      <c r="Q103" t="str">
        <f t="shared" si="2"/>
        <v>OK</v>
      </c>
      <c r="R103" t="str">
        <f t="shared" si="3"/>
        <v>Available</v>
      </c>
    </row>
    <row r="104" spans="1:18">
      <c r="A104" t="str">
        <f>TRIM(CLEAN(Raw_Data!A104))</f>
        <v>MEM0103</v>
      </c>
      <c r="B104" t="str">
        <f ca="1">TRIM(Raw_Data!B104)</f>
        <v>Karthik Malhotra</v>
      </c>
      <c r="C104" t="str">
        <f ca="1">_xlfn.XLOOKUP(D104, Branch_Master!A:A, Branch_Master!B:B)</f>
        <v>Kochi</v>
      </c>
      <c r="D104" t="str">
        <f ca="1">TRIM(Raw_Data!D104)</f>
        <v>BR01</v>
      </c>
      <c r="E104" t="str">
        <f ca="1">PROPER(TRIM(Raw_Data!E104))</f>
        <v>Premium</v>
      </c>
      <c r="F104" s="2">
        <f>IFERROR(DATEVALUE(Raw_Data!F104), Raw_Data!F104)</f>
        <v>45778</v>
      </c>
      <c r="G104" s="2">
        <f>IFERROR(
    IF(
        IFERROR(DATEVALUE(Raw_Data!G104), Raw_Data!G104) &lt;
        IFERROR(DATEVALUE(Raw_Data!F104), Raw_Data!F104),
        IFERROR(DATEVALUE(Raw_Data!F104), Raw_Data!F104) + 30,
        IFERROR(DATEVALUE(Raw_Data!G104), Raw_Data!G104)
    ),
    ""
)</f>
        <v>46143</v>
      </c>
      <c r="H104">
        <f>IFERROR(VALUE(Raw_Data!H104), "")</f>
        <v>1000</v>
      </c>
      <c r="I104">
        <f ca="1">IFERROR(VALUE(Raw_Data!I104), "")</f>
        <v>11000</v>
      </c>
      <c r="J104">
        <f>IFERROR(
    VALUE(SUBSTITUTE(Raw_Data!J104," visits","")),
    ""
)</f>
        <v>25</v>
      </c>
      <c r="K104" t="str">
        <f ca="1">IF(TRIM(Raw_Data!K104)="","No",PROPER(TRIM(Raw_Data!K104)))</f>
        <v>No</v>
      </c>
      <c r="L104" t="str">
        <f ca="1">PROPER(TRIM(Raw_Data!L104))</f>
        <v>Muscle Gain</v>
      </c>
      <c r="M104" t="s">
        <v>151</v>
      </c>
      <c r="N104" s="2">
        <f>IFERROR(DATEVALUE(Raw_Data!N104), Raw_Data!N104)</f>
        <v>45958</v>
      </c>
      <c r="O104" s="2"/>
      <c r="P104" t="str">
        <f>IF(COUNTIF($A$2:A104,A104)&gt;1,"Duplicate","Unique")</f>
        <v>Unique</v>
      </c>
      <c r="Q104" t="str">
        <f t="shared" si="2"/>
        <v>OK</v>
      </c>
      <c r="R104" t="str">
        <f t="shared" si="3"/>
        <v>Available</v>
      </c>
    </row>
    <row r="105" spans="1:18">
      <c r="A105" t="str">
        <f>TRIM(CLEAN(Raw_Data!A105))</f>
        <v>MEM0104</v>
      </c>
      <c r="B105" t="str">
        <f ca="1">TRIM(Raw_Data!B105)</f>
        <v>Fatima Varghese</v>
      </c>
      <c r="C105" t="str">
        <f ca="1">_xlfn.XLOOKUP(D105, Branch_Master!A:A, Branch_Master!B:B)</f>
        <v>Bangalore</v>
      </c>
      <c r="D105" t="str">
        <f ca="1">TRIM(Raw_Data!D105)</f>
        <v>BR02</v>
      </c>
      <c r="E105" t="str">
        <f ca="1">PROPER(TRIM(Raw_Data!E105))</f>
        <v>Basic</v>
      </c>
      <c r="F105" s="2">
        <f>IFERROR(DATEVALUE(Raw_Data!F105), Raw_Data!F105)</f>
        <v>45459</v>
      </c>
      <c r="G105" s="2">
        <f>IFERROR(
    IF(
        IFERROR(DATEVALUE(Raw_Data!G105), Raw_Data!G105) &lt;
        IFERROR(DATEVALUE(Raw_Data!F105), Raw_Data!F105),
        IFERROR(DATEVALUE(Raw_Data!F105), Raw_Data!F105) + 30,
        IFERROR(DATEVALUE(Raw_Data!G105), Raw_Data!G105)
    ),
    ""
)</f>
        <v>45824</v>
      </c>
      <c r="H105">
        <f>IFERROR(VALUE(Raw_Data!H105), "")</f>
        <v>3500</v>
      </c>
      <c r="I105">
        <f ca="1">IFERROR(VALUE(Raw_Data!I105), "")</f>
        <v>35000</v>
      </c>
      <c r="J105">
        <f>IFERROR(
    VALUE(SUBSTITUTE(Raw_Data!J105," visits","")),
    ""
)</f>
        <v>13</v>
      </c>
      <c r="K105" t="str">
        <f ca="1">IF(TRIM(Raw_Data!K105)="","No",PROPER(TRIM(Raw_Data!K105)))</f>
        <v>No</v>
      </c>
      <c r="L105" t="str">
        <f ca="1">PROPER(TRIM(Raw_Data!L105))</f>
        <v>General Fitness</v>
      </c>
      <c r="M105" t="s">
        <v>151</v>
      </c>
      <c r="N105" s="2">
        <f>IFERROR(DATEVALUE(Raw_Data!N105), Raw_Data!N105)</f>
        <v>45849</v>
      </c>
      <c r="O105" s="2"/>
      <c r="P105" t="str">
        <f>IF(COUNTIF($A$2:A105,A105)&gt;1,"Duplicate","Unique")</f>
        <v>Unique</v>
      </c>
      <c r="Q105" t="str">
        <f t="shared" si="2"/>
        <v>OK</v>
      </c>
      <c r="R105" t="str">
        <f t="shared" si="3"/>
        <v>Available</v>
      </c>
    </row>
    <row r="106" spans="1:18">
      <c r="A106" t="str">
        <f>TRIM(CLEAN(Raw_Data!A106))</f>
        <v>MEM0105</v>
      </c>
      <c r="B106" t="str">
        <f ca="1">TRIM(Raw_Data!B106)</f>
        <v>Arjun Gupta</v>
      </c>
      <c r="C106" t="str">
        <f ca="1">_xlfn.XLOOKUP(D106, Branch_Master!A:A, Branch_Master!B:B)</f>
        <v>Bangalore</v>
      </c>
      <c r="D106" t="str">
        <f ca="1">TRIM(Raw_Data!D106)</f>
        <v>BR02</v>
      </c>
      <c r="E106" t="str">
        <f ca="1">PROPER(TRIM(Raw_Data!E106))</f>
        <v>Basic</v>
      </c>
      <c r="F106" s="2">
        <f>IFERROR(DATEVALUE(Raw_Data!F106), Raw_Data!F106)</f>
        <v>44984</v>
      </c>
      <c r="G106" s="2">
        <f>IFERROR(
    IF(
        IFERROR(DATEVALUE(Raw_Data!G106), Raw_Data!G106) &lt;
        IFERROR(DATEVALUE(Raw_Data!F106), Raw_Data!F106),
        IFERROR(DATEVALUE(Raw_Data!F106), Raw_Data!F106) + 30,
        IFERROR(DATEVALUE(Raw_Data!G106), Raw_Data!G106)
    ),
    ""
)</f>
        <v>45014</v>
      </c>
      <c r="H106">
        <f>IFERROR(VALUE(Raw_Data!H106), "")</f>
        <v>2000</v>
      </c>
      <c r="I106">
        <f ca="1">IFERROR(VALUE(Raw_Data!I106), "")</f>
        <v>22000</v>
      </c>
      <c r="J106">
        <f>IFERROR(
    VALUE(SUBSTITUTE(Raw_Data!J106," visits","")),
    ""
)</f>
        <v>22</v>
      </c>
      <c r="K106" t="str">
        <f ca="1">IF(TRIM(Raw_Data!K106)="","No",PROPER(TRIM(Raw_Data!K106)))</f>
        <v>Yes</v>
      </c>
      <c r="L106" t="str">
        <f ca="1">PROPER(TRIM(Raw_Data!L106))</f>
        <v>General Fitness</v>
      </c>
      <c r="M106" t="s">
        <v>151</v>
      </c>
      <c r="N106" s="2">
        <f>IFERROR(DATEVALUE(Raw_Data!N106), Raw_Data!N106)</f>
        <v>45653</v>
      </c>
      <c r="O106" s="2"/>
      <c r="P106" t="str">
        <f>IF(COUNTIF($A$2:A106,A106)&gt;1,"Duplicate","Unique")</f>
        <v>Unique</v>
      </c>
      <c r="Q106" t="str">
        <f t="shared" si="2"/>
        <v>OK</v>
      </c>
      <c r="R106" t="str">
        <f t="shared" si="3"/>
        <v>Available</v>
      </c>
    </row>
    <row r="107" spans="1:18">
      <c r="A107" t="str">
        <f>TRIM(CLEAN(Raw_Data!A107))</f>
        <v>MEM0106</v>
      </c>
      <c r="B107" t="str">
        <f ca="1">TRIM(Raw_Data!B107)</f>
        <v>Anjali Patel</v>
      </c>
      <c r="C107" t="str">
        <f ca="1">_xlfn.XLOOKUP(D107, Branch_Master!A:A, Branch_Master!B:B)</f>
        <v>Bangalore</v>
      </c>
      <c r="D107" t="str">
        <f ca="1">TRIM(Raw_Data!D107)</f>
        <v>BR02</v>
      </c>
      <c r="E107" t="str">
        <f ca="1">PROPER(TRIM(Raw_Data!E107))</f>
        <v>Basic</v>
      </c>
      <c r="F107" s="2">
        <f>IFERROR(DATEVALUE(Raw_Data!F107), Raw_Data!F107)</f>
        <v>45369</v>
      </c>
      <c r="G107" s="2">
        <f>IFERROR(
    IF(
        IFERROR(DATEVALUE(Raw_Data!G107), Raw_Data!G107) &lt;
        IFERROR(DATEVALUE(Raw_Data!F107), Raw_Data!F107),
        IFERROR(DATEVALUE(Raw_Data!F107), Raw_Data!F107) + 30,
        IFERROR(DATEVALUE(Raw_Data!G107), Raw_Data!G107)
    ),
    ""
)</f>
        <v>45734</v>
      </c>
      <c r="H107">
        <f>IFERROR(VALUE(Raw_Data!H107), "")</f>
        <v>1000</v>
      </c>
      <c r="I107">
        <f ca="1">IFERROR(VALUE(Raw_Data!I107), "")</f>
        <v>2000</v>
      </c>
      <c r="J107">
        <f>IFERROR(
    VALUE(SUBSTITUTE(Raw_Data!J107," visits","")),
    ""
)</f>
        <v>8</v>
      </c>
      <c r="K107" t="str">
        <f ca="1">IF(TRIM(Raw_Data!K107)="","No",PROPER(TRIM(Raw_Data!K107)))</f>
        <v>Yes</v>
      </c>
      <c r="L107" t="str">
        <f ca="1">PROPER(TRIM(Raw_Data!L107))</f>
        <v>Muscle Gain</v>
      </c>
      <c r="M107" t="s">
        <v>151</v>
      </c>
      <c r="N107" s="2">
        <f>IFERROR(DATEVALUE(Raw_Data!N107), Raw_Data!N107)</f>
        <v>45447</v>
      </c>
      <c r="O107" s="2"/>
      <c r="P107" t="str">
        <f>IF(COUNTIF($A$2:A107,A107)&gt;1,"Duplicate","Unique")</f>
        <v>Unique</v>
      </c>
      <c r="Q107" t="str">
        <f t="shared" si="2"/>
        <v>OK</v>
      </c>
      <c r="R107" t="str">
        <f t="shared" si="3"/>
        <v>Available</v>
      </c>
    </row>
    <row r="108" spans="1:18">
      <c r="A108" t="str">
        <f>TRIM(CLEAN(Raw_Data!A108))</f>
        <v>MEM0107</v>
      </c>
      <c r="B108" t="str">
        <f ca="1">TRIM(Raw_Data!B108)</f>
        <v>Aditya Sharma</v>
      </c>
      <c r="C108" t="str">
        <f ca="1">_xlfn.XLOOKUP(D108, Branch_Master!A:A, Branch_Master!B:B)</f>
        <v>Kochi</v>
      </c>
      <c r="D108" t="str">
        <f ca="1">TRIM(Raw_Data!D108)</f>
        <v>BR01</v>
      </c>
      <c r="E108" t="str">
        <f ca="1">PROPER(TRIM(Raw_Data!E108))</f>
        <v>Premium</v>
      </c>
      <c r="F108" s="2">
        <f>IFERROR(DATEVALUE(Raw_Data!F108), Raw_Data!F108)</f>
        <v>45453</v>
      </c>
      <c r="G108" s="2">
        <f>IFERROR(
    IF(
        IFERROR(DATEVALUE(Raw_Data!G108), Raw_Data!G108) &lt;
        IFERROR(DATEVALUE(Raw_Data!F108), Raw_Data!F108),
        IFERROR(DATEVALUE(Raw_Data!F108), Raw_Data!F108) + 30,
        IFERROR(DATEVALUE(Raw_Data!G108), Raw_Data!G108)
    ),
    ""
)</f>
        <v>45818</v>
      </c>
      <c r="H108">
        <f>IFERROR(VALUE(Raw_Data!H108), "")</f>
        <v>2000</v>
      </c>
      <c r="I108">
        <f ca="1">IFERROR(VALUE(Raw_Data!I108), "")</f>
        <v>22000</v>
      </c>
      <c r="J108">
        <f>IFERROR(
    VALUE(SUBSTITUTE(Raw_Data!J108," visits","")),
    ""
)</f>
        <v>1</v>
      </c>
      <c r="K108" t="str">
        <f ca="1">IF(TRIM(Raw_Data!K108)="","No",PROPER(TRIM(Raw_Data!K108)))</f>
        <v>No</v>
      </c>
      <c r="L108" t="str">
        <f ca="1">PROPER(TRIM(Raw_Data!L108))</f>
        <v>Muscle Gain</v>
      </c>
      <c r="M108" t="s">
        <v>151</v>
      </c>
      <c r="N108" s="2">
        <f>IFERROR(DATEVALUE(Raw_Data!N108), Raw_Data!N108)</f>
        <v>45466</v>
      </c>
      <c r="O108" s="2"/>
      <c r="P108" t="str">
        <f>IF(COUNTIF($A$2:A108,A108)&gt;1,"Duplicate","Unique")</f>
        <v>Unique</v>
      </c>
      <c r="Q108" t="str">
        <f t="shared" si="2"/>
        <v>OK</v>
      </c>
      <c r="R108" t="str">
        <f t="shared" si="3"/>
        <v>Available</v>
      </c>
    </row>
    <row r="109" spans="1:18">
      <c r="A109" t="str">
        <f>TRIM(CLEAN(Raw_Data!A109))</f>
        <v>MEM0108</v>
      </c>
      <c r="B109" t="str">
        <f ca="1">TRIM(Raw_Data!B109)</f>
        <v>Arjun Bhat</v>
      </c>
      <c r="C109" t="str">
        <f ca="1">_xlfn.XLOOKUP(D109, Branch_Master!A:A, Branch_Master!B:B)</f>
        <v>Calicut</v>
      </c>
      <c r="D109" t="str">
        <f ca="1">TRIM(Raw_Data!D109)</f>
        <v>BR07</v>
      </c>
      <c r="E109" t="str">
        <f ca="1">PROPER(TRIM(Raw_Data!E109))</f>
        <v>Basic</v>
      </c>
      <c r="F109" s="2">
        <f>IFERROR(DATEVALUE(Raw_Data!F109), Raw_Data!F109)</f>
        <v>45656</v>
      </c>
      <c r="G109" s="2">
        <f>IFERROR(
    IF(
        IFERROR(DATEVALUE(Raw_Data!G109), Raw_Data!G109) &lt;
        IFERROR(DATEVALUE(Raw_Data!F109), Raw_Data!F109),
        IFERROR(DATEVALUE(Raw_Data!F109), Raw_Data!F109) + 30,
        IFERROR(DATEVALUE(Raw_Data!G109), Raw_Data!G109)
    ),
    ""
)</f>
        <v>46021</v>
      </c>
      <c r="H109">
        <f>IFERROR(VALUE(Raw_Data!H109), "")</f>
        <v>1000</v>
      </c>
      <c r="I109">
        <f ca="1">IFERROR(VALUE(Raw_Data!I109), "")</f>
        <v>2000</v>
      </c>
      <c r="J109">
        <f>IFERROR(
    VALUE(SUBSTITUTE(Raw_Data!J109," visits","")),
    ""
)</f>
        <v>14</v>
      </c>
      <c r="K109" t="str">
        <f ca="1">IF(TRIM(Raw_Data!K109)="","No",PROPER(TRIM(Raw_Data!K109)))</f>
        <v>Yes</v>
      </c>
      <c r="L109" t="str">
        <f ca="1">PROPER(TRIM(Raw_Data!L109))</f>
        <v>Muscle Gain</v>
      </c>
      <c r="M109" t="s">
        <v>152</v>
      </c>
      <c r="N109" s="2">
        <f>IFERROR(DATEVALUE(Raw_Data!N109), Raw_Data!N109)</f>
        <v>45797</v>
      </c>
      <c r="O109" s="2"/>
      <c r="P109" t="str">
        <f>IF(COUNTIF($A$2:A109,A109)&gt;1,"Duplicate","Unique")</f>
        <v>Unique</v>
      </c>
      <c r="Q109" t="str">
        <f t="shared" si="2"/>
        <v>Cancelled but Active</v>
      </c>
      <c r="R109" t="str">
        <f t="shared" si="3"/>
        <v>Available</v>
      </c>
    </row>
    <row r="110" spans="1:18">
      <c r="A110" t="str">
        <f>TRIM(CLEAN(Raw_Data!A110))</f>
        <v>MEM0109</v>
      </c>
      <c r="B110" t="str">
        <f ca="1">TRIM(Raw_Data!B110)</f>
        <v>Harish Joshi</v>
      </c>
      <c r="C110" t="str">
        <f ca="1">_xlfn.XLOOKUP(D110, Branch_Master!A:A, Branch_Master!B:B)</f>
        <v>Kochi</v>
      </c>
      <c r="D110" t="str">
        <f ca="1">TRIM(Raw_Data!D110)</f>
        <v>BR01</v>
      </c>
      <c r="E110" t="str">
        <f ca="1">PROPER(TRIM(Raw_Data!E110))</f>
        <v>Standard</v>
      </c>
      <c r="F110" s="2">
        <f>IFERROR(DATEVALUE(Raw_Data!F110), Raw_Data!F110)</f>
        <v>45408</v>
      </c>
      <c r="G110" s="2">
        <f>IFERROR(
    IF(
        IFERROR(DATEVALUE(Raw_Data!G110), Raw_Data!G110) &lt;
        IFERROR(DATEVALUE(Raw_Data!F110), Raw_Data!F110),
        IFERROR(DATEVALUE(Raw_Data!F110), Raw_Data!F110) + 30,
        IFERROR(DATEVALUE(Raw_Data!G110), Raw_Data!G110)
    ),
    ""
)</f>
        <v>45438</v>
      </c>
      <c r="H110">
        <f>IFERROR(VALUE(Raw_Data!H110), "")</f>
        <v>3500</v>
      </c>
      <c r="I110">
        <f ca="1">IFERROR(VALUE(Raw_Data!I110), "")</f>
        <v>28000</v>
      </c>
      <c r="J110">
        <f>IFERROR(
    VALUE(SUBSTITUTE(Raw_Data!J110," visits","")),
    ""
)</f>
        <v>4</v>
      </c>
      <c r="K110" t="str">
        <f ca="1">IF(TRIM(Raw_Data!K110)="","No",PROPER(TRIM(Raw_Data!K110)))</f>
        <v>No</v>
      </c>
      <c r="L110" t="str">
        <f ca="1">PROPER(TRIM(Raw_Data!L110))</f>
        <v>General Fitness</v>
      </c>
      <c r="M110" t="s">
        <v>152</v>
      </c>
      <c r="N110" s="2">
        <f>IFERROR(DATEVALUE(Raw_Data!N110), Raw_Data!N110)</f>
        <v>45432</v>
      </c>
      <c r="O110" s="2"/>
      <c r="P110" t="str">
        <f>IF(COUNTIF($A$2:A110,A110)&gt;1,"Duplicate","Unique")</f>
        <v>Unique</v>
      </c>
      <c r="Q110" t="str">
        <f t="shared" si="2"/>
        <v>Cancelled but Active</v>
      </c>
      <c r="R110" t="str">
        <f t="shared" si="3"/>
        <v>Available</v>
      </c>
    </row>
    <row r="111" spans="1:18">
      <c r="A111" t="str">
        <f>TRIM(CLEAN(Raw_Data!A111))</f>
        <v>MEM0110</v>
      </c>
      <c r="B111" t="str">
        <f ca="1">TRIM(Raw_Data!B111)</f>
        <v>Arjun Joshi</v>
      </c>
      <c r="C111" t="str">
        <f ca="1">_xlfn.XLOOKUP(D111, Branch_Master!A:A, Branch_Master!B:B)</f>
        <v>Trivandrum</v>
      </c>
      <c r="D111" t="str">
        <f ca="1">TRIM(Raw_Data!D111)</f>
        <v>BR06</v>
      </c>
      <c r="E111" t="str">
        <f ca="1">PROPER(TRIM(Raw_Data!E111))</f>
        <v>Standard</v>
      </c>
      <c r="F111" s="2">
        <f>IFERROR(DATEVALUE(Raw_Data!F111), Raw_Data!F111)</f>
        <v>45503</v>
      </c>
      <c r="G111" s="2">
        <f>IFERROR(
    IF(
        IFERROR(DATEVALUE(Raw_Data!G111), Raw_Data!G111) &lt;
        IFERROR(DATEVALUE(Raw_Data!F111), Raw_Data!F111),
        IFERROR(DATEVALUE(Raw_Data!F111), Raw_Data!F111) + 30,
        IFERROR(DATEVALUE(Raw_Data!G111), Raw_Data!G111)
    ),
    ""
)</f>
        <v>45868</v>
      </c>
      <c r="H111">
        <f>IFERROR(VALUE(Raw_Data!H111), "")</f>
        <v>3500</v>
      </c>
      <c r="I111">
        <f ca="1">IFERROR(VALUE(Raw_Data!I111), "")</f>
        <v>42000</v>
      </c>
      <c r="J111">
        <f>IFERROR(
    VALUE(SUBSTITUTE(Raw_Data!J111," visits","")),
    ""
)</f>
        <v>13</v>
      </c>
      <c r="K111" t="str">
        <f ca="1">IF(TRIM(Raw_Data!K111)="","No",PROPER(TRIM(Raw_Data!K111)))</f>
        <v>No</v>
      </c>
      <c r="L111" t="str">
        <f ca="1">PROPER(TRIM(Raw_Data!L111))</f>
        <v>Muscle Gain</v>
      </c>
      <c r="M111" t="s">
        <v>152</v>
      </c>
      <c r="N111" s="2">
        <f>IFERROR(DATEVALUE(Raw_Data!N111), Raw_Data!N111)</f>
        <v>45861</v>
      </c>
      <c r="O111" s="2"/>
      <c r="P111" t="str">
        <f>IF(COUNTIF($A$2:A111,A111)&gt;1,"Duplicate","Unique")</f>
        <v>Unique</v>
      </c>
      <c r="Q111" t="str">
        <f t="shared" si="2"/>
        <v>Cancelled but Active</v>
      </c>
      <c r="R111" t="str">
        <f t="shared" si="3"/>
        <v>Available</v>
      </c>
    </row>
    <row r="112" spans="1:18">
      <c r="A112" t="str">
        <f>TRIM(CLEAN(Raw_Data!A112))</f>
        <v>MEM0111</v>
      </c>
      <c r="B112" t="str">
        <f ca="1">TRIM(Raw_Data!B112)</f>
        <v>Zara Nair</v>
      </c>
      <c r="C112" t="str">
        <f ca="1">_xlfn.XLOOKUP(D112, Branch_Master!A:A, Branch_Master!B:B)</f>
        <v>Kochi</v>
      </c>
      <c r="D112" t="str">
        <f ca="1">TRIM(Raw_Data!D112)</f>
        <v>BR01</v>
      </c>
      <c r="E112" t="str">
        <f ca="1">PROPER(TRIM(Raw_Data!E112))</f>
        <v>Basic</v>
      </c>
      <c r="F112" s="2">
        <f>IFERROR(DATEVALUE(Raw_Data!F112), Raw_Data!F112)</f>
        <v>45130</v>
      </c>
      <c r="G112" s="2">
        <f>IFERROR(
    IF(
        IFERROR(DATEVALUE(Raw_Data!G112), Raw_Data!G112) &lt;
        IFERROR(DATEVALUE(Raw_Data!F112), Raw_Data!F112),
        IFERROR(DATEVALUE(Raw_Data!F112), Raw_Data!F112) + 30,
        IFERROR(DATEVALUE(Raw_Data!G112), Raw_Data!G112)
    ),
    ""
)</f>
        <v>45160</v>
      </c>
      <c r="H112">
        <f>IFERROR(VALUE(Raw_Data!H112), "")</f>
        <v>1000</v>
      </c>
      <c r="I112">
        <f ca="1">IFERROR(VALUE(Raw_Data!I112), "")</f>
        <v>3000</v>
      </c>
      <c r="J112">
        <f>IFERROR(
    VALUE(SUBSTITUTE(Raw_Data!J112," visits","")),
    ""
)</f>
        <v>10</v>
      </c>
      <c r="K112" t="str">
        <f ca="1">IF(TRIM(Raw_Data!K112)="","No",PROPER(TRIM(Raw_Data!K112)))</f>
        <v>Yes</v>
      </c>
      <c r="L112" t="str">
        <f ca="1">PROPER(TRIM(Raw_Data!L112))</f>
        <v>General Fitness</v>
      </c>
      <c r="M112" t="s">
        <v>151</v>
      </c>
      <c r="N112" s="2">
        <f>IFERROR(DATEVALUE(Raw_Data!N112), Raw_Data!N112)</f>
        <v>45188</v>
      </c>
      <c r="O112" s="2"/>
      <c r="P112" t="str">
        <f>IF(COUNTIF($A$2:A112,A112)&gt;1,"Duplicate","Unique")</f>
        <v>Unique</v>
      </c>
      <c r="Q112" t="str">
        <f t="shared" si="2"/>
        <v>OK</v>
      </c>
      <c r="R112" t="str">
        <f t="shared" si="3"/>
        <v>Available</v>
      </c>
    </row>
    <row r="113" spans="1:18">
      <c r="A113" t="str">
        <f>TRIM(CLEAN(Raw_Data!A113))</f>
        <v>MEM0112</v>
      </c>
      <c r="B113" t="str">
        <f ca="1">TRIM(Raw_Data!B113)</f>
        <v>Anu Iyer</v>
      </c>
      <c r="C113" t="str">
        <f ca="1">_xlfn.XLOOKUP(D113, Branch_Master!A:A, Branch_Master!B:B)</f>
        <v>Hyderabad</v>
      </c>
      <c r="D113" t="str">
        <f ca="1">TRIM(Raw_Data!D113)</f>
        <v>BR04</v>
      </c>
      <c r="E113" t="str">
        <f ca="1">PROPER(TRIM(Raw_Data!E113))</f>
        <v>Standard</v>
      </c>
      <c r="F113" s="2">
        <f>IFERROR(DATEVALUE(Raw_Data!F113), Raw_Data!F113)</f>
        <v>45418</v>
      </c>
      <c r="G113" s="2">
        <f>IFERROR(
    IF(
        IFERROR(DATEVALUE(Raw_Data!G113), Raw_Data!G113) &lt;
        IFERROR(DATEVALUE(Raw_Data!F113), Raw_Data!F113),
        IFERROR(DATEVALUE(Raw_Data!F113), Raw_Data!F113) + 30,
        IFERROR(DATEVALUE(Raw_Data!G113), Raw_Data!G113)
    ),
    ""
)</f>
        <v>45448</v>
      </c>
      <c r="H113">
        <f>IFERROR(VALUE(Raw_Data!H113), "")</f>
        <v>2000</v>
      </c>
      <c r="I113">
        <f ca="1">IFERROR(VALUE(Raw_Data!I113), "")</f>
        <v>8000</v>
      </c>
      <c r="J113">
        <f>IFERROR(
    VALUE(SUBSTITUTE(Raw_Data!J113," visits","")),
    ""
)</f>
        <v>19</v>
      </c>
      <c r="K113" t="str">
        <f ca="1">IF(TRIM(Raw_Data!K113)="","No",PROPER(TRIM(Raw_Data!K113)))</f>
        <v>No</v>
      </c>
      <c r="L113" t="str">
        <f ca="1">PROPER(TRIM(Raw_Data!L113))</f>
        <v>Muscle Gain</v>
      </c>
      <c r="M113" t="s">
        <v>151</v>
      </c>
      <c r="N113" s="2">
        <f>IFERROR(DATEVALUE(Raw_Data!N113), Raw_Data!N113)</f>
        <v>45870</v>
      </c>
      <c r="O113" s="2"/>
      <c r="P113" t="str">
        <f>IF(COUNTIF($A$2:A113,A113)&gt;1,"Duplicate","Unique")</f>
        <v>Unique</v>
      </c>
      <c r="Q113" t="str">
        <f t="shared" si="2"/>
        <v>OK</v>
      </c>
      <c r="R113" t="str">
        <f t="shared" si="3"/>
        <v>Available</v>
      </c>
    </row>
    <row r="114" spans="1:18">
      <c r="A114" t="str">
        <f>TRIM(CLEAN(Raw_Data!A114))</f>
        <v>MEM0113</v>
      </c>
      <c r="B114" t="str">
        <f ca="1">TRIM(Raw_Data!B114)</f>
        <v>Karthik Banerjee</v>
      </c>
      <c r="C114" t="str">
        <f ca="1">_xlfn.XLOOKUP(D114, Branch_Master!A:A, Branch_Master!B:B)</f>
        <v>Bangalore</v>
      </c>
      <c r="D114" t="str">
        <f ca="1">TRIM(Raw_Data!D114)</f>
        <v>BR02</v>
      </c>
      <c r="E114" t="str">
        <f ca="1">PROPER(TRIM(Raw_Data!E114))</f>
        <v>Premium</v>
      </c>
      <c r="F114" s="2">
        <f>IFERROR(DATEVALUE(Raw_Data!F114), Raw_Data!F114)</f>
        <v>45720</v>
      </c>
      <c r="G114" s="2">
        <f>IFERROR(
    IF(
        IFERROR(DATEVALUE(Raw_Data!G114), Raw_Data!G114) &lt;
        IFERROR(DATEVALUE(Raw_Data!F114), Raw_Data!F114),
        IFERROR(DATEVALUE(Raw_Data!F114), Raw_Data!F114) + 30,
        IFERROR(DATEVALUE(Raw_Data!G114), Raw_Data!G114)
    ),
    ""
)</f>
        <v>45810</v>
      </c>
      <c r="H114">
        <f>IFERROR(VALUE(Raw_Data!H114), "")</f>
        <v>1000</v>
      </c>
      <c r="I114">
        <f ca="1">IFERROR(VALUE(Raw_Data!I114), "")</f>
        <v>8000</v>
      </c>
      <c r="J114">
        <f>IFERROR(
    VALUE(SUBSTITUTE(Raw_Data!J114," visits","")),
    ""
)</f>
        <v>10</v>
      </c>
      <c r="K114" t="str">
        <f ca="1">IF(TRIM(Raw_Data!K114)="","No",PROPER(TRIM(Raw_Data!K114)))</f>
        <v>Yes</v>
      </c>
      <c r="L114" t="str">
        <f ca="1">PROPER(TRIM(Raw_Data!L114))</f>
        <v>General Fitness</v>
      </c>
      <c r="M114" t="s">
        <v>151</v>
      </c>
      <c r="N114" s="2">
        <f>IFERROR(DATEVALUE(Raw_Data!N114), Raw_Data!N114)</f>
        <v>45817</v>
      </c>
      <c r="O114" s="2"/>
      <c r="P114" t="str">
        <f>IF(COUNTIF($A$2:A114,A114)&gt;1,"Duplicate","Unique")</f>
        <v>Unique</v>
      </c>
      <c r="Q114" t="str">
        <f t="shared" si="2"/>
        <v>OK</v>
      </c>
      <c r="R114" t="str">
        <f t="shared" si="3"/>
        <v>Available</v>
      </c>
    </row>
    <row r="115" spans="1:18">
      <c r="A115" t="str">
        <f>TRIM(CLEAN(Raw_Data!A115))</f>
        <v>MEM0114</v>
      </c>
      <c r="B115" t="str">
        <f ca="1">TRIM(Raw_Data!B115)</f>
        <v>Swathi Shaikh</v>
      </c>
      <c r="C115" t="str">
        <f ca="1">_xlfn.XLOOKUP(D115, Branch_Master!A:A, Branch_Master!B:B)</f>
        <v>Trivandrum</v>
      </c>
      <c r="D115" t="str">
        <f ca="1">TRIM(Raw_Data!D115)</f>
        <v>BR06</v>
      </c>
      <c r="E115" t="str">
        <f ca="1">PROPER(TRIM(Raw_Data!E115))</f>
        <v>Basic</v>
      </c>
      <c r="F115" s="2">
        <f>IFERROR(DATEVALUE(Raw_Data!F115), Raw_Data!F115)</f>
        <v>45312</v>
      </c>
      <c r="G115" s="2">
        <f>IFERROR(
    IF(
        IFERROR(DATEVALUE(Raw_Data!G115), Raw_Data!G115) &lt;
        IFERROR(DATEVALUE(Raw_Data!F115), Raw_Data!F115),
        IFERROR(DATEVALUE(Raw_Data!F115), Raw_Data!F115) + 30,
        IFERROR(DATEVALUE(Raw_Data!G115), Raw_Data!G115)
    ),
    ""
)</f>
        <v>45402</v>
      </c>
      <c r="H115">
        <f>IFERROR(VALUE(Raw_Data!H115), "")</f>
        <v>1000</v>
      </c>
      <c r="I115">
        <f ca="1">IFERROR(VALUE(Raw_Data!I115), "")</f>
        <v>4000</v>
      </c>
      <c r="J115">
        <f>IFERROR(
    VALUE(SUBSTITUTE(Raw_Data!J115," visits","")),
    ""
)</f>
        <v>13</v>
      </c>
      <c r="K115" t="str">
        <f ca="1">IF(TRIM(Raw_Data!K115)="","No",PROPER(TRIM(Raw_Data!K115)))</f>
        <v>Yes</v>
      </c>
      <c r="L115" t="str">
        <f ca="1">PROPER(TRIM(Raw_Data!L115))</f>
        <v>Muscle Gain</v>
      </c>
      <c r="M115" t="s">
        <v>151</v>
      </c>
      <c r="N115" s="2">
        <f>IFERROR(DATEVALUE(Raw_Data!N115), Raw_Data!N115)</f>
        <v>45451</v>
      </c>
      <c r="O115" s="2"/>
      <c r="P115" t="str">
        <f>IF(COUNTIF($A$2:A115,A115)&gt;1,"Duplicate","Unique")</f>
        <v>Unique</v>
      </c>
      <c r="Q115" t="str">
        <f t="shared" si="2"/>
        <v>OK</v>
      </c>
      <c r="R115" t="str">
        <f t="shared" si="3"/>
        <v>Available</v>
      </c>
    </row>
    <row r="116" spans="1:18">
      <c r="A116" t="str">
        <f>TRIM(CLEAN(Raw_Data!A116))</f>
        <v>MEM0115</v>
      </c>
      <c r="B116" t="str">
        <f ca="1">TRIM(Raw_Data!B116)</f>
        <v>Anu Agarwal</v>
      </c>
      <c r="C116" t="str">
        <f ca="1">_xlfn.XLOOKUP(D116, Branch_Master!A:A, Branch_Master!B:B)</f>
        <v>Calicut</v>
      </c>
      <c r="D116" t="str">
        <f ca="1">TRIM(Raw_Data!D116)</f>
        <v>BR07</v>
      </c>
      <c r="E116" t="str">
        <f ca="1">PROPER(TRIM(Raw_Data!E116))</f>
        <v>Premium</v>
      </c>
      <c r="F116" s="2">
        <f>IFERROR(DATEVALUE(Raw_Data!F116), Raw_Data!F116)</f>
        <v>45622</v>
      </c>
      <c r="G116" s="2">
        <f>IFERROR(
    IF(
        IFERROR(DATEVALUE(Raw_Data!G116), Raw_Data!G116) &lt;
        IFERROR(DATEVALUE(Raw_Data!F116), Raw_Data!F116),
        IFERROR(DATEVALUE(Raw_Data!F116), Raw_Data!F116) + 30,
        IFERROR(DATEVALUE(Raw_Data!G116), Raw_Data!G116)
    ),
    ""
)</f>
        <v>45652</v>
      </c>
      <c r="H116">
        <f>IFERROR(VALUE(Raw_Data!H116), "")</f>
        <v>3500</v>
      </c>
      <c r="I116">
        <f ca="1">IFERROR(VALUE(Raw_Data!I116), "")</f>
        <v>35000</v>
      </c>
      <c r="J116">
        <f>IFERROR(
    VALUE(SUBSTITUTE(Raw_Data!J116," visits","")),
    ""
)</f>
        <v>19</v>
      </c>
      <c r="K116" t="str">
        <f ca="1">IF(TRIM(Raw_Data!K116)="","No",PROPER(TRIM(Raw_Data!K116)))</f>
        <v>Yes</v>
      </c>
      <c r="L116" t="str">
        <f ca="1">PROPER(TRIM(Raw_Data!L116))</f>
        <v>Weight Loss</v>
      </c>
      <c r="M116" t="s">
        <v>151</v>
      </c>
      <c r="N116" s="2">
        <f>IFERROR(DATEVALUE(Raw_Data!N116), Raw_Data!N116)</f>
        <v>45632</v>
      </c>
      <c r="O116" s="2"/>
      <c r="P116" t="str">
        <f>IF(COUNTIF($A$2:A116,A116)&gt;1,"Duplicate","Unique")</f>
        <v>Unique</v>
      </c>
      <c r="Q116" t="str">
        <f t="shared" si="2"/>
        <v>OK</v>
      </c>
      <c r="R116" t="str">
        <f t="shared" si="3"/>
        <v>Available</v>
      </c>
    </row>
    <row r="117" spans="1:18">
      <c r="A117" t="str">
        <f>TRIM(CLEAN(Raw_Data!A117))</f>
        <v>MEM0116</v>
      </c>
      <c r="B117" t="str">
        <f ca="1">TRIM(Raw_Data!B117)</f>
        <v>Sneha Chatterjee</v>
      </c>
      <c r="C117" t="str">
        <f ca="1">_xlfn.XLOOKUP(D117, Branch_Master!A:A, Branch_Master!B:B)</f>
        <v>Mumbai</v>
      </c>
      <c r="D117" t="str">
        <f ca="1">TRIM(Raw_Data!D117)</f>
        <v>BR05</v>
      </c>
      <c r="E117" t="str">
        <f ca="1">PROPER(TRIM(Raw_Data!E117))</f>
        <v>Basic</v>
      </c>
      <c r="F117" s="2">
        <f>IFERROR(DATEVALUE(Raw_Data!F117), Raw_Data!F117)</f>
        <v>45476</v>
      </c>
      <c r="G117" s="2">
        <f>IFERROR(
    IF(
        IFERROR(DATEVALUE(Raw_Data!G117), Raw_Data!G117) &lt;
        IFERROR(DATEVALUE(Raw_Data!F117), Raw_Data!F117),
        IFERROR(DATEVALUE(Raw_Data!F117), Raw_Data!F117) + 30,
        IFERROR(DATEVALUE(Raw_Data!G117), Raw_Data!G117)
    ),
    ""
)</f>
        <v>45841</v>
      </c>
      <c r="H117">
        <f>IFERROR(VALUE(Raw_Data!H117), "")</f>
        <v>3500</v>
      </c>
      <c r="I117">
        <f ca="1">IFERROR(VALUE(Raw_Data!I117), "")</f>
        <v>42000</v>
      </c>
      <c r="J117">
        <f>IFERROR(
    VALUE(SUBSTITUTE(Raw_Data!J117," visits","")),
    ""
)</f>
        <v>0</v>
      </c>
      <c r="K117" t="str">
        <f ca="1">IF(TRIM(Raw_Data!K117)="","No",PROPER(TRIM(Raw_Data!K117)))</f>
        <v>Yes</v>
      </c>
      <c r="L117" t="str">
        <f ca="1">PROPER(TRIM(Raw_Data!L117))</f>
        <v>General Fitness</v>
      </c>
      <c r="M117" t="s">
        <v>151</v>
      </c>
      <c r="N117" s="2">
        <f>IFERROR(DATEVALUE(Raw_Data!N117), Raw_Data!N117)</f>
        <v>45542</v>
      </c>
      <c r="O117" s="2"/>
      <c r="P117" t="str">
        <f>IF(COUNTIF($A$2:A117,A117)&gt;1,"Duplicate","Unique")</f>
        <v>Unique</v>
      </c>
      <c r="Q117" t="str">
        <f t="shared" si="2"/>
        <v>OK</v>
      </c>
      <c r="R117" t="str">
        <f t="shared" si="3"/>
        <v>Available</v>
      </c>
    </row>
    <row r="118" spans="1:18">
      <c r="A118" t="str">
        <f>TRIM(CLEAN(Raw_Data!A118))</f>
        <v>MEM0117</v>
      </c>
      <c r="B118" t="str">
        <f ca="1">TRIM(Raw_Data!B118)</f>
        <v>Zara Verma</v>
      </c>
      <c r="C118" t="str">
        <f ca="1">_xlfn.XLOOKUP(D118, Branch_Master!A:A, Branch_Master!B:B)</f>
        <v>Kochi</v>
      </c>
      <c r="D118" t="str">
        <f ca="1">TRIM(Raw_Data!D118)</f>
        <v>BR01</v>
      </c>
      <c r="E118" t="str">
        <f ca="1">PROPER(TRIM(Raw_Data!E118))</f>
        <v>Standard</v>
      </c>
      <c r="F118" s="2">
        <f>IFERROR(DATEVALUE(Raw_Data!F118), Raw_Data!F118)</f>
        <v>45830</v>
      </c>
      <c r="G118" s="2">
        <f>IFERROR(
    IF(
        IFERROR(DATEVALUE(Raw_Data!G118), Raw_Data!G118) &lt;
        IFERROR(DATEVALUE(Raw_Data!F118), Raw_Data!F118),
        IFERROR(DATEVALUE(Raw_Data!F118), Raw_Data!F118) + 30,
        IFERROR(DATEVALUE(Raw_Data!G118), Raw_Data!G118)
    ),
    ""
)</f>
        <v>45920</v>
      </c>
      <c r="H118">
        <f>IFERROR(VALUE(Raw_Data!H118), "")</f>
        <v>3500</v>
      </c>
      <c r="I118">
        <f ca="1">IFERROR(VALUE(Raw_Data!I118), "")</f>
        <v>17500</v>
      </c>
      <c r="J118">
        <f>IFERROR(
    VALUE(SUBSTITUTE(Raw_Data!J118," visits","")),
    ""
)</f>
        <v>24</v>
      </c>
      <c r="K118" t="str">
        <f ca="1">IF(TRIM(Raw_Data!K118)="","No",PROPER(TRIM(Raw_Data!K118)))</f>
        <v>No</v>
      </c>
      <c r="L118" t="str">
        <f ca="1">PROPER(TRIM(Raw_Data!L118))</f>
        <v>Weight Loss</v>
      </c>
      <c r="M118" t="s">
        <v>151</v>
      </c>
      <c r="N118" s="2">
        <f>IFERROR(DATEVALUE(Raw_Data!N118), Raw_Data!N118)</f>
        <v>45870</v>
      </c>
      <c r="O118" s="2"/>
      <c r="P118" t="str">
        <f>IF(COUNTIF($A$2:A118,A118)&gt;1,"Duplicate","Unique")</f>
        <v>Unique</v>
      </c>
      <c r="Q118" t="str">
        <f t="shared" si="2"/>
        <v>OK</v>
      </c>
      <c r="R118" t="str">
        <f t="shared" si="3"/>
        <v>Available</v>
      </c>
    </row>
    <row r="119" spans="1:18">
      <c r="A119" t="str">
        <f>TRIM(CLEAN(Raw_Data!A119))</f>
        <v>MEM0118</v>
      </c>
      <c r="B119" t="str">
        <f ca="1">TRIM(Raw_Data!B119)</f>
        <v>Anu Shaikh</v>
      </c>
      <c r="C119" t="str">
        <f ca="1">_xlfn.XLOOKUP(D119, Branch_Master!A:A, Branch_Master!B:B)</f>
        <v>Bangalore</v>
      </c>
      <c r="D119" t="str">
        <f ca="1">TRIM(Raw_Data!D119)</f>
        <v>BR02</v>
      </c>
      <c r="E119" t="str">
        <f ca="1">PROPER(TRIM(Raw_Data!E119))</f>
        <v>Premium</v>
      </c>
      <c r="F119" s="2">
        <f>IFERROR(DATEVALUE(Raw_Data!F119), Raw_Data!F119)</f>
        <v>45245</v>
      </c>
      <c r="G119" s="2">
        <f>IFERROR(
    IF(
        IFERROR(DATEVALUE(Raw_Data!G119), Raw_Data!G119) &lt;
        IFERROR(DATEVALUE(Raw_Data!F119), Raw_Data!F119),
        IFERROR(DATEVALUE(Raw_Data!F119), Raw_Data!F119) + 30,
        IFERROR(DATEVALUE(Raw_Data!G119), Raw_Data!G119)
    ),
    ""
)</f>
        <v>45335</v>
      </c>
      <c r="H119">
        <f>IFERROR(VALUE(Raw_Data!H119), "")</f>
        <v>2000</v>
      </c>
      <c r="I119">
        <f ca="1">IFERROR(VALUE(Raw_Data!I119), "")</f>
        <v>18000</v>
      </c>
      <c r="J119">
        <f>IFERROR(
    VALUE(SUBSTITUTE(Raw_Data!J119," visits","")),
    ""
)</f>
        <v>19</v>
      </c>
      <c r="K119" t="str">
        <f ca="1">IF(TRIM(Raw_Data!K119)="","No",PROPER(TRIM(Raw_Data!K119)))</f>
        <v>Yes</v>
      </c>
      <c r="L119" t="str">
        <f ca="1">PROPER(TRIM(Raw_Data!L119))</f>
        <v>Muscle Gain</v>
      </c>
      <c r="M119" t="s">
        <v>151</v>
      </c>
      <c r="N119" s="2">
        <f>IFERROR(DATEVALUE(Raw_Data!N119), Raw_Data!N119)</f>
        <v>45263</v>
      </c>
      <c r="O119" s="2"/>
      <c r="P119" t="str">
        <f>IF(COUNTIF($A$2:A119,A119)&gt;1,"Duplicate","Unique")</f>
        <v>Unique</v>
      </c>
      <c r="Q119" t="str">
        <f t="shared" si="2"/>
        <v>OK</v>
      </c>
      <c r="R119" t="str">
        <f t="shared" si="3"/>
        <v>Available</v>
      </c>
    </row>
    <row r="120" spans="1:18">
      <c r="A120" t="str">
        <f>TRIM(CLEAN(Raw_Data!A120))</f>
        <v>MEM0119</v>
      </c>
      <c r="B120" t="str">
        <f ca="1">TRIM(Raw_Data!B120)</f>
        <v>Rohit Bhat</v>
      </c>
      <c r="C120" t="str">
        <f ca="1">_xlfn.XLOOKUP(D120, Branch_Master!A:A, Branch_Master!B:B)</f>
        <v>Hyderabad</v>
      </c>
      <c r="D120" t="str">
        <f ca="1">TRIM(Raw_Data!D120)</f>
        <v>BR04</v>
      </c>
      <c r="E120" t="str">
        <f ca="1">PROPER(TRIM(Raw_Data!E120))</f>
        <v>Premium</v>
      </c>
      <c r="F120" s="2">
        <f>IFERROR(DATEVALUE(Raw_Data!F120), Raw_Data!F120)</f>
        <v>46021</v>
      </c>
      <c r="G120" s="2">
        <f>IFERROR(
    IF(
        IFERROR(DATEVALUE(Raw_Data!G120), Raw_Data!G120) &lt;
        IFERROR(DATEVALUE(Raw_Data!F120), Raw_Data!F120),
        IFERROR(DATEVALUE(Raw_Data!F120), Raw_Data!F120) + 30,
        IFERROR(DATEVALUE(Raw_Data!G120), Raw_Data!G120)
    ),
    ""
)</f>
        <v>46111</v>
      </c>
      <c r="H120">
        <f>IFERROR(VALUE(Raw_Data!H120), "")</f>
        <v>3500</v>
      </c>
      <c r="I120">
        <f ca="1">IFERROR(VALUE(Raw_Data!I120), "")</f>
        <v>35000</v>
      </c>
      <c r="J120">
        <f>IFERROR(
    VALUE(SUBSTITUTE(Raw_Data!J120," visits","")),
    ""
)</f>
        <v>12</v>
      </c>
      <c r="K120" t="str">
        <f ca="1">IF(TRIM(Raw_Data!K120)="","No",PROPER(TRIM(Raw_Data!K120)))</f>
        <v>No</v>
      </c>
      <c r="L120" t="str">
        <f ca="1">PROPER(TRIM(Raw_Data!L120))</f>
        <v>General Fitness</v>
      </c>
      <c r="M120" t="s">
        <v>151</v>
      </c>
      <c r="N120" s="2">
        <f>IFERROR(DATEVALUE(Raw_Data!N120), Raw_Data!N120)</f>
        <v>46096</v>
      </c>
      <c r="O120" s="2"/>
      <c r="P120" t="str">
        <f>IF(COUNTIF($A$2:A120,A120)&gt;1,"Duplicate","Unique")</f>
        <v>Unique</v>
      </c>
      <c r="Q120" t="str">
        <f t="shared" si="2"/>
        <v>OK</v>
      </c>
      <c r="R120" t="str">
        <f t="shared" si="3"/>
        <v>Available</v>
      </c>
    </row>
    <row r="121" spans="1:18">
      <c r="A121" t="str">
        <f>TRIM(CLEAN(Raw_Data!A121))</f>
        <v>MEM0120</v>
      </c>
      <c r="B121" t="str">
        <f ca="1">TRIM(Raw_Data!B121)</f>
        <v>Fatima Agarwal</v>
      </c>
      <c r="C121" t="str">
        <f ca="1">_xlfn.XLOOKUP(D121, Branch_Master!A:A, Branch_Master!B:B)</f>
        <v>Hyderabad</v>
      </c>
      <c r="D121" t="str">
        <f ca="1">TRIM(Raw_Data!D121)</f>
        <v>BR04</v>
      </c>
      <c r="E121" t="str">
        <f ca="1">PROPER(TRIM(Raw_Data!E121))</f>
        <v>Premium</v>
      </c>
      <c r="F121" s="2">
        <f>IFERROR(DATEVALUE(Raw_Data!F121), Raw_Data!F121)</f>
        <v>45681</v>
      </c>
      <c r="G121" s="2">
        <f>IFERROR(
    IF(
        IFERROR(DATEVALUE(Raw_Data!G121), Raw_Data!G121) &lt;
        IFERROR(DATEVALUE(Raw_Data!F121), Raw_Data!F121),
        IFERROR(DATEVALUE(Raw_Data!F121), Raw_Data!F121) + 30,
        IFERROR(DATEVALUE(Raw_Data!G121), Raw_Data!G121)
    ),
    ""
)</f>
        <v>45771</v>
      </c>
      <c r="H121">
        <f>IFERROR(VALUE(Raw_Data!H121), "")</f>
        <v>2000</v>
      </c>
      <c r="I121">
        <f ca="1">IFERROR(VALUE(Raw_Data!I121), "")</f>
        <v>24000</v>
      </c>
      <c r="J121">
        <f>IFERROR(
    VALUE(SUBSTITUTE(Raw_Data!J121," visits","")),
    ""
)</f>
        <v>16</v>
      </c>
      <c r="K121" t="str">
        <f ca="1">IF(TRIM(Raw_Data!K121)="","No",PROPER(TRIM(Raw_Data!K121)))</f>
        <v>Yes</v>
      </c>
      <c r="L121" t="str">
        <f ca="1">PROPER(TRIM(Raw_Data!L121))</f>
        <v>General Fitness</v>
      </c>
      <c r="M121" t="s">
        <v>151</v>
      </c>
      <c r="N121" s="2">
        <f>IFERROR(DATEVALUE(Raw_Data!N121), Raw_Data!N121)</f>
        <v>46085</v>
      </c>
      <c r="O121" s="2"/>
      <c r="P121" t="str">
        <f>IF(COUNTIF($A$2:A121,A121)&gt;1,"Duplicate","Unique")</f>
        <v>Unique</v>
      </c>
      <c r="Q121" t="str">
        <f t="shared" si="2"/>
        <v>OK</v>
      </c>
      <c r="R121" t="str">
        <f t="shared" si="3"/>
        <v>Available</v>
      </c>
    </row>
    <row r="122" spans="1:18">
      <c r="A122" t="str">
        <f>TRIM(CLEAN(Raw_Data!A122))</f>
        <v>MEM0121</v>
      </c>
      <c r="B122" t="str">
        <f ca="1">TRIM(Raw_Data!B122)</f>
        <v>Karthik Banerjee</v>
      </c>
      <c r="C122" t="str">
        <f ca="1">_xlfn.XLOOKUP(D122, Branch_Master!A:A, Branch_Master!B:B)</f>
        <v>Hyderabad</v>
      </c>
      <c r="D122" t="str">
        <f ca="1">TRIM(Raw_Data!D122)</f>
        <v>BR04</v>
      </c>
      <c r="E122" t="str">
        <f ca="1">PROPER(TRIM(Raw_Data!E122))</f>
        <v>Standard</v>
      </c>
      <c r="F122" s="2">
        <f>IFERROR(DATEVALUE(Raw_Data!F122), Raw_Data!F122)</f>
        <v>44971</v>
      </c>
      <c r="G122" s="2">
        <f>IFERROR(
    IF(
        IFERROR(DATEVALUE(Raw_Data!G122), Raw_Data!G122) &lt;
        IFERROR(DATEVALUE(Raw_Data!F122), Raw_Data!F122),
        IFERROR(DATEVALUE(Raw_Data!F122), Raw_Data!F122) + 30,
        IFERROR(DATEVALUE(Raw_Data!G122), Raw_Data!G122)
    ),
    ""
)</f>
        <v>45061</v>
      </c>
      <c r="H122">
        <f>IFERROR(VALUE(Raw_Data!H122), "")</f>
        <v>2000</v>
      </c>
      <c r="I122">
        <f ca="1">IFERROR(VALUE(Raw_Data!I122), "")</f>
        <v>2000</v>
      </c>
      <c r="J122">
        <f>IFERROR(
    VALUE(SUBSTITUTE(Raw_Data!J122," visits","")),
    ""
)</f>
        <v>22</v>
      </c>
      <c r="K122" t="str">
        <f ca="1">IF(TRIM(Raw_Data!K122)="","No",PROPER(TRIM(Raw_Data!K122)))</f>
        <v>Yes</v>
      </c>
      <c r="L122" t="str">
        <f ca="1">PROPER(TRIM(Raw_Data!L122))</f>
        <v>General Fitness</v>
      </c>
      <c r="M122" t="s">
        <v>151</v>
      </c>
      <c r="N122" s="2">
        <f>IFERROR(DATEVALUE(Raw_Data!N122), Raw_Data!N122)</f>
        <v>45883</v>
      </c>
      <c r="O122" s="2"/>
      <c r="P122" t="str">
        <f>IF(COUNTIF($A$2:A122,A122)&gt;1,"Duplicate","Unique")</f>
        <v>Unique</v>
      </c>
      <c r="Q122" t="str">
        <f t="shared" si="2"/>
        <v>OK</v>
      </c>
      <c r="R122" t="str">
        <f t="shared" si="3"/>
        <v>Available</v>
      </c>
    </row>
    <row r="123" spans="1:18">
      <c r="A123" t="str">
        <f>TRIM(CLEAN(Raw_Data!A123))</f>
        <v>MEM0122</v>
      </c>
      <c r="B123" t="str">
        <f ca="1">TRIM(Raw_Data!B123)</f>
        <v>Nisha Chatterjee</v>
      </c>
      <c r="C123" t="str">
        <f ca="1">_xlfn.XLOOKUP(D123, Branch_Master!A:A, Branch_Master!B:B)</f>
        <v>Calicut</v>
      </c>
      <c r="D123" t="str">
        <f ca="1">TRIM(Raw_Data!D123)</f>
        <v>BR07</v>
      </c>
      <c r="E123" t="str">
        <f ca="1">PROPER(TRIM(Raw_Data!E123))</f>
        <v>Premium</v>
      </c>
      <c r="F123" s="2">
        <f>IFERROR(DATEVALUE(Raw_Data!F123), Raw_Data!F123)</f>
        <v>45791</v>
      </c>
      <c r="G123" s="2">
        <f>IFERROR(
    IF(
        IFERROR(DATEVALUE(Raw_Data!G123), Raw_Data!G123) &lt;
        IFERROR(DATEVALUE(Raw_Data!F123), Raw_Data!F123),
        IFERROR(DATEVALUE(Raw_Data!F123), Raw_Data!F123) + 30,
        IFERROR(DATEVALUE(Raw_Data!G123), Raw_Data!G123)
    ),
    ""
)</f>
        <v>45881</v>
      </c>
      <c r="H123">
        <f>IFERROR(VALUE(Raw_Data!H123), "")</f>
        <v>1000</v>
      </c>
      <c r="I123">
        <f ca="1">IFERROR(VALUE(Raw_Data!I123), "")</f>
        <v>6000</v>
      </c>
      <c r="J123">
        <f>IFERROR(
    VALUE(SUBSTITUTE(Raw_Data!J123," visits","")),
    ""
)</f>
        <v>11</v>
      </c>
      <c r="K123" t="str">
        <f ca="1">IF(TRIM(Raw_Data!K123)="","No",PROPER(TRIM(Raw_Data!K123)))</f>
        <v>No</v>
      </c>
      <c r="L123" t="str">
        <f ca="1">PROPER(TRIM(Raw_Data!L123))</f>
        <v>Weight Loss</v>
      </c>
      <c r="M123" t="s">
        <v>151</v>
      </c>
      <c r="N123" s="2">
        <f>IFERROR(DATEVALUE(Raw_Data!N123), Raw_Data!N123)</f>
        <v>45935</v>
      </c>
      <c r="O123" s="2"/>
      <c r="P123" t="str">
        <f>IF(COUNTIF($A$2:A123,A123)&gt;1,"Duplicate","Unique")</f>
        <v>Unique</v>
      </c>
      <c r="Q123" t="str">
        <f t="shared" si="2"/>
        <v>OK</v>
      </c>
      <c r="R123" t="str">
        <f t="shared" si="3"/>
        <v>Available</v>
      </c>
    </row>
    <row r="124" spans="1:18">
      <c r="A124" t="str">
        <f>TRIM(CLEAN(Raw_Data!A124))</f>
        <v>MEM0123</v>
      </c>
      <c r="B124" t="str">
        <f ca="1">TRIM(Raw_Data!B124)</f>
        <v>Anjali Shaikh</v>
      </c>
      <c r="C124" t="str">
        <f ca="1">_xlfn.XLOOKUP(D124, Branch_Master!A:A, Branch_Master!B:B)</f>
        <v>Trivandrum</v>
      </c>
      <c r="D124" t="str">
        <f ca="1">TRIM(Raw_Data!D124)</f>
        <v>BR06</v>
      </c>
      <c r="E124" t="str">
        <f ca="1">PROPER(TRIM(Raw_Data!E124))</f>
        <v>Standard</v>
      </c>
      <c r="F124" s="2">
        <f>IFERROR(DATEVALUE(Raw_Data!F124), Raw_Data!F124)</f>
        <v>45724</v>
      </c>
      <c r="G124" s="2">
        <f>IFERROR(
    IF(
        IFERROR(DATEVALUE(Raw_Data!G124), Raw_Data!G124) &lt;
        IFERROR(DATEVALUE(Raw_Data!F124), Raw_Data!F124),
        IFERROR(DATEVALUE(Raw_Data!F124), Raw_Data!F124) + 30,
        IFERROR(DATEVALUE(Raw_Data!G124), Raw_Data!G124)
    ),
    ""
)</f>
        <v>46089</v>
      </c>
      <c r="H124">
        <f>IFERROR(VALUE(Raw_Data!H124), "")</f>
        <v>3500</v>
      </c>
      <c r="I124">
        <f ca="1">IFERROR(VALUE(Raw_Data!I124), "")</f>
        <v>7000</v>
      </c>
      <c r="J124">
        <f>IFERROR(
    VALUE(SUBSTITUTE(Raw_Data!J124," visits","")),
    ""
)</f>
        <v>21</v>
      </c>
      <c r="K124" t="str">
        <f ca="1">IF(TRIM(Raw_Data!K124)="","No",PROPER(TRIM(Raw_Data!K124)))</f>
        <v>Yes</v>
      </c>
      <c r="L124" t="str">
        <f ca="1">PROPER(TRIM(Raw_Data!L124))</f>
        <v>Muscle Gain</v>
      </c>
      <c r="M124" t="s">
        <v>151</v>
      </c>
      <c r="N124" s="2">
        <f>IFERROR(DATEVALUE(Raw_Data!N124), Raw_Data!N124)</f>
        <v>46046</v>
      </c>
      <c r="O124" s="2"/>
      <c r="P124" t="str">
        <f>IF(COUNTIF($A$2:A124,A124)&gt;1,"Duplicate","Unique")</f>
        <v>Unique</v>
      </c>
      <c r="Q124" t="str">
        <f t="shared" si="2"/>
        <v>OK</v>
      </c>
      <c r="R124" t="str">
        <f t="shared" si="3"/>
        <v>Available</v>
      </c>
    </row>
    <row r="125" spans="1:18">
      <c r="A125" t="str">
        <f>TRIM(CLEAN(Raw_Data!A125))</f>
        <v>MEM0124</v>
      </c>
      <c r="B125" t="str">
        <f ca="1">TRIM(Raw_Data!B125)</f>
        <v>Kavya Nair</v>
      </c>
      <c r="C125" t="str">
        <f ca="1">_xlfn.XLOOKUP(D125, Branch_Master!A:A, Branch_Master!B:B)</f>
        <v>Trivandrum</v>
      </c>
      <c r="D125" t="str">
        <f ca="1">TRIM(Raw_Data!D125)</f>
        <v>BR06</v>
      </c>
      <c r="E125" t="str">
        <f ca="1">PROPER(TRIM(Raw_Data!E125))</f>
        <v>Premium</v>
      </c>
      <c r="F125" s="2">
        <f>IFERROR(DATEVALUE(Raw_Data!F125), Raw_Data!F125)</f>
        <v>45815</v>
      </c>
      <c r="G125" s="2">
        <f>IFERROR(
    IF(
        IFERROR(DATEVALUE(Raw_Data!G125), Raw_Data!G125) &lt;
        IFERROR(DATEVALUE(Raw_Data!F125), Raw_Data!F125),
        IFERROR(DATEVALUE(Raw_Data!F125), Raw_Data!F125) + 30,
        IFERROR(DATEVALUE(Raw_Data!G125), Raw_Data!G125)
    ),
    ""
)</f>
        <v>45845</v>
      </c>
      <c r="H125">
        <f>IFERROR(VALUE(Raw_Data!H125), "")</f>
        <v>1000</v>
      </c>
      <c r="I125">
        <f ca="1">IFERROR(VALUE(Raw_Data!I125), "")</f>
        <v>7000</v>
      </c>
      <c r="J125">
        <f>IFERROR(
    VALUE(SUBSTITUTE(Raw_Data!J125," visits","")),
    ""
)</f>
        <v>11</v>
      </c>
      <c r="K125" t="str">
        <f ca="1">IF(TRIM(Raw_Data!K125)="","No",PROPER(TRIM(Raw_Data!K125)))</f>
        <v>Yes</v>
      </c>
      <c r="L125" t="str">
        <f ca="1">PROPER(TRIM(Raw_Data!L125))</f>
        <v>Muscle Gain</v>
      </c>
      <c r="M125" t="s">
        <v>151</v>
      </c>
      <c r="N125" s="2">
        <f>IFERROR(DATEVALUE(Raw_Data!N125), Raw_Data!N125)</f>
        <v>45963</v>
      </c>
      <c r="O125" s="2"/>
      <c r="P125" t="str">
        <f>IF(COUNTIF($A$2:A125,A125)&gt;1,"Duplicate","Unique")</f>
        <v>Unique</v>
      </c>
      <c r="Q125" t="str">
        <f t="shared" si="2"/>
        <v>OK</v>
      </c>
      <c r="R125" t="str">
        <f t="shared" si="3"/>
        <v>Available</v>
      </c>
    </row>
    <row r="126" spans="1:18">
      <c r="A126" t="str">
        <f>TRIM(CLEAN(Raw_Data!A126))</f>
        <v>MEM0125</v>
      </c>
      <c r="B126" t="str">
        <f ca="1">TRIM(Raw_Data!B126)</f>
        <v>Rohit Kapoor</v>
      </c>
      <c r="C126" t="str">
        <f ca="1">_xlfn.XLOOKUP(D126, Branch_Master!A:A, Branch_Master!B:B)</f>
        <v>Bangalore</v>
      </c>
      <c r="D126" t="str">
        <f ca="1">TRIM(Raw_Data!D126)</f>
        <v>BR02</v>
      </c>
      <c r="E126" t="str">
        <f ca="1">PROPER(TRIM(Raw_Data!E126))</f>
        <v>Premium</v>
      </c>
      <c r="F126" s="2">
        <f>IFERROR(DATEVALUE(Raw_Data!F126), Raw_Data!F126)</f>
        <v>45895</v>
      </c>
      <c r="G126" s="2">
        <f>IFERROR(
    IF(
        IFERROR(DATEVALUE(Raw_Data!G126), Raw_Data!G126) &lt;
        IFERROR(DATEVALUE(Raw_Data!F126), Raw_Data!F126),
        IFERROR(DATEVALUE(Raw_Data!F126), Raw_Data!F126) + 30,
        IFERROR(DATEVALUE(Raw_Data!G126), Raw_Data!G126)
    ),
    ""
)</f>
        <v>45925</v>
      </c>
      <c r="H126">
        <f>IFERROR(VALUE(Raw_Data!H126), "")</f>
        <v>2000</v>
      </c>
      <c r="I126">
        <f ca="1">IFERROR(VALUE(Raw_Data!I126), "")</f>
        <v>10000</v>
      </c>
      <c r="J126">
        <f>IFERROR(
    VALUE(SUBSTITUTE(Raw_Data!J126," visits","")),
    ""
)</f>
        <v>16</v>
      </c>
      <c r="K126" t="str">
        <f ca="1">IF(TRIM(Raw_Data!K126)="","No",PROPER(TRIM(Raw_Data!K126)))</f>
        <v>Yes</v>
      </c>
      <c r="L126" t="str">
        <f ca="1">PROPER(TRIM(Raw_Data!L126))</f>
        <v>Muscle Gain</v>
      </c>
      <c r="M126" t="s">
        <v>152</v>
      </c>
      <c r="N126" s="2">
        <f>IFERROR(DATEVALUE(Raw_Data!N126), Raw_Data!N126)</f>
        <v>45994</v>
      </c>
      <c r="O126" s="2"/>
      <c r="P126" t="str">
        <f>IF(COUNTIF($A$2:A126,A126)&gt;1,"Duplicate","Unique")</f>
        <v>Unique</v>
      </c>
      <c r="Q126" t="str">
        <f t="shared" si="2"/>
        <v>Cancelled but Active</v>
      </c>
      <c r="R126" t="str">
        <f t="shared" si="3"/>
        <v>Available</v>
      </c>
    </row>
    <row r="127" spans="1:18">
      <c r="A127" t="str">
        <f>TRIM(CLEAN(Raw_Data!A127))</f>
        <v>MEM0126</v>
      </c>
      <c r="B127" t="str">
        <f ca="1">TRIM(Raw_Data!B127)</f>
        <v>Pooja Das</v>
      </c>
      <c r="C127" t="str">
        <f ca="1">_xlfn.XLOOKUP(D127, Branch_Master!A:A, Branch_Master!B:B)</f>
        <v>Hyderabad</v>
      </c>
      <c r="D127" t="str">
        <f ca="1">TRIM(Raw_Data!D127)</f>
        <v>BR04</v>
      </c>
      <c r="E127" t="str">
        <f ca="1">PROPER(TRIM(Raw_Data!E127))</f>
        <v>Basic</v>
      </c>
      <c r="F127" s="2">
        <f>IFERROR(DATEVALUE(Raw_Data!F127), Raw_Data!F127)</f>
        <v>45191</v>
      </c>
      <c r="G127" s="2">
        <f>IFERROR(
    IF(
        IFERROR(DATEVALUE(Raw_Data!G127), Raw_Data!G127) &lt;
        IFERROR(DATEVALUE(Raw_Data!F127), Raw_Data!F127),
        IFERROR(DATEVALUE(Raw_Data!F127), Raw_Data!F127) + 30,
        IFERROR(DATEVALUE(Raw_Data!G127), Raw_Data!G127)
    ),
    ""
)</f>
        <v>45281</v>
      </c>
      <c r="H127">
        <f>IFERROR(VALUE(Raw_Data!H127), "")</f>
        <v>1000</v>
      </c>
      <c r="I127">
        <f ca="1">IFERROR(VALUE(Raw_Data!I127), "")</f>
        <v>9000</v>
      </c>
      <c r="J127">
        <f>IFERROR(
    VALUE(SUBSTITUTE(Raw_Data!J127," visits","")),
    ""
)</f>
        <v>15</v>
      </c>
      <c r="K127" t="str">
        <f ca="1">IF(TRIM(Raw_Data!K127)="","No",PROPER(TRIM(Raw_Data!K127)))</f>
        <v>Yes</v>
      </c>
      <c r="L127" t="str">
        <f ca="1">PROPER(TRIM(Raw_Data!L127))</f>
        <v>General Fitness</v>
      </c>
      <c r="M127" t="s">
        <v>151</v>
      </c>
      <c r="N127" s="2">
        <f>IFERROR(DATEVALUE(Raw_Data!N127), Raw_Data!N127)</f>
        <v>45591</v>
      </c>
      <c r="O127" s="2"/>
      <c r="P127" t="str">
        <f>IF(COUNTIF($A$2:A127,A127)&gt;1,"Duplicate","Unique")</f>
        <v>Unique</v>
      </c>
      <c r="Q127" t="str">
        <f t="shared" si="2"/>
        <v>OK</v>
      </c>
      <c r="R127" t="str">
        <f t="shared" si="3"/>
        <v>Available</v>
      </c>
    </row>
    <row r="128" spans="1:18">
      <c r="A128" t="str">
        <f>TRIM(CLEAN(Raw_Data!A128))</f>
        <v>MEM0127</v>
      </c>
      <c r="B128" t="str">
        <f ca="1">TRIM(Raw_Data!B128)</f>
        <v>Lakshmi Shaikh</v>
      </c>
      <c r="C128" t="str">
        <f ca="1">_xlfn.XLOOKUP(D128, Branch_Master!A:A, Branch_Master!B:B)</f>
        <v>Kochi</v>
      </c>
      <c r="D128" t="str">
        <f ca="1">TRIM(Raw_Data!D128)</f>
        <v>BR01</v>
      </c>
      <c r="E128" t="str">
        <f ca="1">PROPER(TRIM(Raw_Data!E128))</f>
        <v>Premium</v>
      </c>
      <c r="F128" s="2">
        <f>IFERROR(DATEVALUE(Raw_Data!F128), Raw_Data!F128)</f>
        <v>45500</v>
      </c>
      <c r="G128" s="2">
        <f>IFERROR(
    IF(
        IFERROR(DATEVALUE(Raw_Data!G128), Raw_Data!G128) &lt;
        IFERROR(DATEVALUE(Raw_Data!F128), Raw_Data!F128),
        IFERROR(DATEVALUE(Raw_Data!F128), Raw_Data!F128) + 30,
        IFERROR(DATEVALUE(Raw_Data!G128), Raw_Data!G128)
    ),
    ""
)</f>
        <v>45530</v>
      </c>
      <c r="H128">
        <f>IFERROR(VALUE(Raw_Data!H128), "")</f>
        <v>3500</v>
      </c>
      <c r="I128">
        <f ca="1">IFERROR(VALUE(Raw_Data!I128), "")</f>
        <v>31500</v>
      </c>
      <c r="J128">
        <f>IFERROR(
    VALUE(SUBSTITUTE(Raw_Data!J128," visits","")),
    ""
)</f>
        <v>6</v>
      </c>
      <c r="K128" t="str">
        <f ca="1">IF(TRIM(Raw_Data!K128)="","No",PROPER(TRIM(Raw_Data!K128)))</f>
        <v>Yes</v>
      </c>
      <c r="L128" t="str">
        <f ca="1">PROPER(TRIM(Raw_Data!L128))</f>
        <v>Muscle Gain</v>
      </c>
      <c r="M128" t="s">
        <v>151</v>
      </c>
      <c r="N128" s="2">
        <f>IFERROR(DATEVALUE(Raw_Data!N128), Raw_Data!N128)</f>
        <v>46019</v>
      </c>
      <c r="O128" s="2"/>
      <c r="P128" t="str">
        <f>IF(COUNTIF($A$2:A128,A128)&gt;1,"Duplicate","Unique")</f>
        <v>Unique</v>
      </c>
      <c r="Q128" t="str">
        <f t="shared" si="2"/>
        <v>OK</v>
      </c>
      <c r="R128" t="str">
        <f t="shared" si="3"/>
        <v>Available</v>
      </c>
    </row>
    <row r="129" spans="1:18">
      <c r="A129" t="str">
        <f>TRIM(CLEAN(Raw_Data!A129))</f>
        <v>MEM0128</v>
      </c>
      <c r="B129" t="str">
        <f ca="1">TRIM(Raw_Data!B129)</f>
        <v>Kavya Yadav</v>
      </c>
      <c r="C129" t="str">
        <f ca="1">_xlfn.XLOOKUP(D129, Branch_Master!A:A, Branch_Master!B:B)</f>
        <v>Chennai</v>
      </c>
      <c r="D129" t="str">
        <f ca="1">TRIM(Raw_Data!D129)</f>
        <v>BR03</v>
      </c>
      <c r="E129" t="str">
        <f ca="1">PROPER(TRIM(Raw_Data!E129))</f>
        <v>Standard</v>
      </c>
      <c r="F129" s="2">
        <f>IFERROR(DATEVALUE(Raw_Data!F129), Raw_Data!F129)</f>
        <v>44998</v>
      </c>
      <c r="G129" s="2">
        <f>IFERROR(
    IF(
        IFERROR(DATEVALUE(Raw_Data!G129), Raw_Data!G129) &lt;
        IFERROR(DATEVALUE(Raw_Data!F129), Raw_Data!F129),
        IFERROR(DATEVALUE(Raw_Data!F129), Raw_Data!F129) + 30,
        IFERROR(DATEVALUE(Raw_Data!G129), Raw_Data!G129)
    ),
    ""
)</f>
        <v>45088</v>
      </c>
      <c r="H129">
        <f>IFERROR(VALUE(Raw_Data!H129), "")</f>
        <v>2000</v>
      </c>
      <c r="I129">
        <f ca="1">IFERROR(VALUE(Raw_Data!I129), "")</f>
        <v>6000</v>
      </c>
      <c r="J129">
        <f>IFERROR(
    VALUE(SUBSTITUTE(Raw_Data!J129," visits","")),
    ""
)</f>
        <v>11</v>
      </c>
      <c r="K129" t="str">
        <f ca="1">IF(TRIM(Raw_Data!K129)="","No",PROPER(TRIM(Raw_Data!K129)))</f>
        <v>Yes</v>
      </c>
      <c r="L129" t="str">
        <f ca="1">PROPER(TRIM(Raw_Data!L129))</f>
        <v>Weight Loss</v>
      </c>
      <c r="M129" t="s">
        <v>151</v>
      </c>
      <c r="N129" s="2">
        <f>IFERROR(DATEVALUE(Raw_Data!N129), Raw_Data!N129)</f>
        <v>45377</v>
      </c>
      <c r="O129" s="2"/>
      <c r="P129" t="str">
        <f>IF(COUNTIF($A$2:A129,A129)&gt;1,"Duplicate","Unique")</f>
        <v>Unique</v>
      </c>
      <c r="Q129" t="str">
        <f t="shared" si="2"/>
        <v>OK</v>
      </c>
      <c r="R129" t="str">
        <f t="shared" si="3"/>
        <v>Available</v>
      </c>
    </row>
    <row r="130" spans="1:18">
      <c r="A130" t="str">
        <f>TRIM(CLEAN(Raw_Data!A130))</f>
        <v>MEM0129</v>
      </c>
      <c r="B130" t="str">
        <f ca="1">TRIM(Raw_Data!B130)</f>
        <v>Vivek Kapoor</v>
      </c>
      <c r="C130" t="str">
        <f ca="1">_xlfn.XLOOKUP(D130, Branch_Master!A:A, Branch_Master!B:B)</f>
        <v>Calicut</v>
      </c>
      <c r="D130" t="str">
        <f ca="1">TRIM(Raw_Data!D130)</f>
        <v>BR07</v>
      </c>
      <c r="E130" t="str">
        <f ca="1">PROPER(TRIM(Raw_Data!E130))</f>
        <v>Premium</v>
      </c>
      <c r="F130" s="2">
        <f>IFERROR(DATEVALUE(Raw_Data!F130), Raw_Data!F130)</f>
        <v>45556</v>
      </c>
      <c r="G130" s="2">
        <f>IFERROR(
    IF(
        IFERROR(DATEVALUE(Raw_Data!G130), Raw_Data!G130) &lt;
        IFERROR(DATEVALUE(Raw_Data!F130), Raw_Data!F130),
        IFERROR(DATEVALUE(Raw_Data!F130), Raw_Data!F130) + 30,
        IFERROR(DATEVALUE(Raw_Data!G130), Raw_Data!G130)
    ),
    ""
)</f>
        <v>45921</v>
      </c>
      <c r="H130">
        <f>IFERROR(VALUE(Raw_Data!H130), "")</f>
        <v>2000</v>
      </c>
      <c r="I130">
        <f ca="1">IFERROR(VALUE(Raw_Data!I130), "")</f>
        <v>18000</v>
      </c>
      <c r="J130">
        <f>IFERROR(
    VALUE(SUBSTITUTE(Raw_Data!J130," visits","")),
    ""
)</f>
        <v>18</v>
      </c>
      <c r="K130" t="str">
        <f ca="1">IF(TRIM(Raw_Data!K130)="","No",PROPER(TRIM(Raw_Data!K130)))</f>
        <v>No</v>
      </c>
      <c r="L130" t="str">
        <f ca="1">PROPER(TRIM(Raw_Data!L130))</f>
        <v>Muscle Gain</v>
      </c>
      <c r="M130" t="s">
        <v>151</v>
      </c>
      <c r="N130" s="2">
        <f>IFERROR(DATEVALUE(Raw_Data!N130), Raw_Data!N130)</f>
        <v>46114</v>
      </c>
      <c r="O130" s="2"/>
      <c r="P130" t="str">
        <f>IF(COUNTIF($A$2:A130,A130)&gt;1,"Duplicate","Unique")</f>
        <v>Unique</v>
      </c>
      <c r="Q130" t="str">
        <f t="shared" si="2"/>
        <v>OK</v>
      </c>
      <c r="R130" t="str">
        <f t="shared" si="3"/>
        <v>Available</v>
      </c>
    </row>
    <row r="131" spans="1:18">
      <c r="A131" t="str">
        <f>TRIM(CLEAN(Raw_Data!A131))</f>
        <v>MEM0130</v>
      </c>
      <c r="B131" t="str">
        <f ca="1">TRIM(Raw_Data!B131)</f>
        <v>Vivek Naidu</v>
      </c>
      <c r="C131" t="str">
        <f ca="1">_xlfn.XLOOKUP(D131, Branch_Master!A:A, Branch_Master!B:B)</f>
        <v>Bangalore</v>
      </c>
      <c r="D131" t="str">
        <f ca="1">TRIM(Raw_Data!D131)</f>
        <v>BR02</v>
      </c>
      <c r="E131" t="str">
        <f ca="1">PROPER(TRIM(Raw_Data!E131))</f>
        <v>Premium</v>
      </c>
      <c r="F131" s="2">
        <f>IFERROR(DATEVALUE(Raw_Data!F131), Raw_Data!F131)</f>
        <v>45625</v>
      </c>
      <c r="G131" s="2">
        <f>IFERROR(
    IF(
        IFERROR(DATEVALUE(Raw_Data!G131), Raw_Data!G131) &lt;
        IFERROR(DATEVALUE(Raw_Data!F131), Raw_Data!F131),
        IFERROR(DATEVALUE(Raw_Data!F131), Raw_Data!F131) + 30,
        IFERROR(DATEVALUE(Raw_Data!G131), Raw_Data!G131)
    ),
    ""
)</f>
        <v>45990</v>
      </c>
      <c r="H131">
        <f>IFERROR(VALUE(Raw_Data!H131), "")</f>
        <v>1000</v>
      </c>
      <c r="I131">
        <f ca="1">IFERROR(VALUE(Raw_Data!I131), "")</f>
        <v>12000</v>
      </c>
      <c r="J131">
        <f>IFERROR(
    VALUE(SUBSTITUTE(Raw_Data!J131," visits","")),
    ""
)</f>
        <v>5</v>
      </c>
      <c r="K131" t="str">
        <f ca="1">IF(TRIM(Raw_Data!K131)="","No",PROPER(TRIM(Raw_Data!K131)))</f>
        <v>No</v>
      </c>
      <c r="L131" t="str">
        <f ca="1">PROPER(TRIM(Raw_Data!L131))</f>
        <v>Muscle Gain</v>
      </c>
      <c r="M131" t="s">
        <v>152</v>
      </c>
      <c r="N131" s="2">
        <f>IFERROR(DATEVALUE(Raw_Data!N131), Raw_Data!N131)</f>
        <v>45637</v>
      </c>
      <c r="O131" s="2"/>
      <c r="P131" t="str">
        <f>IF(COUNTIF($A$2:A131,A131)&gt;1,"Duplicate","Unique")</f>
        <v>Unique</v>
      </c>
      <c r="Q131" t="str">
        <f t="shared" ref="Q131:Q194" si="4">IF(G131&lt;F131,"Expiry Error",
IF(AND(M131="Cancelled",N131&lt;&gt;""),"Cancelled but Active",
IF(J131&gt;30,"Invalid Attendance","OK")))</f>
        <v>Cancelled but Active</v>
      </c>
      <c r="R131" t="str">
        <f t="shared" ref="R131:R194" si="5">IF(N131="","Missing","Available")</f>
        <v>Available</v>
      </c>
    </row>
    <row r="132" spans="1:18">
      <c r="A132" t="str">
        <f>TRIM(CLEAN(Raw_Data!A132))</f>
        <v>MEM0131</v>
      </c>
      <c r="B132" t="str">
        <f ca="1">TRIM(Raw_Data!B132)</f>
        <v>Rohit Joseph</v>
      </c>
      <c r="C132" t="str">
        <f ca="1">_xlfn.XLOOKUP(D132, Branch_Master!A:A, Branch_Master!B:B)</f>
        <v>Bangalore</v>
      </c>
      <c r="D132" t="str">
        <f ca="1">TRIM(Raw_Data!D132)</f>
        <v>BR02</v>
      </c>
      <c r="E132" t="str">
        <f ca="1">PROPER(TRIM(Raw_Data!E132))</f>
        <v>Standard</v>
      </c>
      <c r="F132" s="2">
        <f>IFERROR(DATEVALUE(Raw_Data!F132), Raw_Data!F132)</f>
        <v>45057</v>
      </c>
      <c r="G132" s="2">
        <f>IFERROR(
    IF(
        IFERROR(DATEVALUE(Raw_Data!G132), Raw_Data!G132) &lt;
        IFERROR(DATEVALUE(Raw_Data!F132), Raw_Data!F132),
        IFERROR(DATEVALUE(Raw_Data!F132), Raw_Data!F132) + 30,
        IFERROR(DATEVALUE(Raw_Data!G132), Raw_Data!G132)
    ),
    ""
)</f>
        <v>45087</v>
      </c>
      <c r="H132">
        <f>IFERROR(VALUE(Raw_Data!H132), "")</f>
        <v>1000</v>
      </c>
      <c r="I132">
        <f ca="1">IFERROR(VALUE(Raw_Data!I132), "")</f>
        <v>5000</v>
      </c>
      <c r="J132">
        <f>IFERROR(
    VALUE(SUBSTITUTE(Raw_Data!J132," visits","")),
    ""
)</f>
        <v>19</v>
      </c>
      <c r="K132" t="str">
        <f ca="1">IF(TRIM(Raw_Data!K132)="","No",PROPER(TRIM(Raw_Data!K132)))</f>
        <v>Yes</v>
      </c>
      <c r="L132" t="str">
        <f ca="1">PROPER(TRIM(Raw_Data!L132))</f>
        <v>Muscle Gain</v>
      </c>
      <c r="M132" t="s">
        <v>151</v>
      </c>
      <c r="N132" s="2">
        <f>IFERROR(DATEVALUE(Raw_Data!N132), Raw_Data!N132)</f>
        <v>46062</v>
      </c>
      <c r="O132" s="2"/>
      <c r="P132" t="str">
        <f>IF(COUNTIF($A$2:A132,A132)&gt;1,"Duplicate","Unique")</f>
        <v>Unique</v>
      </c>
      <c r="Q132" t="str">
        <f t="shared" si="4"/>
        <v>OK</v>
      </c>
      <c r="R132" t="str">
        <f t="shared" si="5"/>
        <v>Available</v>
      </c>
    </row>
    <row r="133" spans="1:18">
      <c r="A133" t="str">
        <f>TRIM(CLEAN(Raw_Data!A133))</f>
        <v>MEM0132</v>
      </c>
      <c r="B133" t="str">
        <f ca="1">TRIM(Raw_Data!B133)</f>
        <v>Vivek Sharma</v>
      </c>
      <c r="C133" t="str">
        <f ca="1">_xlfn.XLOOKUP(D133, Branch_Master!A:A, Branch_Master!B:B)</f>
        <v>Bangalore</v>
      </c>
      <c r="D133" t="str">
        <f ca="1">TRIM(Raw_Data!D133)</f>
        <v>BR02</v>
      </c>
      <c r="E133" t="str">
        <f ca="1">PROPER(TRIM(Raw_Data!E133))</f>
        <v>Premium</v>
      </c>
      <c r="F133" s="2">
        <f>IFERROR(DATEVALUE(Raw_Data!F133), Raw_Data!F133)</f>
        <v>45708</v>
      </c>
      <c r="G133" s="2">
        <f>IFERROR(
    IF(
        IFERROR(DATEVALUE(Raw_Data!G133), Raw_Data!G133) &lt;
        IFERROR(DATEVALUE(Raw_Data!F133), Raw_Data!F133),
        IFERROR(DATEVALUE(Raw_Data!F133), Raw_Data!F133) + 30,
        IFERROR(DATEVALUE(Raw_Data!G133), Raw_Data!G133)
    ),
    ""
)</f>
        <v>46073</v>
      </c>
      <c r="H133">
        <f>IFERROR(VALUE(Raw_Data!H133), "")</f>
        <v>3500</v>
      </c>
      <c r="I133">
        <f ca="1">IFERROR(VALUE(Raw_Data!I133), "")</f>
        <v>28000</v>
      </c>
      <c r="J133">
        <f>IFERROR(
    VALUE(SUBSTITUTE(Raw_Data!J133," visits","")),
    ""
)</f>
        <v>18</v>
      </c>
      <c r="K133" t="str">
        <f ca="1">IF(TRIM(Raw_Data!K133)="","No",PROPER(TRIM(Raw_Data!K133)))</f>
        <v>No</v>
      </c>
      <c r="L133" t="str">
        <f ca="1">PROPER(TRIM(Raw_Data!L133))</f>
        <v>Weight Loss</v>
      </c>
      <c r="M133" t="s">
        <v>151</v>
      </c>
      <c r="N133" s="2">
        <f>IFERROR(DATEVALUE(Raw_Data!N133), Raw_Data!N133)</f>
        <v>45842</v>
      </c>
      <c r="O133" s="2"/>
      <c r="P133" t="str">
        <f>IF(COUNTIF($A$2:A133,A133)&gt;1,"Duplicate","Unique")</f>
        <v>Unique</v>
      </c>
      <c r="Q133" t="str">
        <f t="shared" si="4"/>
        <v>OK</v>
      </c>
      <c r="R133" t="str">
        <f t="shared" si="5"/>
        <v>Available</v>
      </c>
    </row>
    <row r="134" spans="1:18">
      <c r="A134" t="str">
        <f>TRIM(CLEAN(Raw_Data!A134))</f>
        <v>MEM0133</v>
      </c>
      <c r="B134" t="str">
        <f ca="1">TRIM(Raw_Data!B134)</f>
        <v>Nikhil Verma</v>
      </c>
      <c r="C134" t="str">
        <f ca="1">_xlfn.XLOOKUP(D134, Branch_Master!A:A, Branch_Master!B:B)</f>
        <v>Mumbai</v>
      </c>
      <c r="D134" t="str">
        <f ca="1">TRIM(Raw_Data!D134)</f>
        <v>BR05</v>
      </c>
      <c r="E134" t="str">
        <f ca="1">PROPER(TRIM(Raw_Data!E134))</f>
        <v>Standard</v>
      </c>
      <c r="F134" s="2">
        <f>IFERROR(DATEVALUE(Raw_Data!F134), Raw_Data!F134)</f>
        <v>46018</v>
      </c>
      <c r="G134" s="2">
        <f>IFERROR(
    IF(
        IFERROR(DATEVALUE(Raw_Data!G134), Raw_Data!G134) &lt;
        IFERROR(DATEVALUE(Raw_Data!F134), Raw_Data!F134),
        IFERROR(DATEVALUE(Raw_Data!F134), Raw_Data!F134) + 30,
        IFERROR(DATEVALUE(Raw_Data!G134), Raw_Data!G134)
    ),
    ""
)</f>
        <v>46383</v>
      </c>
      <c r="H134">
        <f>IFERROR(VALUE(Raw_Data!H134), "")</f>
        <v>3500</v>
      </c>
      <c r="I134">
        <f ca="1">IFERROR(VALUE(Raw_Data!I134), "")</f>
        <v>3500</v>
      </c>
      <c r="J134">
        <f>IFERROR(
    VALUE(SUBSTITUTE(Raw_Data!J134," visits","")),
    ""
)</f>
        <v>15</v>
      </c>
      <c r="K134" t="str">
        <f ca="1">IF(TRIM(Raw_Data!K134)="","No",PROPER(TRIM(Raw_Data!K134)))</f>
        <v>Yes</v>
      </c>
      <c r="L134" t="str">
        <f ca="1">PROPER(TRIM(Raw_Data!L134))</f>
        <v>Muscle Gain</v>
      </c>
      <c r="M134" t="s">
        <v>151</v>
      </c>
      <c r="N134" s="2">
        <f>IFERROR(DATEVALUE(Raw_Data!N134), Raw_Data!N134)</f>
        <v>46099</v>
      </c>
      <c r="O134" s="2"/>
      <c r="P134" t="str">
        <f>IF(COUNTIF($A$2:A134,A134)&gt;1,"Duplicate","Unique")</f>
        <v>Unique</v>
      </c>
      <c r="Q134" t="str">
        <f t="shared" si="4"/>
        <v>OK</v>
      </c>
      <c r="R134" t="str">
        <f t="shared" si="5"/>
        <v>Available</v>
      </c>
    </row>
    <row r="135" spans="1:18">
      <c r="A135" t="str">
        <f>TRIM(CLEAN(Raw_Data!A135))</f>
        <v>MEM0134</v>
      </c>
      <c r="B135" t="str">
        <f ca="1">TRIM(Raw_Data!B135)</f>
        <v>Neha Das</v>
      </c>
      <c r="C135" t="str">
        <f ca="1">_xlfn.XLOOKUP(D135, Branch_Master!A:A, Branch_Master!B:B)</f>
        <v>Calicut</v>
      </c>
      <c r="D135" t="str">
        <f ca="1">TRIM(Raw_Data!D135)</f>
        <v>BR07</v>
      </c>
      <c r="E135" t="str">
        <f ca="1">PROPER(TRIM(Raw_Data!E135))</f>
        <v>Standard</v>
      </c>
      <c r="F135" s="2">
        <f>IFERROR(DATEVALUE(Raw_Data!F135), Raw_Data!F135)</f>
        <v>44987</v>
      </c>
      <c r="G135" s="2">
        <f>IFERROR(
    IF(
        IFERROR(DATEVALUE(Raw_Data!G135), Raw_Data!G135) &lt;
        IFERROR(DATEVALUE(Raw_Data!F135), Raw_Data!F135),
        IFERROR(DATEVALUE(Raw_Data!F135), Raw_Data!F135) + 30,
        IFERROR(DATEVALUE(Raw_Data!G135), Raw_Data!G135)
    ),
    ""
)</f>
        <v>45017</v>
      </c>
      <c r="H135">
        <f>IFERROR(VALUE(Raw_Data!H135), "")</f>
        <v>2000</v>
      </c>
      <c r="I135">
        <f ca="1">IFERROR(VALUE(Raw_Data!I135), "")</f>
        <v>16000</v>
      </c>
      <c r="J135">
        <f>IFERROR(
    VALUE(SUBSTITUTE(Raw_Data!J135," visits","")),
    ""
)</f>
        <v>20</v>
      </c>
      <c r="K135" t="str">
        <f ca="1">IF(TRIM(Raw_Data!K135)="","No",PROPER(TRIM(Raw_Data!K135)))</f>
        <v>Yes</v>
      </c>
      <c r="L135" t="str">
        <f ca="1">PROPER(TRIM(Raw_Data!L135))</f>
        <v>General Fitness</v>
      </c>
      <c r="M135" t="s">
        <v>151</v>
      </c>
      <c r="N135" s="2">
        <f>IFERROR(DATEVALUE(Raw_Data!N135), Raw_Data!N135)</f>
        <v>45565</v>
      </c>
      <c r="O135" s="2"/>
      <c r="P135" t="str">
        <f>IF(COUNTIF($A$2:A135,A135)&gt;1,"Duplicate","Unique")</f>
        <v>Unique</v>
      </c>
      <c r="Q135" t="str">
        <f t="shared" si="4"/>
        <v>OK</v>
      </c>
      <c r="R135" t="str">
        <f t="shared" si="5"/>
        <v>Available</v>
      </c>
    </row>
    <row r="136" spans="1:18">
      <c r="A136" t="str">
        <f>TRIM(CLEAN(Raw_Data!A136))</f>
        <v>MEM0135</v>
      </c>
      <c r="B136" t="str">
        <f ca="1">TRIM(Raw_Data!B136)</f>
        <v>Zara Lewis</v>
      </c>
      <c r="C136" t="str">
        <f ca="1">_xlfn.XLOOKUP(D136, Branch_Master!A:A, Branch_Master!B:B)</f>
        <v>Trivandrum</v>
      </c>
      <c r="D136" t="str">
        <f ca="1">TRIM(Raw_Data!D136)</f>
        <v>BR06</v>
      </c>
      <c r="E136" t="str">
        <f ca="1">PROPER(TRIM(Raw_Data!E136))</f>
        <v>Standard</v>
      </c>
      <c r="F136" s="2">
        <f>IFERROR(DATEVALUE(Raw_Data!F136), Raw_Data!F136)</f>
        <v>45434</v>
      </c>
      <c r="G136" s="2">
        <f>IFERROR(
    IF(
        IFERROR(DATEVALUE(Raw_Data!G136), Raw_Data!G136) &lt;
        IFERROR(DATEVALUE(Raw_Data!F136), Raw_Data!F136),
        IFERROR(DATEVALUE(Raw_Data!F136), Raw_Data!F136) + 30,
        IFERROR(DATEVALUE(Raw_Data!G136), Raw_Data!G136)
    ),
    ""
)</f>
        <v>45524</v>
      </c>
      <c r="H136">
        <f>IFERROR(VALUE(Raw_Data!H136), "")</f>
        <v>2000</v>
      </c>
      <c r="I136">
        <f ca="1">IFERROR(VALUE(Raw_Data!I136), "")</f>
        <v>10000</v>
      </c>
      <c r="J136">
        <f>IFERROR(
    VALUE(SUBSTITUTE(Raw_Data!J136," visits","")),
    ""
)</f>
        <v>4</v>
      </c>
      <c r="K136" t="str">
        <f ca="1">IF(TRIM(Raw_Data!K136)="","No",PROPER(TRIM(Raw_Data!K136)))</f>
        <v>No</v>
      </c>
      <c r="L136" t="str">
        <f ca="1">PROPER(TRIM(Raw_Data!L136))</f>
        <v>Weight Loss</v>
      </c>
      <c r="M136" t="s">
        <v>152</v>
      </c>
      <c r="N136" s="2">
        <f>IFERROR(DATEVALUE(Raw_Data!N136), Raw_Data!N136)</f>
        <v>45607</v>
      </c>
      <c r="O136" s="2"/>
      <c r="P136" t="str">
        <f>IF(COUNTIF($A$2:A136,A136)&gt;1,"Duplicate","Unique")</f>
        <v>Unique</v>
      </c>
      <c r="Q136" t="str">
        <f t="shared" si="4"/>
        <v>Cancelled but Active</v>
      </c>
      <c r="R136" t="str">
        <f t="shared" si="5"/>
        <v>Available</v>
      </c>
    </row>
    <row r="137" spans="1:18">
      <c r="A137" t="str">
        <f>TRIM(CLEAN(Raw_Data!A137))</f>
        <v>MEM0136</v>
      </c>
      <c r="B137" t="str">
        <f ca="1">TRIM(Raw_Data!B137)</f>
        <v>Ayesha George</v>
      </c>
      <c r="C137" t="str">
        <f ca="1">_xlfn.XLOOKUP(D137, Branch_Master!A:A, Branch_Master!B:B)</f>
        <v>Mumbai</v>
      </c>
      <c r="D137" t="str">
        <f ca="1">TRIM(Raw_Data!D137)</f>
        <v>BR05</v>
      </c>
      <c r="E137" t="str">
        <f ca="1">PROPER(TRIM(Raw_Data!E137))</f>
        <v>Standard</v>
      </c>
      <c r="F137" s="2">
        <f>IFERROR(DATEVALUE(Raw_Data!F137), Raw_Data!F137)</f>
        <v>45356</v>
      </c>
      <c r="G137" s="2">
        <f>IFERROR(
    IF(
        IFERROR(DATEVALUE(Raw_Data!G137), Raw_Data!G137) &lt;
        IFERROR(DATEVALUE(Raw_Data!F137), Raw_Data!F137),
        IFERROR(DATEVALUE(Raw_Data!F137), Raw_Data!F137) + 30,
        IFERROR(DATEVALUE(Raw_Data!G137), Raw_Data!G137)
    ),
    ""
)</f>
        <v>45446</v>
      </c>
      <c r="H137">
        <f>IFERROR(VALUE(Raw_Data!H137), "")</f>
        <v>3500</v>
      </c>
      <c r="I137">
        <f ca="1">IFERROR(VALUE(Raw_Data!I137), "")</f>
        <v>14000</v>
      </c>
      <c r="J137">
        <f>IFERROR(
    VALUE(SUBSTITUTE(Raw_Data!J137," visits","")),
    ""
)</f>
        <v>8</v>
      </c>
      <c r="K137" t="str">
        <f ca="1">IF(TRIM(Raw_Data!K137)="","No",PROPER(TRIM(Raw_Data!K137)))</f>
        <v>No</v>
      </c>
      <c r="L137" t="str">
        <f ca="1">PROPER(TRIM(Raw_Data!L137))</f>
        <v>Weight Loss</v>
      </c>
      <c r="M137" t="s">
        <v>151</v>
      </c>
      <c r="N137" s="2">
        <f>IFERROR(DATEVALUE(Raw_Data!N137), Raw_Data!N137)</f>
        <v>45369</v>
      </c>
      <c r="O137" s="2"/>
      <c r="P137" t="str">
        <f>IF(COUNTIF($A$2:A137,A137)&gt;1,"Duplicate","Unique")</f>
        <v>Unique</v>
      </c>
      <c r="Q137" t="str">
        <f t="shared" si="4"/>
        <v>OK</v>
      </c>
      <c r="R137" t="str">
        <f t="shared" si="5"/>
        <v>Available</v>
      </c>
    </row>
    <row r="138" spans="1:18">
      <c r="A138" t="str">
        <f>TRIM(CLEAN(Raw_Data!A138))</f>
        <v>MEM0137</v>
      </c>
      <c r="B138" t="str">
        <f ca="1">TRIM(Raw_Data!B138)</f>
        <v>Sanjay Malhotra</v>
      </c>
      <c r="C138" t="str">
        <f ca="1">_xlfn.XLOOKUP(D138, Branch_Master!A:A, Branch_Master!B:B)</f>
        <v>Chennai</v>
      </c>
      <c r="D138" t="str">
        <f ca="1">TRIM(Raw_Data!D138)</f>
        <v>BR03</v>
      </c>
      <c r="E138" t="str">
        <f ca="1">PROPER(TRIM(Raw_Data!E138))</f>
        <v>Standard</v>
      </c>
      <c r="F138" s="2">
        <f>IFERROR(DATEVALUE(Raw_Data!F138), Raw_Data!F138)</f>
        <v>45437</v>
      </c>
      <c r="G138" s="2">
        <f>IFERROR(
    IF(
        IFERROR(DATEVALUE(Raw_Data!G138), Raw_Data!G138) &lt;
        IFERROR(DATEVALUE(Raw_Data!F138), Raw_Data!F138),
        IFERROR(DATEVALUE(Raw_Data!F138), Raw_Data!F138) + 30,
        IFERROR(DATEVALUE(Raw_Data!G138), Raw_Data!G138)
    ),
    ""
)</f>
        <v>45467</v>
      </c>
      <c r="H138">
        <f>IFERROR(VALUE(Raw_Data!H138), "")</f>
        <v>3500</v>
      </c>
      <c r="I138">
        <f ca="1">IFERROR(VALUE(Raw_Data!I138), "")</f>
        <v>21000</v>
      </c>
      <c r="J138">
        <f>IFERROR(
    VALUE(SUBSTITUTE(Raw_Data!J138," visits","")),
    ""
)</f>
        <v>4</v>
      </c>
      <c r="K138" t="str">
        <f ca="1">IF(TRIM(Raw_Data!K138)="","No",PROPER(TRIM(Raw_Data!K138)))</f>
        <v>No</v>
      </c>
      <c r="L138" t="str">
        <f ca="1">PROPER(TRIM(Raw_Data!L138))</f>
        <v>General Fitness</v>
      </c>
      <c r="M138" t="s">
        <v>151</v>
      </c>
      <c r="N138" s="2">
        <f>IFERROR(DATEVALUE(Raw_Data!N138), Raw_Data!N138)</f>
        <v>45853</v>
      </c>
      <c r="O138" s="2"/>
      <c r="P138" t="str">
        <f>IF(COUNTIF($A$2:A138,A138)&gt;1,"Duplicate","Unique")</f>
        <v>Unique</v>
      </c>
      <c r="Q138" t="str">
        <f t="shared" si="4"/>
        <v>OK</v>
      </c>
      <c r="R138" t="str">
        <f t="shared" si="5"/>
        <v>Available</v>
      </c>
    </row>
    <row r="139" spans="1:18">
      <c r="A139" t="str">
        <f>TRIM(CLEAN(Raw_Data!A139))</f>
        <v>MEM0138</v>
      </c>
      <c r="B139" t="str">
        <f ca="1">TRIM(Raw_Data!B139)</f>
        <v>Rohit Verma</v>
      </c>
      <c r="C139" t="str">
        <f ca="1">_xlfn.XLOOKUP(D139, Branch_Master!A:A, Branch_Master!B:B)</f>
        <v>Hyderabad</v>
      </c>
      <c r="D139" t="str">
        <f ca="1">TRIM(Raw_Data!D139)</f>
        <v>BR04</v>
      </c>
      <c r="E139" t="str">
        <f ca="1">PROPER(TRIM(Raw_Data!E139))</f>
        <v>Standard</v>
      </c>
      <c r="F139" s="2">
        <f>IFERROR(DATEVALUE(Raw_Data!F139), Raw_Data!F139)</f>
        <v>44992</v>
      </c>
      <c r="G139" s="2">
        <f>IFERROR(
    IF(
        IFERROR(DATEVALUE(Raw_Data!G139), Raw_Data!G139) &lt;
        IFERROR(DATEVALUE(Raw_Data!F139), Raw_Data!F139),
        IFERROR(DATEVALUE(Raw_Data!F139), Raw_Data!F139) + 30,
        IFERROR(DATEVALUE(Raw_Data!G139), Raw_Data!G139)
    ),
    ""
)</f>
        <v>45082</v>
      </c>
      <c r="H139">
        <f>IFERROR(VALUE(Raw_Data!H139), "")</f>
        <v>2000</v>
      </c>
      <c r="I139">
        <f ca="1">IFERROR(VALUE(Raw_Data!I139), "")</f>
        <v>16000</v>
      </c>
      <c r="J139">
        <f>IFERROR(
    VALUE(SUBSTITUTE(Raw_Data!J139," visits","")),
    ""
)</f>
        <v>21</v>
      </c>
      <c r="K139" t="str">
        <f ca="1">IF(TRIM(Raw_Data!K139)="","No",PROPER(TRIM(Raw_Data!K139)))</f>
        <v>No</v>
      </c>
      <c r="L139" t="str">
        <f ca="1">PROPER(TRIM(Raw_Data!L139))</f>
        <v>Muscle Gain</v>
      </c>
      <c r="M139" t="s">
        <v>151</v>
      </c>
      <c r="N139" s="2">
        <f>IFERROR(DATEVALUE(Raw_Data!N139), Raw_Data!N139)</f>
        <v>45841</v>
      </c>
      <c r="O139" s="2"/>
      <c r="P139" t="str">
        <f>IF(COUNTIF($A$2:A139,A139)&gt;1,"Duplicate","Unique")</f>
        <v>Unique</v>
      </c>
      <c r="Q139" t="str">
        <f t="shared" si="4"/>
        <v>OK</v>
      </c>
      <c r="R139" t="str">
        <f t="shared" si="5"/>
        <v>Available</v>
      </c>
    </row>
    <row r="140" spans="1:18">
      <c r="A140" t="str">
        <f>TRIM(CLEAN(Raw_Data!A140))</f>
        <v>MEM0139</v>
      </c>
      <c r="B140" t="str">
        <f ca="1">TRIM(Raw_Data!B140)</f>
        <v>Priya D’Souza</v>
      </c>
      <c r="C140" t="str">
        <f ca="1">_xlfn.XLOOKUP(D140, Branch_Master!A:A, Branch_Master!B:B)</f>
        <v>Bangalore</v>
      </c>
      <c r="D140" t="str">
        <f ca="1">TRIM(Raw_Data!D140)</f>
        <v>BR02</v>
      </c>
      <c r="E140" t="str">
        <f ca="1">PROPER(TRIM(Raw_Data!E140))</f>
        <v>Basic</v>
      </c>
      <c r="F140" s="2">
        <f>IFERROR(DATEVALUE(Raw_Data!F140), Raw_Data!F140)</f>
        <v>45180</v>
      </c>
      <c r="G140" s="2">
        <f>IFERROR(
    IF(
        IFERROR(DATEVALUE(Raw_Data!G140), Raw_Data!G140) &lt;
        IFERROR(DATEVALUE(Raw_Data!F140), Raw_Data!F140),
        IFERROR(DATEVALUE(Raw_Data!F140), Raw_Data!F140) + 30,
        IFERROR(DATEVALUE(Raw_Data!G140), Raw_Data!G140)
    ),
    ""
)</f>
        <v>45210</v>
      </c>
      <c r="H140">
        <f>IFERROR(VALUE(Raw_Data!H140), "")</f>
        <v>3500</v>
      </c>
      <c r="I140">
        <f ca="1">IFERROR(VALUE(Raw_Data!I140), "")</f>
        <v>38500</v>
      </c>
      <c r="J140">
        <f>IFERROR(
    VALUE(SUBSTITUTE(Raw_Data!J140," visits","")),
    ""
)</f>
        <v>10</v>
      </c>
      <c r="K140" t="str">
        <f ca="1">IF(TRIM(Raw_Data!K140)="","No",PROPER(TRIM(Raw_Data!K140)))</f>
        <v>Yes</v>
      </c>
      <c r="L140" t="str">
        <f ca="1">PROPER(TRIM(Raw_Data!L140))</f>
        <v>Muscle Gain</v>
      </c>
      <c r="M140" t="s">
        <v>151</v>
      </c>
      <c r="N140" s="2">
        <f>IFERROR(DATEVALUE(Raw_Data!N140), Raw_Data!N140)</f>
        <v>46107</v>
      </c>
      <c r="O140" s="2"/>
      <c r="P140" t="str">
        <f>IF(COUNTIF($A$2:A140,A140)&gt;1,"Duplicate","Unique")</f>
        <v>Unique</v>
      </c>
      <c r="Q140" t="str">
        <f t="shared" si="4"/>
        <v>OK</v>
      </c>
      <c r="R140" t="str">
        <f t="shared" si="5"/>
        <v>Available</v>
      </c>
    </row>
    <row r="141" spans="1:18">
      <c r="A141" t="str">
        <f>TRIM(CLEAN(Raw_Data!A141))</f>
        <v>MEM0140</v>
      </c>
      <c r="B141" t="str">
        <f ca="1">TRIM(Raw_Data!B141)</f>
        <v>Sneha Das</v>
      </c>
      <c r="C141" t="str">
        <f ca="1">_xlfn.XLOOKUP(D141, Branch_Master!A:A, Branch_Master!B:B)</f>
        <v>Hyderabad</v>
      </c>
      <c r="D141" t="str">
        <f ca="1">TRIM(Raw_Data!D141)</f>
        <v>BR04</v>
      </c>
      <c r="E141" t="str">
        <f ca="1">PROPER(TRIM(Raw_Data!E141))</f>
        <v>Basic</v>
      </c>
      <c r="F141" s="2">
        <f>IFERROR(DATEVALUE(Raw_Data!F141), Raw_Data!F141)</f>
        <v>44993</v>
      </c>
      <c r="G141" s="2">
        <f>IFERROR(
    IF(
        IFERROR(DATEVALUE(Raw_Data!G141), Raw_Data!G141) &lt;
        IFERROR(DATEVALUE(Raw_Data!F141), Raw_Data!F141),
        IFERROR(DATEVALUE(Raw_Data!F141), Raw_Data!F141) + 30,
        IFERROR(DATEVALUE(Raw_Data!G141), Raw_Data!G141)
    ),
    ""
)</f>
        <v>45083</v>
      </c>
      <c r="H141">
        <f>IFERROR(VALUE(Raw_Data!H141), "")</f>
        <v>1000</v>
      </c>
      <c r="I141">
        <f ca="1">IFERROR(VALUE(Raw_Data!I141), "")</f>
        <v>11000</v>
      </c>
      <c r="J141">
        <f>IFERROR(
    VALUE(SUBSTITUTE(Raw_Data!J141," visits","")),
    ""
)</f>
        <v>4</v>
      </c>
      <c r="K141" t="str">
        <f ca="1">IF(TRIM(Raw_Data!K141)="","No",PROPER(TRIM(Raw_Data!K141)))</f>
        <v>No</v>
      </c>
      <c r="L141" t="str">
        <f ca="1">PROPER(TRIM(Raw_Data!L141))</f>
        <v>Weight Loss</v>
      </c>
      <c r="M141" t="s">
        <v>152</v>
      </c>
      <c r="N141" s="2">
        <f>IFERROR(DATEVALUE(Raw_Data!N141), Raw_Data!N141)</f>
        <v>46115</v>
      </c>
      <c r="O141" s="2"/>
      <c r="P141" t="str">
        <f>IF(COUNTIF($A$2:A141,A141)&gt;1,"Duplicate","Unique")</f>
        <v>Unique</v>
      </c>
      <c r="Q141" t="str">
        <f t="shared" si="4"/>
        <v>Cancelled but Active</v>
      </c>
      <c r="R141" t="str">
        <f t="shared" si="5"/>
        <v>Available</v>
      </c>
    </row>
    <row r="142" spans="1:18">
      <c r="A142" t="str">
        <f>TRIM(CLEAN(Raw_Data!A142))</f>
        <v>MEM0141</v>
      </c>
      <c r="B142" t="str">
        <f ca="1">TRIM(Raw_Data!B142)</f>
        <v>Anjali Bhat</v>
      </c>
      <c r="C142" t="str">
        <f ca="1">_xlfn.XLOOKUP(D142, Branch_Master!A:A, Branch_Master!B:B)</f>
        <v>Trivandrum</v>
      </c>
      <c r="D142" t="str">
        <f ca="1">TRIM(Raw_Data!D142)</f>
        <v>BR06</v>
      </c>
      <c r="E142" t="str">
        <f ca="1">PROPER(TRIM(Raw_Data!E142))</f>
        <v>Basic</v>
      </c>
      <c r="F142" s="2">
        <f>IFERROR(DATEVALUE(Raw_Data!F142), Raw_Data!F142)</f>
        <v>45193</v>
      </c>
      <c r="G142" s="2">
        <f>IFERROR(
    IF(
        IFERROR(DATEVALUE(Raw_Data!G142), Raw_Data!G142) &lt;
        IFERROR(DATEVALUE(Raw_Data!F142), Raw_Data!F142),
        IFERROR(DATEVALUE(Raw_Data!F142), Raw_Data!F142) + 30,
        IFERROR(DATEVALUE(Raw_Data!G142), Raw_Data!G142)
    ),
    ""
)</f>
        <v>45283</v>
      </c>
      <c r="H142">
        <f>IFERROR(VALUE(Raw_Data!H142), "")</f>
        <v>3500</v>
      </c>
      <c r="I142">
        <f ca="1">IFERROR(VALUE(Raw_Data!I142), "")</f>
        <v>10500</v>
      </c>
      <c r="J142">
        <f>IFERROR(
    VALUE(SUBSTITUTE(Raw_Data!J142," visits","")),
    ""
)</f>
        <v>1</v>
      </c>
      <c r="K142" t="str">
        <f ca="1">IF(TRIM(Raw_Data!K142)="","No",PROPER(TRIM(Raw_Data!K142)))</f>
        <v>Yes</v>
      </c>
      <c r="L142" t="str">
        <f ca="1">PROPER(TRIM(Raw_Data!L142))</f>
        <v>Muscle Gain</v>
      </c>
      <c r="M142" t="s">
        <v>152</v>
      </c>
      <c r="N142" s="2">
        <f>IFERROR(DATEVALUE(Raw_Data!N142), Raw_Data!N142)</f>
        <v>45252</v>
      </c>
      <c r="O142" s="2"/>
      <c r="P142" t="str">
        <f>IF(COUNTIF($A$2:A142,A142)&gt;1,"Duplicate","Unique")</f>
        <v>Unique</v>
      </c>
      <c r="Q142" t="str">
        <f t="shared" si="4"/>
        <v>Cancelled but Active</v>
      </c>
      <c r="R142" t="str">
        <f t="shared" si="5"/>
        <v>Available</v>
      </c>
    </row>
    <row r="143" spans="1:18">
      <c r="A143" t="str">
        <f>TRIM(CLEAN(Raw_Data!A143))</f>
        <v>MEM0142</v>
      </c>
      <c r="B143" t="str">
        <f ca="1">TRIM(Raw_Data!B143)</f>
        <v>Nikhil Shaikh</v>
      </c>
      <c r="C143" t="str">
        <f ca="1">_xlfn.XLOOKUP(D143, Branch_Master!A:A, Branch_Master!B:B)</f>
        <v>Bangalore</v>
      </c>
      <c r="D143" t="str">
        <f ca="1">TRIM(Raw_Data!D143)</f>
        <v>BR02</v>
      </c>
      <c r="E143" t="str">
        <f ca="1">PROPER(TRIM(Raw_Data!E143))</f>
        <v>Basic</v>
      </c>
      <c r="F143" s="2">
        <f>IFERROR(DATEVALUE(Raw_Data!F143), Raw_Data!F143)</f>
        <v>45396</v>
      </c>
      <c r="G143" s="2">
        <f>IFERROR(
    IF(
        IFERROR(DATEVALUE(Raw_Data!G143), Raw_Data!G143) &lt;
        IFERROR(DATEVALUE(Raw_Data!F143), Raw_Data!F143),
        IFERROR(DATEVALUE(Raw_Data!F143), Raw_Data!F143) + 30,
        IFERROR(DATEVALUE(Raw_Data!G143), Raw_Data!G143)
    ),
    ""
)</f>
        <v>45426</v>
      </c>
      <c r="H143">
        <f>IFERROR(VALUE(Raw_Data!H143), "")</f>
        <v>3500</v>
      </c>
      <c r="I143">
        <f ca="1">IFERROR(VALUE(Raw_Data!I143), "")</f>
        <v>42000</v>
      </c>
      <c r="J143">
        <f>IFERROR(
    VALUE(SUBSTITUTE(Raw_Data!J143," visits","")),
    ""
)</f>
        <v>9</v>
      </c>
      <c r="K143" t="str">
        <f ca="1">IF(TRIM(Raw_Data!K143)="","No",PROPER(TRIM(Raw_Data!K143)))</f>
        <v>Yes</v>
      </c>
      <c r="L143" t="str">
        <f ca="1">PROPER(TRIM(Raw_Data!L143))</f>
        <v>Muscle Gain</v>
      </c>
      <c r="M143" t="s">
        <v>151</v>
      </c>
      <c r="N143" s="2">
        <f>IFERROR(DATEVALUE(Raw_Data!N143), Raw_Data!N143)</f>
        <v>45716</v>
      </c>
      <c r="O143" s="2"/>
      <c r="P143" t="str">
        <f>IF(COUNTIF($A$2:A143,A143)&gt;1,"Duplicate","Unique")</f>
        <v>Unique</v>
      </c>
      <c r="Q143" t="str">
        <f t="shared" si="4"/>
        <v>OK</v>
      </c>
      <c r="R143" t="str">
        <f t="shared" si="5"/>
        <v>Available</v>
      </c>
    </row>
    <row r="144" spans="1:18">
      <c r="A144" t="str">
        <f>TRIM(CLEAN(Raw_Data!A144))</f>
        <v>MEM0143</v>
      </c>
      <c r="B144" t="str">
        <f ca="1">TRIM(Raw_Data!B144)</f>
        <v>Aditya Joshi</v>
      </c>
      <c r="C144" t="str">
        <f ca="1">_xlfn.XLOOKUP(D144, Branch_Master!A:A, Branch_Master!B:B)</f>
        <v>Mumbai</v>
      </c>
      <c r="D144" t="str">
        <f ca="1">TRIM(Raw_Data!D144)</f>
        <v>BR05</v>
      </c>
      <c r="E144" t="str">
        <f ca="1">PROPER(TRIM(Raw_Data!E144))</f>
        <v>Premium</v>
      </c>
      <c r="F144" s="2">
        <f>IFERROR(DATEVALUE(Raw_Data!F144), Raw_Data!F144)</f>
        <v>45977</v>
      </c>
      <c r="G144" s="2">
        <f>IFERROR(
    IF(
        IFERROR(DATEVALUE(Raw_Data!G144), Raw_Data!G144) &lt;
        IFERROR(DATEVALUE(Raw_Data!F144), Raw_Data!F144),
        IFERROR(DATEVALUE(Raw_Data!F144), Raw_Data!F144) + 30,
        IFERROR(DATEVALUE(Raw_Data!G144), Raw_Data!G144)
    ),
    ""
)</f>
        <v>46007</v>
      </c>
      <c r="H144">
        <f>IFERROR(VALUE(Raw_Data!H144), "")</f>
        <v>3500</v>
      </c>
      <c r="I144">
        <f ca="1">IFERROR(VALUE(Raw_Data!I144), "")</f>
        <v>38500</v>
      </c>
      <c r="J144">
        <f>IFERROR(
    VALUE(SUBSTITUTE(Raw_Data!J144," visits","")),
    ""
)</f>
        <v>21</v>
      </c>
      <c r="K144" t="str">
        <f ca="1">IF(TRIM(Raw_Data!K144)="","No",PROPER(TRIM(Raw_Data!K144)))</f>
        <v>Yes</v>
      </c>
      <c r="L144" t="str">
        <f ca="1">PROPER(TRIM(Raw_Data!L144))</f>
        <v>Weight Loss</v>
      </c>
      <c r="M144" t="s">
        <v>151</v>
      </c>
      <c r="N144" s="2">
        <f>IFERROR(DATEVALUE(Raw_Data!N144), Raw_Data!N144)</f>
        <v>46071</v>
      </c>
      <c r="O144" s="2"/>
      <c r="P144" t="str">
        <f>IF(COUNTIF($A$2:A144,A144)&gt;1,"Duplicate","Unique")</f>
        <v>Unique</v>
      </c>
      <c r="Q144" t="str">
        <f t="shared" si="4"/>
        <v>OK</v>
      </c>
      <c r="R144" t="str">
        <f t="shared" si="5"/>
        <v>Available</v>
      </c>
    </row>
    <row r="145" spans="1:18">
      <c r="A145" t="str">
        <f>TRIM(CLEAN(Raw_Data!A145))</f>
        <v>MEM0144</v>
      </c>
      <c r="B145" t="str">
        <f ca="1">TRIM(Raw_Data!B145)</f>
        <v>Varun Naidu</v>
      </c>
      <c r="C145" t="str">
        <f ca="1">_xlfn.XLOOKUP(D145, Branch_Master!A:A, Branch_Master!B:B)</f>
        <v>Chennai</v>
      </c>
      <c r="D145" t="str">
        <f ca="1">TRIM(Raw_Data!D145)</f>
        <v>BR03</v>
      </c>
      <c r="E145" t="str">
        <f ca="1">PROPER(TRIM(Raw_Data!E145))</f>
        <v>Basic</v>
      </c>
      <c r="F145" s="2">
        <f>IFERROR(DATEVALUE(Raw_Data!F145), Raw_Data!F145)</f>
        <v>45722</v>
      </c>
      <c r="G145" s="2">
        <f>IFERROR(
    IF(
        IFERROR(DATEVALUE(Raw_Data!G145), Raw_Data!G145) &lt;
        IFERROR(DATEVALUE(Raw_Data!F145), Raw_Data!F145),
        IFERROR(DATEVALUE(Raw_Data!F145), Raw_Data!F145) + 30,
        IFERROR(DATEVALUE(Raw_Data!G145), Raw_Data!G145)
    ),
    ""
)</f>
        <v>45812</v>
      </c>
      <c r="H145">
        <f>IFERROR(VALUE(Raw_Data!H145), "")</f>
        <v>2000</v>
      </c>
      <c r="I145">
        <f ca="1">IFERROR(VALUE(Raw_Data!I145), "")</f>
        <v>4000</v>
      </c>
      <c r="J145">
        <f>IFERROR(
    VALUE(SUBSTITUTE(Raw_Data!J145," visits","")),
    ""
)</f>
        <v>15</v>
      </c>
      <c r="K145" t="str">
        <f ca="1">IF(TRIM(Raw_Data!K145)="","No",PROPER(TRIM(Raw_Data!K145)))</f>
        <v>No</v>
      </c>
      <c r="L145" t="str">
        <f ca="1">PROPER(TRIM(Raw_Data!L145))</f>
        <v>Muscle Gain</v>
      </c>
      <c r="M145" t="s">
        <v>151</v>
      </c>
      <c r="N145" s="2">
        <f>IFERROR(DATEVALUE(Raw_Data!N145), Raw_Data!N145)</f>
        <v>45954</v>
      </c>
      <c r="O145" s="2"/>
      <c r="P145" t="str">
        <f>IF(COUNTIF($A$2:A145,A145)&gt;1,"Duplicate","Unique")</f>
        <v>Unique</v>
      </c>
      <c r="Q145" t="str">
        <f t="shared" si="4"/>
        <v>OK</v>
      </c>
      <c r="R145" t="str">
        <f t="shared" si="5"/>
        <v>Available</v>
      </c>
    </row>
    <row r="146" spans="1:18">
      <c r="A146" t="str">
        <f>TRIM(CLEAN(Raw_Data!A146))</f>
        <v>MEM0145</v>
      </c>
      <c r="B146" t="str">
        <f ca="1">TRIM(Raw_Data!B146)</f>
        <v>Ishita Pillai</v>
      </c>
      <c r="C146" t="str">
        <f ca="1">_xlfn.XLOOKUP(D146, Branch_Master!A:A, Branch_Master!B:B)</f>
        <v>Kochi</v>
      </c>
      <c r="D146" t="str">
        <f ca="1">TRIM(Raw_Data!D146)</f>
        <v>BR01</v>
      </c>
      <c r="E146" t="str">
        <f ca="1">PROPER(TRIM(Raw_Data!E146))</f>
        <v>Basic</v>
      </c>
      <c r="F146" s="2">
        <f>IFERROR(DATEVALUE(Raw_Data!F146), Raw_Data!F146)</f>
        <v>45285</v>
      </c>
      <c r="G146" s="2">
        <f>IFERROR(
    IF(
        IFERROR(DATEVALUE(Raw_Data!G146), Raw_Data!G146) &lt;
        IFERROR(DATEVALUE(Raw_Data!F146), Raw_Data!F146),
        IFERROR(DATEVALUE(Raw_Data!F146), Raw_Data!F146) + 30,
        IFERROR(DATEVALUE(Raw_Data!G146), Raw_Data!G146)
    ),
    ""
)</f>
        <v>45650</v>
      </c>
      <c r="H146">
        <f>IFERROR(VALUE(Raw_Data!H146), "")</f>
        <v>2000</v>
      </c>
      <c r="I146">
        <f ca="1">IFERROR(VALUE(Raw_Data!I146), "")</f>
        <v>6000</v>
      </c>
      <c r="J146">
        <f>IFERROR(
    VALUE(SUBSTITUTE(Raw_Data!J146," visits","")),
    ""
)</f>
        <v>16</v>
      </c>
      <c r="K146" t="str">
        <f ca="1">IF(TRIM(Raw_Data!K146)="","No",PROPER(TRIM(Raw_Data!K146)))</f>
        <v>Yes</v>
      </c>
      <c r="L146" t="str">
        <f ca="1">PROPER(TRIM(Raw_Data!L146))</f>
        <v>Weight Loss</v>
      </c>
      <c r="M146" t="s">
        <v>151</v>
      </c>
      <c r="N146" s="2">
        <f>IFERROR(DATEVALUE(Raw_Data!N146), Raw_Data!N146)</f>
        <v>45728</v>
      </c>
      <c r="O146" s="2"/>
      <c r="P146" t="str">
        <f>IF(COUNTIF($A$2:A146,A146)&gt;1,"Duplicate","Unique")</f>
        <v>Unique</v>
      </c>
      <c r="Q146" t="str">
        <f t="shared" si="4"/>
        <v>OK</v>
      </c>
      <c r="R146" t="str">
        <f t="shared" si="5"/>
        <v>Available</v>
      </c>
    </row>
    <row r="147" spans="1:18">
      <c r="A147" t="str">
        <f>TRIM(CLEAN(Raw_Data!A147))</f>
        <v>MEM0146</v>
      </c>
      <c r="B147" t="str">
        <f ca="1">TRIM(Raw_Data!B147)</f>
        <v>Rahul Agarwal</v>
      </c>
      <c r="C147" t="str">
        <f ca="1">_xlfn.XLOOKUP(D147, Branch_Master!A:A, Branch_Master!B:B)</f>
        <v>Calicut</v>
      </c>
      <c r="D147" t="str">
        <f ca="1">TRIM(Raw_Data!D147)</f>
        <v>BR07</v>
      </c>
      <c r="E147" t="str">
        <f ca="1">PROPER(TRIM(Raw_Data!E147))</f>
        <v>Standard</v>
      </c>
      <c r="F147" s="2">
        <f>IFERROR(DATEVALUE(Raw_Data!F147), Raw_Data!F147)</f>
        <v>45543</v>
      </c>
      <c r="G147" s="2">
        <f>IFERROR(
    IF(
        IFERROR(DATEVALUE(Raw_Data!G147), Raw_Data!G147) &lt;
        IFERROR(DATEVALUE(Raw_Data!F147), Raw_Data!F147),
        IFERROR(DATEVALUE(Raw_Data!F147), Raw_Data!F147) + 30,
        IFERROR(DATEVALUE(Raw_Data!G147), Raw_Data!G147)
    ),
    ""
)</f>
        <v>45633</v>
      </c>
      <c r="H147">
        <f>IFERROR(VALUE(Raw_Data!H147), "")</f>
        <v>1000</v>
      </c>
      <c r="I147">
        <f ca="1">IFERROR(VALUE(Raw_Data!I147), "")</f>
        <v>6000</v>
      </c>
      <c r="J147">
        <f>IFERROR(
    VALUE(SUBSTITUTE(Raw_Data!J147," visits","")),
    ""
)</f>
        <v>25</v>
      </c>
      <c r="K147" t="str">
        <f ca="1">IF(TRIM(Raw_Data!K147)="","No",PROPER(TRIM(Raw_Data!K147)))</f>
        <v>Yes</v>
      </c>
      <c r="L147" t="str">
        <f ca="1">PROPER(TRIM(Raw_Data!L147))</f>
        <v>General Fitness</v>
      </c>
      <c r="M147" t="s">
        <v>151</v>
      </c>
      <c r="N147" s="2">
        <f>IFERROR(DATEVALUE(Raw_Data!N147), Raw_Data!N147)</f>
        <v>46074</v>
      </c>
      <c r="O147" s="2"/>
      <c r="P147" t="str">
        <f>IF(COUNTIF($A$2:A147,A147)&gt;1,"Duplicate","Unique")</f>
        <v>Unique</v>
      </c>
      <c r="Q147" t="str">
        <f t="shared" si="4"/>
        <v>OK</v>
      </c>
      <c r="R147" t="str">
        <f t="shared" si="5"/>
        <v>Available</v>
      </c>
    </row>
    <row r="148" spans="1:18">
      <c r="A148" t="str">
        <f>TRIM(CLEAN(Raw_Data!A148))</f>
        <v>MEM0147</v>
      </c>
      <c r="B148" t="str">
        <f ca="1">TRIM(Raw_Data!B148)</f>
        <v>Anjali Das</v>
      </c>
      <c r="C148" t="str">
        <f ca="1">_xlfn.XLOOKUP(D148, Branch_Master!A:A, Branch_Master!B:B)</f>
        <v>Trivandrum</v>
      </c>
      <c r="D148" t="str">
        <f ca="1">TRIM(Raw_Data!D148)</f>
        <v>BR06</v>
      </c>
      <c r="E148" t="str">
        <f ca="1">PROPER(TRIM(Raw_Data!E148))</f>
        <v>Premium</v>
      </c>
      <c r="F148" s="2">
        <f>IFERROR(DATEVALUE(Raw_Data!F148), Raw_Data!F148)</f>
        <v>45986</v>
      </c>
      <c r="G148" s="2">
        <f>IFERROR(
    IF(
        IFERROR(DATEVALUE(Raw_Data!G148), Raw_Data!G148) &lt;
        IFERROR(DATEVALUE(Raw_Data!F148), Raw_Data!F148),
        IFERROR(DATEVALUE(Raw_Data!F148), Raw_Data!F148) + 30,
        IFERROR(DATEVALUE(Raw_Data!G148), Raw_Data!G148)
    ),
    ""
)</f>
        <v>46016</v>
      </c>
      <c r="H148">
        <f>IFERROR(VALUE(Raw_Data!H148), "")</f>
        <v>2000</v>
      </c>
      <c r="I148">
        <f ca="1">IFERROR(VALUE(Raw_Data!I148), "")</f>
        <v>2000</v>
      </c>
      <c r="J148">
        <f>IFERROR(
    VALUE(SUBSTITUTE(Raw_Data!J148," visits","")),
    ""
)</f>
        <v>10</v>
      </c>
      <c r="K148" t="str">
        <f ca="1">IF(TRIM(Raw_Data!K148)="","No",PROPER(TRIM(Raw_Data!K148)))</f>
        <v>Yes</v>
      </c>
      <c r="L148" t="str">
        <f ca="1">PROPER(TRIM(Raw_Data!L148))</f>
        <v>Weight Loss</v>
      </c>
      <c r="M148" t="s">
        <v>152</v>
      </c>
      <c r="N148" s="2">
        <f>IFERROR(DATEVALUE(Raw_Data!N148), Raw_Data!N148)</f>
        <v>46000</v>
      </c>
      <c r="O148" s="2"/>
      <c r="P148" t="str">
        <f>IF(COUNTIF($A$2:A148,A148)&gt;1,"Duplicate","Unique")</f>
        <v>Unique</v>
      </c>
      <c r="Q148" t="str">
        <f t="shared" si="4"/>
        <v>Cancelled but Active</v>
      </c>
      <c r="R148" t="str">
        <f t="shared" si="5"/>
        <v>Available</v>
      </c>
    </row>
    <row r="149" spans="1:18">
      <c r="A149" t="str">
        <f>TRIM(CLEAN(Raw_Data!A149))</f>
        <v>MEM0148</v>
      </c>
      <c r="B149" t="str">
        <f ca="1">TRIM(Raw_Data!B149)</f>
        <v>Divya Patel</v>
      </c>
      <c r="C149" t="str">
        <f ca="1">_xlfn.XLOOKUP(D149, Branch_Master!A:A, Branch_Master!B:B)</f>
        <v>Calicut</v>
      </c>
      <c r="D149" t="str">
        <f ca="1">TRIM(Raw_Data!D149)</f>
        <v>BR07</v>
      </c>
      <c r="E149" t="str">
        <f ca="1">PROPER(TRIM(Raw_Data!E149))</f>
        <v>Basic</v>
      </c>
      <c r="F149" s="2">
        <f>IFERROR(DATEVALUE(Raw_Data!F149), Raw_Data!F149)</f>
        <v>45483</v>
      </c>
      <c r="G149" s="2">
        <f>IFERROR(
    IF(
        IFERROR(DATEVALUE(Raw_Data!G149), Raw_Data!G149) &lt;
        IFERROR(DATEVALUE(Raw_Data!F149), Raw_Data!F149),
        IFERROR(DATEVALUE(Raw_Data!F149), Raw_Data!F149) + 30,
        IFERROR(DATEVALUE(Raw_Data!G149), Raw_Data!G149)
    ),
    ""
)</f>
        <v>45573</v>
      </c>
      <c r="H149">
        <f>IFERROR(VALUE(Raw_Data!H149), "")</f>
        <v>3500</v>
      </c>
      <c r="I149">
        <f ca="1">IFERROR(VALUE(Raw_Data!I149), "")</f>
        <v>35000</v>
      </c>
      <c r="J149">
        <f>IFERROR(
    VALUE(SUBSTITUTE(Raw_Data!J149," visits","")),
    ""
)</f>
        <v>19</v>
      </c>
      <c r="K149" t="str">
        <f ca="1">IF(TRIM(Raw_Data!K149)="","No",PROPER(TRIM(Raw_Data!K149)))</f>
        <v>No</v>
      </c>
      <c r="L149" t="str">
        <f ca="1">PROPER(TRIM(Raw_Data!L149))</f>
        <v>Weight Loss</v>
      </c>
      <c r="M149" t="s">
        <v>151</v>
      </c>
      <c r="N149" s="2">
        <f>IFERROR(DATEVALUE(Raw_Data!N149), Raw_Data!N149)</f>
        <v>45838</v>
      </c>
      <c r="O149" s="2"/>
      <c r="P149" t="str">
        <f>IF(COUNTIF($A$2:A149,A149)&gt;1,"Duplicate","Unique")</f>
        <v>Unique</v>
      </c>
      <c r="Q149" t="str">
        <f t="shared" si="4"/>
        <v>OK</v>
      </c>
      <c r="R149" t="str">
        <f t="shared" si="5"/>
        <v>Available</v>
      </c>
    </row>
    <row r="150" spans="1:18">
      <c r="A150" t="str">
        <f>TRIM(CLEAN(Raw_Data!A150))</f>
        <v>MEM0149</v>
      </c>
      <c r="B150" t="str">
        <f ca="1">TRIM(Raw_Data!B150)</f>
        <v>Divya Reddy</v>
      </c>
      <c r="C150" t="str">
        <f ca="1">_xlfn.XLOOKUP(D150, Branch_Master!A:A, Branch_Master!B:B)</f>
        <v>Mumbai</v>
      </c>
      <c r="D150" t="str">
        <f ca="1">TRIM(Raw_Data!D150)</f>
        <v>BR05</v>
      </c>
      <c r="E150" t="str">
        <f ca="1">PROPER(TRIM(Raw_Data!E150))</f>
        <v>Premium</v>
      </c>
      <c r="F150" s="2">
        <f>IFERROR(DATEVALUE(Raw_Data!F150), Raw_Data!F150)</f>
        <v>45337</v>
      </c>
      <c r="G150" s="2">
        <f>IFERROR(
    IF(
        IFERROR(DATEVALUE(Raw_Data!G150), Raw_Data!G150) &lt;
        IFERROR(DATEVALUE(Raw_Data!F150), Raw_Data!F150),
        IFERROR(DATEVALUE(Raw_Data!F150), Raw_Data!F150) + 30,
        IFERROR(DATEVALUE(Raw_Data!G150), Raw_Data!G150)
    ),
    ""
)</f>
        <v>45427</v>
      </c>
      <c r="H150">
        <f>IFERROR(VALUE(Raw_Data!H150), "")</f>
        <v>3500</v>
      </c>
      <c r="I150">
        <f ca="1">IFERROR(VALUE(Raw_Data!I150), "")</f>
        <v>31500</v>
      </c>
      <c r="J150">
        <f>IFERROR(
    VALUE(SUBSTITUTE(Raw_Data!J150," visits","")),
    ""
)</f>
        <v>17</v>
      </c>
      <c r="K150" t="str">
        <f ca="1">IF(TRIM(Raw_Data!K150)="","No",PROPER(TRIM(Raw_Data!K150)))</f>
        <v>Yes</v>
      </c>
      <c r="L150" t="str">
        <f ca="1">PROPER(TRIM(Raw_Data!L150))</f>
        <v>Weight Loss</v>
      </c>
      <c r="M150" t="s">
        <v>151</v>
      </c>
      <c r="N150" s="2">
        <f>IFERROR(DATEVALUE(Raw_Data!N150), Raw_Data!N150)</f>
        <v>45586</v>
      </c>
      <c r="O150" s="2"/>
      <c r="P150" t="str">
        <f>IF(COUNTIF($A$2:A150,A150)&gt;1,"Duplicate","Unique")</f>
        <v>Unique</v>
      </c>
      <c r="Q150" t="str">
        <f t="shared" si="4"/>
        <v>OK</v>
      </c>
      <c r="R150" t="str">
        <f t="shared" si="5"/>
        <v>Available</v>
      </c>
    </row>
    <row r="151" spans="1:18">
      <c r="A151" t="str">
        <f>TRIM(CLEAN(Raw_Data!A151))</f>
        <v>MEM0150</v>
      </c>
      <c r="B151" t="str">
        <f ca="1">TRIM(Raw_Data!B151)</f>
        <v>Priya Chatterjee</v>
      </c>
      <c r="C151" t="str">
        <f ca="1">_xlfn.XLOOKUP(D151, Branch_Master!A:A, Branch_Master!B:B)</f>
        <v>Hyderabad</v>
      </c>
      <c r="D151" t="str">
        <f ca="1">TRIM(Raw_Data!D151)</f>
        <v>BR04</v>
      </c>
      <c r="E151" t="str">
        <f ca="1">PROPER(TRIM(Raw_Data!E151))</f>
        <v>Premium</v>
      </c>
      <c r="F151" s="2">
        <f>IFERROR(DATEVALUE(Raw_Data!F151), Raw_Data!F151)</f>
        <v>45354</v>
      </c>
      <c r="G151" s="2">
        <f>IFERROR(
    IF(
        IFERROR(DATEVALUE(Raw_Data!G151), Raw_Data!G151) &lt;
        IFERROR(DATEVALUE(Raw_Data!F151), Raw_Data!F151),
        IFERROR(DATEVALUE(Raw_Data!F151), Raw_Data!F151) + 30,
        IFERROR(DATEVALUE(Raw_Data!G151), Raw_Data!G151)
    ),
    ""
)</f>
        <v>45384</v>
      </c>
      <c r="H151">
        <f>IFERROR(VALUE(Raw_Data!H151), "")</f>
        <v>3500</v>
      </c>
      <c r="I151">
        <f ca="1">IFERROR(VALUE(Raw_Data!I151), "")</f>
        <v>7000</v>
      </c>
      <c r="J151">
        <f>IFERROR(
    VALUE(SUBSTITUTE(Raw_Data!J151," visits","")),
    ""
)</f>
        <v>11</v>
      </c>
      <c r="K151" t="str">
        <f ca="1">IF(TRIM(Raw_Data!K151)="","No",PROPER(TRIM(Raw_Data!K151)))</f>
        <v>Yes</v>
      </c>
      <c r="L151" t="str">
        <f ca="1">PROPER(TRIM(Raw_Data!L151))</f>
        <v>Muscle Gain</v>
      </c>
      <c r="M151" t="s">
        <v>151</v>
      </c>
      <c r="N151" s="2">
        <f>IFERROR(DATEVALUE(Raw_Data!N151), Raw_Data!N151)</f>
        <v>45378</v>
      </c>
      <c r="O151" s="2"/>
      <c r="P151" t="str">
        <f>IF(COUNTIF($A$2:A151,A151)&gt;1,"Duplicate","Unique")</f>
        <v>Unique</v>
      </c>
      <c r="Q151" t="str">
        <f t="shared" si="4"/>
        <v>OK</v>
      </c>
      <c r="R151" t="str">
        <f t="shared" si="5"/>
        <v>Available</v>
      </c>
    </row>
    <row r="152" spans="1:18">
      <c r="A152" t="str">
        <f>TRIM(CLEAN(Raw_Data!A152))</f>
        <v>MEM0151</v>
      </c>
      <c r="B152" t="str">
        <f ca="1">TRIM(Raw_Data!B152)</f>
        <v>Sneha Chatterjee</v>
      </c>
      <c r="C152" t="str">
        <f ca="1">_xlfn.XLOOKUP(D152, Branch_Master!A:A, Branch_Master!B:B)</f>
        <v>Calicut</v>
      </c>
      <c r="D152" t="str">
        <f ca="1">TRIM(Raw_Data!D152)</f>
        <v>BR07</v>
      </c>
      <c r="E152" t="str">
        <f ca="1">PROPER(TRIM(Raw_Data!E152))</f>
        <v>Premium</v>
      </c>
      <c r="F152" s="2">
        <f>IFERROR(DATEVALUE(Raw_Data!F152), Raw_Data!F152)</f>
        <v>45763</v>
      </c>
      <c r="G152" s="2">
        <f>IFERROR(
    IF(
        IFERROR(DATEVALUE(Raw_Data!G152), Raw_Data!G152) &lt;
        IFERROR(DATEVALUE(Raw_Data!F152), Raw_Data!F152),
        IFERROR(DATEVALUE(Raw_Data!F152), Raw_Data!F152) + 30,
        IFERROR(DATEVALUE(Raw_Data!G152), Raw_Data!G152)
    ),
    ""
)</f>
        <v>46128</v>
      </c>
      <c r="H152">
        <f>IFERROR(VALUE(Raw_Data!H152), "")</f>
        <v>3500</v>
      </c>
      <c r="I152">
        <f ca="1">IFERROR(VALUE(Raw_Data!I152), "")</f>
        <v>38500</v>
      </c>
      <c r="J152">
        <f>IFERROR(
    VALUE(SUBSTITUTE(Raw_Data!J152," visits","")),
    ""
)</f>
        <v>3</v>
      </c>
      <c r="K152" t="str">
        <f ca="1">IF(TRIM(Raw_Data!K152)="","No",PROPER(TRIM(Raw_Data!K152)))</f>
        <v>No</v>
      </c>
      <c r="L152" t="str">
        <f ca="1">PROPER(TRIM(Raw_Data!L152))</f>
        <v>General Fitness</v>
      </c>
      <c r="M152" t="s">
        <v>152</v>
      </c>
      <c r="N152" s="2">
        <f>IFERROR(DATEVALUE(Raw_Data!N152), Raw_Data!N152)</f>
        <v>45779</v>
      </c>
      <c r="O152" s="2"/>
      <c r="P152" t="str">
        <f>IF(COUNTIF($A$2:A152,A152)&gt;1,"Duplicate","Unique")</f>
        <v>Unique</v>
      </c>
      <c r="Q152" t="str">
        <f t="shared" si="4"/>
        <v>Cancelled but Active</v>
      </c>
      <c r="R152" t="str">
        <f t="shared" si="5"/>
        <v>Available</v>
      </c>
    </row>
    <row r="153" spans="1:18">
      <c r="A153" t="str">
        <f>TRIM(CLEAN(Raw_Data!A153))</f>
        <v>MEM0152</v>
      </c>
      <c r="B153" t="str">
        <f ca="1">TRIM(Raw_Data!B153)</f>
        <v>Nisha Menon</v>
      </c>
      <c r="C153" t="str">
        <f ca="1">_xlfn.XLOOKUP(D153, Branch_Master!A:A, Branch_Master!B:B)</f>
        <v>Bangalore</v>
      </c>
      <c r="D153" t="str">
        <f ca="1">TRIM(Raw_Data!D153)</f>
        <v>BR02</v>
      </c>
      <c r="E153" t="str">
        <f ca="1">PROPER(TRIM(Raw_Data!E153))</f>
        <v>Premium</v>
      </c>
      <c r="F153" s="2">
        <f>IFERROR(DATEVALUE(Raw_Data!F153), Raw_Data!F153)</f>
        <v>45768</v>
      </c>
      <c r="G153" s="2">
        <f>IFERROR(
    IF(
        IFERROR(DATEVALUE(Raw_Data!G153), Raw_Data!G153) &lt;
        IFERROR(DATEVALUE(Raw_Data!F153), Raw_Data!F153),
        IFERROR(DATEVALUE(Raw_Data!F153), Raw_Data!F153) + 30,
        IFERROR(DATEVALUE(Raw_Data!G153), Raw_Data!G153)
    ),
    ""
)</f>
        <v>45798</v>
      </c>
      <c r="H153">
        <f>IFERROR(VALUE(Raw_Data!H153), "")</f>
        <v>1000</v>
      </c>
      <c r="I153">
        <f ca="1">IFERROR(VALUE(Raw_Data!I153), "")</f>
        <v>5000</v>
      </c>
      <c r="J153">
        <f>IFERROR(
    VALUE(SUBSTITUTE(Raw_Data!J153," visits","")),
    ""
)</f>
        <v>16</v>
      </c>
      <c r="K153" t="str">
        <f ca="1">IF(TRIM(Raw_Data!K153)="","No",PROPER(TRIM(Raw_Data!K153)))</f>
        <v>No</v>
      </c>
      <c r="L153" t="str">
        <f ca="1">PROPER(TRIM(Raw_Data!L153))</f>
        <v>Weight Loss</v>
      </c>
      <c r="M153" t="s">
        <v>151</v>
      </c>
      <c r="N153" s="2">
        <f>IFERROR(DATEVALUE(Raw_Data!N153), Raw_Data!N153)</f>
        <v>46085</v>
      </c>
      <c r="O153" s="2"/>
      <c r="P153" t="str">
        <f>IF(COUNTIF($A$2:A153,A153)&gt;1,"Duplicate","Unique")</f>
        <v>Unique</v>
      </c>
      <c r="Q153" t="str">
        <f t="shared" si="4"/>
        <v>OK</v>
      </c>
      <c r="R153" t="str">
        <f t="shared" si="5"/>
        <v>Available</v>
      </c>
    </row>
    <row r="154" spans="1:18">
      <c r="A154" t="str">
        <f>TRIM(CLEAN(Raw_Data!A154))</f>
        <v>MEM0153</v>
      </c>
      <c r="B154" t="str">
        <f ca="1">TRIM(Raw_Data!B154)</f>
        <v>Neha Naidu</v>
      </c>
      <c r="C154" t="str">
        <f ca="1">_xlfn.XLOOKUP(D154, Branch_Master!A:A, Branch_Master!B:B)</f>
        <v>Chennai</v>
      </c>
      <c r="D154" t="str">
        <f ca="1">TRIM(Raw_Data!D154)</f>
        <v>BR03</v>
      </c>
      <c r="E154" t="str">
        <f ca="1">PROPER(TRIM(Raw_Data!E154))</f>
        <v>Premium</v>
      </c>
      <c r="F154" s="2">
        <f>IFERROR(DATEVALUE(Raw_Data!F154), Raw_Data!F154)</f>
        <v>46044</v>
      </c>
      <c r="G154" s="2">
        <f>IFERROR(
    IF(
        IFERROR(DATEVALUE(Raw_Data!G154), Raw_Data!G154) &lt;
        IFERROR(DATEVALUE(Raw_Data!F154), Raw_Data!F154),
        IFERROR(DATEVALUE(Raw_Data!F154), Raw_Data!F154) + 30,
        IFERROR(DATEVALUE(Raw_Data!G154), Raw_Data!G154)
    ),
    ""
)</f>
        <v>46134</v>
      </c>
      <c r="H154">
        <f>IFERROR(VALUE(Raw_Data!H154), "")</f>
        <v>1000</v>
      </c>
      <c r="I154">
        <f ca="1">IFERROR(VALUE(Raw_Data!I154), "")</f>
        <v>9000</v>
      </c>
      <c r="J154">
        <f>IFERROR(
    VALUE(SUBSTITUTE(Raw_Data!J154," visits","")),
    ""
)</f>
        <v>21</v>
      </c>
      <c r="K154" t="str">
        <f ca="1">IF(TRIM(Raw_Data!K154)="","No",PROPER(TRIM(Raw_Data!K154)))</f>
        <v>Yes</v>
      </c>
      <c r="L154" t="str">
        <f ca="1">PROPER(TRIM(Raw_Data!L154))</f>
        <v>Muscle Gain</v>
      </c>
      <c r="M154" t="s">
        <v>151</v>
      </c>
      <c r="N154" s="2">
        <f>IFERROR(DATEVALUE(Raw_Data!N154), Raw_Data!N154)</f>
        <v>46076</v>
      </c>
      <c r="O154" s="2"/>
      <c r="P154" t="str">
        <f>IF(COUNTIF($A$2:A154,A154)&gt;1,"Duplicate","Unique")</f>
        <v>Unique</v>
      </c>
      <c r="Q154" t="str">
        <f t="shared" si="4"/>
        <v>OK</v>
      </c>
      <c r="R154" t="str">
        <f t="shared" si="5"/>
        <v>Available</v>
      </c>
    </row>
    <row r="155" spans="1:18">
      <c r="A155" t="str">
        <f>TRIM(CLEAN(Raw_Data!A155))</f>
        <v>MEM0154</v>
      </c>
      <c r="B155" t="str">
        <f ca="1">TRIM(Raw_Data!B155)</f>
        <v>Shreya Agarwal</v>
      </c>
      <c r="C155" t="str">
        <f ca="1">_xlfn.XLOOKUP(D155, Branch_Master!A:A, Branch_Master!B:B)</f>
        <v>Kochi</v>
      </c>
      <c r="D155" t="str">
        <f ca="1">TRIM(Raw_Data!D155)</f>
        <v>BR01</v>
      </c>
      <c r="E155" t="str">
        <f ca="1">PROPER(TRIM(Raw_Data!E155))</f>
        <v>Premium</v>
      </c>
      <c r="F155" s="2">
        <f>IFERROR(DATEVALUE(Raw_Data!F155), Raw_Data!F155)</f>
        <v>45375</v>
      </c>
      <c r="G155" s="2">
        <f>IFERROR(
    IF(
        IFERROR(DATEVALUE(Raw_Data!G155), Raw_Data!G155) &lt;
        IFERROR(DATEVALUE(Raw_Data!F155), Raw_Data!F155),
        IFERROR(DATEVALUE(Raw_Data!F155), Raw_Data!F155) + 30,
        IFERROR(DATEVALUE(Raw_Data!G155), Raw_Data!G155)
    ),
    ""
)</f>
        <v>45740</v>
      </c>
      <c r="H155">
        <f>IFERROR(VALUE(Raw_Data!H155), "")</f>
        <v>2000</v>
      </c>
      <c r="I155">
        <f ca="1">IFERROR(VALUE(Raw_Data!I155), "")</f>
        <v>8000</v>
      </c>
      <c r="J155">
        <f>IFERROR(
    VALUE(SUBSTITUTE(Raw_Data!J155," visits","")),
    ""
)</f>
        <v>9</v>
      </c>
      <c r="K155" t="str">
        <f ca="1">IF(TRIM(Raw_Data!K155)="","No",PROPER(TRIM(Raw_Data!K155)))</f>
        <v>Yes</v>
      </c>
      <c r="L155" t="str">
        <f ca="1">PROPER(TRIM(Raw_Data!L155))</f>
        <v>General Fitness</v>
      </c>
      <c r="M155" t="s">
        <v>151</v>
      </c>
      <c r="N155" s="2">
        <f>IFERROR(DATEVALUE(Raw_Data!N155), Raw_Data!N155)</f>
        <v>45956</v>
      </c>
      <c r="O155" s="2"/>
      <c r="P155" t="str">
        <f>IF(COUNTIF($A$2:A155,A155)&gt;1,"Duplicate","Unique")</f>
        <v>Unique</v>
      </c>
      <c r="Q155" t="str">
        <f t="shared" si="4"/>
        <v>OK</v>
      </c>
      <c r="R155" t="str">
        <f t="shared" si="5"/>
        <v>Available</v>
      </c>
    </row>
    <row r="156" spans="1:18">
      <c r="A156" t="str">
        <f>TRIM(CLEAN(Raw_Data!A156))</f>
        <v>MEM0155</v>
      </c>
      <c r="B156" t="str">
        <f ca="1">TRIM(Raw_Data!B156)</f>
        <v>Akash Sharma</v>
      </c>
      <c r="C156" t="str">
        <f ca="1">_xlfn.XLOOKUP(D156, Branch_Master!A:A, Branch_Master!B:B)</f>
        <v>Mumbai</v>
      </c>
      <c r="D156" t="str">
        <f ca="1">TRIM(Raw_Data!D156)</f>
        <v>BR05</v>
      </c>
      <c r="E156" t="str">
        <f ca="1">PROPER(TRIM(Raw_Data!E156))</f>
        <v>Standard</v>
      </c>
      <c r="F156" s="2">
        <f>IFERROR(DATEVALUE(Raw_Data!F156), Raw_Data!F156)</f>
        <v>45751</v>
      </c>
      <c r="G156" s="2">
        <f>IFERROR(
    IF(
        IFERROR(DATEVALUE(Raw_Data!G156), Raw_Data!G156) &lt;
        IFERROR(DATEVALUE(Raw_Data!F156), Raw_Data!F156),
        IFERROR(DATEVALUE(Raw_Data!F156), Raw_Data!F156) + 30,
        IFERROR(DATEVALUE(Raw_Data!G156), Raw_Data!G156)
    ),
    ""
)</f>
        <v>45841</v>
      </c>
      <c r="H156">
        <f>IFERROR(VALUE(Raw_Data!H156), "")</f>
        <v>3500</v>
      </c>
      <c r="I156">
        <f ca="1">IFERROR(VALUE(Raw_Data!I156), "")</f>
        <v>10500</v>
      </c>
      <c r="J156">
        <f>IFERROR(
    VALUE(SUBSTITUTE(Raw_Data!J156," visits","")),
    ""
)</f>
        <v>21</v>
      </c>
      <c r="K156" t="str">
        <f ca="1">IF(TRIM(Raw_Data!K156)="","No",PROPER(TRIM(Raw_Data!K156)))</f>
        <v>Yes</v>
      </c>
      <c r="L156" t="str">
        <f ca="1">PROPER(TRIM(Raw_Data!L156))</f>
        <v>Weight Loss</v>
      </c>
      <c r="M156" t="s">
        <v>152</v>
      </c>
      <c r="N156" s="2">
        <f>IFERROR(DATEVALUE(Raw_Data!N156), Raw_Data!N156)</f>
        <v>46082</v>
      </c>
      <c r="O156" s="2"/>
      <c r="P156" t="str">
        <f>IF(COUNTIF($A$2:A156,A156)&gt;1,"Duplicate","Unique")</f>
        <v>Unique</v>
      </c>
      <c r="Q156" t="str">
        <f t="shared" si="4"/>
        <v>Cancelled but Active</v>
      </c>
      <c r="R156" t="str">
        <f t="shared" si="5"/>
        <v>Available</v>
      </c>
    </row>
    <row r="157" spans="1:18">
      <c r="A157" t="str">
        <f>TRIM(CLEAN(Raw_Data!A157))</f>
        <v>MEM0156</v>
      </c>
      <c r="B157" t="str">
        <f ca="1">TRIM(Raw_Data!B157)</f>
        <v>Swathi Kulkarni</v>
      </c>
      <c r="C157" t="str">
        <f ca="1">_xlfn.XLOOKUP(D157, Branch_Master!A:A, Branch_Master!B:B)</f>
        <v>Kochi</v>
      </c>
      <c r="D157" t="str">
        <f ca="1">TRIM(Raw_Data!D157)</f>
        <v>BR01</v>
      </c>
      <c r="E157" t="str">
        <f ca="1">PROPER(TRIM(Raw_Data!E157))</f>
        <v>Basic</v>
      </c>
      <c r="F157" s="2">
        <f>IFERROR(DATEVALUE(Raw_Data!F157), Raw_Data!F157)</f>
        <v>45664</v>
      </c>
      <c r="G157" s="2">
        <f>IFERROR(
    IF(
        IFERROR(DATEVALUE(Raw_Data!G157), Raw_Data!G157) &lt;
        IFERROR(DATEVALUE(Raw_Data!F157), Raw_Data!F157),
        IFERROR(DATEVALUE(Raw_Data!F157), Raw_Data!F157) + 30,
        IFERROR(DATEVALUE(Raw_Data!G157), Raw_Data!G157)
    ),
    ""
)</f>
        <v>46029</v>
      </c>
      <c r="H157">
        <f>IFERROR(VALUE(Raw_Data!H157), "")</f>
        <v>1000</v>
      </c>
      <c r="I157">
        <f ca="1">IFERROR(VALUE(Raw_Data!I157), "")</f>
        <v>3000</v>
      </c>
      <c r="J157">
        <f>IFERROR(
    VALUE(SUBSTITUTE(Raw_Data!J157," visits","")),
    ""
)</f>
        <v>6</v>
      </c>
      <c r="K157" t="str">
        <f ca="1">IF(TRIM(Raw_Data!K157)="","No",PROPER(TRIM(Raw_Data!K157)))</f>
        <v>Yes</v>
      </c>
      <c r="L157" t="str">
        <f ca="1">PROPER(TRIM(Raw_Data!L157))</f>
        <v>Muscle Gain</v>
      </c>
      <c r="M157" t="s">
        <v>151</v>
      </c>
      <c r="N157" s="2">
        <f>IFERROR(DATEVALUE(Raw_Data!N157), Raw_Data!N157)</f>
        <v>45932</v>
      </c>
      <c r="O157" s="2"/>
      <c r="P157" t="str">
        <f>IF(COUNTIF($A$2:A157,A157)&gt;1,"Duplicate","Unique")</f>
        <v>Unique</v>
      </c>
      <c r="Q157" t="str">
        <f t="shared" si="4"/>
        <v>OK</v>
      </c>
      <c r="R157" t="str">
        <f t="shared" si="5"/>
        <v>Available</v>
      </c>
    </row>
    <row r="158" spans="1:18">
      <c r="A158" t="str">
        <f>TRIM(CLEAN(Raw_Data!A158))</f>
        <v>MEM0157</v>
      </c>
      <c r="B158" t="str">
        <f ca="1">TRIM(Raw_Data!B158)</f>
        <v>Divya Fernandes</v>
      </c>
      <c r="C158" t="str">
        <f ca="1">_xlfn.XLOOKUP(D158, Branch_Master!A:A, Branch_Master!B:B)</f>
        <v>Chennai</v>
      </c>
      <c r="D158" t="str">
        <f ca="1">TRIM(Raw_Data!D158)</f>
        <v>BR03</v>
      </c>
      <c r="E158" t="str">
        <f ca="1">PROPER(TRIM(Raw_Data!E158))</f>
        <v>Standard</v>
      </c>
      <c r="F158" s="2">
        <f>IFERROR(DATEVALUE(Raw_Data!F158), Raw_Data!F158)</f>
        <v>45380</v>
      </c>
      <c r="G158" s="2">
        <f>IFERROR(
    IF(
        IFERROR(DATEVALUE(Raw_Data!G158), Raw_Data!G158) &lt;
        IFERROR(DATEVALUE(Raw_Data!F158), Raw_Data!F158),
        IFERROR(DATEVALUE(Raw_Data!F158), Raw_Data!F158) + 30,
        IFERROR(DATEVALUE(Raw_Data!G158), Raw_Data!G158)
    ),
    ""
)</f>
        <v>45410</v>
      </c>
      <c r="H158">
        <f>IFERROR(VALUE(Raw_Data!H158), "")</f>
        <v>2000</v>
      </c>
      <c r="I158">
        <f ca="1">IFERROR(VALUE(Raw_Data!I158), "")</f>
        <v>22000</v>
      </c>
      <c r="J158">
        <f>IFERROR(
    VALUE(SUBSTITUTE(Raw_Data!J158," visits","")),
    ""
)</f>
        <v>24</v>
      </c>
      <c r="K158" t="str">
        <f ca="1">IF(TRIM(Raw_Data!K158)="","No",PROPER(TRIM(Raw_Data!K158)))</f>
        <v>No</v>
      </c>
      <c r="L158" t="str">
        <f ca="1">PROPER(TRIM(Raw_Data!L158))</f>
        <v>Muscle Gain</v>
      </c>
      <c r="M158" t="s">
        <v>151</v>
      </c>
      <c r="N158" s="2">
        <f>IFERROR(DATEVALUE(Raw_Data!N158), Raw_Data!N158)</f>
        <v>45932</v>
      </c>
      <c r="O158" s="2"/>
      <c r="P158" t="str">
        <f>IF(COUNTIF($A$2:A158,A158)&gt;1,"Duplicate","Unique")</f>
        <v>Unique</v>
      </c>
      <c r="Q158" t="str">
        <f t="shared" si="4"/>
        <v>OK</v>
      </c>
      <c r="R158" t="str">
        <f t="shared" si="5"/>
        <v>Available</v>
      </c>
    </row>
    <row r="159" spans="1:18">
      <c r="A159" t="str">
        <f>TRIM(CLEAN(Raw_Data!A159))</f>
        <v>MEM0158</v>
      </c>
      <c r="B159" t="str">
        <f ca="1">TRIM(Raw_Data!B159)</f>
        <v>Zara Reddy</v>
      </c>
      <c r="C159" t="str">
        <f ca="1">_xlfn.XLOOKUP(D159, Branch_Master!A:A, Branch_Master!B:B)</f>
        <v>Hyderabad</v>
      </c>
      <c r="D159" t="str">
        <f ca="1">TRIM(Raw_Data!D159)</f>
        <v>BR04</v>
      </c>
      <c r="E159" t="str">
        <f ca="1">PROPER(TRIM(Raw_Data!E159))</f>
        <v>Basic</v>
      </c>
      <c r="F159" s="2">
        <f>IFERROR(DATEVALUE(Raw_Data!F159), Raw_Data!F159)</f>
        <v>45968</v>
      </c>
      <c r="G159" s="2">
        <f>IFERROR(
    IF(
        IFERROR(DATEVALUE(Raw_Data!G159), Raw_Data!G159) &lt;
        IFERROR(DATEVALUE(Raw_Data!F159), Raw_Data!F159),
        IFERROR(DATEVALUE(Raw_Data!F159), Raw_Data!F159) + 30,
        IFERROR(DATEVALUE(Raw_Data!G159), Raw_Data!G159)
    ),
    ""
)</f>
        <v>46333</v>
      </c>
      <c r="H159">
        <f>IFERROR(VALUE(Raw_Data!H159), "")</f>
        <v>3500</v>
      </c>
      <c r="I159">
        <f ca="1">IFERROR(VALUE(Raw_Data!I159), "")</f>
        <v>10500</v>
      </c>
      <c r="J159">
        <f>IFERROR(
    VALUE(SUBSTITUTE(Raw_Data!J159," visits","")),
    ""
)</f>
        <v>12</v>
      </c>
      <c r="K159" t="str">
        <f ca="1">IF(TRIM(Raw_Data!K159)="","No",PROPER(TRIM(Raw_Data!K159)))</f>
        <v>No</v>
      </c>
      <c r="L159" t="str">
        <f ca="1">PROPER(TRIM(Raw_Data!L159))</f>
        <v>Weight Loss</v>
      </c>
      <c r="M159" t="s">
        <v>151</v>
      </c>
      <c r="N159" s="2">
        <f>IFERROR(DATEVALUE(Raw_Data!N159), Raw_Data!N159)</f>
        <v>45999</v>
      </c>
      <c r="O159" s="2"/>
      <c r="P159" t="str">
        <f>IF(COUNTIF($A$2:A159,A159)&gt;1,"Duplicate","Unique")</f>
        <v>Unique</v>
      </c>
      <c r="Q159" t="str">
        <f t="shared" si="4"/>
        <v>OK</v>
      </c>
      <c r="R159" t="str">
        <f t="shared" si="5"/>
        <v>Available</v>
      </c>
    </row>
    <row r="160" spans="1:18">
      <c r="A160" t="str">
        <f>TRIM(CLEAN(Raw_Data!A160))</f>
        <v>MEM0159</v>
      </c>
      <c r="B160" t="str">
        <f ca="1">TRIM(Raw_Data!B160)</f>
        <v>Aditya Nair</v>
      </c>
      <c r="C160" t="str">
        <f ca="1">_xlfn.XLOOKUP(D160, Branch_Master!A:A, Branch_Master!B:B)</f>
        <v>Calicut</v>
      </c>
      <c r="D160" t="str">
        <f ca="1">TRIM(Raw_Data!D160)</f>
        <v>BR07</v>
      </c>
      <c r="E160" t="str">
        <f ca="1">PROPER(TRIM(Raw_Data!E160))</f>
        <v>Premium</v>
      </c>
      <c r="F160" s="2">
        <f>IFERROR(DATEVALUE(Raw_Data!F160), Raw_Data!F160)</f>
        <v>45841</v>
      </c>
      <c r="G160" s="2">
        <f>IFERROR(
    IF(
        IFERROR(DATEVALUE(Raw_Data!G160), Raw_Data!G160) &lt;
        IFERROR(DATEVALUE(Raw_Data!F160), Raw_Data!F160),
        IFERROR(DATEVALUE(Raw_Data!F160), Raw_Data!F160) + 30,
        IFERROR(DATEVALUE(Raw_Data!G160), Raw_Data!G160)
    ),
    ""
)</f>
        <v>46206</v>
      </c>
      <c r="H160">
        <f>IFERROR(VALUE(Raw_Data!H160), "")</f>
        <v>1000</v>
      </c>
      <c r="I160">
        <f ca="1">IFERROR(VALUE(Raw_Data!I160), "")</f>
        <v>4000</v>
      </c>
      <c r="J160">
        <f>IFERROR(
    VALUE(SUBSTITUTE(Raw_Data!J160," visits","")),
    ""
)</f>
        <v>20</v>
      </c>
      <c r="K160" t="str">
        <f ca="1">IF(TRIM(Raw_Data!K160)="","No",PROPER(TRIM(Raw_Data!K160)))</f>
        <v>No</v>
      </c>
      <c r="L160" t="str">
        <f ca="1">PROPER(TRIM(Raw_Data!L160))</f>
        <v>Muscle Gain</v>
      </c>
      <c r="M160" t="s">
        <v>151</v>
      </c>
      <c r="N160" s="2">
        <f>IFERROR(DATEVALUE(Raw_Data!N160), Raw_Data!N160)</f>
        <v>45851</v>
      </c>
      <c r="O160" s="2"/>
      <c r="P160" t="str">
        <f>IF(COUNTIF($A$2:A160,A160)&gt;1,"Duplicate","Unique")</f>
        <v>Unique</v>
      </c>
      <c r="Q160" t="str">
        <f t="shared" si="4"/>
        <v>OK</v>
      </c>
      <c r="R160" t="str">
        <f t="shared" si="5"/>
        <v>Available</v>
      </c>
    </row>
    <row r="161" spans="1:18">
      <c r="A161" t="str">
        <f>TRIM(CLEAN(Raw_Data!A161))</f>
        <v>MEM0160</v>
      </c>
      <c r="B161" t="str">
        <f ca="1">TRIM(Raw_Data!B161)</f>
        <v>Varun Kulkarni</v>
      </c>
      <c r="C161" t="str">
        <f ca="1">_xlfn.XLOOKUP(D161, Branch_Master!A:A, Branch_Master!B:B)</f>
        <v>Mumbai</v>
      </c>
      <c r="D161" t="str">
        <f ca="1">TRIM(Raw_Data!D161)</f>
        <v>BR05</v>
      </c>
      <c r="E161" t="str">
        <f ca="1">PROPER(TRIM(Raw_Data!E161))</f>
        <v>Premium</v>
      </c>
      <c r="F161" s="2">
        <f>IFERROR(DATEVALUE(Raw_Data!F161), Raw_Data!F161)</f>
        <v>45886</v>
      </c>
      <c r="G161" s="2">
        <f>IFERROR(
    IF(
        IFERROR(DATEVALUE(Raw_Data!G161), Raw_Data!G161) &lt;
        IFERROR(DATEVALUE(Raw_Data!F161), Raw_Data!F161),
        IFERROR(DATEVALUE(Raw_Data!F161), Raw_Data!F161) + 30,
        IFERROR(DATEVALUE(Raw_Data!G161), Raw_Data!G161)
    ),
    ""
)</f>
        <v>45976</v>
      </c>
      <c r="H161">
        <f>IFERROR(VALUE(Raw_Data!H161), "")</f>
        <v>1000</v>
      </c>
      <c r="I161">
        <f ca="1">IFERROR(VALUE(Raw_Data!I161), "")</f>
        <v>3000</v>
      </c>
      <c r="J161">
        <f>IFERROR(
    VALUE(SUBSTITUTE(Raw_Data!J161," visits","")),
    ""
)</f>
        <v>17</v>
      </c>
      <c r="K161" t="str">
        <f ca="1">IF(TRIM(Raw_Data!K161)="","No",PROPER(TRIM(Raw_Data!K161)))</f>
        <v>No</v>
      </c>
      <c r="L161" t="str">
        <f ca="1">PROPER(TRIM(Raw_Data!L161))</f>
        <v>General Fitness</v>
      </c>
      <c r="M161" t="s">
        <v>151</v>
      </c>
      <c r="N161" s="2">
        <f>IFERROR(DATEVALUE(Raw_Data!N161), Raw_Data!N161)</f>
        <v>45996</v>
      </c>
      <c r="O161" s="2"/>
      <c r="P161" t="str">
        <f>IF(COUNTIF($A$2:A161,A161)&gt;1,"Duplicate","Unique")</f>
        <v>Unique</v>
      </c>
      <c r="Q161" t="str">
        <f t="shared" si="4"/>
        <v>OK</v>
      </c>
      <c r="R161" t="str">
        <f t="shared" si="5"/>
        <v>Available</v>
      </c>
    </row>
    <row r="162" spans="1:18">
      <c r="A162" t="str">
        <f>TRIM(CLEAN(Raw_Data!A162))</f>
        <v>MEM0161</v>
      </c>
      <c r="B162" t="str">
        <f ca="1">TRIM(Raw_Data!B162)</f>
        <v>Akash Nair</v>
      </c>
      <c r="C162" t="str">
        <f ca="1">_xlfn.XLOOKUP(D162, Branch_Master!A:A, Branch_Master!B:B)</f>
        <v>Chennai</v>
      </c>
      <c r="D162" t="str">
        <f ca="1">TRIM(Raw_Data!D162)</f>
        <v>BR03</v>
      </c>
      <c r="E162" t="str">
        <f ca="1">PROPER(TRIM(Raw_Data!E162))</f>
        <v>Premium</v>
      </c>
      <c r="F162" s="2">
        <f>IFERROR(DATEVALUE(Raw_Data!F162), Raw_Data!F162)</f>
        <v>45377</v>
      </c>
      <c r="G162" s="2">
        <f>IFERROR(
    IF(
        IFERROR(DATEVALUE(Raw_Data!G162), Raw_Data!G162) &lt;
        IFERROR(DATEVALUE(Raw_Data!F162), Raw_Data!F162),
        IFERROR(DATEVALUE(Raw_Data!F162), Raw_Data!F162) + 30,
        IFERROR(DATEVALUE(Raw_Data!G162), Raw_Data!G162)
    ),
    ""
)</f>
        <v>45467</v>
      </c>
      <c r="H162">
        <f>IFERROR(VALUE(Raw_Data!H162), "")</f>
        <v>3500</v>
      </c>
      <c r="I162">
        <f ca="1">IFERROR(VALUE(Raw_Data!I162), "")</f>
        <v>35000</v>
      </c>
      <c r="J162">
        <f>IFERROR(
    VALUE(SUBSTITUTE(Raw_Data!J162," visits","")),
    ""
)</f>
        <v>3</v>
      </c>
      <c r="K162" t="str">
        <f ca="1">IF(TRIM(Raw_Data!K162)="","No",PROPER(TRIM(Raw_Data!K162)))</f>
        <v>No</v>
      </c>
      <c r="L162" t="str">
        <f ca="1">PROPER(TRIM(Raw_Data!L162))</f>
        <v>General Fitness</v>
      </c>
      <c r="M162" t="s">
        <v>151</v>
      </c>
      <c r="N162" s="2">
        <f>IFERROR(DATEVALUE(Raw_Data!N162), Raw_Data!N162)</f>
        <v>45408</v>
      </c>
      <c r="O162" s="2"/>
      <c r="P162" t="str">
        <f>IF(COUNTIF($A$2:A162,A162)&gt;1,"Duplicate","Unique")</f>
        <v>Unique</v>
      </c>
      <c r="Q162" t="str">
        <f t="shared" si="4"/>
        <v>OK</v>
      </c>
      <c r="R162" t="str">
        <f t="shared" si="5"/>
        <v>Available</v>
      </c>
    </row>
    <row r="163" spans="1:18">
      <c r="A163" t="str">
        <f>TRIM(CLEAN(Raw_Data!A163))</f>
        <v>MEM0162</v>
      </c>
      <c r="B163" t="str">
        <f ca="1">TRIM(Raw_Data!B163)</f>
        <v>Anjali Nambiar</v>
      </c>
      <c r="C163" t="str">
        <f ca="1">_xlfn.XLOOKUP(D163, Branch_Master!A:A, Branch_Master!B:B)</f>
        <v>Chennai</v>
      </c>
      <c r="D163" t="str">
        <f ca="1">TRIM(Raw_Data!D163)</f>
        <v>BR03</v>
      </c>
      <c r="E163" t="str">
        <f ca="1">PROPER(TRIM(Raw_Data!E163))</f>
        <v>Standard</v>
      </c>
      <c r="F163" s="2">
        <f>IFERROR(DATEVALUE(Raw_Data!F163), Raw_Data!F163)</f>
        <v>45342</v>
      </c>
      <c r="G163" s="2">
        <f>IFERROR(
    IF(
        IFERROR(DATEVALUE(Raw_Data!G163), Raw_Data!G163) &lt;
        IFERROR(DATEVALUE(Raw_Data!F163), Raw_Data!F163),
        IFERROR(DATEVALUE(Raw_Data!F163), Raw_Data!F163) + 30,
        IFERROR(DATEVALUE(Raw_Data!G163), Raw_Data!G163)
    ),
    ""
)</f>
        <v>45707</v>
      </c>
      <c r="H163">
        <f>IFERROR(VALUE(Raw_Data!H163), "")</f>
        <v>1000</v>
      </c>
      <c r="I163">
        <f ca="1">IFERROR(VALUE(Raw_Data!I163), "")</f>
        <v>11000</v>
      </c>
      <c r="J163">
        <f>IFERROR(
    VALUE(SUBSTITUTE(Raw_Data!J163," visits","")),
    ""
)</f>
        <v>7</v>
      </c>
      <c r="K163" t="str">
        <f ca="1">IF(TRIM(Raw_Data!K163)="","No",PROPER(TRIM(Raw_Data!K163)))</f>
        <v>Yes</v>
      </c>
      <c r="L163" t="str">
        <f ca="1">PROPER(TRIM(Raw_Data!L163))</f>
        <v>Muscle Gain</v>
      </c>
      <c r="M163" t="s">
        <v>151</v>
      </c>
      <c r="N163" s="2">
        <f>IFERROR(DATEVALUE(Raw_Data!N163), Raw_Data!N163)</f>
        <v>45532</v>
      </c>
      <c r="O163" s="2"/>
      <c r="P163" t="str">
        <f>IF(COUNTIF($A$2:A163,A163)&gt;1,"Duplicate","Unique")</f>
        <v>Unique</v>
      </c>
      <c r="Q163" t="str">
        <f t="shared" si="4"/>
        <v>OK</v>
      </c>
      <c r="R163" t="str">
        <f t="shared" si="5"/>
        <v>Available</v>
      </c>
    </row>
    <row r="164" spans="1:18">
      <c r="A164" t="str">
        <f>TRIM(CLEAN(Raw_Data!A164))</f>
        <v>MEM0163</v>
      </c>
      <c r="B164" t="str">
        <f ca="1">TRIM(Raw_Data!B164)</f>
        <v>Arjun Reddy</v>
      </c>
      <c r="C164" t="str">
        <f ca="1">_xlfn.XLOOKUP(D164, Branch_Master!A:A, Branch_Master!B:B)</f>
        <v>Mumbai</v>
      </c>
      <c r="D164" t="str">
        <f ca="1">TRIM(Raw_Data!D164)</f>
        <v>BR05</v>
      </c>
      <c r="E164" t="str">
        <f ca="1">PROPER(TRIM(Raw_Data!E164))</f>
        <v>Premium</v>
      </c>
      <c r="F164" s="2">
        <f>IFERROR(DATEVALUE(Raw_Data!F164), Raw_Data!F164)</f>
        <v>45391</v>
      </c>
      <c r="G164" s="2">
        <f>IFERROR(
    IF(
        IFERROR(DATEVALUE(Raw_Data!G164), Raw_Data!G164) &lt;
        IFERROR(DATEVALUE(Raw_Data!F164), Raw_Data!F164),
        IFERROR(DATEVALUE(Raw_Data!F164), Raw_Data!F164) + 30,
        IFERROR(DATEVALUE(Raw_Data!G164), Raw_Data!G164)
    ),
    ""
)</f>
        <v>45756</v>
      </c>
      <c r="H164">
        <f>IFERROR(VALUE(Raw_Data!H164), "")</f>
        <v>2000</v>
      </c>
      <c r="I164">
        <f ca="1">IFERROR(VALUE(Raw_Data!I164), "")</f>
        <v>10000</v>
      </c>
      <c r="J164">
        <f>IFERROR(
    VALUE(SUBSTITUTE(Raw_Data!J164," visits","")),
    ""
)</f>
        <v>23</v>
      </c>
      <c r="K164" t="str">
        <f ca="1">IF(TRIM(Raw_Data!K164)="","No",PROPER(TRIM(Raw_Data!K164)))</f>
        <v>No</v>
      </c>
      <c r="L164" t="str">
        <f ca="1">PROPER(TRIM(Raw_Data!L164))</f>
        <v>Weight Loss</v>
      </c>
      <c r="M164" t="s">
        <v>151</v>
      </c>
      <c r="N164" s="2">
        <f>IFERROR(DATEVALUE(Raw_Data!N164), Raw_Data!N164)</f>
        <v>45746</v>
      </c>
      <c r="O164" s="2"/>
      <c r="P164" t="str">
        <f>IF(COUNTIF($A$2:A164,A164)&gt;1,"Duplicate","Unique")</f>
        <v>Unique</v>
      </c>
      <c r="Q164" t="str">
        <f t="shared" si="4"/>
        <v>OK</v>
      </c>
      <c r="R164" t="str">
        <f t="shared" si="5"/>
        <v>Available</v>
      </c>
    </row>
    <row r="165" spans="1:18">
      <c r="A165" t="str">
        <f>TRIM(CLEAN(Raw_Data!A165))</f>
        <v>MEM0164</v>
      </c>
      <c r="B165" t="str">
        <f ca="1">TRIM(Raw_Data!B165)</f>
        <v>Swathi Naidu</v>
      </c>
      <c r="C165" t="str">
        <f ca="1">_xlfn.XLOOKUP(D165, Branch_Master!A:A, Branch_Master!B:B)</f>
        <v>Calicut</v>
      </c>
      <c r="D165" t="str">
        <f ca="1">TRIM(Raw_Data!D165)</f>
        <v>BR07</v>
      </c>
      <c r="E165" t="str">
        <f ca="1">PROPER(TRIM(Raw_Data!E165))</f>
        <v>Standard</v>
      </c>
      <c r="F165" s="2">
        <f>IFERROR(DATEVALUE(Raw_Data!F165), Raw_Data!F165)</f>
        <v>45923</v>
      </c>
      <c r="G165" s="2">
        <f>IFERROR(
    IF(
        IFERROR(DATEVALUE(Raw_Data!G165), Raw_Data!G165) &lt;
        IFERROR(DATEVALUE(Raw_Data!F165), Raw_Data!F165),
        IFERROR(DATEVALUE(Raw_Data!F165), Raw_Data!F165) + 30,
        IFERROR(DATEVALUE(Raw_Data!G165), Raw_Data!G165)
    ),
    ""
)</f>
        <v>46013</v>
      </c>
      <c r="H165">
        <f>IFERROR(VALUE(Raw_Data!H165), "")</f>
        <v>1000</v>
      </c>
      <c r="I165">
        <f ca="1">IFERROR(VALUE(Raw_Data!I165), "")</f>
        <v>8000</v>
      </c>
      <c r="J165">
        <f>IFERROR(
    VALUE(SUBSTITUTE(Raw_Data!J165," visits","")),
    ""
)</f>
        <v>14</v>
      </c>
      <c r="K165" t="str">
        <f ca="1">IF(TRIM(Raw_Data!K165)="","No",PROPER(TRIM(Raw_Data!K165)))</f>
        <v>No</v>
      </c>
      <c r="L165" t="str">
        <f ca="1">PROPER(TRIM(Raw_Data!L165))</f>
        <v>Weight Loss</v>
      </c>
      <c r="M165" t="s">
        <v>152</v>
      </c>
      <c r="N165" s="2">
        <f>IFERROR(DATEVALUE(Raw_Data!N165), Raw_Data!N165)</f>
        <v>46001</v>
      </c>
      <c r="O165" s="2"/>
      <c r="P165" t="str">
        <f>IF(COUNTIF($A$2:A165,A165)&gt;1,"Duplicate","Unique")</f>
        <v>Unique</v>
      </c>
      <c r="Q165" t="str">
        <f t="shared" si="4"/>
        <v>Cancelled but Active</v>
      </c>
      <c r="R165" t="str">
        <f t="shared" si="5"/>
        <v>Available</v>
      </c>
    </row>
    <row r="166" spans="1:18">
      <c r="A166" t="str">
        <f>TRIM(CLEAN(Raw_Data!A166))</f>
        <v>MEM0165</v>
      </c>
      <c r="B166" t="str">
        <f ca="1">TRIM(Raw_Data!B166)</f>
        <v>Aditya Joseph</v>
      </c>
      <c r="C166" t="str">
        <f ca="1">_xlfn.XLOOKUP(D166, Branch_Master!A:A, Branch_Master!B:B)</f>
        <v>Mumbai</v>
      </c>
      <c r="D166" t="str">
        <f ca="1">TRIM(Raw_Data!D166)</f>
        <v>BR05</v>
      </c>
      <c r="E166" t="str">
        <f ca="1">PROPER(TRIM(Raw_Data!E166))</f>
        <v>Basic</v>
      </c>
      <c r="F166" s="2">
        <f>IFERROR(DATEVALUE(Raw_Data!F166), Raw_Data!F166)</f>
        <v>45382</v>
      </c>
      <c r="G166" s="2">
        <f>IFERROR(
    IF(
        IFERROR(DATEVALUE(Raw_Data!G166), Raw_Data!G166) &lt;
        IFERROR(DATEVALUE(Raw_Data!F166), Raw_Data!F166),
        IFERROR(DATEVALUE(Raw_Data!F166), Raw_Data!F166) + 30,
        IFERROR(DATEVALUE(Raw_Data!G166), Raw_Data!G166)
    ),
    ""
)</f>
        <v>45472</v>
      </c>
      <c r="H166">
        <f>IFERROR(VALUE(Raw_Data!H166), "")</f>
        <v>3500</v>
      </c>
      <c r="I166">
        <f ca="1">IFERROR(VALUE(Raw_Data!I166), "")</f>
        <v>31500</v>
      </c>
      <c r="J166">
        <f>IFERROR(
    VALUE(SUBSTITUTE(Raw_Data!J166," visits","")),
    ""
)</f>
        <v>23</v>
      </c>
      <c r="K166" t="str">
        <f ca="1">IF(TRIM(Raw_Data!K166)="","No",PROPER(TRIM(Raw_Data!K166)))</f>
        <v>Yes</v>
      </c>
      <c r="L166" t="str">
        <f ca="1">PROPER(TRIM(Raw_Data!L166))</f>
        <v>General Fitness</v>
      </c>
      <c r="M166" t="s">
        <v>152</v>
      </c>
      <c r="N166" s="2">
        <f>IFERROR(DATEVALUE(Raw_Data!N166), Raw_Data!N166)</f>
        <v>46031</v>
      </c>
      <c r="O166" s="2"/>
      <c r="P166" t="str">
        <f>IF(COUNTIF($A$2:A166,A166)&gt;1,"Duplicate","Unique")</f>
        <v>Unique</v>
      </c>
      <c r="Q166" t="str">
        <f t="shared" si="4"/>
        <v>Cancelled but Active</v>
      </c>
      <c r="R166" t="str">
        <f t="shared" si="5"/>
        <v>Available</v>
      </c>
    </row>
    <row r="167" spans="1:18">
      <c r="A167" t="str">
        <f>TRIM(CLEAN(Raw_Data!A167))</f>
        <v>MEM0166</v>
      </c>
      <c r="B167" t="str">
        <f ca="1">TRIM(Raw_Data!B167)</f>
        <v>Rohit Fernandes</v>
      </c>
      <c r="C167" t="str">
        <f ca="1">_xlfn.XLOOKUP(D167, Branch_Master!A:A, Branch_Master!B:B)</f>
        <v>Hyderabad</v>
      </c>
      <c r="D167" t="str">
        <f ca="1">TRIM(Raw_Data!D167)</f>
        <v>BR04</v>
      </c>
      <c r="E167" t="str">
        <f ca="1">PROPER(TRIM(Raw_Data!E167))</f>
        <v>Basic</v>
      </c>
      <c r="F167" s="2">
        <f>IFERROR(DATEVALUE(Raw_Data!F167), Raw_Data!F167)</f>
        <v>45686</v>
      </c>
      <c r="G167" s="2">
        <f>IFERROR(
    IF(
        IFERROR(DATEVALUE(Raw_Data!G167), Raw_Data!G167) &lt;
        IFERROR(DATEVALUE(Raw_Data!F167), Raw_Data!F167),
        IFERROR(DATEVALUE(Raw_Data!F167), Raw_Data!F167) + 30,
        IFERROR(DATEVALUE(Raw_Data!G167), Raw_Data!G167)
    ),
    ""
)</f>
        <v>45776</v>
      </c>
      <c r="H167">
        <f>IFERROR(VALUE(Raw_Data!H167), "")</f>
        <v>2000</v>
      </c>
      <c r="I167">
        <f ca="1">IFERROR(VALUE(Raw_Data!I167), "")</f>
        <v>18000</v>
      </c>
      <c r="J167">
        <f>IFERROR(
    VALUE(SUBSTITUTE(Raw_Data!J167," visits","")),
    ""
)</f>
        <v>3</v>
      </c>
      <c r="K167" t="str">
        <f ca="1">IF(TRIM(Raw_Data!K167)="","No",PROPER(TRIM(Raw_Data!K167)))</f>
        <v>No</v>
      </c>
      <c r="L167" t="str">
        <f ca="1">PROPER(TRIM(Raw_Data!L167))</f>
        <v>Muscle Gain</v>
      </c>
      <c r="M167" t="s">
        <v>152</v>
      </c>
      <c r="N167" s="2">
        <f>IFERROR(DATEVALUE(Raw_Data!N167), Raw_Data!N167)</f>
        <v>45700</v>
      </c>
      <c r="O167" s="2"/>
      <c r="P167" t="str">
        <f>IF(COUNTIF($A$2:A167,A167)&gt;1,"Duplicate","Unique")</f>
        <v>Unique</v>
      </c>
      <c r="Q167" t="str">
        <f t="shared" si="4"/>
        <v>Cancelled but Active</v>
      </c>
      <c r="R167" t="str">
        <f t="shared" si="5"/>
        <v>Available</v>
      </c>
    </row>
    <row r="168" spans="1:18">
      <c r="A168" t="str">
        <f>TRIM(CLEAN(Raw_Data!A168))</f>
        <v>MEM0167</v>
      </c>
      <c r="B168" t="str">
        <f ca="1">TRIM(Raw_Data!B168)</f>
        <v>Ishita Thomas</v>
      </c>
      <c r="C168" t="str">
        <f ca="1">_xlfn.XLOOKUP(D168, Branch_Master!A:A, Branch_Master!B:B)</f>
        <v>Kochi</v>
      </c>
      <c r="D168" t="str">
        <f ca="1">TRIM(Raw_Data!D168)</f>
        <v>BR01</v>
      </c>
      <c r="E168" t="str">
        <f ca="1">PROPER(TRIM(Raw_Data!E168))</f>
        <v>Basic</v>
      </c>
      <c r="F168" s="2">
        <f>IFERROR(DATEVALUE(Raw_Data!F168), Raw_Data!F168)</f>
        <v>45806</v>
      </c>
      <c r="G168" s="2">
        <f>IFERROR(
    IF(
        IFERROR(DATEVALUE(Raw_Data!G168), Raw_Data!G168) &lt;
        IFERROR(DATEVALUE(Raw_Data!F168), Raw_Data!F168),
        IFERROR(DATEVALUE(Raw_Data!F168), Raw_Data!F168) + 30,
        IFERROR(DATEVALUE(Raw_Data!G168), Raw_Data!G168)
    ),
    ""
)</f>
        <v>45836</v>
      </c>
      <c r="H168">
        <f>IFERROR(VALUE(Raw_Data!H168), "")</f>
        <v>1000</v>
      </c>
      <c r="I168">
        <f ca="1">IFERROR(VALUE(Raw_Data!I168), "")</f>
        <v>11000</v>
      </c>
      <c r="J168">
        <f>IFERROR(
    VALUE(SUBSTITUTE(Raw_Data!J168," visits","")),
    ""
)</f>
        <v>20</v>
      </c>
      <c r="K168" t="str">
        <f ca="1">IF(TRIM(Raw_Data!K168)="","No",PROPER(TRIM(Raw_Data!K168)))</f>
        <v>Yes</v>
      </c>
      <c r="L168" t="str">
        <f ca="1">PROPER(TRIM(Raw_Data!L168))</f>
        <v>Muscle Gain</v>
      </c>
      <c r="M168" t="s">
        <v>152</v>
      </c>
      <c r="N168" s="2">
        <f>IFERROR(DATEVALUE(Raw_Data!N168), Raw_Data!N168)</f>
        <v>45820</v>
      </c>
      <c r="O168" s="2"/>
      <c r="P168" t="str">
        <f>IF(COUNTIF($A$2:A168,A168)&gt;1,"Duplicate","Unique")</f>
        <v>Unique</v>
      </c>
      <c r="Q168" t="str">
        <f t="shared" si="4"/>
        <v>Cancelled but Active</v>
      </c>
      <c r="R168" t="str">
        <f t="shared" si="5"/>
        <v>Available</v>
      </c>
    </row>
    <row r="169" spans="1:18">
      <c r="A169" t="str">
        <f>TRIM(CLEAN(Raw_Data!A169))</f>
        <v>MEM0168</v>
      </c>
      <c r="B169" t="str">
        <f ca="1">TRIM(Raw_Data!B169)</f>
        <v>Swathi D’Souza</v>
      </c>
      <c r="C169" t="str">
        <f ca="1">_xlfn.XLOOKUP(D169, Branch_Master!A:A, Branch_Master!B:B)</f>
        <v>Mumbai</v>
      </c>
      <c r="D169" t="str">
        <f ca="1">TRIM(Raw_Data!D169)</f>
        <v>BR05</v>
      </c>
      <c r="E169" t="str">
        <f ca="1">PROPER(TRIM(Raw_Data!E169))</f>
        <v>Standard</v>
      </c>
      <c r="F169" s="2">
        <f>IFERROR(DATEVALUE(Raw_Data!F169), Raw_Data!F169)</f>
        <v>45940</v>
      </c>
      <c r="G169" s="2">
        <f>IFERROR(
    IF(
        IFERROR(DATEVALUE(Raw_Data!G169), Raw_Data!G169) &lt;
        IFERROR(DATEVALUE(Raw_Data!F169), Raw_Data!F169),
        IFERROR(DATEVALUE(Raw_Data!F169), Raw_Data!F169) + 30,
        IFERROR(DATEVALUE(Raw_Data!G169), Raw_Data!G169)
    ),
    ""
)</f>
        <v>45970</v>
      </c>
      <c r="H169">
        <f>IFERROR(VALUE(Raw_Data!H169), "")</f>
        <v>1000</v>
      </c>
      <c r="I169">
        <f ca="1">IFERROR(VALUE(Raw_Data!I169), "")</f>
        <v>8000</v>
      </c>
      <c r="J169">
        <f>IFERROR(
    VALUE(SUBSTITUTE(Raw_Data!J169," visits","")),
    ""
)</f>
        <v>22</v>
      </c>
      <c r="K169" t="str">
        <f ca="1">IF(TRIM(Raw_Data!K169)="","No",PROPER(TRIM(Raw_Data!K169)))</f>
        <v>No</v>
      </c>
      <c r="L169" t="str">
        <f ca="1">PROPER(TRIM(Raw_Data!L169))</f>
        <v>General Fitness</v>
      </c>
      <c r="M169" t="s">
        <v>151</v>
      </c>
      <c r="N169" s="2">
        <f>IFERROR(DATEVALUE(Raw_Data!N169), Raw_Data!N169)</f>
        <v>45950</v>
      </c>
      <c r="O169" s="2"/>
      <c r="P169" t="str">
        <f>IF(COUNTIF($A$2:A169,A169)&gt;1,"Duplicate","Unique")</f>
        <v>Unique</v>
      </c>
      <c r="Q169" t="str">
        <f t="shared" si="4"/>
        <v>OK</v>
      </c>
      <c r="R169" t="str">
        <f t="shared" si="5"/>
        <v>Available</v>
      </c>
    </row>
    <row r="170" spans="1:18">
      <c r="A170" t="str">
        <f>TRIM(CLEAN(Raw_Data!A170))</f>
        <v>MEM0169</v>
      </c>
      <c r="B170" t="str">
        <f ca="1">TRIM(Raw_Data!B170)</f>
        <v>Riya Pillai</v>
      </c>
      <c r="C170" t="str">
        <f ca="1">_xlfn.XLOOKUP(D170, Branch_Master!A:A, Branch_Master!B:B)</f>
        <v>Hyderabad</v>
      </c>
      <c r="D170" t="str">
        <f ca="1">TRIM(Raw_Data!D170)</f>
        <v>BR04</v>
      </c>
      <c r="E170" t="str">
        <f ca="1">PROPER(TRIM(Raw_Data!E170))</f>
        <v>Basic</v>
      </c>
      <c r="F170" s="2">
        <f>IFERROR(DATEVALUE(Raw_Data!F170), Raw_Data!F170)</f>
        <v>45061</v>
      </c>
      <c r="G170" s="2">
        <f>IFERROR(
    IF(
        IFERROR(DATEVALUE(Raw_Data!G170), Raw_Data!G170) &lt;
        IFERROR(DATEVALUE(Raw_Data!F170), Raw_Data!F170),
        IFERROR(DATEVALUE(Raw_Data!F170), Raw_Data!F170) + 30,
        IFERROR(DATEVALUE(Raw_Data!G170), Raw_Data!G170)
    ),
    ""
)</f>
        <v>45091</v>
      </c>
      <c r="H170">
        <f>IFERROR(VALUE(Raw_Data!H170), "")</f>
        <v>1000</v>
      </c>
      <c r="I170">
        <f ca="1">IFERROR(VALUE(Raw_Data!I170), "")</f>
        <v>5000</v>
      </c>
      <c r="J170">
        <f>IFERROR(
    VALUE(SUBSTITUTE(Raw_Data!J170," visits","")),
    ""
)</f>
        <v>4</v>
      </c>
      <c r="K170" t="str">
        <f ca="1">IF(TRIM(Raw_Data!K170)="","No",PROPER(TRIM(Raw_Data!K170)))</f>
        <v>Yes</v>
      </c>
      <c r="L170" t="str">
        <f ca="1">PROPER(TRIM(Raw_Data!L170))</f>
        <v>General Fitness</v>
      </c>
      <c r="M170" t="s">
        <v>151</v>
      </c>
      <c r="N170" s="2">
        <f>IFERROR(DATEVALUE(Raw_Data!N170), Raw_Data!N170)</f>
        <v>45191</v>
      </c>
      <c r="O170" s="2"/>
      <c r="P170" t="str">
        <f>IF(COUNTIF($A$2:A170,A170)&gt;1,"Duplicate","Unique")</f>
        <v>Unique</v>
      </c>
      <c r="Q170" t="str">
        <f t="shared" si="4"/>
        <v>OK</v>
      </c>
      <c r="R170" t="str">
        <f t="shared" si="5"/>
        <v>Available</v>
      </c>
    </row>
    <row r="171" spans="1:18">
      <c r="A171" t="str">
        <f>TRIM(CLEAN(Raw_Data!A171))</f>
        <v>MEM0170</v>
      </c>
      <c r="B171" t="str">
        <f ca="1">TRIM(Raw_Data!B171)</f>
        <v>Lakshmi Nair</v>
      </c>
      <c r="C171" t="str">
        <f ca="1">_xlfn.XLOOKUP(D171, Branch_Master!A:A, Branch_Master!B:B)</f>
        <v>Chennai</v>
      </c>
      <c r="D171" t="str">
        <f ca="1">TRIM(Raw_Data!D171)</f>
        <v>BR03</v>
      </c>
      <c r="E171" t="str">
        <f ca="1">PROPER(TRIM(Raw_Data!E171))</f>
        <v>Basic</v>
      </c>
      <c r="F171" s="2">
        <f>IFERROR(DATEVALUE(Raw_Data!F171), Raw_Data!F171)</f>
        <v>45369</v>
      </c>
      <c r="G171" s="2">
        <f>IFERROR(
    IF(
        IFERROR(DATEVALUE(Raw_Data!G171), Raw_Data!G171) &lt;
        IFERROR(DATEVALUE(Raw_Data!F171), Raw_Data!F171),
        IFERROR(DATEVALUE(Raw_Data!F171), Raw_Data!F171) + 30,
        IFERROR(DATEVALUE(Raw_Data!G171), Raw_Data!G171)
    ),
    ""
)</f>
        <v>45734</v>
      </c>
      <c r="H171">
        <f>IFERROR(VALUE(Raw_Data!H171), "")</f>
        <v>2000</v>
      </c>
      <c r="I171">
        <f ca="1">IFERROR(VALUE(Raw_Data!I171), "")</f>
        <v>8000</v>
      </c>
      <c r="J171">
        <f>IFERROR(
    VALUE(SUBSTITUTE(Raw_Data!J171," visits","")),
    ""
)</f>
        <v>14</v>
      </c>
      <c r="K171" t="str">
        <f ca="1">IF(TRIM(Raw_Data!K171)="","No",PROPER(TRIM(Raw_Data!K171)))</f>
        <v>Yes</v>
      </c>
      <c r="L171" t="str">
        <f ca="1">PROPER(TRIM(Raw_Data!L171))</f>
        <v>General Fitness</v>
      </c>
      <c r="M171" t="s">
        <v>151</v>
      </c>
      <c r="N171" s="2">
        <f>IFERROR(DATEVALUE(Raw_Data!N171), Raw_Data!N171)</f>
        <v>45539</v>
      </c>
      <c r="O171" s="2"/>
      <c r="P171" t="str">
        <f>IF(COUNTIF($A$2:A171,A171)&gt;1,"Duplicate","Unique")</f>
        <v>Unique</v>
      </c>
      <c r="Q171" t="str">
        <f t="shared" si="4"/>
        <v>OK</v>
      </c>
      <c r="R171" t="str">
        <f t="shared" si="5"/>
        <v>Available</v>
      </c>
    </row>
    <row r="172" spans="1:18">
      <c r="A172" t="str">
        <f>TRIM(CLEAN(Raw_Data!A172))</f>
        <v>MEM0171</v>
      </c>
      <c r="B172" t="str">
        <f ca="1">TRIM(Raw_Data!B172)</f>
        <v>Karthik Shaikh</v>
      </c>
      <c r="C172" t="str">
        <f ca="1">_xlfn.XLOOKUP(D172, Branch_Master!A:A, Branch_Master!B:B)</f>
        <v>Trivandrum</v>
      </c>
      <c r="D172" t="str">
        <f ca="1">TRIM(Raw_Data!D172)</f>
        <v>BR06</v>
      </c>
      <c r="E172" t="str">
        <f ca="1">PROPER(TRIM(Raw_Data!E172))</f>
        <v>Basic</v>
      </c>
      <c r="F172" s="2">
        <f>IFERROR(DATEVALUE(Raw_Data!F172), Raw_Data!F172)</f>
        <v>45189</v>
      </c>
      <c r="G172" s="2">
        <f>IFERROR(
    IF(
        IFERROR(DATEVALUE(Raw_Data!G172), Raw_Data!G172) &lt;
        IFERROR(DATEVALUE(Raw_Data!F172), Raw_Data!F172),
        IFERROR(DATEVALUE(Raw_Data!F172), Raw_Data!F172) + 30,
        IFERROR(DATEVALUE(Raw_Data!G172), Raw_Data!G172)
    ),
    ""
)</f>
        <v>45279</v>
      </c>
      <c r="H172">
        <f>IFERROR(VALUE(Raw_Data!H172), "")</f>
        <v>1000</v>
      </c>
      <c r="I172">
        <f ca="1">IFERROR(VALUE(Raw_Data!I172), "")</f>
        <v>10000</v>
      </c>
      <c r="J172">
        <f>IFERROR(
    VALUE(SUBSTITUTE(Raw_Data!J172," visits","")),
    ""
)</f>
        <v>15</v>
      </c>
      <c r="K172" t="str">
        <f ca="1">IF(TRIM(Raw_Data!K172)="","No",PROPER(TRIM(Raw_Data!K172)))</f>
        <v>Yes</v>
      </c>
      <c r="L172" t="str">
        <f ca="1">PROPER(TRIM(Raw_Data!L172))</f>
        <v>General Fitness</v>
      </c>
      <c r="M172" t="s">
        <v>151</v>
      </c>
      <c r="N172" s="2">
        <f>IFERROR(DATEVALUE(Raw_Data!N172), Raw_Data!N172)</f>
        <v>45732</v>
      </c>
      <c r="O172" s="2"/>
      <c r="P172" t="str">
        <f>IF(COUNTIF($A$2:A172,A172)&gt;1,"Duplicate","Unique")</f>
        <v>Unique</v>
      </c>
      <c r="Q172" t="str">
        <f t="shared" si="4"/>
        <v>OK</v>
      </c>
      <c r="R172" t="str">
        <f t="shared" si="5"/>
        <v>Available</v>
      </c>
    </row>
    <row r="173" spans="1:18">
      <c r="A173" t="str">
        <f>TRIM(CLEAN(Raw_Data!A173))</f>
        <v>MEM0172</v>
      </c>
      <c r="B173" t="str">
        <f ca="1">TRIM(Raw_Data!B173)</f>
        <v>Nisha Reddy</v>
      </c>
      <c r="C173" t="str">
        <f ca="1">_xlfn.XLOOKUP(D173, Branch_Master!A:A, Branch_Master!B:B)</f>
        <v>Chennai</v>
      </c>
      <c r="D173" t="str">
        <f ca="1">TRIM(Raw_Data!D173)</f>
        <v>BR03</v>
      </c>
      <c r="E173" t="str">
        <f ca="1">PROPER(TRIM(Raw_Data!E173))</f>
        <v>Standard</v>
      </c>
      <c r="F173" s="2">
        <f>IFERROR(DATEVALUE(Raw_Data!F173), Raw_Data!F173)</f>
        <v>45968</v>
      </c>
      <c r="G173" s="2">
        <f>IFERROR(
    IF(
        IFERROR(DATEVALUE(Raw_Data!G173), Raw_Data!G173) &lt;
        IFERROR(DATEVALUE(Raw_Data!F173), Raw_Data!F173),
        IFERROR(DATEVALUE(Raw_Data!F173), Raw_Data!F173) + 30,
        IFERROR(DATEVALUE(Raw_Data!G173), Raw_Data!G173)
    ),
    ""
)</f>
        <v>45998</v>
      </c>
      <c r="H173">
        <f>IFERROR(VALUE(Raw_Data!H173), "")</f>
        <v>1000</v>
      </c>
      <c r="I173">
        <f ca="1">IFERROR(VALUE(Raw_Data!I173), "")</f>
        <v>12000</v>
      </c>
      <c r="J173">
        <f>IFERROR(
    VALUE(SUBSTITUTE(Raw_Data!J173," visits","")),
    ""
)</f>
        <v>4</v>
      </c>
      <c r="K173" t="str">
        <f ca="1">IF(TRIM(Raw_Data!K173)="","No",PROPER(TRIM(Raw_Data!K173)))</f>
        <v>Yes</v>
      </c>
      <c r="L173" t="str">
        <f ca="1">PROPER(TRIM(Raw_Data!L173))</f>
        <v>Weight Loss</v>
      </c>
      <c r="M173" t="s">
        <v>152</v>
      </c>
      <c r="N173" s="2">
        <f>IFERROR(DATEVALUE(Raw_Data!N173), Raw_Data!N173)</f>
        <v>45995</v>
      </c>
      <c r="O173" s="2"/>
      <c r="P173" t="str">
        <f>IF(COUNTIF($A$2:A173,A173)&gt;1,"Duplicate","Unique")</f>
        <v>Unique</v>
      </c>
      <c r="Q173" t="str">
        <f t="shared" si="4"/>
        <v>Cancelled but Active</v>
      </c>
      <c r="R173" t="str">
        <f t="shared" si="5"/>
        <v>Available</v>
      </c>
    </row>
    <row r="174" spans="1:18">
      <c r="A174" t="str">
        <f>TRIM(CLEAN(Raw_Data!A174))</f>
        <v>MEM0173</v>
      </c>
      <c r="B174" t="str">
        <f ca="1">TRIM(Raw_Data!B174)</f>
        <v>Shreya Khan</v>
      </c>
      <c r="C174" t="str">
        <f ca="1">_xlfn.XLOOKUP(D174, Branch_Master!A:A, Branch_Master!B:B)</f>
        <v>Kochi</v>
      </c>
      <c r="D174" t="str">
        <f ca="1">TRIM(Raw_Data!D174)</f>
        <v>BR01</v>
      </c>
      <c r="E174" t="str">
        <f ca="1">PROPER(TRIM(Raw_Data!E174))</f>
        <v>Basic</v>
      </c>
      <c r="F174" s="2">
        <f>IFERROR(DATEVALUE(Raw_Data!F174), Raw_Data!F174)</f>
        <v>45158</v>
      </c>
      <c r="G174" s="2">
        <f>IFERROR(
    IF(
        IFERROR(DATEVALUE(Raw_Data!G174), Raw_Data!G174) &lt;
        IFERROR(DATEVALUE(Raw_Data!F174), Raw_Data!F174),
        IFERROR(DATEVALUE(Raw_Data!F174), Raw_Data!F174) + 30,
        IFERROR(DATEVALUE(Raw_Data!G174), Raw_Data!G174)
    ),
    ""
)</f>
        <v>45248</v>
      </c>
      <c r="H174">
        <f>IFERROR(VALUE(Raw_Data!H174), "")</f>
        <v>1000</v>
      </c>
      <c r="I174">
        <f ca="1">IFERROR(VALUE(Raw_Data!I174), "")</f>
        <v>2000</v>
      </c>
      <c r="J174">
        <f>IFERROR(
    VALUE(SUBSTITUTE(Raw_Data!J174," visits","")),
    ""
)</f>
        <v>19</v>
      </c>
      <c r="K174" t="str">
        <f ca="1">IF(TRIM(Raw_Data!K174)="","No",PROPER(TRIM(Raw_Data!K174)))</f>
        <v>No</v>
      </c>
      <c r="L174" t="str">
        <f ca="1">PROPER(TRIM(Raw_Data!L174))</f>
        <v>General Fitness</v>
      </c>
      <c r="M174" t="s">
        <v>151</v>
      </c>
      <c r="N174" s="2">
        <f>IFERROR(DATEVALUE(Raw_Data!N174), Raw_Data!N174)</f>
        <v>45230</v>
      </c>
      <c r="O174" s="2"/>
      <c r="P174" t="str">
        <f>IF(COUNTIF($A$2:A174,A174)&gt;1,"Duplicate","Unique")</f>
        <v>Unique</v>
      </c>
      <c r="Q174" t="str">
        <f t="shared" si="4"/>
        <v>OK</v>
      </c>
      <c r="R174" t="str">
        <f t="shared" si="5"/>
        <v>Available</v>
      </c>
    </row>
    <row r="175" spans="1:18">
      <c r="A175" t="str">
        <f>TRIM(CLEAN(Raw_Data!A175))</f>
        <v>MEM0174</v>
      </c>
      <c r="B175" t="str">
        <f ca="1">TRIM(Raw_Data!B175)</f>
        <v>Neha Nambiar</v>
      </c>
      <c r="C175" t="str">
        <f ca="1">_xlfn.XLOOKUP(D175, Branch_Master!A:A, Branch_Master!B:B)</f>
        <v>Calicut</v>
      </c>
      <c r="D175" t="str">
        <f ca="1">TRIM(Raw_Data!D175)</f>
        <v>BR07</v>
      </c>
      <c r="E175" t="str">
        <f ca="1">PROPER(TRIM(Raw_Data!E175))</f>
        <v>Premium</v>
      </c>
      <c r="F175" s="2">
        <f>IFERROR(DATEVALUE(Raw_Data!F175), Raw_Data!F175)</f>
        <v>45398</v>
      </c>
      <c r="G175" s="2">
        <f>IFERROR(
    IF(
        IFERROR(DATEVALUE(Raw_Data!G175), Raw_Data!G175) &lt;
        IFERROR(DATEVALUE(Raw_Data!F175), Raw_Data!F175),
        IFERROR(DATEVALUE(Raw_Data!F175), Raw_Data!F175) + 30,
        IFERROR(DATEVALUE(Raw_Data!G175), Raw_Data!G175)
    ),
    ""
)</f>
        <v>45763</v>
      </c>
      <c r="H175">
        <f>IFERROR(VALUE(Raw_Data!H175), "")</f>
        <v>2000</v>
      </c>
      <c r="I175">
        <f ca="1">IFERROR(VALUE(Raw_Data!I175), "")</f>
        <v>24000</v>
      </c>
      <c r="J175">
        <f>IFERROR(
    VALUE(SUBSTITUTE(Raw_Data!J175," visits","")),
    ""
)</f>
        <v>23</v>
      </c>
      <c r="K175" t="str">
        <f ca="1">IF(TRIM(Raw_Data!K175)="","No",PROPER(TRIM(Raw_Data!K175)))</f>
        <v>Yes</v>
      </c>
      <c r="L175" t="str">
        <f ca="1">PROPER(TRIM(Raw_Data!L175))</f>
        <v>Muscle Gain</v>
      </c>
      <c r="M175" t="s">
        <v>151</v>
      </c>
      <c r="N175" s="2">
        <f>IFERROR(DATEVALUE(Raw_Data!N175), Raw_Data!N175)</f>
        <v>45994</v>
      </c>
      <c r="O175" s="2"/>
      <c r="P175" t="str">
        <f>IF(COUNTIF($A$2:A175,A175)&gt;1,"Duplicate","Unique")</f>
        <v>Unique</v>
      </c>
      <c r="Q175" t="str">
        <f t="shared" si="4"/>
        <v>OK</v>
      </c>
      <c r="R175" t="str">
        <f t="shared" si="5"/>
        <v>Available</v>
      </c>
    </row>
    <row r="176" spans="1:18">
      <c r="A176" t="str">
        <f>TRIM(CLEAN(Raw_Data!A176))</f>
        <v>MEM0175</v>
      </c>
      <c r="B176" t="str">
        <f ca="1">TRIM(Raw_Data!B176)</f>
        <v>Zara D’Souza</v>
      </c>
      <c r="C176" t="str">
        <f ca="1">_xlfn.XLOOKUP(D176, Branch_Master!A:A, Branch_Master!B:B)</f>
        <v>Calicut</v>
      </c>
      <c r="D176" t="str">
        <f ca="1">TRIM(Raw_Data!D176)</f>
        <v>BR07</v>
      </c>
      <c r="E176" t="str">
        <f ca="1">PROPER(TRIM(Raw_Data!E176))</f>
        <v>Standard</v>
      </c>
      <c r="F176" s="2">
        <f>IFERROR(DATEVALUE(Raw_Data!F176), Raw_Data!F176)</f>
        <v>45470</v>
      </c>
      <c r="G176" s="2">
        <f>IFERROR(
    IF(
        IFERROR(DATEVALUE(Raw_Data!G176), Raw_Data!G176) &lt;
        IFERROR(DATEVALUE(Raw_Data!F176), Raw_Data!F176),
        IFERROR(DATEVALUE(Raw_Data!F176), Raw_Data!F176) + 30,
        IFERROR(DATEVALUE(Raw_Data!G176), Raw_Data!G176)
    ),
    ""
)</f>
        <v>45560</v>
      </c>
      <c r="H176">
        <f>IFERROR(VALUE(Raw_Data!H176), "")</f>
        <v>1000</v>
      </c>
      <c r="I176">
        <f ca="1">IFERROR(VALUE(Raw_Data!I176), "")</f>
        <v>10000</v>
      </c>
      <c r="J176">
        <f>IFERROR(
    VALUE(SUBSTITUTE(Raw_Data!J176," visits","")),
    ""
)</f>
        <v>16</v>
      </c>
      <c r="K176" t="str">
        <f ca="1">IF(TRIM(Raw_Data!K176)="","No",PROPER(TRIM(Raw_Data!K176)))</f>
        <v>Yes</v>
      </c>
      <c r="L176" t="str">
        <f ca="1">PROPER(TRIM(Raw_Data!L176))</f>
        <v>Weight Loss</v>
      </c>
      <c r="M176" t="s">
        <v>151</v>
      </c>
      <c r="N176" s="2">
        <f>IFERROR(DATEVALUE(Raw_Data!N176), Raw_Data!N176)</f>
        <v>46034</v>
      </c>
      <c r="O176" s="2"/>
      <c r="P176" t="str">
        <f>IF(COUNTIF($A$2:A176,A176)&gt;1,"Duplicate","Unique")</f>
        <v>Unique</v>
      </c>
      <c r="Q176" t="str">
        <f t="shared" si="4"/>
        <v>OK</v>
      </c>
      <c r="R176" t="str">
        <f t="shared" si="5"/>
        <v>Available</v>
      </c>
    </row>
    <row r="177" spans="1:18">
      <c r="A177" t="str">
        <f>TRIM(CLEAN(Raw_Data!A177))</f>
        <v>MEM0176</v>
      </c>
      <c r="B177" t="str">
        <f ca="1">TRIM(Raw_Data!B177)</f>
        <v>Pooja Chatterjee</v>
      </c>
      <c r="C177" t="str">
        <f ca="1">_xlfn.XLOOKUP(D177, Branch_Master!A:A, Branch_Master!B:B)</f>
        <v>Mumbai</v>
      </c>
      <c r="D177" t="str">
        <f ca="1">TRIM(Raw_Data!D177)</f>
        <v>BR05</v>
      </c>
      <c r="E177" t="str">
        <f ca="1">PROPER(TRIM(Raw_Data!E177))</f>
        <v>Premium</v>
      </c>
      <c r="F177" s="2">
        <f>IFERROR(DATEVALUE(Raw_Data!F177), Raw_Data!F177)</f>
        <v>45507</v>
      </c>
      <c r="G177" s="2">
        <f>IFERROR(
    IF(
        IFERROR(DATEVALUE(Raw_Data!G177), Raw_Data!G177) &lt;
        IFERROR(DATEVALUE(Raw_Data!F177), Raw_Data!F177),
        IFERROR(DATEVALUE(Raw_Data!F177), Raw_Data!F177) + 30,
        IFERROR(DATEVALUE(Raw_Data!G177), Raw_Data!G177)
    ),
    ""
)</f>
        <v>45872</v>
      </c>
      <c r="H177">
        <f>IFERROR(VALUE(Raw_Data!H177), "")</f>
        <v>1000</v>
      </c>
      <c r="I177">
        <f ca="1">IFERROR(VALUE(Raw_Data!I177), "")</f>
        <v>9000</v>
      </c>
      <c r="J177">
        <f>IFERROR(
    VALUE(SUBSTITUTE(Raw_Data!J177," visits","")),
    ""
)</f>
        <v>21</v>
      </c>
      <c r="K177" t="str">
        <f ca="1">IF(TRIM(Raw_Data!K177)="","No",PROPER(TRIM(Raw_Data!K177)))</f>
        <v>Yes</v>
      </c>
      <c r="L177" t="str">
        <f ca="1">PROPER(TRIM(Raw_Data!L177))</f>
        <v>Weight Loss</v>
      </c>
      <c r="M177" t="s">
        <v>151</v>
      </c>
      <c r="N177" s="2">
        <f>IFERROR(DATEVALUE(Raw_Data!N177), Raw_Data!N177)</f>
        <v>45537</v>
      </c>
      <c r="O177" s="2"/>
      <c r="P177" t="str">
        <f>IF(COUNTIF($A$2:A177,A177)&gt;1,"Duplicate","Unique")</f>
        <v>Unique</v>
      </c>
      <c r="Q177" t="str">
        <f t="shared" si="4"/>
        <v>OK</v>
      </c>
      <c r="R177" t="str">
        <f t="shared" si="5"/>
        <v>Available</v>
      </c>
    </row>
    <row r="178" spans="1:18">
      <c r="A178" t="str">
        <f>TRIM(CLEAN(Raw_Data!A178))</f>
        <v>MEM0177</v>
      </c>
      <c r="B178" t="str">
        <f ca="1">TRIM(Raw_Data!B178)</f>
        <v>Tanvi Patel</v>
      </c>
      <c r="C178" t="str">
        <f ca="1">_xlfn.XLOOKUP(D178, Branch_Master!A:A, Branch_Master!B:B)</f>
        <v>Calicut</v>
      </c>
      <c r="D178" t="str">
        <f ca="1">TRIM(Raw_Data!D178)</f>
        <v>BR07</v>
      </c>
      <c r="E178" t="str">
        <f ca="1">PROPER(TRIM(Raw_Data!E178))</f>
        <v>Premium</v>
      </c>
      <c r="F178" s="2">
        <f>IFERROR(DATEVALUE(Raw_Data!F178), Raw_Data!F178)</f>
        <v>45274</v>
      </c>
      <c r="G178" s="2">
        <f>IFERROR(
    IF(
        IFERROR(DATEVALUE(Raw_Data!G178), Raw_Data!G178) &lt;
        IFERROR(DATEVALUE(Raw_Data!F178), Raw_Data!F178),
        IFERROR(DATEVALUE(Raw_Data!F178), Raw_Data!F178) + 30,
        IFERROR(DATEVALUE(Raw_Data!G178), Raw_Data!G178)
    ),
    ""
)</f>
        <v>45639</v>
      </c>
      <c r="H178">
        <f>IFERROR(VALUE(Raw_Data!H178), "")</f>
        <v>1000</v>
      </c>
      <c r="I178">
        <f ca="1">IFERROR(VALUE(Raw_Data!I178), "")</f>
        <v>9000</v>
      </c>
      <c r="J178">
        <f>IFERROR(
    VALUE(SUBSTITUTE(Raw_Data!J178," visits","")),
    ""
)</f>
        <v>8</v>
      </c>
      <c r="K178" t="str">
        <f ca="1">IF(TRIM(Raw_Data!K178)="","No",PROPER(TRIM(Raw_Data!K178)))</f>
        <v>No</v>
      </c>
      <c r="L178" t="str">
        <f ca="1">PROPER(TRIM(Raw_Data!L178))</f>
        <v>Muscle Gain</v>
      </c>
      <c r="M178" t="s">
        <v>151</v>
      </c>
      <c r="N178" s="2">
        <f>IFERROR(DATEVALUE(Raw_Data!N178), Raw_Data!N178)</f>
        <v>45868</v>
      </c>
      <c r="O178" s="2"/>
      <c r="P178" t="str">
        <f>IF(COUNTIF($A$2:A178,A178)&gt;1,"Duplicate","Unique")</f>
        <v>Unique</v>
      </c>
      <c r="Q178" t="str">
        <f t="shared" si="4"/>
        <v>OK</v>
      </c>
      <c r="R178" t="str">
        <f t="shared" si="5"/>
        <v>Available</v>
      </c>
    </row>
    <row r="179" spans="1:18">
      <c r="A179" t="str">
        <f>TRIM(CLEAN(Raw_Data!A179))</f>
        <v>MEM0178</v>
      </c>
      <c r="B179" t="str">
        <f ca="1">TRIM(Raw_Data!B179)</f>
        <v>Siddharth Mathew</v>
      </c>
      <c r="C179" t="str">
        <f ca="1">_xlfn.XLOOKUP(D179, Branch_Master!A:A, Branch_Master!B:B)</f>
        <v>Kochi</v>
      </c>
      <c r="D179" t="str">
        <f ca="1">TRIM(Raw_Data!D179)</f>
        <v>BR01</v>
      </c>
      <c r="E179" t="str">
        <f ca="1">PROPER(TRIM(Raw_Data!E179))</f>
        <v>Basic</v>
      </c>
      <c r="F179" s="2">
        <f>IFERROR(DATEVALUE(Raw_Data!F179), Raw_Data!F179)</f>
        <v>45545</v>
      </c>
      <c r="G179" s="2">
        <f>IFERROR(
    IF(
        IFERROR(DATEVALUE(Raw_Data!G179), Raw_Data!G179) &lt;
        IFERROR(DATEVALUE(Raw_Data!F179), Raw_Data!F179),
        IFERROR(DATEVALUE(Raw_Data!F179), Raw_Data!F179) + 30,
        IFERROR(DATEVALUE(Raw_Data!G179), Raw_Data!G179)
    ),
    ""
)</f>
        <v>45575</v>
      </c>
      <c r="H179">
        <f>IFERROR(VALUE(Raw_Data!H179), "")</f>
        <v>1000</v>
      </c>
      <c r="I179">
        <f ca="1">IFERROR(VALUE(Raw_Data!I179), "")</f>
        <v>3000</v>
      </c>
      <c r="J179">
        <f>IFERROR(
    VALUE(SUBSTITUTE(Raw_Data!J179," visits","")),
    ""
)</f>
        <v>12</v>
      </c>
      <c r="K179" t="str">
        <f ca="1">IF(TRIM(Raw_Data!K179)="","No",PROPER(TRIM(Raw_Data!K179)))</f>
        <v>Yes</v>
      </c>
      <c r="L179" t="str">
        <f ca="1">PROPER(TRIM(Raw_Data!L179))</f>
        <v>Weight Loss</v>
      </c>
      <c r="M179" t="s">
        <v>151</v>
      </c>
      <c r="N179" s="2">
        <f>IFERROR(DATEVALUE(Raw_Data!N179), Raw_Data!N179)</f>
        <v>45770</v>
      </c>
      <c r="O179" s="2"/>
      <c r="P179" t="str">
        <f>IF(COUNTIF($A$2:A179,A179)&gt;1,"Duplicate","Unique")</f>
        <v>Unique</v>
      </c>
      <c r="Q179" t="str">
        <f t="shared" si="4"/>
        <v>OK</v>
      </c>
      <c r="R179" t="str">
        <f t="shared" si="5"/>
        <v>Available</v>
      </c>
    </row>
    <row r="180" spans="1:18">
      <c r="A180" t="str">
        <f>TRIM(CLEAN(Raw_Data!A180))</f>
        <v>MEM0179</v>
      </c>
      <c r="B180" t="str">
        <f ca="1">TRIM(Raw_Data!B180)</f>
        <v>Divya Fernandes</v>
      </c>
      <c r="C180" t="str">
        <f ca="1">_xlfn.XLOOKUP(D180, Branch_Master!A:A, Branch_Master!B:B)</f>
        <v>Kochi</v>
      </c>
      <c r="D180" t="str">
        <f ca="1">TRIM(Raw_Data!D180)</f>
        <v>BR01</v>
      </c>
      <c r="E180" t="str">
        <f ca="1">PROPER(TRIM(Raw_Data!E180))</f>
        <v>Premium</v>
      </c>
      <c r="F180" s="2">
        <f>IFERROR(DATEVALUE(Raw_Data!F180), Raw_Data!F180)</f>
        <v>45016</v>
      </c>
      <c r="G180" s="2">
        <f>IFERROR(
    IF(
        IFERROR(DATEVALUE(Raw_Data!G180), Raw_Data!G180) &lt;
        IFERROR(DATEVALUE(Raw_Data!F180), Raw_Data!F180),
        IFERROR(DATEVALUE(Raw_Data!F180), Raw_Data!F180) + 30,
        IFERROR(DATEVALUE(Raw_Data!G180), Raw_Data!G180)
    ),
    ""
)</f>
        <v>45046</v>
      </c>
      <c r="H180">
        <f>IFERROR(VALUE(Raw_Data!H180), "")</f>
        <v>2000</v>
      </c>
      <c r="I180">
        <f ca="1">IFERROR(VALUE(Raw_Data!I180), "")</f>
        <v>18000</v>
      </c>
      <c r="J180">
        <f>IFERROR(
    VALUE(SUBSTITUTE(Raw_Data!J180," visits","")),
    ""
)</f>
        <v>17</v>
      </c>
      <c r="K180" t="str">
        <f ca="1">IF(TRIM(Raw_Data!K180)="","No",PROPER(TRIM(Raw_Data!K180)))</f>
        <v>Yes</v>
      </c>
      <c r="L180" t="str">
        <f ca="1">PROPER(TRIM(Raw_Data!L180))</f>
        <v>Weight Loss</v>
      </c>
      <c r="M180" t="s">
        <v>151</v>
      </c>
      <c r="N180" s="2">
        <f>IFERROR(DATEVALUE(Raw_Data!N180), Raw_Data!N180)</f>
        <v>45571</v>
      </c>
      <c r="O180" s="2"/>
      <c r="P180" t="str">
        <f>IF(COUNTIF($A$2:A180,A180)&gt;1,"Duplicate","Unique")</f>
        <v>Unique</v>
      </c>
      <c r="Q180" t="str">
        <f t="shared" si="4"/>
        <v>OK</v>
      </c>
      <c r="R180" t="str">
        <f t="shared" si="5"/>
        <v>Available</v>
      </c>
    </row>
    <row r="181" spans="1:18">
      <c r="A181" t="str">
        <f>TRIM(CLEAN(Raw_Data!A181))</f>
        <v>MEM0180</v>
      </c>
      <c r="B181" t="str">
        <f ca="1">TRIM(Raw_Data!B181)</f>
        <v>Riya Kapoor</v>
      </c>
      <c r="C181" t="str">
        <f ca="1">_xlfn.XLOOKUP(D181, Branch_Master!A:A, Branch_Master!B:B)</f>
        <v>Calicut</v>
      </c>
      <c r="D181" t="str">
        <f ca="1">TRIM(Raw_Data!D181)</f>
        <v>BR07</v>
      </c>
      <c r="E181" t="str">
        <f ca="1">PROPER(TRIM(Raw_Data!E181))</f>
        <v>Premium</v>
      </c>
      <c r="F181" s="2">
        <f>IFERROR(DATEVALUE(Raw_Data!F181), Raw_Data!F181)</f>
        <v>45666</v>
      </c>
      <c r="G181" s="2">
        <f>IFERROR(
    IF(
        IFERROR(DATEVALUE(Raw_Data!G181), Raw_Data!G181) &lt;
        IFERROR(DATEVALUE(Raw_Data!F181), Raw_Data!F181),
        IFERROR(DATEVALUE(Raw_Data!F181), Raw_Data!F181) + 30,
        IFERROR(DATEVALUE(Raw_Data!G181), Raw_Data!G181)
    ),
    ""
)</f>
        <v>45696</v>
      </c>
      <c r="H181">
        <f>IFERROR(VALUE(Raw_Data!H181), "")</f>
        <v>1000</v>
      </c>
      <c r="I181">
        <f ca="1">IFERROR(VALUE(Raw_Data!I181), "")</f>
        <v>3000</v>
      </c>
      <c r="J181">
        <f>IFERROR(
    VALUE(SUBSTITUTE(Raw_Data!J181," visits","")),
    ""
)</f>
        <v>1</v>
      </c>
      <c r="K181" t="str">
        <f ca="1">IF(TRIM(Raw_Data!K181)="","No",PROPER(TRIM(Raw_Data!K181)))</f>
        <v>Yes</v>
      </c>
      <c r="L181" t="str">
        <f ca="1">PROPER(TRIM(Raw_Data!L181))</f>
        <v>Muscle Gain</v>
      </c>
      <c r="M181" t="s">
        <v>151</v>
      </c>
      <c r="N181" s="2">
        <f>IFERROR(DATEVALUE(Raw_Data!N181), Raw_Data!N181)</f>
        <v>45688</v>
      </c>
      <c r="O181" s="2"/>
      <c r="P181" t="str">
        <f>IF(COUNTIF($A$2:A181,A181)&gt;1,"Duplicate","Unique")</f>
        <v>Unique</v>
      </c>
      <c r="Q181" t="str">
        <f t="shared" si="4"/>
        <v>OK</v>
      </c>
      <c r="R181" t="str">
        <f t="shared" si="5"/>
        <v>Available</v>
      </c>
    </row>
    <row r="182" spans="1:18">
      <c r="A182" t="str">
        <f>TRIM(CLEAN(Raw_Data!A182))</f>
        <v>MEM0181</v>
      </c>
      <c r="B182" t="str">
        <f ca="1">TRIM(Raw_Data!B182)</f>
        <v>Rahul Shaikh</v>
      </c>
      <c r="C182" t="str">
        <f ca="1">_xlfn.XLOOKUP(D182, Branch_Master!A:A, Branch_Master!B:B)</f>
        <v>Mumbai</v>
      </c>
      <c r="D182" t="str">
        <f ca="1">TRIM(Raw_Data!D182)</f>
        <v>BR05</v>
      </c>
      <c r="E182" t="str">
        <f ca="1">PROPER(TRIM(Raw_Data!E182))</f>
        <v>Standard</v>
      </c>
      <c r="F182" s="2">
        <f>IFERROR(DATEVALUE(Raw_Data!F182), Raw_Data!F182)</f>
        <v>45958</v>
      </c>
      <c r="G182" s="2">
        <f>IFERROR(
    IF(
        IFERROR(DATEVALUE(Raw_Data!G182), Raw_Data!G182) &lt;
        IFERROR(DATEVALUE(Raw_Data!F182), Raw_Data!F182),
        IFERROR(DATEVALUE(Raw_Data!F182), Raw_Data!F182) + 30,
        IFERROR(DATEVALUE(Raw_Data!G182), Raw_Data!G182)
    ),
    ""
)</f>
        <v>45988</v>
      </c>
      <c r="H182">
        <f>IFERROR(VALUE(Raw_Data!H182), "")</f>
        <v>3500</v>
      </c>
      <c r="I182">
        <f ca="1">IFERROR(VALUE(Raw_Data!I182), "")</f>
        <v>10500</v>
      </c>
      <c r="J182">
        <f>IFERROR(
    VALUE(SUBSTITUTE(Raw_Data!J182," visits","")),
    ""
)</f>
        <v>4</v>
      </c>
      <c r="K182" t="str">
        <f ca="1">IF(TRIM(Raw_Data!K182)="","No",PROPER(TRIM(Raw_Data!K182)))</f>
        <v>No</v>
      </c>
      <c r="L182" t="str">
        <f ca="1">PROPER(TRIM(Raw_Data!L182))</f>
        <v>Weight Loss</v>
      </c>
      <c r="M182" t="s">
        <v>152</v>
      </c>
      <c r="N182" s="2">
        <f>IFERROR(DATEVALUE(Raw_Data!N182), Raw_Data!N182)</f>
        <v>46211</v>
      </c>
      <c r="O182" s="2"/>
      <c r="P182" t="str">
        <f>IF(COUNTIF($A$2:A182,A182)&gt;1,"Duplicate","Unique")</f>
        <v>Unique</v>
      </c>
      <c r="Q182" t="str">
        <f t="shared" si="4"/>
        <v>Cancelled but Active</v>
      </c>
      <c r="R182" t="str">
        <f t="shared" si="5"/>
        <v>Available</v>
      </c>
    </row>
    <row r="183" spans="1:18">
      <c r="A183" t="str">
        <f>TRIM(CLEAN(Raw_Data!A183))</f>
        <v>MEM0182</v>
      </c>
      <c r="B183" t="str">
        <f ca="1">TRIM(Raw_Data!B183)</f>
        <v>Neha D’Souza</v>
      </c>
      <c r="C183" t="str">
        <f ca="1">_xlfn.XLOOKUP(D183, Branch_Master!A:A, Branch_Master!B:B)</f>
        <v>Hyderabad</v>
      </c>
      <c r="D183" t="str">
        <f ca="1">TRIM(Raw_Data!D183)</f>
        <v>BR04</v>
      </c>
      <c r="E183" t="str">
        <f ca="1">PROPER(TRIM(Raw_Data!E183))</f>
        <v>Standard</v>
      </c>
      <c r="F183" s="2">
        <f>IFERROR(DATEVALUE(Raw_Data!F183), Raw_Data!F183)</f>
        <v>45108</v>
      </c>
      <c r="G183" s="2">
        <f>IFERROR(
    IF(
        IFERROR(DATEVALUE(Raw_Data!G183), Raw_Data!G183) &lt;
        IFERROR(DATEVALUE(Raw_Data!F183), Raw_Data!F183),
        IFERROR(DATEVALUE(Raw_Data!F183), Raw_Data!F183) + 30,
        IFERROR(DATEVALUE(Raw_Data!G183), Raw_Data!G183)
    ),
    ""
)</f>
        <v>45138</v>
      </c>
      <c r="H183">
        <f>IFERROR(VALUE(Raw_Data!H183), "")</f>
        <v>1000</v>
      </c>
      <c r="I183">
        <f ca="1">IFERROR(VALUE(Raw_Data!I183), "")</f>
        <v>8000</v>
      </c>
      <c r="J183">
        <f>IFERROR(
    VALUE(SUBSTITUTE(Raw_Data!J183," visits","")),
    ""
)</f>
        <v>3</v>
      </c>
      <c r="K183" t="str">
        <f ca="1">IF(TRIM(Raw_Data!K183)="","No",PROPER(TRIM(Raw_Data!K183)))</f>
        <v>No</v>
      </c>
      <c r="L183" t="str">
        <f ca="1">PROPER(TRIM(Raw_Data!L183))</f>
        <v>Weight Loss</v>
      </c>
      <c r="M183" t="s">
        <v>152</v>
      </c>
      <c r="N183" s="2">
        <f>IFERROR(DATEVALUE(Raw_Data!N183), Raw_Data!N183)</f>
        <v>45129</v>
      </c>
      <c r="O183" s="2"/>
      <c r="P183" t="str">
        <f>IF(COUNTIF($A$2:A183,A183)&gt;1,"Duplicate","Unique")</f>
        <v>Unique</v>
      </c>
      <c r="Q183" t="str">
        <f t="shared" si="4"/>
        <v>Cancelled but Active</v>
      </c>
      <c r="R183" t="str">
        <f t="shared" si="5"/>
        <v>Available</v>
      </c>
    </row>
    <row r="184" spans="1:18">
      <c r="A184" t="str">
        <f>TRIM(CLEAN(Raw_Data!A184))</f>
        <v>MEM0183</v>
      </c>
      <c r="B184" t="str">
        <f ca="1">TRIM(Raw_Data!B184)</f>
        <v>Divya Khan</v>
      </c>
      <c r="C184" t="str">
        <f ca="1">_xlfn.XLOOKUP(D184, Branch_Master!A:A, Branch_Master!B:B)</f>
        <v>Calicut</v>
      </c>
      <c r="D184" t="str">
        <f ca="1">TRIM(Raw_Data!D184)</f>
        <v>BR07</v>
      </c>
      <c r="E184" t="str">
        <f ca="1">PROPER(TRIM(Raw_Data!E184))</f>
        <v>Premium</v>
      </c>
      <c r="F184" s="2">
        <f>IFERROR(DATEVALUE(Raw_Data!F184), Raw_Data!F184)</f>
        <v>45529</v>
      </c>
      <c r="G184" s="2">
        <f>IFERROR(
    IF(
        IFERROR(DATEVALUE(Raw_Data!G184), Raw_Data!G184) &lt;
        IFERROR(DATEVALUE(Raw_Data!F184), Raw_Data!F184),
        IFERROR(DATEVALUE(Raw_Data!F184), Raw_Data!F184) + 30,
        IFERROR(DATEVALUE(Raw_Data!G184), Raw_Data!G184)
    ),
    ""
)</f>
        <v>45894</v>
      </c>
      <c r="H184">
        <f>IFERROR(VALUE(Raw_Data!H184), "")</f>
        <v>3500</v>
      </c>
      <c r="I184">
        <f ca="1">IFERROR(VALUE(Raw_Data!I184), "")</f>
        <v>31500</v>
      </c>
      <c r="J184">
        <f>IFERROR(
    VALUE(SUBSTITUTE(Raw_Data!J184," visits","")),
    ""
)</f>
        <v>15</v>
      </c>
      <c r="K184" t="str">
        <f ca="1">IF(TRIM(Raw_Data!K184)="","No",PROPER(TRIM(Raw_Data!K184)))</f>
        <v>No</v>
      </c>
      <c r="L184" t="str">
        <f ca="1">PROPER(TRIM(Raw_Data!L184))</f>
        <v>General Fitness</v>
      </c>
      <c r="M184" t="s">
        <v>151</v>
      </c>
      <c r="N184" s="2">
        <f>IFERROR(DATEVALUE(Raw_Data!N184), Raw_Data!N184)</f>
        <v>45907</v>
      </c>
      <c r="O184" s="2"/>
      <c r="P184" t="str">
        <f>IF(COUNTIF($A$2:A184,A184)&gt;1,"Duplicate","Unique")</f>
        <v>Unique</v>
      </c>
      <c r="Q184" t="str">
        <f t="shared" si="4"/>
        <v>OK</v>
      </c>
      <c r="R184" t="str">
        <f t="shared" si="5"/>
        <v>Available</v>
      </c>
    </row>
    <row r="185" spans="1:18">
      <c r="A185" t="str">
        <f>TRIM(CLEAN(Raw_Data!A185))</f>
        <v>MEM0184</v>
      </c>
      <c r="B185" t="str">
        <f ca="1">TRIM(Raw_Data!B185)</f>
        <v>Ishita Menon</v>
      </c>
      <c r="C185" t="str">
        <f ca="1">_xlfn.XLOOKUP(D185, Branch_Master!A:A, Branch_Master!B:B)</f>
        <v>Bangalore</v>
      </c>
      <c r="D185" t="str">
        <f ca="1">TRIM(Raw_Data!D185)</f>
        <v>BR02</v>
      </c>
      <c r="E185" t="str">
        <f ca="1">PROPER(TRIM(Raw_Data!E185))</f>
        <v>Basic</v>
      </c>
      <c r="F185" s="2">
        <f>IFERROR(DATEVALUE(Raw_Data!F185), Raw_Data!F185)</f>
        <v>46035</v>
      </c>
      <c r="G185" s="2">
        <f>IFERROR(
    IF(
        IFERROR(DATEVALUE(Raw_Data!G185), Raw_Data!G185) &lt;
        IFERROR(DATEVALUE(Raw_Data!F185), Raw_Data!F185),
        IFERROR(DATEVALUE(Raw_Data!F185), Raw_Data!F185) + 30,
        IFERROR(DATEVALUE(Raw_Data!G185), Raw_Data!G185)
    ),
    ""
)</f>
        <v>46065</v>
      </c>
      <c r="H185">
        <f>IFERROR(VALUE(Raw_Data!H185), "")</f>
        <v>2000</v>
      </c>
      <c r="I185">
        <f ca="1">IFERROR(VALUE(Raw_Data!I185), "")</f>
        <v>14000</v>
      </c>
      <c r="J185">
        <f>IFERROR(
    VALUE(SUBSTITUTE(Raw_Data!J185," visits","")),
    ""
)</f>
        <v>2</v>
      </c>
      <c r="K185" t="str">
        <f ca="1">IF(TRIM(Raw_Data!K185)="","No",PROPER(TRIM(Raw_Data!K185)))</f>
        <v>Yes</v>
      </c>
      <c r="L185" t="str">
        <f ca="1">PROPER(TRIM(Raw_Data!L185))</f>
        <v>General Fitness</v>
      </c>
      <c r="M185" t="s">
        <v>151</v>
      </c>
      <c r="N185" s="2">
        <f>IFERROR(DATEVALUE(Raw_Data!N185), Raw_Data!N185)</f>
        <v>46055</v>
      </c>
      <c r="O185" s="2"/>
      <c r="P185" t="str">
        <f>IF(COUNTIF($A$2:A185,A185)&gt;1,"Duplicate","Unique")</f>
        <v>Unique</v>
      </c>
      <c r="Q185" t="str">
        <f t="shared" si="4"/>
        <v>OK</v>
      </c>
      <c r="R185" t="str">
        <f t="shared" si="5"/>
        <v>Available</v>
      </c>
    </row>
    <row r="186" spans="1:18">
      <c r="A186" t="str">
        <f>TRIM(CLEAN(Raw_Data!A186))</f>
        <v>MEM0185</v>
      </c>
      <c r="B186" t="str">
        <f ca="1">TRIM(Raw_Data!B186)</f>
        <v>Lakshmi Reddy</v>
      </c>
      <c r="C186" t="str">
        <f ca="1">_xlfn.XLOOKUP(D186, Branch_Master!A:A, Branch_Master!B:B)</f>
        <v>Mumbai</v>
      </c>
      <c r="D186" t="str">
        <f ca="1">TRIM(Raw_Data!D186)</f>
        <v>BR05</v>
      </c>
      <c r="E186" t="str">
        <f ca="1">PROPER(TRIM(Raw_Data!E186))</f>
        <v>Premium</v>
      </c>
      <c r="F186" s="2">
        <f>IFERROR(DATEVALUE(Raw_Data!F186), Raw_Data!F186)</f>
        <v>45911</v>
      </c>
      <c r="G186" s="2">
        <f>IFERROR(
    IF(
        IFERROR(DATEVALUE(Raw_Data!G186), Raw_Data!G186) &lt;
        IFERROR(DATEVALUE(Raw_Data!F186), Raw_Data!F186),
        IFERROR(DATEVALUE(Raw_Data!F186), Raw_Data!F186) + 30,
        IFERROR(DATEVALUE(Raw_Data!G186), Raw_Data!G186)
    ),
    ""
)</f>
        <v>45941</v>
      </c>
      <c r="H186">
        <f>IFERROR(VALUE(Raw_Data!H186), "")</f>
        <v>3500</v>
      </c>
      <c r="I186">
        <f ca="1">IFERROR(VALUE(Raw_Data!I186), "")</f>
        <v>21000</v>
      </c>
      <c r="J186">
        <f>IFERROR(
    VALUE(SUBSTITUTE(Raw_Data!J186," visits","")),
    ""
)</f>
        <v>8</v>
      </c>
      <c r="K186" t="str">
        <f ca="1">IF(TRIM(Raw_Data!K186)="","No",PROPER(TRIM(Raw_Data!K186)))</f>
        <v>Yes</v>
      </c>
      <c r="L186" t="str">
        <f ca="1">PROPER(TRIM(Raw_Data!L186))</f>
        <v>General Fitness</v>
      </c>
      <c r="M186" t="s">
        <v>152</v>
      </c>
      <c r="N186" s="2">
        <f>IFERROR(DATEVALUE(Raw_Data!N186), Raw_Data!N186)</f>
        <v>46115</v>
      </c>
      <c r="O186" s="2"/>
      <c r="P186" t="str">
        <f>IF(COUNTIF($A$2:A186,A186)&gt;1,"Duplicate","Unique")</f>
        <v>Unique</v>
      </c>
      <c r="Q186" t="str">
        <f t="shared" si="4"/>
        <v>Cancelled but Active</v>
      </c>
      <c r="R186" t="str">
        <f t="shared" si="5"/>
        <v>Available</v>
      </c>
    </row>
    <row r="187" spans="1:18">
      <c r="A187" t="str">
        <f>TRIM(CLEAN(Raw_Data!A187))</f>
        <v>MEM0186</v>
      </c>
      <c r="B187" t="str">
        <f ca="1">TRIM(Raw_Data!B187)</f>
        <v>Varun Shetty</v>
      </c>
      <c r="C187" t="str">
        <f ca="1">_xlfn.XLOOKUP(D187, Branch_Master!A:A, Branch_Master!B:B)</f>
        <v>Mumbai</v>
      </c>
      <c r="D187" t="str">
        <f ca="1">TRIM(Raw_Data!D187)</f>
        <v>BR05</v>
      </c>
      <c r="E187" t="str">
        <f ca="1">PROPER(TRIM(Raw_Data!E187))</f>
        <v>Premium</v>
      </c>
      <c r="F187" s="2">
        <f>IFERROR(DATEVALUE(Raw_Data!F187), Raw_Data!F187)</f>
        <v>45367</v>
      </c>
      <c r="G187" s="2">
        <f>IFERROR(
    IF(
        IFERROR(DATEVALUE(Raw_Data!G187), Raw_Data!G187) &lt;
        IFERROR(DATEVALUE(Raw_Data!F187), Raw_Data!F187),
        IFERROR(DATEVALUE(Raw_Data!F187), Raw_Data!F187) + 30,
        IFERROR(DATEVALUE(Raw_Data!G187), Raw_Data!G187)
    ),
    ""
)</f>
        <v>45732</v>
      </c>
      <c r="H187">
        <f>IFERROR(VALUE(Raw_Data!H187), "")</f>
        <v>1000</v>
      </c>
      <c r="I187">
        <f ca="1">IFERROR(VALUE(Raw_Data!I187), "")</f>
        <v>8000</v>
      </c>
      <c r="J187">
        <f>IFERROR(
    VALUE(SUBSTITUTE(Raw_Data!J187," visits","")),
    ""
)</f>
        <v>10</v>
      </c>
      <c r="K187" t="str">
        <f ca="1">IF(TRIM(Raw_Data!K187)="","No",PROPER(TRIM(Raw_Data!K187)))</f>
        <v>Yes</v>
      </c>
      <c r="L187" t="str">
        <f ca="1">PROPER(TRIM(Raw_Data!L187))</f>
        <v>Weight Loss</v>
      </c>
      <c r="M187" t="s">
        <v>152</v>
      </c>
      <c r="N187" s="2">
        <f>IFERROR(DATEVALUE(Raw_Data!N187), Raw_Data!N187)</f>
        <v>46092</v>
      </c>
      <c r="O187" s="2"/>
      <c r="P187" t="str">
        <f>IF(COUNTIF($A$2:A187,A187)&gt;1,"Duplicate","Unique")</f>
        <v>Unique</v>
      </c>
      <c r="Q187" t="str">
        <f t="shared" si="4"/>
        <v>Cancelled but Active</v>
      </c>
      <c r="R187" t="str">
        <f t="shared" si="5"/>
        <v>Available</v>
      </c>
    </row>
    <row r="188" spans="1:18">
      <c r="A188" t="str">
        <f>TRIM(CLEAN(Raw_Data!A188))</f>
        <v>MEM0187</v>
      </c>
      <c r="B188" t="str">
        <f ca="1">TRIM(Raw_Data!B188)</f>
        <v>Ishita Thomas</v>
      </c>
      <c r="C188" t="str">
        <f ca="1">_xlfn.XLOOKUP(D188, Branch_Master!A:A, Branch_Master!B:B)</f>
        <v>Trivandrum</v>
      </c>
      <c r="D188" t="str">
        <f ca="1">TRIM(Raw_Data!D188)</f>
        <v>BR06</v>
      </c>
      <c r="E188" t="str">
        <f ca="1">PROPER(TRIM(Raw_Data!E188))</f>
        <v>Standard</v>
      </c>
      <c r="F188" s="2">
        <f>IFERROR(DATEVALUE(Raw_Data!F188), Raw_Data!F188)</f>
        <v>44927</v>
      </c>
      <c r="G188" s="2">
        <f>IFERROR(
    IF(
        IFERROR(DATEVALUE(Raw_Data!G188), Raw_Data!G188) &lt;
        IFERROR(DATEVALUE(Raw_Data!F188), Raw_Data!F188),
        IFERROR(DATEVALUE(Raw_Data!F188), Raw_Data!F188) + 30,
        IFERROR(DATEVALUE(Raw_Data!G188), Raw_Data!G188)
    ),
    ""
)</f>
        <v>44957</v>
      </c>
      <c r="H188">
        <f>IFERROR(VALUE(Raw_Data!H188), "")</f>
        <v>2000</v>
      </c>
      <c r="I188">
        <f ca="1">IFERROR(VALUE(Raw_Data!I188), "")</f>
        <v>12000</v>
      </c>
      <c r="J188">
        <f>IFERROR(
    VALUE(SUBSTITUTE(Raw_Data!J188," visits","")),
    ""
)</f>
        <v>6</v>
      </c>
      <c r="K188" t="str">
        <f ca="1">IF(TRIM(Raw_Data!K188)="","No",PROPER(TRIM(Raw_Data!K188)))</f>
        <v>Yes</v>
      </c>
      <c r="L188" t="str">
        <f ca="1">PROPER(TRIM(Raw_Data!L188))</f>
        <v>General Fitness</v>
      </c>
      <c r="M188" t="s">
        <v>151</v>
      </c>
      <c r="N188" s="2">
        <f>IFERROR(DATEVALUE(Raw_Data!N188), Raw_Data!N188)</f>
        <v>45192</v>
      </c>
      <c r="O188" s="2"/>
      <c r="P188" t="str">
        <f>IF(COUNTIF($A$2:A188,A188)&gt;1,"Duplicate","Unique")</f>
        <v>Unique</v>
      </c>
      <c r="Q188" t="str">
        <f t="shared" si="4"/>
        <v>OK</v>
      </c>
      <c r="R188" t="str">
        <f t="shared" si="5"/>
        <v>Available</v>
      </c>
    </row>
    <row r="189" spans="1:18">
      <c r="A189" t="str">
        <f>TRIM(CLEAN(Raw_Data!A189))</f>
        <v>MEM0188</v>
      </c>
      <c r="B189" t="str">
        <f ca="1">TRIM(Raw_Data!B189)</f>
        <v>Kavya Yadav</v>
      </c>
      <c r="C189" t="str">
        <f ca="1">_xlfn.XLOOKUP(D189, Branch_Master!A:A, Branch_Master!B:B)</f>
        <v>Chennai</v>
      </c>
      <c r="D189" t="str">
        <f ca="1">TRIM(Raw_Data!D189)</f>
        <v>BR03</v>
      </c>
      <c r="E189" t="str">
        <f ca="1">PROPER(TRIM(Raw_Data!E189))</f>
        <v>Basic</v>
      </c>
      <c r="F189" s="2">
        <f>IFERROR(DATEVALUE(Raw_Data!F189), Raw_Data!F189)</f>
        <v>46003</v>
      </c>
      <c r="G189" s="2">
        <f>IFERROR(
    IF(
        IFERROR(DATEVALUE(Raw_Data!G189), Raw_Data!G189) &lt;
        IFERROR(DATEVALUE(Raw_Data!F189), Raw_Data!F189),
        IFERROR(DATEVALUE(Raw_Data!F189), Raw_Data!F189) + 30,
        IFERROR(DATEVALUE(Raw_Data!G189), Raw_Data!G189)
    ),
    ""
)</f>
        <v>46368</v>
      </c>
      <c r="H189">
        <f>IFERROR(VALUE(Raw_Data!H189), "")</f>
        <v>1000</v>
      </c>
      <c r="I189">
        <f ca="1">IFERROR(VALUE(Raw_Data!I189), "")</f>
        <v>5000</v>
      </c>
      <c r="J189">
        <f>IFERROR(
    VALUE(SUBSTITUTE(Raw_Data!J189," visits","")),
    ""
)</f>
        <v>17</v>
      </c>
      <c r="K189" t="str">
        <f ca="1">IF(TRIM(Raw_Data!K189)="","No",PROPER(TRIM(Raw_Data!K189)))</f>
        <v>No</v>
      </c>
      <c r="L189" t="str">
        <f ca="1">PROPER(TRIM(Raw_Data!L189))</f>
        <v>General Fitness</v>
      </c>
      <c r="M189" t="s">
        <v>151</v>
      </c>
      <c r="N189" s="2">
        <f>IFERROR(DATEVALUE(Raw_Data!N189), Raw_Data!N189)</f>
        <v>46111</v>
      </c>
      <c r="O189" s="2"/>
      <c r="P189" t="str">
        <f>IF(COUNTIF($A$2:A189,A189)&gt;1,"Duplicate","Unique")</f>
        <v>Unique</v>
      </c>
      <c r="Q189" t="str">
        <f t="shared" si="4"/>
        <v>OK</v>
      </c>
      <c r="R189" t="str">
        <f t="shared" si="5"/>
        <v>Available</v>
      </c>
    </row>
    <row r="190" spans="1:18">
      <c r="A190" t="str">
        <f>TRIM(CLEAN(Raw_Data!A190))</f>
        <v>MEM0189</v>
      </c>
      <c r="B190" t="str">
        <f ca="1">TRIM(Raw_Data!B190)</f>
        <v>Ishita Joseph</v>
      </c>
      <c r="C190" t="str">
        <f ca="1">_xlfn.XLOOKUP(D190, Branch_Master!A:A, Branch_Master!B:B)</f>
        <v>Calicut</v>
      </c>
      <c r="D190" t="str">
        <f ca="1">TRIM(Raw_Data!D190)</f>
        <v>BR07</v>
      </c>
      <c r="E190" t="str">
        <f ca="1">PROPER(TRIM(Raw_Data!E190))</f>
        <v>Premium</v>
      </c>
      <c r="F190" s="2">
        <f>IFERROR(DATEVALUE(Raw_Data!F190), Raw_Data!F190)</f>
        <v>45519</v>
      </c>
      <c r="G190" s="2">
        <f>IFERROR(
    IF(
        IFERROR(DATEVALUE(Raw_Data!G190), Raw_Data!G190) &lt;
        IFERROR(DATEVALUE(Raw_Data!F190), Raw_Data!F190),
        IFERROR(DATEVALUE(Raw_Data!F190), Raw_Data!F190) + 30,
        IFERROR(DATEVALUE(Raw_Data!G190), Raw_Data!G190)
    ),
    ""
)</f>
        <v>45549</v>
      </c>
      <c r="H190">
        <f>IFERROR(VALUE(Raw_Data!H190), "")</f>
        <v>3500</v>
      </c>
      <c r="I190">
        <f ca="1">IFERROR(VALUE(Raw_Data!I190), "")</f>
        <v>24500</v>
      </c>
      <c r="J190">
        <f>IFERROR(
    VALUE(SUBSTITUTE(Raw_Data!J190," visits","")),
    ""
)</f>
        <v>4</v>
      </c>
      <c r="K190" t="str">
        <f ca="1">IF(TRIM(Raw_Data!K190)="","No",PROPER(TRIM(Raw_Data!K190)))</f>
        <v>Yes</v>
      </c>
      <c r="L190" t="str">
        <f ca="1">PROPER(TRIM(Raw_Data!L190))</f>
        <v>Muscle Gain</v>
      </c>
      <c r="M190" t="s">
        <v>152</v>
      </c>
      <c r="N190" s="2">
        <f>IFERROR(DATEVALUE(Raw_Data!N190), Raw_Data!N190)</f>
        <v>45531</v>
      </c>
      <c r="O190" s="2"/>
      <c r="P190" t="str">
        <f>IF(COUNTIF($A$2:A190,A190)&gt;1,"Duplicate","Unique")</f>
        <v>Unique</v>
      </c>
      <c r="Q190" t="str">
        <f t="shared" si="4"/>
        <v>Cancelled but Active</v>
      </c>
      <c r="R190" t="str">
        <f t="shared" si="5"/>
        <v>Available</v>
      </c>
    </row>
    <row r="191" spans="1:18">
      <c r="A191" t="str">
        <f>TRIM(CLEAN(Raw_Data!A191))</f>
        <v>MEM0190</v>
      </c>
      <c r="B191" t="str">
        <f ca="1">TRIM(Raw_Data!B191)</f>
        <v>Tanvi Shetty</v>
      </c>
      <c r="C191" t="str">
        <f ca="1">_xlfn.XLOOKUP(D191, Branch_Master!A:A, Branch_Master!B:B)</f>
        <v>Calicut</v>
      </c>
      <c r="D191" t="str">
        <f ca="1">TRIM(Raw_Data!D191)</f>
        <v>BR07</v>
      </c>
      <c r="E191" t="str">
        <f ca="1">PROPER(TRIM(Raw_Data!E191))</f>
        <v>Basic</v>
      </c>
      <c r="F191" s="2">
        <f>IFERROR(DATEVALUE(Raw_Data!F191), Raw_Data!F191)</f>
        <v>45371</v>
      </c>
      <c r="G191" s="2">
        <f>IFERROR(
    IF(
        IFERROR(DATEVALUE(Raw_Data!G191), Raw_Data!G191) &lt;
        IFERROR(DATEVALUE(Raw_Data!F191), Raw_Data!F191),
        IFERROR(DATEVALUE(Raw_Data!F191), Raw_Data!F191) + 30,
        IFERROR(DATEVALUE(Raw_Data!G191), Raw_Data!G191)
    ),
    ""
)</f>
        <v>45401</v>
      </c>
      <c r="H191">
        <f>IFERROR(VALUE(Raw_Data!H191), "")</f>
        <v>2000</v>
      </c>
      <c r="I191">
        <f ca="1">IFERROR(VALUE(Raw_Data!I191), "")</f>
        <v>24000</v>
      </c>
      <c r="J191">
        <f>IFERROR(
    VALUE(SUBSTITUTE(Raw_Data!J191," visits","")),
    ""
)</f>
        <v>12</v>
      </c>
      <c r="K191" t="str">
        <f ca="1">IF(TRIM(Raw_Data!K191)="","No",PROPER(TRIM(Raw_Data!K191)))</f>
        <v>Yes</v>
      </c>
      <c r="L191" t="str">
        <f ca="1">PROPER(TRIM(Raw_Data!L191))</f>
        <v>Weight Loss</v>
      </c>
      <c r="M191" t="s">
        <v>151</v>
      </c>
      <c r="N191" s="2">
        <f>IFERROR(DATEVALUE(Raw_Data!N191), Raw_Data!N191)</f>
        <v>45865</v>
      </c>
      <c r="O191" s="2"/>
      <c r="P191" t="str">
        <f>IF(COUNTIF($A$2:A191,A191)&gt;1,"Duplicate","Unique")</f>
        <v>Unique</v>
      </c>
      <c r="Q191" t="str">
        <f t="shared" si="4"/>
        <v>OK</v>
      </c>
      <c r="R191" t="str">
        <f t="shared" si="5"/>
        <v>Available</v>
      </c>
    </row>
    <row r="192" spans="1:18">
      <c r="A192" t="str">
        <f>TRIM(CLEAN(Raw_Data!A192))</f>
        <v>MEM0191</v>
      </c>
      <c r="B192" t="str">
        <f ca="1">TRIM(Raw_Data!B192)</f>
        <v>Priya Khan</v>
      </c>
      <c r="C192" t="str">
        <f ca="1">_xlfn.XLOOKUP(D192, Branch_Master!A:A, Branch_Master!B:B)</f>
        <v>Kochi</v>
      </c>
      <c r="D192" t="str">
        <f ca="1">TRIM(Raw_Data!D192)</f>
        <v>BR01</v>
      </c>
      <c r="E192" t="str">
        <f ca="1">PROPER(TRIM(Raw_Data!E192))</f>
        <v>Standard</v>
      </c>
      <c r="F192" s="2">
        <f>IFERROR(DATEVALUE(Raw_Data!F192), Raw_Data!F192)</f>
        <v>45584</v>
      </c>
      <c r="G192" s="2">
        <f>IFERROR(
    IF(
        IFERROR(DATEVALUE(Raw_Data!G192), Raw_Data!G192) &lt;
        IFERROR(DATEVALUE(Raw_Data!F192), Raw_Data!F192),
        IFERROR(DATEVALUE(Raw_Data!F192), Raw_Data!F192) + 30,
        IFERROR(DATEVALUE(Raw_Data!G192), Raw_Data!G192)
    ),
    ""
)</f>
        <v>45949</v>
      </c>
      <c r="H192">
        <f>IFERROR(VALUE(Raw_Data!H192), "")</f>
        <v>1000</v>
      </c>
      <c r="I192">
        <f ca="1">IFERROR(VALUE(Raw_Data!I192), "")</f>
        <v>4000</v>
      </c>
      <c r="J192">
        <f>IFERROR(
    VALUE(SUBSTITUTE(Raw_Data!J192," visits","")),
    ""
)</f>
        <v>23</v>
      </c>
      <c r="K192" t="str">
        <f ca="1">IF(TRIM(Raw_Data!K192)="","No",PROPER(TRIM(Raw_Data!K192)))</f>
        <v>No</v>
      </c>
      <c r="L192" t="str">
        <f ca="1">PROPER(TRIM(Raw_Data!L192))</f>
        <v>Muscle Gain</v>
      </c>
      <c r="M192" t="s">
        <v>152</v>
      </c>
      <c r="N192" s="2">
        <f>IFERROR(DATEVALUE(Raw_Data!N192), Raw_Data!N192)</f>
        <v>45678</v>
      </c>
      <c r="O192" s="2"/>
      <c r="P192" t="str">
        <f>IF(COUNTIF($A$2:A192,A192)&gt;1,"Duplicate","Unique")</f>
        <v>Unique</v>
      </c>
      <c r="Q192" t="str">
        <f t="shared" si="4"/>
        <v>Cancelled but Active</v>
      </c>
      <c r="R192" t="str">
        <f t="shared" si="5"/>
        <v>Available</v>
      </c>
    </row>
    <row r="193" spans="1:18">
      <c r="A193" t="str">
        <f>TRIM(CLEAN(Raw_Data!A193))</f>
        <v>MEM0192</v>
      </c>
      <c r="B193" t="str">
        <f ca="1">TRIM(Raw_Data!B193)</f>
        <v>Ankit Das</v>
      </c>
      <c r="C193" t="str">
        <f ca="1">_xlfn.XLOOKUP(D193, Branch_Master!A:A, Branch_Master!B:B)</f>
        <v>Hyderabad</v>
      </c>
      <c r="D193" t="str">
        <f ca="1">TRIM(Raw_Data!D193)</f>
        <v>BR04</v>
      </c>
      <c r="E193" t="str">
        <f ca="1">PROPER(TRIM(Raw_Data!E193))</f>
        <v>Basic</v>
      </c>
      <c r="F193" s="2">
        <f>IFERROR(DATEVALUE(Raw_Data!F193), Raw_Data!F193)</f>
        <v>45212</v>
      </c>
      <c r="G193" s="2">
        <f>IFERROR(
    IF(
        IFERROR(DATEVALUE(Raw_Data!G193), Raw_Data!G193) &lt;
        IFERROR(DATEVALUE(Raw_Data!F193), Raw_Data!F193),
        IFERROR(DATEVALUE(Raw_Data!F193), Raw_Data!F193) + 30,
        IFERROR(DATEVALUE(Raw_Data!G193), Raw_Data!G193)
    ),
    ""
)</f>
        <v>45577</v>
      </c>
      <c r="H193">
        <f>IFERROR(VALUE(Raw_Data!H193), "")</f>
        <v>1000</v>
      </c>
      <c r="I193">
        <f ca="1">IFERROR(VALUE(Raw_Data!I193), "")</f>
        <v>12000</v>
      </c>
      <c r="J193">
        <f>IFERROR(
    VALUE(SUBSTITUTE(Raw_Data!J193," visits","")),
    ""
)</f>
        <v>12</v>
      </c>
      <c r="K193" t="str">
        <f ca="1">IF(TRIM(Raw_Data!K193)="","No",PROPER(TRIM(Raw_Data!K193)))</f>
        <v>No</v>
      </c>
      <c r="L193" t="str">
        <f ca="1">PROPER(TRIM(Raw_Data!L193))</f>
        <v>General Fitness</v>
      </c>
      <c r="M193" t="s">
        <v>151</v>
      </c>
      <c r="N193" s="2">
        <f>IFERROR(DATEVALUE(Raw_Data!N193), Raw_Data!N193)</f>
        <v>46044</v>
      </c>
      <c r="O193" s="2"/>
      <c r="P193" t="str">
        <f>IF(COUNTIF($A$2:A193,A193)&gt;1,"Duplicate","Unique")</f>
        <v>Unique</v>
      </c>
      <c r="Q193" t="str">
        <f t="shared" si="4"/>
        <v>OK</v>
      </c>
      <c r="R193" t="str">
        <f t="shared" si="5"/>
        <v>Available</v>
      </c>
    </row>
    <row r="194" spans="1:18">
      <c r="A194" t="str">
        <f>TRIM(CLEAN(Raw_Data!A194))</f>
        <v>MEM0193</v>
      </c>
      <c r="B194" t="str">
        <f ca="1">TRIM(Raw_Data!B194)</f>
        <v>Fatima Mathew</v>
      </c>
      <c r="C194" t="str">
        <f ca="1">_xlfn.XLOOKUP(D194, Branch_Master!A:A, Branch_Master!B:B)</f>
        <v>Chennai</v>
      </c>
      <c r="D194" t="str">
        <f ca="1">TRIM(Raw_Data!D194)</f>
        <v>BR03</v>
      </c>
      <c r="E194" t="str">
        <f ca="1">PROPER(TRIM(Raw_Data!E194))</f>
        <v>Standard</v>
      </c>
      <c r="F194" s="2">
        <f>IFERROR(DATEVALUE(Raw_Data!F194), Raw_Data!F194)</f>
        <v>45162</v>
      </c>
      <c r="G194" s="2">
        <f>IFERROR(
    IF(
        IFERROR(DATEVALUE(Raw_Data!G194), Raw_Data!G194) &lt;
        IFERROR(DATEVALUE(Raw_Data!F194), Raw_Data!F194),
        IFERROR(DATEVALUE(Raw_Data!F194), Raw_Data!F194) + 30,
        IFERROR(DATEVALUE(Raw_Data!G194), Raw_Data!G194)
    ),
    ""
)</f>
        <v>45252</v>
      </c>
      <c r="H194">
        <f>IFERROR(VALUE(Raw_Data!H194), "")</f>
        <v>3500</v>
      </c>
      <c r="I194">
        <f ca="1">IFERROR(VALUE(Raw_Data!I194), "")</f>
        <v>31500</v>
      </c>
      <c r="J194">
        <f>IFERROR(
    VALUE(SUBSTITUTE(Raw_Data!J194," visits","")),
    ""
)</f>
        <v>16</v>
      </c>
      <c r="K194" t="str">
        <f ca="1">IF(TRIM(Raw_Data!K194)="","No",PROPER(TRIM(Raw_Data!K194)))</f>
        <v>No</v>
      </c>
      <c r="L194" t="str">
        <f ca="1">PROPER(TRIM(Raw_Data!L194))</f>
        <v>General Fitness</v>
      </c>
      <c r="M194" t="s">
        <v>151</v>
      </c>
      <c r="N194" s="2">
        <f>IFERROR(DATEVALUE(Raw_Data!N194), Raw_Data!N194)</f>
        <v>45372</v>
      </c>
      <c r="O194" s="2"/>
      <c r="P194" t="str">
        <f>IF(COUNTIF($A$2:A194,A194)&gt;1,"Duplicate","Unique")</f>
        <v>Unique</v>
      </c>
      <c r="Q194" t="str">
        <f t="shared" si="4"/>
        <v>OK</v>
      </c>
      <c r="R194" t="str">
        <f t="shared" si="5"/>
        <v>Available</v>
      </c>
    </row>
    <row r="195" spans="1:18">
      <c r="A195" t="str">
        <f>TRIM(CLEAN(Raw_Data!A195))</f>
        <v>MEM0194</v>
      </c>
      <c r="B195" t="str">
        <f ca="1">TRIM(Raw_Data!B195)</f>
        <v>Vivek Shetty</v>
      </c>
      <c r="C195" t="str">
        <f ca="1">_xlfn.XLOOKUP(D195, Branch_Master!A:A, Branch_Master!B:B)</f>
        <v>Chennai</v>
      </c>
      <c r="D195" t="str">
        <f ca="1">TRIM(Raw_Data!D195)</f>
        <v>BR03</v>
      </c>
      <c r="E195" t="str">
        <f ca="1">PROPER(TRIM(Raw_Data!E195))</f>
        <v>Premium</v>
      </c>
      <c r="F195" s="2">
        <f>IFERROR(DATEVALUE(Raw_Data!F195), Raw_Data!F195)</f>
        <v>45521</v>
      </c>
      <c r="G195" s="2">
        <f>IFERROR(
    IF(
        IFERROR(DATEVALUE(Raw_Data!G195), Raw_Data!G195) &lt;
        IFERROR(DATEVALUE(Raw_Data!F195), Raw_Data!F195),
        IFERROR(DATEVALUE(Raw_Data!F195), Raw_Data!F195) + 30,
        IFERROR(DATEVALUE(Raw_Data!G195), Raw_Data!G195)
    ),
    ""
)</f>
        <v>45886</v>
      </c>
      <c r="H195">
        <f>IFERROR(VALUE(Raw_Data!H195), "")</f>
        <v>1000</v>
      </c>
      <c r="I195">
        <f ca="1">IFERROR(VALUE(Raw_Data!I195), "")</f>
        <v>6000</v>
      </c>
      <c r="J195">
        <f>IFERROR(
    VALUE(SUBSTITUTE(Raw_Data!J195," visits","")),
    ""
)</f>
        <v>22</v>
      </c>
      <c r="K195" t="str">
        <f ca="1">IF(TRIM(Raw_Data!K195)="","No",PROPER(TRIM(Raw_Data!K195)))</f>
        <v>No</v>
      </c>
      <c r="L195" t="str">
        <f ca="1">PROPER(TRIM(Raw_Data!L195))</f>
        <v>Weight Loss</v>
      </c>
      <c r="M195" t="s">
        <v>151</v>
      </c>
      <c r="N195" s="2">
        <f>IFERROR(DATEVALUE(Raw_Data!N195), Raw_Data!N195)</f>
        <v>45814</v>
      </c>
      <c r="O195" s="2"/>
      <c r="P195" t="str">
        <f>IF(COUNTIF($A$2:A195,A195)&gt;1,"Duplicate","Unique")</f>
        <v>Unique</v>
      </c>
      <c r="Q195" t="str">
        <f t="shared" ref="Q195:Q258" si="6">IF(G195&lt;F195,"Expiry Error",
IF(AND(M195="Cancelled",N195&lt;&gt;""),"Cancelled but Active",
IF(J195&gt;30,"Invalid Attendance","OK")))</f>
        <v>OK</v>
      </c>
      <c r="R195" t="str">
        <f t="shared" ref="R195:R258" si="7">IF(N195="","Missing","Available")</f>
        <v>Available</v>
      </c>
    </row>
    <row r="196" spans="1:18">
      <c r="A196" t="str">
        <f>TRIM(CLEAN(Raw_Data!A196))</f>
        <v>MEM0195</v>
      </c>
      <c r="B196" t="str">
        <f ca="1">TRIM(Raw_Data!B196)</f>
        <v>Lakshmi Banerjee</v>
      </c>
      <c r="C196" t="str">
        <f ca="1">_xlfn.XLOOKUP(D196, Branch_Master!A:A, Branch_Master!B:B)</f>
        <v>Chennai</v>
      </c>
      <c r="D196" t="str">
        <f ca="1">TRIM(Raw_Data!D196)</f>
        <v>BR03</v>
      </c>
      <c r="E196" t="str">
        <f ca="1">PROPER(TRIM(Raw_Data!E196))</f>
        <v>Basic</v>
      </c>
      <c r="F196" s="2">
        <f>IFERROR(DATEVALUE(Raw_Data!F196), Raw_Data!F196)</f>
        <v>45187</v>
      </c>
      <c r="G196" s="2">
        <f>IFERROR(
    IF(
        IFERROR(DATEVALUE(Raw_Data!G196), Raw_Data!G196) &lt;
        IFERROR(DATEVALUE(Raw_Data!F196), Raw_Data!F196),
        IFERROR(DATEVALUE(Raw_Data!F196), Raw_Data!F196) + 30,
        IFERROR(DATEVALUE(Raw_Data!G196), Raw_Data!G196)
    ),
    ""
)</f>
        <v>45552</v>
      </c>
      <c r="H196">
        <f>IFERROR(VALUE(Raw_Data!H196), "")</f>
        <v>1000</v>
      </c>
      <c r="I196">
        <f ca="1">IFERROR(VALUE(Raw_Data!I196), "")</f>
        <v>5000</v>
      </c>
      <c r="J196">
        <f>IFERROR(
    VALUE(SUBSTITUTE(Raw_Data!J196," visits","")),
    ""
)</f>
        <v>0</v>
      </c>
      <c r="K196" t="str">
        <f ca="1">IF(TRIM(Raw_Data!K196)="","No",PROPER(TRIM(Raw_Data!K196)))</f>
        <v>No</v>
      </c>
      <c r="L196" t="str">
        <f ca="1">PROPER(TRIM(Raw_Data!L196))</f>
        <v>Weight Loss</v>
      </c>
      <c r="M196" t="s">
        <v>152</v>
      </c>
      <c r="N196" s="2">
        <f>IFERROR(DATEVALUE(Raw_Data!N196), Raw_Data!N196)</f>
        <v>45203</v>
      </c>
      <c r="O196" s="2"/>
      <c r="P196" t="str">
        <f>IF(COUNTIF($A$2:A196,A196)&gt;1,"Duplicate","Unique")</f>
        <v>Unique</v>
      </c>
      <c r="Q196" t="str">
        <f t="shared" si="6"/>
        <v>Cancelled but Active</v>
      </c>
      <c r="R196" t="str">
        <f t="shared" si="7"/>
        <v>Available</v>
      </c>
    </row>
    <row r="197" spans="1:18">
      <c r="A197" t="str">
        <f>TRIM(CLEAN(Raw_Data!A197))</f>
        <v>MEM0196</v>
      </c>
      <c r="B197" t="str">
        <f ca="1">TRIM(Raw_Data!B197)</f>
        <v>Ankit Thomas</v>
      </c>
      <c r="C197" t="str">
        <f ca="1">_xlfn.XLOOKUP(D197, Branch_Master!A:A, Branch_Master!B:B)</f>
        <v>Mumbai</v>
      </c>
      <c r="D197" t="str">
        <f ca="1">TRIM(Raw_Data!D197)</f>
        <v>BR05</v>
      </c>
      <c r="E197" t="str">
        <f ca="1">PROPER(TRIM(Raw_Data!E197))</f>
        <v>Standard</v>
      </c>
      <c r="F197" s="2">
        <f>IFERROR(DATEVALUE(Raw_Data!F197), Raw_Data!F197)</f>
        <v>44940</v>
      </c>
      <c r="G197" s="2">
        <f>IFERROR(
    IF(
        IFERROR(DATEVALUE(Raw_Data!G197), Raw_Data!G197) &lt;
        IFERROR(DATEVALUE(Raw_Data!F197), Raw_Data!F197),
        IFERROR(DATEVALUE(Raw_Data!F197), Raw_Data!F197) + 30,
        IFERROR(DATEVALUE(Raw_Data!G197), Raw_Data!G197)
    ),
    ""
)</f>
        <v>45030</v>
      </c>
      <c r="H197">
        <f>IFERROR(VALUE(Raw_Data!H197), "")</f>
        <v>2000</v>
      </c>
      <c r="I197">
        <f ca="1">IFERROR(VALUE(Raw_Data!I197), "")</f>
        <v>6000</v>
      </c>
      <c r="J197">
        <f>IFERROR(
    VALUE(SUBSTITUTE(Raw_Data!J197," visits","")),
    ""
)</f>
        <v>11</v>
      </c>
      <c r="K197" t="str">
        <f ca="1">IF(TRIM(Raw_Data!K197)="","No",PROPER(TRIM(Raw_Data!K197)))</f>
        <v>Yes</v>
      </c>
      <c r="L197" t="str">
        <f ca="1">PROPER(TRIM(Raw_Data!L197))</f>
        <v>Weight Loss</v>
      </c>
      <c r="M197" t="s">
        <v>151</v>
      </c>
      <c r="N197" s="2">
        <f>IFERROR(DATEVALUE(Raw_Data!N197), Raw_Data!N197)</f>
        <v>45879</v>
      </c>
      <c r="O197" s="2"/>
      <c r="P197" t="str">
        <f>IF(COUNTIF($A$2:A197,A197)&gt;1,"Duplicate","Unique")</f>
        <v>Unique</v>
      </c>
      <c r="Q197" t="str">
        <f t="shared" si="6"/>
        <v>OK</v>
      </c>
      <c r="R197" t="str">
        <f t="shared" si="7"/>
        <v>Available</v>
      </c>
    </row>
    <row r="198" spans="1:18">
      <c r="A198" t="str">
        <f>TRIM(CLEAN(Raw_Data!A198))</f>
        <v>MEM0197</v>
      </c>
      <c r="B198" t="str">
        <f ca="1">TRIM(Raw_Data!B198)</f>
        <v>Siddharth Desai</v>
      </c>
      <c r="C198" t="str">
        <f ca="1">_xlfn.XLOOKUP(D198, Branch_Master!A:A, Branch_Master!B:B)</f>
        <v>Chennai</v>
      </c>
      <c r="D198" t="str">
        <f ca="1">TRIM(Raw_Data!D198)</f>
        <v>BR03</v>
      </c>
      <c r="E198" t="str">
        <f ca="1">PROPER(TRIM(Raw_Data!E198))</f>
        <v>Basic</v>
      </c>
      <c r="F198" s="2">
        <f>IFERROR(DATEVALUE(Raw_Data!F198), Raw_Data!F198)</f>
        <v>45764</v>
      </c>
      <c r="G198" s="2">
        <f>IFERROR(
    IF(
        IFERROR(DATEVALUE(Raw_Data!G198), Raw_Data!G198) &lt;
        IFERROR(DATEVALUE(Raw_Data!F198), Raw_Data!F198),
        IFERROR(DATEVALUE(Raw_Data!F198), Raw_Data!F198) + 30,
        IFERROR(DATEVALUE(Raw_Data!G198), Raw_Data!G198)
    ),
    ""
)</f>
        <v>45794</v>
      </c>
      <c r="H198">
        <f>IFERROR(VALUE(Raw_Data!H198), "")</f>
        <v>1000</v>
      </c>
      <c r="I198">
        <f ca="1">IFERROR(VALUE(Raw_Data!I198), "")</f>
        <v>6000</v>
      </c>
      <c r="J198">
        <f>IFERROR(
    VALUE(SUBSTITUTE(Raw_Data!J198," visits","")),
    ""
)</f>
        <v>16</v>
      </c>
      <c r="K198" t="str">
        <f ca="1">IF(TRIM(Raw_Data!K198)="","No",PROPER(TRIM(Raw_Data!K198)))</f>
        <v>Yes</v>
      </c>
      <c r="L198" t="str">
        <f ca="1">PROPER(TRIM(Raw_Data!L198))</f>
        <v>General Fitness</v>
      </c>
      <c r="M198" t="s">
        <v>151</v>
      </c>
      <c r="N198" s="2">
        <f>IFERROR(DATEVALUE(Raw_Data!N198), Raw_Data!N198)</f>
        <v>45989</v>
      </c>
      <c r="O198" s="2"/>
      <c r="P198" t="str">
        <f>IF(COUNTIF($A$2:A198,A198)&gt;1,"Duplicate","Unique")</f>
        <v>Unique</v>
      </c>
      <c r="Q198" t="str">
        <f t="shared" si="6"/>
        <v>OK</v>
      </c>
      <c r="R198" t="str">
        <f t="shared" si="7"/>
        <v>Available</v>
      </c>
    </row>
    <row r="199" spans="1:18">
      <c r="A199" t="str">
        <f>TRIM(CLEAN(Raw_Data!A199))</f>
        <v>MEM0198</v>
      </c>
      <c r="B199" t="str">
        <f ca="1">TRIM(Raw_Data!B199)</f>
        <v>Arjun D’Souza</v>
      </c>
      <c r="C199" t="str">
        <f ca="1">_xlfn.XLOOKUP(D199, Branch_Master!A:A, Branch_Master!B:B)</f>
        <v>Hyderabad</v>
      </c>
      <c r="D199" t="str">
        <f ca="1">TRIM(Raw_Data!D199)</f>
        <v>BR04</v>
      </c>
      <c r="E199" t="str">
        <f ca="1">PROPER(TRIM(Raw_Data!E199))</f>
        <v>Basic</v>
      </c>
      <c r="F199" s="2">
        <f>IFERROR(DATEVALUE(Raw_Data!F199), Raw_Data!F199)</f>
        <v>45574</v>
      </c>
      <c r="G199" s="2">
        <f>IFERROR(
    IF(
        IFERROR(DATEVALUE(Raw_Data!G199), Raw_Data!G199) &lt;
        IFERROR(DATEVALUE(Raw_Data!F199), Raw_Data!F199),
        IFERROR(DATEVALUE(Raw_Data!F199), Raw_Data!F199) + 30,
        IFERROR(DATEVALUE(Raw_Data!G199), Raw_Data!G199)
    ),
    ""
)</f>
        <v>45939</v>
      </c>
      <c r="H199">
        <f>IFERROR(VALUE(Raw_Data!H199), "")</f>
        <v>3500</v>
      </c>
      <c r="I199">
        <f ca="1">IFERROR(VALUE(Raw_Data!I199), "")</f>
        <v>7000</v>
      </c>
      <c r="J199">
        <f>IFERROR(
    VALUE(SUBSTITUTE(Raw_Data!J199," visits","")),
    ""
)</f>
        <v>19</v>
      </c>
      <c r="K199" t="str">
        <f ca="1">IF(TRIM(Raw_Data!K199)="","No",PROPER(TRIM(Raw_Data!K199)))</f>
        <v>No</v>
      </c>
      <c r="L199" t="str">
        <f ca="1">PROPER(TRIM(Raw_Data!L199))</f>
        <v>Muscle Gain</v>
      </c>
      <c r="M199" t="s">
        <v>151</v>
      </c>
      <c r="N199" s="2">
        <f>IFERROR(DATEVALUE(Raw_Data!N199), Raw_Data!N199)</f>
        <v>46011</v>
      </c>
      <c r="O199" s="2"/>
      <c r="P199" t="str">
        <f>IF(COUNTIF($A$2:A199,A199)&gt;1,"Duplicate","Unique")</f>
        <v>Unique</v>
      </c>
      <c r="Q199" t="str">
        <f t="shared" si="6"/>
        <v>OK</v>
      </c>
      <c r="R199" t="str">
        <f t="shared" si="7"/>
        <v>Available</v>
      </c>
    </row>
    <row r="200" spans="1:18">
      <c r="A200" t="str">
        <f>TRIM(CLEAN(Raw_Data!A200))</f>
        <v>MEM0199</v>
      </c>
      <c r="B200" t="str">
        <f ca="1">TRIM(Raw_Data!B200)</f>
        <v>Sanjay Fernandes</v>
      </c>
      <c r="C200" t="str">
        <f ca="1">_xlfn.XLOOKUP(D200, Branch_Master!A:A, Branch_Master!B:B)</f>
        <v>Calicut</v>
      </c>
      <c r="D200" t="str">
        <f ca="1">TRIM(Raw_Data!D200)</f>
        <v>BR07</v>
      </c>
      <c r="E200" t="str">
        <f ca="1">PROPER(TRIM(Raw_Data!E200))</f>
        <v>Basic</v>
      </c>
      <c r="F200" s="2">
        <f>IFERROR(DATEVALUE(Raw_Data!F200), Raw_Data!F200)</f>
        <v>45403</v>
      </c>
      <c r="G200" s="2">
        <f>IFERROR(
    IF(
        IFERROR(DATEVALUE(Raw_Data!G200), Raw_Data!G200) &lt;
        IFERROR(DATEVALUE(Raw_Data!F200), Raw_Data!F200),
        IFERROR(DATEVALUE(Raw_Data!F200), Raw_Data!F200) + 30,
        IFERROR(DATEVALUE(Raw_Data!G200), Raw_Data!G200)
    ),
    ""
)</f>
        <v>45433</v>
      </c>
      <c r="H200">
        <f>IFERROR(VALUE(Raw_Data!H200), "")</f>
        <v>1000</v>
      </c>
      <c r="I200">
        <f ca="1">IFERROR(VALUE(Raw_Data!I200), "")</f>
        <v>1000</v>
      </c>
      <c r="J200">
        <f>IFERROR(
    VALUE(SUBSTITUTE(Raw_Data!J200," visits","")),
    ""
)</f>
        <v>23</v>
      </c>
      <c r="K200" t="str">
        <f ca="1">IF(TRIM(Raw_Data!K200)="","No",PROPER(TRIM(Raw_Data!K200)))</f>
        <v>No</v>
      </c>
      <c r="L200" t="str">
        <f ca="1">PROPER(TRIM(Raw_Data!L200))</f>
        <v>Muscle Gain</v>
      </c>
      <c r="M200" t="s">
        <v>151</v>
      </c>
      <c r="N200" s="2">
        <f>IFERROR(DATEVALUE(Raw_Data!N200), Raw_Data!N200)</f>
        <v>45469</v>
      </c>
      <c r="O200" s="2"/>
      <c r="P200" t="str">
        <f>IF(COUNTIF($A$2:A200,A200)&gt;1,"Duplicate","Unique")</f>
        <v>Unique</v>
      </c>
      <c r="Q200" t="str">
        <f t="shared" si="6"/>
        <v>OK</v>
      </c>
      <c r="R200" t="str">
        <f t="shared" si="7"/>
        <v>Available</v>
      </c>
    </row>
    <row r="201" spans="1:18">
      <c r="A201" t="str">
        <f>TRIM(CLEAN(Raw_Data!A201))</f>
        <v>MEM0200</v>
      </c>
      <c r="B201" t="str">
        <f ca="1">TRIM(Raw_Data!B201)</f>
        <v>Arjun Nambiar</v>
      </c>
      <c r="C201" t="str">
        <f ca="1">_xlfn.XLOOKUP(D201, Branch_Master!A:A, Branch_Master!B:B)</f>
        <v>Calicut</v>
      </c>
      <c r="D201" t="str">
        <f ca="1">TRIM(Raw_Data!D201)</f>
        <v>BR07</v>
      </c>
      <c r="E201" t="str">
        <f ca="1">PROPER(TRIM(Raw_Data!E201))</f>
        <v>Standard</v>
      </c>
      <c r="F201" s="2">
        <f>IFERROR(DATEVALUE(Raw_Data!F201), Raw_Data!F201)</f>
        <v>45157</v>
      </c>
      <c r="G201" s="2">
        <f>IFERROR(
    IF(
        IFERROR(DATEVALUE(Raw_Data!G201), Raw_Data!G201) &lt;
        IFERROR(DATEVALUE(Raw_Data!F201), Raw_Data!F201),
        IFERROR(DATEVALUE(Raw_Data!F201), Raw_Data!F201) + 30,
        IFERROR(DATEVALUE(Raw_Data!G201), Raw_Data!G201)
    ),
    ""
)</f>
        <v>45187</v>
      </c>
      <c r="H201">
        <f>IFERROR(VALUE(Raw_Data!H201), "")</f>
        <v>2000</v>
      </c>
      <c r="I201">
        <f ca="1">IFERROR(VALUE(Raw_Data!I201), "")</f>
        <v>14000</v>
      </c>
      <c r="J201">
        <f>IFERROR(
    VALUE(SUBSTITUTE(Raw_Data!J201," visits","")),
    ""
)</f>
        <v>12</v>
      </c>
      <c r="K201" t="str">
        <f ca="1">IF(TRIM(Raw_Data!K201)="","No",PROPER(TRIM(Raw_Data!K201)))</f>
        <v>Yes</v>
      </c>
      <c r="L201" t="str">
        <f ca="1">PROPER(TRIM(Raw_Data!L201))</f>
        <v>Muscle Gain</v>
      </c>
      <c r="M201" t="s">
        <v>151</v>
      </c>
      <c r="N201" s="2">
        <f>IFERROR(DATEVALUE(Raw_Data!N201), Raw_Data!N201)</f>
        <v>45608</v>
      </c>
      <c r="O201" s="2"/>
      <c r="P201" t="str">
        <f>IF(COUNTIF($A$2:A201,A201)&gt;1,"Duplicate","Unique")</f>
        <v>Unique</v>
      </c>
      <c r="Q201" t="str">
        <f t="shared" si="6"/>
        <v>OK</v>
      </c>
      <c r="R201" t="str">
        <f t="shared" si="7"/>
        <v>Available</v>
      </c>
    </row>
    <row r="202" spans="1:18">
      <c r="A202" t="str">
        <f>TRIM(CLEAN(Raw_Data!A202))</f>
        <v>MEM0201</v>
      </c>
      <c r="B202" t="str">
        <f ca="1">TRIM(Raw_Data!B202)</f>
        <v>Priya George</v>
      </c>
      <c r="C202" t="str">
        <f ca="1">_xlfn.XLOOKUP(D202, Branch_Master!A:A, Branch_Master!B:B)</f>
        <v>Calicut</v>
      </c>
      <c r="D202" t="str">
        <f ca="1">TRIM(Raw_Data!D202)</f>
        <v>BR07</v>
      </c>
      <c r="E202" t="str">
        <f ca="1">PROPER(TRIM(Raw_Data!E202))</f>
        <v>Basic</v>
      </c>
      <c r="F202" s="2">
        <f>IFERROR(DATEVALUE(Raw_Data!F202), Raw_Data!F202)</f>
        <v>45316</v>
      </c>
      <c r="G202" s="2">
        <f>IFERROR(
    IF(
        IFERROR(DATEVALUE(Raw_Data!G202), Raw_Data!G202) &lt;
        IFERROR(DATEVALUE(Raw_Data!F202), Raw_Data!F202),
        IFERROR(DATEVALUE(Raw_Data!F202), Raw_Data!F202) + 30,
        IFERROR(DATEVALUE(Raw_Data!G202), Raw_Data!G202)
    ),
    ""
)</f>
        <v>45346</v>
      </c>
      <c r="H202">
        <f>IFERROR(VALUE(Raw_Data!H202), "")</f>
        <v>1000</v>
      </c>
      <c r="I202">
        <f ca="1">IFERROR(VALUE(Raw_Data!I202), "")</f>
        <v>11000</v>
      </c>
      <c r="J202">
        <f>IFERROR(
    VALUE(SUBSTITUTE(Raw_Data!J202," visits","")),
    ""
)</f>
        <v>3</v>
      </c>
      <c r="K202" t="str">
        <f ca="1">IF(TRIM(Raw_Data!K202)="","No",PROPER(TRIM(Raw_Data!K202)))</f>
        <v>No</v>
      </c>
      <c r="L202" t="str">
        <f ca="1">PROPER(TRIM(Raw_Data!L202))</f>
        <v>Muscle Gain</v>
      </c>
      <c r="M202" t="s">
        <v>152</v>
      </c>
      <c r="N202" s="2">
        <f>IFERROR(DATEVALUE(Raw_Data!N202), Raw_Data!N202)</f>
        <v>45574</v>
      </c>
      <c r="O202" s="2"/>
      <c r="P202" t="str">
        <f>IF(COUNTIF($A$2:A202,A202)&gt;1,"Duplicate","Unique")</f>
        <v>Unique</v>
      </c>
      <c r="Q202" t="str">
        <f t="shared" si="6"/>
        <v>Cancelled but Active</v>
      </c>
      <c r="R202" t="str">
        <f t="shared" si="7"/>
        <v>Available</v>
      </c>
    </row>
    <row r="203" spans="1:18">
      <c r="A203" t="str">
        <f>TRIM(CLEAN(Raw_Data!A203))</f>
        <v>MEM0202</v>
      </c>
      <c r="B203" t="str">
        <f ca="1">TRIM(Raw_Data!B203)</f>
        <v>Neha Varghese</v>
      </c>
      <c r="C203" t="str">
        <f ca="1">_xlfn.XLOOKUP(D203, Branch_Master!A:A, Branch_Master!B:B)</f>
        <v>Trivandrum</v>
      </c>
      <c r="D203" t="str">
        <f ca="1">TRIM(Raw_Data!D203)</f>
        <v>BR06</v>
      </c>
      <c r="E203" t="str">
        <f ca="1">PROPER(TRIM(Raw_Data!E203))</f>
        <v>Standard</v>
      </c>
      <c r="F203" s="2">
        <f>IFERROR(DATEVALUE(Raw_Data!F203), Raw_Data!F203)</f>
        <v>44964</v>
      </c>
      <c r="G203" s="2">
        <f>IFERROR(
    IF(
        IFERROR(DATEVALUE(Raw_Data!G203), Raw_Data!G203) &lt;
        IFERROR(DATEVALUE(Raw_Data!F203), Raw_Data!F203),
        IFERROR(DATEVALUE(Raw_Data!F203), Raw_Data!F203) + 30,
        IFERROR(DATEVALUE(Raw_Data!G203), Raw_Data!G203)
    ),
    ""
)</f>
        <v>45329</v>
      </c>
      <c r="H203">
        <f>IFERROR(VALUE(Raw_Data!H203), "")</f>
        <v>1000</v>
      </c>
      <c r="I203">
        <f ca="1">IFERROR(VALUE(Raw_Data!I203), "")</f>
        <v>12000</v>
      </c>
      <c r="J203">
        <f>IFERROR(
    VALUE(SUBSTITUTE(Raw_Data!J203," visits","")),
    ""
)</f>
        <v>21</v>
      </c>
      <c r="K203" t="str">
        <f ca="1">IF(TRIM(Raw_Data!K203)="","No",PROPER(TRIM(Raw_Data!K203)))</f>
        <v>No</v>
      </c>
      <c r="L203" t="str">
        <f ca="1">PROPER(TRIM(Raw_Data!L203))</f>
        <v>Muscle Gain</v>
      </c>
      <c r="M203" t="s">
        <v>151</v>
      </c>
      <c r="N203" s="2">
        <f>IFERROR(DATEVALUE(Raw_Data!N203), Raw_Data!N203)</f>
        <v>45736</v>
      </c>
      <c r="O203" s="2"/>
      <c r="P203" t="str">
        <f>IF(COUNTIF($A$2:A203,A203)&gt;1,"Duplicate","Unique")</f>
        <v>Unique</v>
      </c>
      <c r="Q203" t="str">
        <f t="shared" si="6"/>
        <v>OK</v>
      </c>
      <c r="R203" t="str">
        <f t="shared" si="7"/>
        <v>Available</v>
      </c>
    </row>
    <row r="204" spans="1:18">
      <c r="A204" t="str">
        <f>TRIM(CLEAN(Raw_Data!A204))</f>
        <v>MEM0203</v>
      </c>
      <c r="B204" t="str">
        <f ca="1">TRIM(Raw_Data!B204)</f>
        <v>Meera D’Souza</v>
      </c>
      <c r="C204" t="str">
        <f ca="1">_xlfn.XLOOKUP(D204, Branch_Master!A:A, Branch_Master!B:B)</f>
        <v>Hyderabad</v>
      </c>
      <c r="D204" t="str">
        <f ca="1">TRIM(Raw_Data!D204)</f>
        <v>BR04</v>
      </c>
      <c r="E204" t="str">
        <f ca="1">PROPER(TRIM(Raw_Data!E204))</f>
        <v>Standard</v>
      </c>
      <c r="F204" s="2">
        <f>IFERROR(DATEVALUE(Raw_Data!F204), Raw_Data!F204)</f>
        <v>45941</v>
      </c>
      <c r="G204" s="2">
        <f>IFERROR(
    IF(
        IFERROR(DATEVALUE(Raw_Data!G204), Raw_Data!G204) &lt;
        IFERROR(DATEVALUE(Raw_Data!F204), Raw_Data!F204),
        IFERROR(DATEVALUE(Raw_Data!F204), Raw_Data!F204) + 30,
        IFERROR(DATEVALUE(Raw_Data!G204), Raw_Data!G204)
    ),
    ""
)</f>
        <v>46031</v>
      </c>
      <c r="H204">
        <f>IFERROR(VALUE(Raw_Data!H204), "")</f>
        <v>3500</v>
      </c>
      <c r="I204">
        <f ca="1">IFERROR(VALUE(Raw_Data!I204), "")</f>
        <v>3500</v>
      </c>
      <c r="J204">
        <f>IFERROR(
    VALUE(SUBSTITUTE(Raw_Data!J204," visits","")),
    ""
)</f>
        <v>19</v>
      </c>
      <c r="K204" t="str">
        <f ca="1">IF(TRIM(Raw_Data!K204)="","No",PROPER(TRIM(Raw_Data!K204)))</f>
        <v>No</v>
      </c>
      <c r="L204" t="str">
        <f ca="1">PROPER(TRIM(Raw_Data!L204))</f>
        <v>Weight Loss</v>
      </c>
      <c r="M204" t="s">
        <v>151</v>
      </c>
      <c r="N204" s="2">
        <f>IFERROR(DATEVALUE(Raw_Data!N204), Raw_Data!N204)</f>
        <v>45953</v>
      </c>
      <c r="O204" s="2"/>
      <c r="P204" t="str">
        <f>IF(COUNTIF($A$2:A204,A204)&gt;1,"Duplicate","Unique")</f>
        <v>Unique</v>
      </c>
      <c r="Q204" t="str">
        <f t="shared" si="6"/>
        <v>OK</v>
      </c>
      <c r="R204" t="str">
        <f t="shared" si="7"/>
        <v>Available</v>
      </c>
    </row>
    <row r="205" spans="1:18">
      <c r="A205" t="str">
        <f>TRIM(CLEAN(Raw_Data!A205))</f>
        <v>MEM0204</v>
      </c>
      <c r="B205" t="str">
        <f ca="1">TRIM(Raw_Data!B205)</f>
        <v>Siddharth Menon</v>
      </c>
      <c r="C205" t="str">
        <f ca="1">_xlfn.XLOOKUP(D205, Branch_Master!A:A, Branch_Master!B:B)</f>
        <v>Chennai</v>
      </c>
      <c r="D205" t="str">
        <f ca="1">TRIM(Raw_Data!D205)</f>
        <v>BR03</v>
      </c>
      <c r="E205" t="str">
        <f ca="1">PROPER(TRIM(Raw_Data!E205))</f>
        <v>Premium</v>
      </c>
      <c r="F205" s="2">
        <f>IFERROR(DATEVALUE(Raw_Data!F205), Raw_Data!F205)</f>
        <v>45776</v>
      </c>
      <c r="G205" s="2">
        <f>IFERROR(
    IF(
        IFERROR(DATEVALUE(Raw_Data!G205), Raw_Data!G205) &lt;
        IFERROR(DATEVALUE(Raw_Data!F205), Raw_Data!F205),
        IFERROR(DATEVALUE(Raw_Data!F205), Raw_Data!F205) + 30,
        IFERROR(DATEVALUE(Raw_Data!G205), Raw_Data!G205)
    ),
    ""
)</f>
        <v>45806</v>
      </c>
      <c r="H205">
        <f>IFERROR(VALUE(Raw_Data!H205), "")</f>
        <v>2000</v>
      </c>
      <c r="I205">
        <f ca="1">IFERROR(VALUE(Raw_Data!I205), "")</f>
        <v>20000</v>
      </c>
      <c r="J205">
        <f>IFERROR(
    VALUE(SUBSTITUTE(Raw_Data!J205," visits","")),
    ""
)</f>
        <v>11</v>
      </c>
      <c r="K205" t="str">
        <f ca="1">IF(TRIM(Raw_Data!K205)="","No",PROPER(TRIM(Raw_Data!K205)))</f>
        <v>Yes</v>
      </c>
      <c r="L205" t="str">
        <f ca="1">PROPER(TRIM(Raw_Data!L205))</f>
        <v>Muscle Gain</v>
      </c>
      <c r="M205" t="s">
        <v>151</v>
      </c>
      <c r="N205" s="2">
        <f>IFERROR(DATEVALUE(Raw_Data!N205), Raw_Data!N205)</f>
        <v>46020</v>
      </c>
      <c r="O205" s="2"/>
      <c r="P205" t="str">
        <f>IF(COUNTIF($A$2:A205,A205)&gt;1,"Duplicate","Unique")</f>
        <v>Unique</v>
      </c>
      <c r="Q205" t="str">
        <f t="shared" si="6"/>
        <v>OK</v>
      </c>
      <c r="R205" t="str">
        <f t="shared" si="7"/>
        <v>Available</v>
      </c>
    </row>
    <row r="206" spans="1:18">
      <c r="A206" t="str">
        <f>TRIM(CLEAN(Raw_Data!A206))</f>
        <v>MEM0205</v>
      </c>
      <c r="B206" t="str">
        <f ca="1">TRIM(Raw_Data!B206)</f>
        <v>Nisha Kulkarni</v>
      </c>
      <c r="C206" t="str">
        <f ca="1">_xlfn.XLOOKUP(D206, Branch_Master!A:A, Branch_Master!B:B)</f>
        <v>Calicut</v>
      </c>
      <c r="D206" t="str">
        <f ca="1">TRIM(Raw_Data!D206)</f>
        <v>BR07</v>
      </c>
      <c r="E206" t="str">
        <f ca="1">PROPER(TRIM(Raw_Data!E206))</f>
        <v>Basic</v>
      </c>
      <c r="F206" s="2">
        <f>IFERROR(DATEVALUE(Raw_Data!F206), Raw_Data!F206)</f>
        <v>45703</v>
      </c>
      <c r="G206" s="2">
        <f>IFERROR(
    IF(
        IFERROR(DATEVALUE(Raw_Data!G206), Raw_Data!G206) &lt;
        IFERROR(DATEVALUE(Raw_Data!F206), Raw_Data!F206),
        IFERROR(DATEVALUE(Raw_Data!F206), Raw_Data!F206) + 30,
        IFERROR(DATEVALUE(Raw_Data!G206), Raw_Data!G206)
    ),
    ""
)</f>
        <v>45793</v>
      </c>
      <c r="H206">
        <f>IFERROR(VALUE(Raw_Data!H206), "")</f>
        <v>1000</v>
      </c>
      <c r="I206">
        <f ca="1">IFERROR(VALUE(Raw_Data!I206), "")</f>
        <v>3000</v>
      </c>
      <c r="J206">
        <f>IFERROR(
    VALUE(SUBSTITUTE(Raw_Data!J206," visits","")),
    ""
)</f>
        <v>20</v>
      </c>
      <c r="K206" t="str">
        <f ca="1">IF(TRIM(Raw_Data!K206)="","No",PROPER(TRIM(Raw_Data!K206)))</f>
        <v>Yes</v>
      </c>
      <c r="L206" t="str">
        <f ca="1">PROPER(TRIM(Raw_Data!L206))</f>
        <v>Muscle Gain</v>
      </c>
      <c r="M206" t="s">
        <v>152</v>
      </c>
      <c r="N206" s="2">
        <f>IFERROR(DATEVALUE(Raw_Data!N206), Raw_Data!N206)</f>
        <v>46110</v>
      </c>
      <c r="O206" s="2"/>
      <c r="P206" t="str">
        <f>IF(COUNTIF($A$2:A206,A206)&gt;1,"Duplicate","Unique")</f>
        <v>Unique</v>
      </c>
      <c r="Q206" t="str">
        <f t="shared" si="6"/>
        <v>Cancelled but Active</v>
      </c>
      <c r="R206" t="str">
        <f t="shared" si="7"/>
        <v>Available</v>
      </c>
    </row>
    <row r="207" spans="1:18">
      <c r="A207" t="str">
        <f>TRIM(CLEAN(Raw_Data!A207))</f>
        <v>MEM0206</v>
      </c>
      <c r="B207" t="str">
        <f ca="1">TRIM(Raw_Data!B207)</f>
        <v>Neha Gupta</v>
      </c>
      <c r="C207" t="str">
        <f ca="1">_xlfn.XLOOKUP(D207, Branch_Master!A:A, Branch_Master!B:B)</f>
        <v>Hyderabad</v>
      </c>
      <c r="D207" t="str">
        <f ca="1">TRIM(Raw_Data!D207)</f>
        <v>BR04</v>
      </c>
      <c r="E207" t="str">
        <f ca="1">PROPER(TRIM(Raw_Data!E207))</f>
        <v>Basic</v>
      </c>
      <c r="F207" s="2">
        <f>IFERROR(DATEVALUE(Raw_Data!F207), Raw_Data!F207)</f>
        <v>45229</v>
      </c>
      <c r="G207" s="2">
        <f>IFERROR(
    IF(
        IFERROR(DATEVALUE(Raw_Data!G207), Raw_Data!G207) &lt;
        IFERROR(DATEVALUE(Raw_Data!F207), Raw_Data!F207),
        IFERROR(DATEVALUE(Raw_Data!F207), Raw_Data!F207) + 30,
        IFERROR(DATEVALUE(Raw_Data!G207), Raw_Data!G207)
    ),
    ""
)</f>
        <v>45319</v>
      </c>
      <c r="H207">
        <f>IFERROR(VALUE(Raw_Data!H207), "")</f>
        <v>1000</v>
      </c>
      <c r="I207">
        <f ca="1">IFERROR(VALUE(Raw_Data!I207), "")</f>
        <v>8000</v>
      </c>
      <c r="J207">
        <f>IFERROR(
    VALUE(SUBSTITUTE(Raw_Data!J207," visits","")),
    ""
)</f>
        <v>13</v>
      </c>
      <c r="K207" t="str">
        <f ca="1">IF(TRIM(Raw_Data!K207)="","No",PROPER(TRIM(Raw_Data!K207)))</f>
        <v>No</v>
      </c>
      <c r="L207" t="str">
        <f ca="1">PROPER(TRIM(Raw_Data!L207))</f>
        <v>Muscle Gain</v>
      </c>
      <c r="M207" t="s">
        <v>151</v>
      </c>
      <c r="N207" s="2">
        <f>IFERROR(DATEVALUE(Raw_Data!N207), Raw_Data!N207)</f>
        <v>45897</v>
      </c>
      <c r="O207" s="2"/>
      <c r="P207" t="str">
        <f>IF(COUNTIF($A$2:A207,A207)&gt;1,"Duplicate","Unique")</f>
        <v>Unique</v>
      </c>
      <c r="Q207" t="str">
        <f t="shared" si="6"/>
        <v>OK</v>
      </c>
      <c r="R207" t="str">
        <f t="shared" si="7"/>
        <v>Available</v>
      </c>
    </row>
    <row r="208" spans="1:18">
      <c r="A208" t="str">
        <f>TRIM(CLEAN(Raw_Data!A208))</f>
        <v>MEM0207</v>
      </c>
      <c r="B208" t="str">
        <f ca="1">TRIM(Raw_Data!B208)</f>
        <v>Manoj Shaikh</v>
      </c>
      <c r="C208" t="str">
        <f ca="1">_xlfn.XLOOKUP(D208, Branch_Master!A:A, Branch_Master!B:B)</f>
        <v>Kochi</v>
      </c>
      <c r="D208" t="str">
        <f ca="1">TRIM(Raw_Data!D208)</f>
        <v>BR01</v>
      </c>
      <c r="E208" t="str">
        <f ca="1">PROPER(TRIM(Raw_Data!E208))</f>
        <v>Basic</v>
      </c>
      <c r="F208" s="2">
        <f>IFERROR(DATEVALUE(Raw_Data!F208), Raw_Data!F208)</f>
        <v>45552</v>
      </c>
      <c r="G208" s="2">
        <f>IFERROR(
    IF(
        IFERROR(DATEVALUE(Raw_Data!G208), Raw_Data!G208) &lt;
        IFERROR(DATEVALUE(Raw_Data!F208), Raw_Data!F208),
        IFERROR(DATEVALUE(Raw_Data!F208), Raw_Data!F208) + 30,
        IFERROR(DATEVALUE(Raw_Data!G208), Raw_Data!G208)
    ),
    ""
)</f>
        <v>45582</v>
      </c>
      <c r="H208">
        <f>IFERROR(VALUE(Raw_Data!H208), "")</f>
        <v>1000</v>
      </c>
      <c r="I208">
        <f ca="1">IFERROR(VALUE(Raw_Data!I208), "")</f>
        <v>9000</v>
      </c>
      <c r="J208">
        <f>IFERROR(
    VALUE(SUBSTITUTE(Raw_Data!J208," visits","")),
    ""
)</f>
        <v>5</v>
      </c>
      <c r="K208" t="str">
        <f ca="1">IF(TRIM(Raw_Data!K208)="","No",PROPER(TRIM(Raw_Data!K208)))</f>
        <v>Yes</v>
      </c>
      <c r="L208" t="str">
        <f ca="1">PROPER(TRIM(Raw_Data!L208))</f>
        <v>Weight Loss</v>
      </c>
      <c r="M208" t="s">
        <v>151</v>
      </c>
      <c r="N208" s="2">
        <f>IFERROR(DATEVALUE(Raw_Data!N208), Raw_Data!N208)</f>
        <v>45700</v>
      </c>
      <c r="O208" s="2"/>
      <c r="P208" t="str">
        <f>IF(COUNTIF($A$2:A208,A208)&gt;1,"Duplicate","Unique")</f>
        <v>Unique</v>
      </c>
      <c r="Q208" t="str">
        <f t="shared" si="6"/>
        <v>OK</v>
      </c>
      <c r="R208" t="str">
        <f t="shared" si="7"/>
        <v>Available</v>
      </c>
    </row>
    <row r="209" spans="1:18">
      <c r="A209" t="str">
        <f>TRIM(CLEAN(Raw_Data!A209))</f>
        <v>MEM0208</v>
      </c>
      <c r="B209" t="str">
        <f ca="1">TRIM(Raw_Data!B209)</f>
        <v>Neha Reddy</v>
      </c>
      <c r="C209" t="str">
        <f ca="1">_xlfn.XLOOKUP(D209, Branch_Master!A:A, Branch_Master!B:B)</f>
        <v>Mumbai</v>
      </c>
      <c r="D209" t="str">
        <f ca="1">TRIM(Raw_Data!D209)</f>
        <v>BR05</v>
      </c>
      <c r="E209" t="str">
        <f ca="1">PROPER(TRIM(Raw_Data!E209))</f>
        <v>Premium</v>
      </c>
      <c r="F209" s="2">
        <f>IFERROR(DATEVALUE(Raw_Data!F209), Raw_Data!F209)</f>
        <v>45566</v>
      </c>
      <c r="G209" s="2">
        <f>IFERROR(
    IF(
        IFERROR(DATEVALUE(Raw_Data!G209), Raw_Data!G209) &lt;
        IFERROR(DATEVALUE(Raw_Data!F209), Raw_Data!F209),
        IFERROR(DATEVALUE(Raw_Data!F209), Raw_Data!F209) + 30,
        IFERROR(DATEVALUE(Raw_Data!G209), Raw_Data!G209)
    ),
    ""
)</f>
        <v>45656</v>
      </c>
      <c r="H209">
        <f>IFERROR(VALUE(Raw_Data!H209), "")</f>
        <v>3500</v>
      </c>
      <c r="I209">
        <f ca="1">IFERROR(VALUE(Raw_Data!I209), "")</f>
        <v>38500</v>
      </c>
      <c r="J209">
        <f>IFERROR(
    VALUE(SUBSTITUTE(Raw_Data!J209," visits","")),
    ""
)</f>
        <v>4</v>
      </c>
      <c r="K209" t="str">
        <f ca="1">IF(TRIM(Raw_Data!K209)="","No",PROPER(TRIM(Raw_Data!K209)))</f>
        <v>Yes</v>
      </c>
      <c r="L209" t="str">
        <f ca="1">PROPER(TRIM(Raw_Data!L209))</f>
        <v>General Fitness</v>
      </c>
      <c r="M209" t="s">
        <v>152</v>
      </c>
      <c r="N209" s="2">
        <f>IFERROR(DATEVALUE(Raw_Data!N209), Raw_Data!N209)</f>
        <v>45580</v>
      </c>
      <c r="O209" s="2"/>
      <c r="P209" t="str">
        <f>IF(COUNTIF($A$2:A209,A209)&gt;1,"Duplicate","Unique")</f>
        <v>Unique</v>
      </c>
      <c r="Q209" t="str">
        <f t="shared" si="6"/>
        <v>Cancelled but Active</v>
      </c>
      <c r="R209" t="str">
        <f t="shared" si="7"/>
        <v>Available</v>
      </c>
    </row>
    <row r="210" spans="1:18">
      <c r="A210" t="str">
        <f>TRIM(CLEAN(Raw_Data!A210))</f>
        <v>MEM0209</v>
      </c>
      <c r="B210" t="str">
        <f ca="1">TRIM(Raw_Data!B210)</f>
        <v>Aditya Varghese</v>
      </c>
      <c r="C210" t="str">
        <f ca="1">_xlfn.XLOOKUP(D210, Branch_Master!A:A, Branch_Master!B:B)</f>
        <v>Mumbai</v>
      </c>
      <c r="D210" t="str">
        <f ca="1">TRIM(Raw_Data!D210)</f>
        <v>BR05</v>
      </c>
      <c r="E210" t="str">
        <f ca="1">PROPER(TRIM(Raw_Data!E210))</f>
        <v>Basic</v>
      </c>
      <c r="F210" s="2">
        <f>IFERROR(DATEVALUE(Raw_Data!F210), Raw_Data!F210)</f>
        <v>45322</v>
      </c>
      <c r="G210" s="2">
        <f>IFERROR(
    IF(
        IFERROR(DATEVALUE(Raw_Data!G210), Raw_Data!G210) &lt;
        IFERROR(DATEVALUE(Raw_Data!F210), Raw_Data!F210),
        IFERROR(DATEVALUE(Raw_Data!F210), Raw_Data!F210) + 30,
        IFERROR(DATEVALUE(Raw_Data!G210), Raw_Data!G210)
    ),
    ""
)</f>
        <v>45352</v>
      </c>
      <c r="H210">
        <f>IFERROR(VALUE(Raw_Data!H210), "")</f>
        <v>3500</v>
      </c>
      <c r="I210">
        <f ca="1">IFERROR(VALUE(Raw_Data!I210), "")</f>
        <v>28000</v>
      </c>
      <c r="J210">
        <f>IFERROR(
    VALUE(SUBSTITUTE(Raw_Data!J210," visits","")),
    ""
)</f>
        <v>19</v>
      </c>
      <c r="K210" t="str">
        <f ca="1">IF(TRIM(Raw_Data!K210)="","No",PROPER(TRIM(Raw_Data!K210)))</f>
        <v>Yes</v>
      </c>
      <c r="L210" t="str">
        <f ca="1">PROPER(TRIM(Raw_Data!L210))</f>
        <v>Weight Loss</v>
      </c>
      <c r="M210" t="s">
        <v>151</v>
      </c>
      <c r="N210" s="2">
        <f>IFERROR(DATEVALUE(Raw_Data!N210), Raw_Data!N210)</f>
        <v>45505</v>
      </c>
      <c r="O210" s="2"/>
      <c r="P210" t="str">
        <f>IF(COUNTIF($A$2:A210,A210)&gt;1,"Duplicate","Unique")</f>
        <v>Unique</v>
      </c>
      <c r="Q210" t="str">
        <f t="shared" si="6"/>
        <v>OK</v>
      </c>
      <c r="R210" t="str">
        <f t="shared" si="7"/>
        <v>Available</v>
      </c>
    </row>
    <row r="211" spans="1:18">
      <c r="A211" t="str">
        <f>TRIM(CLEAN(Raw_Data!A211))</f>
        <v>MEM0210</v>
      </c>
      <c r="B211" t="str">
        <f ca="1">TRIM(Raw_Data!B211)</f>
        <v>Akash Kulkarni</v>
      </c>
      <c r="C211" t="str">
        <f ca="1">_xlfn.XLOOKUP(D211, Branch_Master!A:A, Branch_Master!B:B)</f>
        <v>Trivandrum</v>
      </c>
      <c r="D211" t="str">
        <f ca="1">TRIM(Raw_Data!D211)</f>
        <v>BR06</v>
      </c>
      <c r="E211" t="str">
        <f ca="1">PROPER(TRIM(Raw_Data!E211))</f>
        <v>Premium</v>
      </c>
      <c r="F211" s="2">
        <f>IFERROR(DATEVALUE(Raw_Data!F211), Raw_Data!F211)</f>
        <v>45335</v>
      </c>
      <c r="G211" s="2">
        <f>IFERROR(
    IF(
        IFERROR(DATEVALUE(Raw_Data!G211), Raw_Data!G211) &lt;
        IFERROR(DATEVALUE(Raw_Data!F211), Raw_Data!F211),
        IFERROR(DATEVALUE(Raw_Data!F211), Raw_Data!F211) + 30,
        IFERROR(DATEVALUE(Raw_Data!G211), Raw_Data!G211)
    ),
    ""
)</f>
        <v>45700</v>
      </c>
      <c r="H211">
        <f>IFERROR(VALUE(Raw_Data!H211), "")</f>
        <v>3500</v>
      </c>
      <c r="I211">
        <f ca="1">IFERROR(VALUE(Raw_Data!I211), "")</f>
        <v>35000</v>
      </c>
      <c r="J211">
        <f>IFERROR(
    VALUE(SUBSTITUTE(Raw_Data!J211," visits","")),
    ""
)</f>
        <v>21</v>
      </c>
      <c r="K211" t="str">
        <f ca="1">IF(TRIM(Raw_Data!K211)="","No",PROPER(TRIM(Raw_Data!K211)))</f>
        <v>Yes</v>
      </c>
      <c r="L211" t="str">
        <f ca="1">PROPER(TRIM(Raw_Data!L211))</f>
        <v>General Fitness</v>
      </c>
      <c r="M211" t="s">
        <v>151</v>
      </c>
      <c r="N211" s="2">
        <f>IFERROR(DATEVALUE(Raw_Data!N211), Raw_Data!N211)</f>
        <v>46042</v>
      </c>
      <c r="O211" s="2"/>
      <c r="P211" t="str">
        <f>IF(COUNTIF($A$2:A211,A211)&gt;1,"Duplicate","Unique")</f>
        <v>Unique</v>
      </c>
      <c r="Q211" t="str">
        <f t="shared" si="6"/>
        <v>OK</v>
      </c>
      <c r="R211" t="str">
        <f t="shared" si="7"/>
        <v>Available</v>
      </c>
    </row>
    <row r="212" spans="1:18">
      <c r="A212" t="str">
        <f>TRIM(CLEAN(Raw_Data!A212))</f>
        <v>MEM0211</v>
      </c>
      <c r="B212" t="str">
        <f ca="1">TRIM(Raw_Data!B212)</f>
        <v>Siddharth Shetty</v>
      </c>
      <c r="C212" t="str">
        <f ca="1">_xlfn.XLOOKUP(D212, Branch_Master!A:A, Branch_Master!B:B)</f>
        <v>Chennai</v>
      </c>
      <c r="D212" t="str">
        <f ca="1">TRIM(Raw_Data!D212)</f>
        <v>BR03</v>
      </c>
      <c r="E212" t="str">
        <f ca="1">PROPER(TRIM(Raw_Data!E212))</f>
        <v>Standard</v>
      </c>
      <c r="F212" s="2">
        <f>IFERROR(DATEVALUE(Raw_Data!F212), Raw_Data!F212)</f>
        <v>45984</v>
      </c>
      <c r="G212" s="2">
        <f>IFERROR(
    IF(
        IFERROR(DATEVALUE(Raw_Data!G212), Raw_Data!G212) &lt;
        IFERROR(DATEVALUE(Raw_Data!F212), Raw_Data!F212),
        IFERROR(DATEVALUE(Raw_Data!F212), Raw_Data!F212) + 30,
        IFERROR(DATEVALUE(Raw_Data!G212), Raw_Data!G212)
    ),
    ""
)</f>
        <v>46014</v>
      </c>
      <c r="H212">
        <f>IFERROR(VALUE(Raw_Data!H212), "")</f>
        <v>3500</v>
      </c>
      <c r="I212">
        <f ca="1">IFERROR(VALUE(Raw_Data!I212), "")</f>
        <v>38500</v>
      </c>
      <c r="J212">
        <f>IFERROR(
    VALUE(SUBSTITUTE(Raw_Data!J212," visits","")),
    ""
)</f>
        <v>5</v>
      </c>
      <c r="K212" t="str">
        <f ca="1">IF(TRIM(Raw_Data!K212)="","No",PROPER(TRIM(Raw_Data!K212)))</f>
        <v>Yes</v>
      </c>
      <c r="L212" t="str">
        <f ca="1">PROPER(TRIM(Raw_Data!L212))</f>
        <v>General Fitness</v>
      </c>
      <c r="M212" t="s">
        <v>151</v>
      </c>
      <c r="N212" s="2">
        <f>IFERROR(DATEVALUE(Raw_Data!N212), Raw_Data!N212)</f>
        <v>46055</v>
      </c>
      <c r="O212" s="2"/>
      <c r="P212" t="str">
        <f>IF(COUNTIF($A$2:A212,A212)&gt;1,"Duplicate","Unique")</f>
        <v>Unique</v>
      </c>
      <c r="Q212" t="str">
        <f t="shared" si="6"/>
        <v>OK</v>
      </c>
      <c r="R212" t="str">
        <f t="shared" si="7"/>
        <v>Available</v>
      </c>
    </row>
    <row r="213" spans="1:18">
      <c r="A213" t="str">
        <f>TRIM(CLEAN(Raw_Data!A213))</f>
        <v>MEM0212</v>
      </c>
      <c r="B213" t="str">
        <f ca="1">TRIM(Raw_Data!B213)</f>
        <v>Manoj D’Souza</v>
      </c>
      <c r="C213" t="str">
        <f ca="1">_xlfn.XLOOKUP(D213, Branch_Master!A:A, Branch_Master!B:B)</f>
        <v>Mumbai</v>
      </c>
      <c r="D213" t="str">
        <f ca="1">TRIM(Raw_Data!D213)</f>
        <v>BR05</v>
      </c>
      <c r="E213" t="str">
        <f ca="1">PROPER(TRIM(Raw_Data!E213))</f>
        <v>Basic</v>
      </c>
      <c r="F213" s="2">
        <f>IFERROR(DATEVALUE(Raw_Data!F213), Raw_Data!F213)</f>
        <v>45439</v>
      </c>
      <c r="G213" s="2">
        <f>IFERROR(
    IF(
        IFERROR(DATEVALUE(Raw_Data!G213), Raw_Data!G213) &lt;
        IFERROR(DATEVALUE(Raw_Data!F213), Raw_Data!F213),
        IFERROR(DATEVALUE(Raw_Data!F213), Raw_Data!F213) + 30,
        IFERROR(DATEVALUE(Raw_Data!G213), Raw_Data!G213)
    ),
    ""
)</f>
        <v>45469</v>
      </c>
      <c r="H213">
        <f>IFERROR(VALUE(Raw_Data!H213), "")</f>
        <v>1000</v>
      </c>
      <c r="I213">
        <f ca="1">IFERROR(VALUE(Raw_Data!I213), "")</f>
        <v>11000</v>
      </c>
      <c r="J213">
        <f>IFERROR(
    VALUE(SUBSTITUTE(Raw_Data!J213," visits","")),
    ""
)</f>
        <v>15</v>
      </c>
      <c r="K213" t="str">
        <f ca="1">IF(TRIM(Raw_Data!K213)="","No",PROPER(TRIM(Raw_Data!K213)))</f>
        <v>No</v>
      </c>
      <c r="L213" t="str">
        <f ca="1">PROPER(TRIM(Raw_Data!L213))</f>
        <v>General Fitness</v>
      </c>
      <c r="M213" t="s">
        <v>151</v>
      </c>
      <c r="N213" s="2">
        <f>IFERROR(DATEVALUE(Raw_Data!N213), Raw_Data!N213)</f>
        <v>45702</v>
      </c>
      <c r="O213" s="2"/>
      <c r="P213" t="str">
        <f>IF(COUNTIF($A$2:A213,A213)&gt;1,"Duplicate","Unique")</f>
        <v>Unique</v>
      </c>
      <c r="Q213" t="str">
        <f t="shared" si="6"/>
        <v>OK</v>
      </c>
      <c r="R213" t="str">
        <f t="shared" si="7"/>
        <v>Available</v>
      </c>
    </row>
    <row r="214" spans="1:18">
      <c r="A214" t="str">
        <f>TRIM(CLEAN(Raw_Data!A214))</f>
        <v>MEM0213</v>
      </c>
      <c r="B214" t="str">
        <f ca="1">TRIM(Raw_Data!B214)</f>
        <v>Meera Agarwal</v>
      </c>
      <c r="C214" t="str">
        <f ca="1">_xlfn.XLOOKUP(D214, Branch_Master!A:A, Branch_Master!B:B)</f>
        <v>Calicut</v>
      </c>
      <c r="D214" t="str">
        <f ca="1">TRIM(Raw_Data!D214)</f>
        <v>BR07</v>
      </c>
      <c r="E214" t="str">
        <f ca="1">PROPER(TRIM(Raw_Data!E214))</f>
        <v>Basic</v>
      </c>
      <c r="F214" s="2">
        <f>IFERROR(DATEVALUE(Raw_Data!F214), Raw_Data!F214)</f>
        <v>45690</v>
      </c>
      <c r="G214" s="2">
        <f>IFERROR(
    IF(
        IFERROR(DATEVALUE(Raw_Data!G214), Raw_Data!G214) &lt;
        IFERROR(DATEVALUE(Raw_Data!F214), Raw_Data!F214),
        IFERROR(DATEVALUE(Raw_Data!F214), Raw_Data!F214) + 30,
        IFERROR(DATEVALUE(Raw_Data!G214), Raw_Data!G214)
    ),
    ""
)</f>
        <v>46055</v>
      </c>
      <c r="H214">
        <f>IFERROR(VALUE(Raw_Data!H214), "")</f>
        <v>3500</v>
      </c>
      <c r="I214">
        <f ca="1">IFERROR(VALUE(Raw_Data!I214), "")</f>
        <v>7000</v>
      </c>
      <c r="J214">
        <f>IFERROR(
    VALUE(SUBSTITUTE(Raw_Data!J214," visits","")),
    ""
)</f>
        <v>13</v>
      </c>
      <c r="K214" t="str">
        <f ca="1">IF(TRIM(Raw_Data!K214)="","No",PROPER(TRIM(Raw_Data!K214)))</f>
        <v>Yes</v>
      </c>
      <c r="L214" t="str">
        <f ca="1">PROPER(TRIM(Raw_Data!L214))</f>
        <v>Muscle Gain</v>
      </c>
      <c r="M214" t="s">
        <v>151</v>
      </c>
      <c r="N214" s="2">
        <f>IFERROR(DATEVALUE(Raw_Data!N214), Raw_Data!N214)</f>
        <v>45764</v>
      </c>
      <c r="O214" s="2"/>
      <c r="P214" t="str">
        <f>IF(COUNTIF($A$2:A214,A214)&gt;1,"Duplicate","Unique")</f>
        <v>Unique</v>
      </c>
      <c r="Q214" t="str">
        <f t="shared" si="6"/>
        <v>OK</v>
      </c>
      <c r="R214" t="str">
        <f t="shared" si="7"/>
        <v>Available</v>
      </c>
    </row>
    <row r="215" spans="1:18">
      <c r="A215" t="str">
        <f>TRIM(CLEAN(Raw_Data!A215))</f>
        <v>MEM0214</v>
      </c>
      <c r="B215" t="str">
        <f ca="1">TRIM(Raw_Data!B215)</f>
        <v>Zara Iyer</v>
      </c>
      <c r="C215" t="str">
        <f ca="1">_xlfn.XLOOKUP(D215, Branch_Master!A:A, Branch_Master!B:B)</f>
        <v>Hyderabad</v>
      </c>
      <c r="D215" t="str">
        <f ca="1">TRIM(Raw_Data!D215)</f>
        <v>BR04</v>
      </c>
      <c r="E215" t="str">
        <f ca="1">PROPER(TRIM(Raw_Data!E215))</f>
        <v>Premium</v>
      </c>
      <c r="F215" s="2">
        <f>IFERROR(DATEVALUE(Raw_Data!F215), Raw_Data!F215)</f>
        <v>45986</v>
      </c>
      <c r="G215" s="2">
        <f>IFERROR(
    IF(
        IFERROR(DATEVALUE(Raw_Data!G215), Raw_Data!G215) &lt;
        IFERROR(DATEVALUE(Raw_Data!F215), Raw_Data!F215),
        IFERROR(DATEVALUE(Raw_Data!F215), Raw_Data!F215) + 30,
        IFERROR(DATEVALUE(Raw_Data!G215), Raw_Data!G215)
    ),
    ""
)</f>
        <v>46076</v>
      </c>
      <c r="H215">
        <f>IFERROR(VALUE(Raw_Data!H215), "")</f>
        <v>3500</v>
      </c>
      <c r="I215">
        <f ca="1">IFERROR(VALUE(Raw_Data!I215), "")</f>
        <v>24500</v>
      </c>
      <c r="J215">
        <f>IFERROR(
    VALUE(SUBSTITUTE(Raw_Data!J215," visits","")),
    ""
)</f>
        <v>13</v>
      </c>
      <c r="K215" t="str">
        <f ca="1">IF(TRIM(Raw_Data!K215)="","No",PROPER(TRIM(Raw_Data!K215)))</f>
        <v>Yes</v>
      </c>
      <c r="L215" t="str">
        <f ca="1">PROPER(TRIM(Raw_Data!L215))</f>
        <v>General Fitness</v>
      </c>
      <c r="M215" t="s">
        <v>151</v>
      </c>
      <c r="N215" s="2">
        <f>IFERROR(DATEVALUE(Raw_Data!N215), Raw_Data!N215)</f>
        <v>46089</v>
      </c>
      <c r="O215" s="2"/>
      <c r="P215" t="str">
        <f>IF(COUNTIF($A$2:A215,A215)&gt;1,"Duplicate","Unique")</f>
        <v>Unique</v>
      </c>
      <c r="Q215" t="str">
        <f t="shared" si="6"/>
        <v>OK</v>
      </c>
      <c r="R215" t="str">
        <f t="shared" si="7"/>
        <v>Available</v>
      </c>
    </row>
    <row r="216" spans="1:18">
      <c r="A216" t="str">
        <f>TRIM(CLEAN(Raw_Data!A216))</f>
        <v>MEM0215</v>
      </c>
      <c r="B216" t="str">
        <f ca="1">TRIM(Raw_Data!B216)</f>
        <v>Rohit Shetty</v>
      </c>
      <c r="C216" t="str">
        <f ca="1">_xlfn.XLOOKUP(D216, Branch_Master!A:A, Branch_Master!B:B)</f>
        <v>Bangalore</v>
      </c>
      <c r="D216" t="str">
        <f ca="1">TRIM(Raw_Data!D216)</f>
        <v>BR02</v>
      </c>
      <c r="E216" t="str">
        <f ca="1">PROPER(TRIM(Raw_Data!E216))</f>
        <v>Premium</v>
      </c>
      <c r="F216" s="2">
        <f>IFERROR(DATEVALUE(Raw_Data!F216), Raw_Data!F216)</f>
        <v>45013</v>
      </c>
      <c r="G216" s="2">
        <f>IFERROR(
    IF(
        IFERROR(DATEVALUE(Raw_Data!G216), Raw_Data!G216) &lt;
        IFERROR(DATEVALUE(Raw_Data!F216), Raw_Data!F216),
        IFERROR(DATEVALUE(Raw_Data!F216), Raw_Data!F216) + 30,
        IFERROR(DATEVALUE(Raw_Data!G216), Raw_Data!G216)
    ),
    ""
)</f>
        <v>45043</v>
      </c>
      <c r="H216">
        <f>IFERROR(VALUE(Raw_Data!H216), "")</f>
        <v>3500</v>
      </c>
      <c r="I216">
        <f ca="1">IFERROR(VALUE(Raw_Data!I216), "")</f>
        <v>14000</v>
      </c>
      <c r="J216">
        <f>IFERROR(
    VALUE(SUBSTITUTE(Raw_Data!J216," visits","")),
    ""
)</f>
        <v>1</v>
      </c>
      <c r="K216" t="str">
        <f ca="1">IF(TRIM(Raw_Data!K216)="","No",PROPER(TRIM(Raw_Data!K216)))</f>
        <v>Yes</v>
      </c>
      <c r="L216" t="str">
        <f ca="1">PROPER(TRIM(Raw_Data!L216))</f>
        <v>Muscle Gain</v>
      </c>
      <c r="M216" t="s">
        <v>152</v>
      </c>
      <c r="N216" s="2">
        <f>IFERROR(DATEVALUE(Raw_Data!N216), Raw_Data!N216)</f>
        <v>45980</v>
      </c>
      <c r="O216" s="2"/>
      <c r="P216" t="str">
        <f>IF(COUNTIF($A$2:A216,A216)&gt;1,"Duplicate","Unique")</f>
        <v>Unique</v>
      </c>
      <c r="Q216" t="str">
        <f t="shared" si="6"/>
        <v>Cancelled but Active</v>
      </c>
      <c r="R216" t="str">
        <f t="shared" si="7"/>
        <v>Available</v>
      </c>
    </row>
    <row r="217" spans="1:18">
      <c r="A217" t="str">
        <f>TRIM(CLEAN(Raw_Data!A217))</f>
        <v>MEM0216</v>
      </c>
      <c r="B217" t="str">
        <f ca="1">TRIM(Raw_Data!B217)</f>
        <v>Ishita Banerjee</v>
      </c>
      <c r="C217" t="str">
        <f ca="1">_xlfn.XLOOKUP(D217, Branch_Master!A:A, Branch_Master!B:B)</f>
        <v>Kochi</v>
      </c>
      <c r="D217" t="str">
        <f ca="1">TRIM(Raw_Data!D217)</f>
        <v>BR01</v>
      </c>
      <c r="E217" t="str">
        <f ca="1">PROPER(TRIM(Raw_Data!E217))</f>
        <v>Premium</v>
      </c>
      <c r="F217" s="2">
        <f>IFERROR(DATEVALUE(Raw_Data!F217), Raw_Data!F217)</f>
        <v>45107</v>
      </c>
      <c r="G217" s="2">
        <f>IFERROR(
    IF(
        IFERROR(DATEVALUE(Raw_Data!G217), Raw_Data!G217) &lt;
        IFERROR(DATEVALUE(Raw_Data!F217), Raw_Data!F217),
        IFERROR(DATEVALUE(Raw_Data!F217), Raw_Data!F217) + 30,
        IFERROR(DATEVALUE(Raw_Data!G217), Raw_Data!G217)
    ),
    ""
)</f>
        <v>45472</v>
      </c>
      <c r="H217">
        <f>IFERROR(VALUE(Raw_Data!H217), "")</f>
        <v>1000</v>
      </c>
      <c r="I217">
        <f ca="1">IFERROR(VALUE(Raw_Data!I217), "")</f>
        <v>6000</v>
      </c>
      <c r="J217">
        <f>IFERROR(
    VALUE(SUBSTITUTE(Raw_Data!J217," visits","")),
    ""
)</f>
        <v>21</v>
      </c>
      <c r="K217" t="str">
        <f ca="1">IF(TRIM(Raw_Data!K217)="","No",PROPER(TRIM(Raw_Data!K217)))</f>
        <v>No</v>
      </c>
      <c r="L217" t="str">
        <f ca="1">PROPER(TRIM(Raw_Data!L217))</f>
        <v>Weight Loss</v>
      </c>
      <c r="M217" t="s">
        <v>152</v>
      </c>
      <c r="N217" s="2">
        <f>IFERROR(DATEVALUE(Raw_Data!N217), Raw_Data!N217)</f>
        <v>45990</v>
      </c>
      <c r="O217" s="2"/>
      <c r="P217" t="str">
        <f>IF(COUNTIF($A$2:A217,A217)&gt;1,"Duplicate","Unique")</f>
        <v>Unique</v>
      </c>
      <c r="Q217" t="str">
        <f t="shared" si="6"/>
        <v>Cancelled but Active</v>
      </c>
      <c r="R217" t="str">
        <f t="shared" si="7"/>
        <v>Available</v>
      </c>
    </row>
    <row r="218" spans="1:18">
      <c r="A218" t="str">
        <f>TRIM(CLEAN(Raw_Data!A218))</f>
        <v>MEM0217</v>
      </c>
      <c r="B218" t="str">
        <f ca="1">TRIM(Raw_Data!B218)</f>
        <v>Aditya Joshi</v>
      </c>
      <c r="C218" t="str">
        <f ca="1">_xlfn.XLOOKUP(D218, Branch_Master!A:A, Branch_Master!B:B)</f>
        <v>Calicut</v>
      </c>
      <c r="D218" t="str">
        <f ca="1">TRIM(Raw_Data!D218)</f>
        <v>BR07</v>
      </c>
      <c r="E218" t="str">
        <f ca="1">PROPER(TRIM(Raw_Data!E218))</f>
        <v>Basic</v>
      </c>
      <c r="F218" s="2">
        <f>IFERROR(DATEVALUE(Raw_Data!F218), Raw_Data!F218)</f>
        <v>45547</v>
      </c>
      <c r="G218" s="2">
        <f>IFERROR(
    IF(
        IFERROR(DATEVALUE(Raw_Data!G218), Raw_Data!G218) &lt;
        IFERROR(DATEVALUE(Raw_Data!F218), Raw_Data!F218),
        IFERROR(DATEVALUE(Raw_Data!F218), Raw_Data!F218) + 30,
        IFERROR(DATEVALUE(Raw_Data!G218), Raw_Data!G218)
    ),
    ""
)</f>
        <v>45637</v>
      </c>
      <c r="H218">
        <f>IFERROR(VALUE(Raw_Data!H218), "")</f>
        <v>3500</v>
      </c>
      <c r="I218">
        <f ca="1">IFERROR(VALUE(Raw_Data!I218), "")</f>
        <v>10500</v>
      </c>
      <c r="J218">
        <f>IFERROR(
    VALUE(SUBSTITUTE(Raw_Data!J218," visits","")),
    ""
)</f>
        <v>13</v>
      </c>
      <c r="K218" t="str">
        <f ca="1">IF(TRIM(Raw_Data!K218)="","No",PROPER(TRIM(Raw_Data!K218)))</f>
        <v>Yes</v>
      </c>
      <c r="L218" t="str">
        <f ca="1">PROPER(TRIM(Raw_Data!L218))</f>
        <v>General Fitness</v>
      </c>
      <c r="M218" t="s">
        <v>151</v>
      </c>
      <c r="N218" s="2">
        <f>IFERROR(DATEVALUE(Raw_Data!N218), Raw_Data!N218)</f>
        <v>46105</v>
      </c>
      <c r="O218" s="2"/>
      <c r="P218" t="str">
        <f>IF(COUNTIF($A$2:A218,A218)&gt;1,"Duplicate","Unique")</f>
        <v>Unique</v>
      </c>
      <c r="Q218" t="str">
        <f t="shared" si="6"/>
        <v>OK</v>
      </c>
      <c r="R218" t="str">
        <f t="shared" si="7"/>
        <v>Available</v>
      </c>
    </row>
    <row r="219" spans="1:18">
      <c r="A219" t="str">
        <f>TRIM(CLEAN(Raw_Data!A219))</f>
        <v>MEM0218</v>
      </c>
      <c r="B219" t="str">
        <f ca="1">TRIM(Raw_Data!B219)</f>
        <v>Riya Joshi</v>
      </c>
      <c r="C219" t="str">
        <f ca="1">_xlfn.XLOOKUP(D219, Branch_Master!A:A, Branch_Master!B:B)</f>
        <v>Calicut</v>
      </c>
      <c r="D219" t="str">
        <f ca="1">TRIM(Raw_Data!D219)</f>
        <v>BR07</v>
      </c>
      <c r="E219" t="str">
        <f ca="1">PROPER(TRIM(Raw_Data!E219))</f>
        <v>Basic</v>
      </c>
      <c r="F219" s="2">
        <f>IFERROR(DATEVALUE(Raw_Data!F219), Raw_Data!F219)</f>
        <v>45387</v>
      </c>
      <c r="G219" s="2">
        <f>IFERROR(
    IF(
        IFERROR(DATEVALUE(Raw_Data!G219), Raw_Data!G219) &lt;
        IFERROR(DATEVALUE(Raw_Data!F219), Raw_Data!F219),
        IFERROR(DATEVALUE(Raw_Data!F219), Raw_Data!F219) + 30,
        IFERROR(DATEVALUE(Raw_Data!G219), Raw_Data!G219)
    ),
    ""
)</f>
        <v>45417</v>
      </c>
      <c r="H219">
        <f>IFERROR(VALUE(Raw_Data!H219), "")</f>
        <v>3500</v>
      </c>
      <c r="I219">
        <f ca="1">IFERROR(VALUE(Raw_Data!I219), "")</f>
        <v>42000</v>
      </c>
      <c r="J219">
        <f>IFERROR(
    VALUE(SUBSTITUTE(Raw_Data!J219," visits","")),
    ""
)</f>
        <v>5</v>
      </c>
      <c r="K219" t="str">
        <f ca="1">IF(TRIM(Raw_Data!K219)="","No",PROPER(TRIM(Raw_Data!K219)))</f>
        <v>No</v>
      </c>
      <c r="L219" t="str">
        <f ca="1">PROPER(TRIM(Raw_Data!L219))</f>
        <v>Weight Loss</v>
      </c>
      <c r="M219" t="s">
        <v>151</v>
      </c>
      <c r="N219" s="2">
        <f>IFERROR(DATEVALUE(Raw_Data!N219), Raw_Data!N219)</f>
        <v>45455</v>
      </c>
      <c r="O219" s="2"/>
      <c r="P219" t="str">
        <f>IF(COUNTIF($A$2:A219,A219)&gt;1,"Duplicate","Unique")</f>
        <v>Unique</v>
      </c>
      <c r="Q219" t="str">
        <f t="shared" si="6"/>
        <v>OK</v>
      </c>
      <c r="R219" t="str">
        <f t="shared" si="7"/>
        <v>Available</v>
      </c>
    </row>
    <row r="220" spans="1:18">
      <c r="A220" t="str">
        <f>TRIM(CLEAN(Raw_Data!A220))</f>
        <v>MEM0219</v>
      </c>
      <c r="B220" t="str">
        <f ca="1">TRIM(Raw_Data!B220)</f>
        <v>Manoj Mathew</v>
      </c>
      <c r="C220" t="str">
        <f ca="1">_xlfn.XLOOKUP(D220, Branch_Master!A:A, Branch_Master!B:B)</f>
        <v>Trivandrum</v>
      </c>
      <c r="D220" t="str">
        <f ca="1">TRIM(Raw_Data!D220)</f>
        <v>BR06</v>
      </c>
      <c r="E220" t="str">
        <f ca="1">PROPER(TRIM(Raw_Data!E220))</f>
        <v>Premium</v>
      </c>
      <c r="F220" s="2">
        <f>IFERROR(DATEVALUE(Raw_Data!F220), Raw_Data!F220)</f>
        <v>45987</v>
      </c>
      <c r="G220" s="2">
        <f>IFERROR(
    IF(
        IFERROR(DATEVALUE(Raw_Data!G220), Raw_Data!G220) &lt;
        IFERROR(DATEVALUE(Raw_Data!F220), Raw_Data!F220),
        IFERROR(DATEVALUE(Raw_Data!F220), Raw_Data!F220) + 30,
        IFERROR(DATEVALUE(Raw_Data!G220), Raw_Data!G220)
    ),
    ""
)</f>
        <v>46352</v>
      </c>
      <c r="H220">
        <f>IFERROR(VALUE(Raw_Data!H220), "")</f>
        <v>2000</v>
      </c>
      <c r="I220">
        <f ca="1">IFERROR(VALUE(Raw_Data!I220), "")</f>
        <v>10000</v>
      </c>
      <c r="J220">
        <f>IFERROR(
    VALUE(SUBSTITUTE(Raw_Data!J220," visits","")),
    ""
)</f>
        <v>25</v>
      </c>
      <c r="K220" t="str">
        <f ca="1">IF(TRIM(Raw_Data!K220)="","No",PROPER(TRIM(Raw_Data!K220)))</f>
        <v>Yes</v>
      </c>
      <c r="L220" t="str">
        <f ca="1">PROPER(TRIM(Raw_Data!L220))</f>
        <v>Muscle Gain</v>
      </c>
      <c r="M220" t="s">
        <v>151</v>
      </c>
      <c r="N220" s="2">
        <f>IFERROR(DATEVALUE(Raw_Data!N220), Raw_Data!N220)</f>
        <v>46025</v>
      </c>
      <c r="O220" s="2"/>
      <c r="P220" t="str">
        <f>IF(COUNTIF($A$2:A220,A220)&gt;1,"Duplicate","Unique")</f>
        <v>Unique</v>
      </c>
      <c r="Q220" t="str">
        <f t="shared" si="6"/>
        <v>OK</v>
      </c>
      <c r="R220" t="str">
        <f t="shared" si="7"/>
        <v>Available</v>
      </c>
    </row>
    <row r="221" spans="1:18">
      <c r="A221" t="str">
        <f>TRIM(CLEAN(Raw_Data!A221))</f>
        <v>MEM0220</v>
      </c>
      <c r="B221" t="str">
        <f ca="1">TRIM(Raw_Data!B221)</f>
        <v>Shreya Yadav</v>
      </c>
      <c r="C221" t="str">
        <f ca="1">_xlfn.XLOOKUP(D221, Branch_Master!A:A, Branch_Master!B:B)</f>
        <v>Mumbai</v>
      </c>
      <c r="D221" t="str">
        <f ca="1">TRIM(Raw_Data!D221)</f>
        <v>BR05</v>
      </c>
      <c r="E221" t="str">
        <f ca="1">PROPER(TRIM(Raw_Data!E221))</f>
        <v>Basic</v>
      </c>
      <c r="F221" s="2">
        <f>IFERROR(DATEVALUE(Raw_Data!F221), Raw_Data!F221)</f>
        <v>45527</v>
      </c>
      <c r="G221" s="2">
        <f>IFERROR(
    IF(
        IFERROR(DATEVALUE(Raw_Data!G221), Raw_Data!G221) &lt;
        IFERROR(DATEVALUE(Raw_Data!F221), Raw_Data!F221),
        IFERROR(DATEVALUE(Raw_Data!F221), Raw_Data!F221) + 30,
        IFERROR(DATEVALUE(Raw_Data!G221), Raw_Data!G221)
    ),
    ""
)</f>
        <v>45557</v>
      </c>
      <c r="H221">
        <f>IFERROR(VALUE(Raw_Data!H221), "")</f>
        <v>2000</v>
      </c>
      <c r="I221">
        <f ca="1">IFERROR(VALUE(Raw_Data!I221), "")</f>
        <v>10000</v>
      </c>
      <c r="J221">
        <f>IFERROR(
    VALUE(SUBSTITUTE(Raw_Data!J221," visits","")),
    ""
)</f>
        <v>11</v>
      </c>
      <c r="K221" t="str">
        <f ca="1">IF(TRIM(Raw_Data!K221)="","No",PROPER(TRIM(Raw_Data!K221)))</f>
        <v>Yes</v>
      </c>
      <c r="L221" t="str">
        <f ca="1">PROPER(TRIM(Raw_Data!L221))</f>
        <v>Muscle Gain</v>
      </c>
      <c r="M221" t="s">
        <v>151</v>
      </c>
      <c r="N221" s="2">
        <f>IFERROR(DATEVALUE(Raw_Data!N221), Raw_Data!N221)</f>
        <v>45987</v>
      </c>
      <c r="O221" s="2"/>
      <c r="P221" t="str">
        <f>IF(COUNTIF($A$2:A221,A221)&gt;1,"Duplicate","Unique")</f>
        <v>Unique</v>
      </c>
      <c r="Q221" t="str">
        <f t="shared" si="6"/>
        <v>OK</v>
      </c>
      <c r="R221" t="str">
        <f t="shared" si="7"/>
        <v>Available</v>
      </c>
    </row>
    <row r="222" spans="1:18">
      <c r="A222" t="str">
        <f>TRIM(CLEAN(Raw_Data!A222))</f>
        <v>MEM0221</v>
      </c>
      <c r="B222" t="str">
        <f ca="1">TRIM(Raw_Data!B222)</f>
        <v>Zara Joshi</v>
      </c>
      <c r="C222" t="str">
        <f ca="1">_xlfn.XLOOKUP(D222, Branch_Master!A:A, Branch_Master!B:B)</f>
        <v>Bangalore</v>
      </c>
      <c r="D222" t="str">
        <f ca="1">TRIM(Raw_Data!D222)</f>
        <v>BR02</v>
      </c>
      <c r="E222" t="str">
        <f ca="1">PROPER(TRIM(Raw_Data!E222))</f>
        <v>Premium</v>
      </c>
      <c r="F222" s="2">
        <f>IFERROR(DATEVALUE(Raw_Data!F222), Raw_Data!F222)</f>
        <v>45623</v>
      </c>
      <c r="G222" s="2">
        <f>IFERROR(
    IF(
        IFERROR(DATEVALUE(Raw_Data!G222), Raw_Data!G222) &lt;
        IFERROR(DATEVALUE(Raw_Data!F222), Raw_Data!F222),
        IFERROR(DATEVALUE(Raw_Data!F222), Raw_Data!F222) + 30,
        IFERROR(DATEVALUE(Raw_Data!G222), Raw_Data!G222)
    ),
    ""
)</f>
        <v>45988</v>
      </c>
      <c r="H222">
        <f>IFERROR(VALUE(Raw_Data!H222), "")</f>
        <v>3500</v>
      </c>
      <c r="I222">
        <f ca="1">IFERROR(VALUE(Raw_Data!I222), "")</f>
        <v>42000</v>
      </c>
      <c r="J222">
        <f>IFERROR(
    VALUE(SUBSTITUTE(Raw_Data!J222," visits","")),
    ""
)</f>
        <v>11</v>
      </c>
      <c r="K222" t="str">
        <f ca="1">IF(TRIM(Raw_Data!K222)="","No",PROPER(TRIM(Raw_Data!K222)))</f>
        <v>No</v>
      </c>
      <c r="L222" t="str">
        <f ca="1">PROPER(TRIM(Raw_Data!L222))</f>
        <v>Muscle Gain</v>
      </c>
      <c r="M222" t="s">
        <v>151</v>
      </c>
      <c r="N222" s="2">
        <f>IFERROR(DATEVALUE(Raw_Data!N222), Raw_Data!N222)</f>
        <v>45656</v>
      </c>
      <c r="O222" s="2"/>
      <c r="P222" t="str">
        <f>IF(COUNTIF($A$2:A222,A222)&gt;1,"Duplicate","Unique")</f>
        <v>Unique</v>
      </c>
      <c r="Q222" t="str">
        <f t="shared" si="6"/>
        <v>OK</v>
      </c>
      <c r="R222" t="str">
        <f t="shared" si="7"/>
        <v>Available</v>
      </c>
    </row>
    <row r="223" spans="1:18">
      <c r="A223" t="str">
        <f>TRIM(CLEAN(Raw_Data!A223))</f>
        <v>MEM0222</v>
      </c>
      <c r="B223" t="str">
        <f ca="1">TRIM(Raw_Data!B223)</f>
        <v>Meera Desai</v>
      </c>
      <c r="C223" t="str">
        <f ca="1">_xlfn.XLOOKUP(D223, Branch_Master!A:A, Branch_Master!B:B)</f>
        <v>Kochi</v>
      </c>
      <c r="D223" t="str">
        <f ca="1">TRIM(Raw_Data!D223)</f>
        <v>BR01</v>
      </c>
      <c r="E223" t="str">
        <f ca="1">PROPER(TRIM(Raw_Data!E223))</f>
        <v>Basic</v>
      </c>
      <c r="F223" s="2">
        <f>IFERROR(DATEVALUE(Raw_Data!F223), Raw_Data!F223)</f>
        <v>45360</v>
      </c>
      <c r="G223" s="2">
        <f>IFERROR(
    IF(
        IFERROR(DATEVALUE(Raw_Data!G223), Raw_Data!G223) &lt;
        IFERROR(DATEVALUE(Raw_Data!F223), Raw_Data!F223),
        IFERROR(DATEVALUE(Raw_Data!F223), Raw_Data!F223) + 30,
        IFERROR(DATEVALUE(Raw_Data!G223), Raw_Data!G223)
    ),
    ""
)</f>
        <v>45390</v>
      </c>
      <c r="H223">
        <f>IFERROR(VALUE(Raw_Data!H223), "")</f>
        <v>1000</v>
      </c>
      <c r="I223">
        <f ca="1">IFERROR(VALUE(Raw_Data!I223), "")</f>
        <v>2000</v>
      </c>
      <c r="J223">
        <f>IFERROR(
    VALUE(SUBSTITUTE(Raw_Data!J223," visits","")),
    ""
)</f>
        <v>12</v>
      </c>
      <c r="K223" t="str">
        <f ca="1">IF(TRIM(Raw_Data!K223)="","No",PROPER(TRIM(Raw_Data!K223)))</f>
        <v>Yes</v>
      </c>
      <c r="L223" t="str">
        <f ca="1">PROPER(TRIM(Raw_Data!L223))</f>
        <v>Weight Loss</v>
      </c>
      <c r="M223" t="s">
        <v>151</v>
      </c>
      <c r="N223" s="2">
        <f>IFERROR(DATEVALUE(Raw_Data!N223), Raw_Data!N223)</f>
        <v>45472</v>
      </c>
      <c r="O223" s="2"/>
      <c r="P223" t="str">
        <f>IF(COUNTIF($A$2:A223,A223)&gt;1,"Duplicate","Unique")</f>
        <v>Unique</v>
      </c>
      <c r="Q223" t="str">
        <f t="shared" si="6"/>
        <v>OK</v>
      </c>
      <c r="R223" t="str">
        <f t="shared" si="7"/>
        <v>Available</v>
      </c>
    </row>
    <row r="224" spans="1:18">
      <c r="A224" t="str">
        <f>TRIM(CLEAN(Raw_Data!A224))</f>
        <v>MEM0223</v>
      </c>
      <c r="B224" t="str">
        <f ca="1">TRIM(Raw_Data!B224)</f>
        <v>Sneha Joseph</v>
      </c>
      <c r="C224" t="str">
        <f ca="1">_xlfn.XLOOKUP(D224, Branch_Master!A:A, Branch_Master!B:B)</f>
        <v>Chennai</v>
      </c>
      <c r="D224" t="str">
        <f ca="1">TRIM(Raw_Data!D224)</f>
        <v>BR03</v>
      </c>
      <c r="E224" t="str">
        <f ca="1">PROPER(TRIM(Raw_Data!E224))</f>
        <v>Standard</v>
      </c>
      <c r="F224" s="2">
        <f>IFERROR(DATEVALUE(Raw_Data!F224), Raw_Data!F224)</f>
        <v>45341</v>
      </c>
      <c r="G224" s="2">
        <f>IFERROR(
    IF(
        IFERROR(DATEVALUE(Raw_Data!G224), Raw_Data!G224) &lt;
        IFERROR(DATEVALUE(Raw_Data!F224), Raw_Data!F224),
        IFERROR(DATEVALUE(Raw_Data!F224), Raw_Data!F224) + 30,
        IFERROR(DATEVALUE(Raw_Data!G224), Raw_Data!G224)
    ),
    ""
)</f>
        <v>45706</v>
      </c>
      <c r="H224">
        <f>IFERROR(VALUE(Raw_Data!H224), "")</f>
        <v>1000</v>
      </c>
      <c r="I224">
        <f ca="1">IFERROR(VALUE(Raw_Data!I224), "")</f>
        <v>5000</v>
      </c>
      <c r="J224">
        <f>IFERROR(
    VALUE(SUBSTITUTE(Raw_Data!J224," visits","")),
    ""
)</f>
        <v>21</v>
      </c>
      <c r="K224" t="str">
        <f ca="1">IF(TRIM(Raw_Data!K224)="","No",PROPER(TRIM(Raw_Data!K224)))</f>
        <v>Yes</v>
      </c>
      <c r="L224" t="str">
        <f ca="1">PROPER(TRIM(Raw_Data!L224))</f>
        <v>General Fitness</v>
      </c>
      <c r="M224" t="s">
        <v>151</v>
      </c>
      <c r="N224" s="2">
        <f>IFERROR(DATEVALUE(Raw_Data!N224), Raw_Data!N224)</f>
        <v>45607</v>
      </c>
      <c r="O224" s="2"/>
      <c r="P224" t="str">
        <f>IF(COUNTIF($A$2:A224,A224)&gt;1,"Duplicate","Unique")</f>
        <v>Unique</v>
      </c>
      <c r="Q224" t="str">
        <f t="shared" si="6"/>
        <v>OK</v>
      </c>
      <c r="R224" t="str">
        <f t="shared" si="7"/>
        <v>Available</v>
      </c>
    </row>
    <row r="225" spans="1:18">
      <c r="A225" t="str">
        <f>TRIM(CLEAN(Raw_Data!A225))</f>
        <v>MEM0224</v>
      </c>
      <c r="B225" t="str">
        <f ca="1">TRIM(Raw_Data!B225)</f>
        <v>Nikhil Joshi</v>
      </c>
      <c r="C225" t="str">
        <f ca="1">_xlfn.XLOOKUP(D225, Branch_Master!A:A, Branch_Master!B:B)</f>
        <v>Bangalore</v>
      </c>
      <c r="D225" t="str">
        <f ca="1">TRIM(Raw_Data!D225)</f>
        <v>BR02</v>
      </c>
      <c r="E225" t="str">
        <f ca="1">PROPER(TRIM(Raw_Data!E225))</f>
        <v>Standard</v>
      </c>
      <c r="F225" s="2">
        <f>IFERROR(DATEVALUE(Raw_Data!F225), Raw_Data!F225)</f>
        <v>45538</v>
      </c>
      <c r="G225" s="2">
        <f>IFERROR(
    IF(
        IFERROR(DATEVALUE(Raw_Data!G225), Raw_Data!G225) &lt;
        IFERROR(DATEVALUE(Raw_Data!F225), Raw_Data!F225),
        IFERROR(DATEVALUE(Raw_Data!F225), Raw_Data!F225) + 30,
        IFERROR(DATEVALUE(Raw_Data!G225), Raw_Data!G225)
    ),
    ""
)</f>
        <v>45568</v>
      </c>
      <c r="H225">
        <f>IFERROR(VALUE(Raw_Data!H225), "")</f>
        <v>3500</v>
      </c>
      <c r="I225">
        <f ca="1">IFERROR(VALUE(Raw_Data!I225), "")</f>
        <v>17500</v>
      </c>
      <c r="J225">
        <f>IFERROR(
    VALUE(SUBSTITUTE(Raw_Data!J225," visits","")),
    ""
)</f>
        <v>3</v>
      </c>
      <c r="K225" t="str">
        <f ca="1">IF(TRIM(Raw_Data!K225)="","No",PROPER(TRIM(Raw_Data!K225)))</f>
        <v>Yes</v>
      </c>
      <c r="L225" t="str">
        <f ca="1">PROPER(TRIM(Raw_Data!L225))</f>
        <v>General Fitness</v>
      </c>
      <c r="M225" t="s">
        <v>151</v>
      </c>
      <c r="N225" s="2">
        <f>IFERROR(DATEVALUE(Raw_Data!N225), Raw_Data!N225)</f>
        <v>45559</v>
      </c>
      <c r="O225" s="2"/>
      <c r="P225" t="str">
        <f>IF(COUNTIF($A$2:A225,A225)&gt;1,"Duplicate","Unique")</f>
        <v>Unique</v>
      </c>
      <c r="Q225" t="str">
        <f t="shared" si="6"/>
        <v>OK</v>
      </c>
      <c r="R225" t="str">
        <f t="shared" si="7"/>
        <v>Available</v>
      </c>
    </row>
    <row r="226" spans="1:18">
      <c r="A226" t="str">
        <f>TRIM(CLEAN(Raw_Data!A226))</f>
        <v>MEM0225</v>
      </c>
      <c r="B226" t="str">
        <f ca="1">TRIM(Raw_Data!B226)</f>
        <v>Shreya Mathew</v>
      </c>
      <c r="C226" t="str">
        <f ca="1">_xlfn.XLOOKUP(D226, Branch_Master!A:A, Branch_Master!B:B)</f>
        <v>Chennai</v>
      </c>
      <c r="D226" t="str">
        <f ca="1">TRIM(Raw_Data!D226)</f>
        <v>BR03</v>
      </c>
      <c r="E226" t="str">
        <f ca="1">PROPER(TRIM(Raw_Data!E226))</f>
        <v>Premium</v>
      </c>
      <c r="F226" s="2">
        <f>IFERROR(DATEVALUE(Raw_Data!F226), Raw_Data!F226)</f>
        <v>45074</v>
      </c>
      <c r="G226" s="2">
        <f>IFERROR(
    IF(
        IFERROR(DATEVALUE(Raw_Data!G226), Raw_Data!G226) &lt;
        IFERROR(DATEVALUE(Raw_Data!F226), Raw_Data!F226),
        IFERROR(DATEVALUE(Raw_Data!F226), Raw_Data!F226) + 30,
        IFERROR(DATEVALUE(Raw_Data!G226), Raw_Data!G226)
    ),
    ""
)</f>
        <v>45104</v>
      </c>
      <c r="H226">
        <f>IFERROR(VALUE(Raw_Data!H226), "")</f>
        <v>3500</v>
      </c>
      <c r="I226">
        <f ca="1">IFERROR(VALUE(Raw_Data!I226), "")</f>
        <v>7000</v>
      </c>
      <c r="J226">
        <f>IFERROR(
    VALUE(SUBSTITUTE(Raw_Data!J226," visits","")),
    ""
)</f>
        <v>24</v>
      </c>
      <c r="K226" t="str">
        <f ca="1">IF(TRIM(Raw_Data!K226)="","No",PROPER(TRIM(Raw_Data!K226)))</f>
        <v>Yes</v>
      </c>
      <c r="L226" t="str">
        <f ca="1">PROPER(TRIM(Raw_Data!L226))</f>
        <v>Weight Loss</v>
      </c>
      <c r="M226" t="s">
        <v>151</v>
      </c>
      <c r="N226" s="2">
        <f>IFERROR(DATEVALUE(Raw_Data!N226), Raw_Data!N226)</f>
        <v>45724</v>
      </c>
      <c r="O226" s="2"/>
      <c r="P226" t="str">
        <f>IF(COUNTIF($A$2:A226,A226)&gt;1,"Duplicate","Unique")</f>
        <v>Unique</v>
      </c>
      <c r="Q226" t="str">
        <f t="shared" si="6"/>
        <v>OK</v>
      </c>
      <c r="R226" t="str">
        <f t="shared" si="7"/>
        <v>Available</v>
      </c>
    </row>
    <row r="227" spans="1:18">
      <c r="A227" t="str">
        <f>TRIM(CLEAN(Raw_Data!A227))</f>
        <v>MEM0226</v>
      </c>
      <c r="B227" t="str">
        <f ca="1">TRIM(Raw_Data!B227)</f>
        <v>Nisha Patel</v>
      </c>
      <c r="C227" t="str">
        <f ca="1">_xlfn.XLOOKUP(D227, Branch_Master!A:A, Branch_Master!B:B)</f>
        <v>Bangalore</v>
      </c>
      <c r="D227" t="str">
        <f ca="1">TRIM(Raw_Data!D227)</f>
        <v>BR02</v>
      </c>
      <c r="E227" t="str">
        <f ca="1">PROPER(TRIM(Raw_Data!E227))</f>
        <v>Basic</v>
      </c>
      <c r="F227" s="2">
        <f>IFERROR(DATEVALUE(Raw_Data!F227), Raw_Data!F227)</f>
        <v>45850</v>
      </c>
      <c r="G227" s="2">
        <f>IFERROR(
    IF(
        IFERROR(DATEVALUE(Raw_Data!G227), Raw_Data!G227) &lt;
        IFERROR(DATEVALUE(Raw_Data!F227), Raw_Data!F227),
        IFERROR(DATEVALUE(Raw_Data!F227), Raw_Data!F227) + 30,
        IFERROR(DATEVALUE(Raw_Data!G227), Raw_Data!G227)
    ),
    ""
)</f>
        <v>45880</v>
      </c>
      <c r="H227">
        <f>IFERROR(VALUE(Raw_Data!H227), "")</f>
        <v>3500</v>
      </c>
      <c r="I227">
        <f ca="1">IFERROR(VALUE(Raw_Data!I227), "")</f>
        <v>21000</v>
      </c>
      <c r="J227">
        <f>IFERROR(
    VALUE(SUBSTITUTE(Raw_Data!J227," visits","")),
    ""
)</f>
        <v>22</v>
      </c>
      <c r="K227" t="str">
        <f ca="1">IF(TRIM(Raw_Data!K227)="","No",PROPER(TRIM(Raw_Data!K227)))</f>
        <v>Yes</v>
      </c>
      <c r="L227" t="str">
        <f ca="1">PROPER(TRIM(Raw_Data!L227))</f>
        <v>Weight Loss</v>
      </c>
      <c r="M227" t="s">
        <v>151</v>
      </c>
      <c r="N227" s="2">
        <f>IFERROR(DATEVALUE(Raw_Data!N227), Raw_Data!N227)</f>
        <v>46090</v>
      </c>
      <c r="O227" s="2"/>
      <c r="P227" t="str">
        <f>IF(COUNTIF($A$2:A227,A227)&gt;1,"Duplicate","Unique")</f>
        <v>Unique</v>
      </c>
      <c r="Q227" t="str">
        <f t="shared" si="6"/>
        <v>OK</v>
      </c>
      <c r="R227" t="str">
        <f t="shared" si="7"/>
        <v>Available</v>
      </c>
    </row>
    <row r="228" spans="1:18">
      <c r="A228" t="str">
        <f>TRIM(CLEAN(Raw_Data!A228))</f>
        <v>MEM0227</v>
      </c>
      <c r="B228" t="str">
        <f ca="1">TRIM(Raw_Data!B228)</f>
        <v>Ankit Varghese</v>
      </c>
      <c r="C228" t="str">
        <f ca="1">_xlfn.XLOOKUP(D228, Branch_Master!A:A, Branch_Master!B:B)</f>
        <v>Chennai</v>
      </c>
      <c r="D228" t="str">
        <f ca="1">TRIM(Raw_Data!D228)</f>
        <v>BR03</v>
      </c>
      <c r="E228" t="str">
        <f ca="1">PROPER(TRIM(Raw_Data!E228))</f>
        <v>Standard</v>
      </c>
      <c r="F228" s="2">
        <f>IFERROR(DATEVALUE(Raw_Data!F228), Raw_Data!F228)</f>
        <v>45047</v>
      </c>
      <c r="G228" s="2">
        <f>IFERROR(
    IF(
        IFERROR(DATEVALUE(Raw_Data!G228), Raw_Data!G228) &lt;
        IFERROR(DATEVALUE(Raw_Data!F228), Raw_Data!F228),
        IFERROR(DATEVALUE(Raw_Data!F228), Raw_Data!F228) + 30,
        IFERROR(DATEVALUE(Raw_Data!G228), Raw_Data!G228)
    ),
    ""
)</f>
        <v>45137</v>
      </c>
      <c r="H228">
        <f>IFERROR(VALUE(Raw_Data!H228), "")</f>
        <v>1000</v>
      </c>
      <c r="I228">
        <f ca="1">IFERROR(VALUE(Raw_Data!I228), "")</f>
        <v>5000</v>
      </c>
      <c r="J228">
        <f>IFERROR(
    VALUE(SUBSTITUTE(Raw_Data!J228," visits","")),
    ""
)</f>
        <v>7</v>
      </c>
      <c r="K228" t="str">
        <f ca="1">IF(TRIM(Raw_Data!K228)="","No",PROPER(TRIM(Raw_Data!K228)))</f>
        <v>Yes</v>
      </c>
      <c r="L228" t="str">
        <f ca="1">PROPER(TRIM(Raw_Data!L228))</f>
        <v>General Fitness</v>
      </c>
      <c r="M228" t="s">
        <v>151</v>
      </c>
      <c r="N228" s="2">
        <f>IFERROR(DATEVALUE(Raw_Data!N228), Raw_Data!N228)</f>
        <v>45067</v>
      </c>
      <c r="O228" s="2"/>
      <c r="P228" t="str">
        <f>IF(COUNTIF($A$2:A228,A228)&gt;1,"Duplicate","Unique")</f>
        <v>Unique</v>
      </c>
      <c r="Q228" t="str">
        <f t="shared" si="6"/>
        <v>OK</v>
      </c>
      <c r="R228" t="str">
        <f t="shared" si="7"/>
        <v>Available</v>
      </c>
    </row>
    <row r="229" spans="1:18">
      <c r="A229" t="str">
        <f>TRIM(CLEAN(Raw_Data!A229))</f>
        <v>MEM0228</v>
      </c>
      <c r="B229" t="str">
        <f ca="1">TRIM(Raw_Data!B229)</f>
        <v>Ayesha Patel</v>
      </c>
      <c r="C229" t="str">
        <f ca="1">_xlfn.XLOOKUP(D229, Branch_Master!A:A, Branch_Master!B:B)</f>
        <v>Hyderabad</v>
      </c>
      <c r="D229" t="str">
        <f ca="1">TRIM(Raw_Data!D229)</f>
        <v>BR04</v>
      </c>
      <c r="E229" t="str">
        <f ca="1">PROPER(TRIM(Raw_Data!E229))</f>
        <v>Standard</v>
      </c>
      <c r="F229" s="2">
        <f>IFERROR(DATEVALUE(Raw_Data!F229), Raw_Data!F229)</f>
        <v>46041</v>
      </c>
      <c r="G229" s="2">
        <f>IFERROR(
    IF(
        IFERROR(DATEVALUE(Raw_Data!G229), Raw_Data!G229) &lt;
        IFERROR(DATEVALUE(Raw_Data!F229), Raw_Data!F229),
        IFERROR(DATEVALUE(Raw_Data!F229), Raw_Data!F229) + 30,
        IFERROR(DATEVALUE(Raw_Data!G229), Raw_Data!G229)
    ),
    ""
)</f>
        <v>46406</v>
      </c>
      <c r="H229">
        <f>IFERROR(VALUE(Raw_Data!H229), "")</f>
        <v>1000</v>
      </c>
      <c r="I229">
        <f ca="1">IFERROR(VALUE(Raw_Data!I229), "")</f>
        <v>4000</v>
      </c>
      <c r="J229">
        <f>IFERROR(
    VALUE(SUBSTITUTE(Raw_Data!J229," visits","")),
    ""
)</f>
        <v>10</v>
      </c>
      <c r="K229" t="str">
        <f ca="1">IF(TRIM(Raw_Data!K229)="","No",PROPER(TRIM(Raw_Data!K229)))</f>
        <v>Yes</v>
      </c>
      <c r="L229" t="str">
        <f ca="1">PROPER(TRIM(Raw_Data!L229))</f>
        <v>Muscle Gain</v>
      </c>
      <c r="M229" t="s">
        <v>151</v>
      </c>
      <c r="N229" s="2">
        <f>IFERROR(DATEVALUE(Raw_Data!N229), Raw_Data!N229)</f>
        <v>46092</v>
      </c>
      <c r="O229" s="2"/>
      <c r="P229" t="str">
        <f>IF(COUNTIF($A$2:A229,A229)&gt;1,"Duplicate","Unique")</f>
        <v>Unique</v>
      </c>
      <c r="Q229" t="str">
        <f t="shared" si="6"/>
        <v>OK</v>
      </c>
      <c r="R229" t="str">
        <f t="shared" si="7"/>
        <v>Available</v>
      </c>
    </row>
    <row r="230" spans="1:18">
      <c r="A230" t="str">
        <f>TRIM(CLEAN(Raw_Data!A230))</f>
        <v>MEM0229</v>
      </c>
      <c r="B230" t="str">
        <f ca="1">TRIM(Raw_Data!B230)</f>
        <v>Swathi Kapoor</v>
      </c>
      <c r="C230" t="str">
        <f ca="1">_xlfn.XLOOKUP(D230, Branch_Master!A:A, Branch_Master!B:B)</f>
        <v>Trivandrum</v>
      </c>
      <c r="D230" t="str">
        <f ca="1">TRIM(Raw_Data!D230)</f>
        <v>BR06</v>
      </c>
      <c r="E230" t="str">
        <f ca="1">PROPER(TRIM(Raw_Data!E230))</f>
        <v>Premium</v>
      </c>
      <c r="F230" s="2">
        <f>IFERROR(DATEVALUE(Raw_Data!F230), Raw_Data!F230)</f>
        <v>45032</v>
      </c>
      <c r="G230" s="2">
        <f>IFERROR(
    IF(
        IFERROR(DATEVALUE(Raw_Data!G230), Raw_Data!G230) &lt;
        IFERROR(DATEVALUE(Raw_Data!F230), Raw_Data!F230),
        IFERROR(DATEVALUE(Raw_Data!F230), Raw_Data!F230) + 30,
        IFERROR(DATEVALUE(Raw_Data!G230), Raw_Data!G230)
    ),
    ""
)</f>
        <v>45122</v>
      </c>
      <c r="H230">
        <f>IFERROR(VALUE(Raw_Data!H230), "")</f>
        <v>3500</v>
      </c>
      <c r="I230">
        <f ca="1">IFERROR(VALUE(Raw_Data!I230), "")</f>
        <v>38500</v>
      </c>
      <c r="J230">
        <f>IFERROR(
    VALUE(SUBSTITUTE(Raw_Data!J230," visits","")),
    ""
)</f>
        <v>11</v>
      </c>
      <c r="K230" t="str">
        <f ca="1">IF(TRIM(Raw_Data!K230)="","No",PROPER(TRIM(Raw_Data!K230)))</f>
        <v>Yes</v>
      </c>
      <c r="L230" t="str">
        <f ca="1">PROPER(TRIM(Raw_Data!L230))</f>
        <v>General Fitness</v>
      </c>
      <c r="M230" t="s">
        <v>151</v>
      </c>
      <c r="N230" s="2">
        <f>IFERROR(DATEVALUE(Raw_Data!N230), Raw_Data!N230)</f>
        <v>45382</v>
      </c>
      <c r="O230" s="2"/>
      <c r="P230" t="str">
        <f>IF(COUNTIF($A$2:A230,A230)&gt;1,"Duplicate","Unique")</f>
        <v>Unique</v>
      </c>
      <c r="Q230" t="str">
        <f t="shared" si="6"/>
        <v>OK</v>
      </c>
      <c r="R230" t="str">
        <f t="shared" si="7"/>
        <v>Available</v>
      </c>
    </row>
    <row r="231" spans="1:18">
      <c r="A231" t="str">
        <f>TRIM(CLEAN(Raw_Data!A231))</f>
        <v>MEM0230</v>
      </c>
      <c r="B231" t="str">
        <f ca="1">TRIM(Raw_Data!B231)</f>
        <v>Rahul Das</v>
      </c>
      <c r="C231" t="str">
        <f ca="1">_xlfn.XLOOKUP(D231, Branch_Master!A:A, Branch_Master!B:B)</f>
        <v>Bangalore</v>
      </c>
      <c r="D231" t="str">
        <f ca="1">TRIM(Raw_Data!D231)</f>
        <v>BR02</v>
      </c>
      <c r="E231" t="str">
        <f ca="1">PROPER(TRIM(Raw_Data!E231))</f>
        <v>Basic</v>
      </c>
      <c r="F231" s="2">
        <f>IFERROR(DATEVALUE(Raw_Data!F231), Raw_Data!F231)</f>
        <v>45050</v>
      </c>
      <c r="G231" s="2">
        <f>IFERROR(
    IF(
        IFERROR(DATEVALUE(Raw_Data!G231), Raw_Data!G231) &lt;
        IFERROR(DATEVALUE(Raw_Data!F231), Raw_Data!F231),
        IFERROR(DATEVALUE(Raw_Data!F231), Raw_Data!F231) + 30,
        IFERROR(DATEVALUE(Raw_Data!G231), Raw_Data!G231)
    ),
    ""
)</f>
        <v>45080</v>
      </c>
      <c r="H231">
        <f>IFERROR(VALUE(Raw_Data!H231), "")</f>
        <v>2000</v>
      </c>
      <c r="I231">
        <f ca="1">IFERROR(VALUE(Raw_Data!I231), "")</f>
        <v>10000</v>
      </c>
      <c r="J231">
        <f>IFERROR(
    VALUE(SUBSTITUTE(Raw_Data!J231," visits","")),
    ""
)</f>
        <v>23</v>
      </c>
      <c r="K231" t="str">
        <f ca="1">IF(TRIM(Raw_Data!K231)="","No",PROPER(TRIM(Raw_Data!K231)))</f>
        <v>Yes</v>
      </c>
      <c r="L231" t="str">
        <f ca="1">PROPER(TRIM(Raw_Data!L231))</f>
        <v>Weight Loss</v>
      </c>
      <c r="M231" t="s">
        <v>152</v>
      </c>
      <c r="N231" s="2">
        <f>IFERROR(DATEVALUE(Raw_Data!N231), Raw_Data!N231)</f>
        <v>45646</v>
      </c>
      <c r="O231" s="2"/>
      <c r="P231" t="str">
        <f>IF(COUNTIF($A$2:A231,A231)&gt;1,"Duplicate","Unique")</f>
        <v>Unique</v>
      </c>
      <c r="Q231" t="str">
        <f t="shared" si="6"/>
        <v>Cancelled but Active</v>
      </c>
      <c r="R231" t="str">
        <f t="shared" si="7"/>
        <v>Available</v>
      </c>
    </row>
    <row r="232" spans="1:18">
      <c r="A232" t="str">
        <f>TRIM(CLEAN(Raw_Data!A232))</f>
        <v>MEM0231</v>
      </c>
      <c r="B232" t="str">
        <f ca="1">TRIM(Raw_Data!B232)</f>
        <v>Anjali Shetty</v>
      </c>
      <c r="C232" t="str">
        <f ca="1">_xlfn.XLOOKUP(D232, Branch_Master!A:A, Branch_Master!B:B)</f>
        <v>Bangalore</v>
      </c>
      <c r="D232" t="str">
        <f ca="1">TRIM(Raw_Data!D232)</f>
        <v>BR02</v>
      </c>
      <c r="E232" t="str">
        <f ca="1">PROPER(TRIM(Raw_Data!E232))</f>
        <v>Premium</v>
      </c>
      <c r="F232" s="2">
        <f>IFERROR(DATEVALUE(Raw_Data!F232), Raw_Data!F232)</f>
        <v>45732</v>
      </c>
      <c r="G232" s="2">
        <f>IFERROR(
    IF(
        IFERROR(DATEVALUE(Raw_Data!G232), Raw_Data!G232) &lt;
        IFERROR(DATEVALUE(Raw_Data!F232), Raw_Data!F232),
        IFERROR(DATEVALUE(Raw_Data!F232), Raw_Data!F232) + 30,
        IFERROR(DATEVALUE(Raw_Data!G232), Raw_Data!G232)
    ),
    ""
)</f>
        <v>45762</v>
      </c>
      <c r="H232">
        <f>IFERROR(VALUE(Raw_Data!H232), "")</f>
        <v>1000</v>
      </c>
      <c r="I232">
        <f ca="1">IFERROR(VALUE(Raw_Data!I232), "")</f>
        <v>12000</v>
      </c>
      <c r="J232">
        <f>IFERROR(
    VALUE(SUBSTITUTE(Raw_Data!J232," visits","")),
    ""
)</f>
        <v>22</v>
      </c>
      <c r="K232" t="str">
        <f ca="1">IF(TRIM(Raw_Data!K232)="","No",PROPER(TRIM(Raw_Data!K232)))</f>
        <v>Yes</v>
      </c>
      <c r="L232" t="str">
        <f ca="1">PROPER(TRIM(Raw_Data!L232))</f>
        <v>Weight Loss</v>
      </c>
      <c r="M232" t="s">
        <v>151</v>
      </c>
      <c r="N232" s="2">
        <f>IFERROR(DATEVALUE(Raw_Data!N232), Raw_Data!N232)</f>
        <v>45891</v>
      </c>
      <c r="O232" s="2"/>
      <c r="P232" t="str">
        <f>IF(COUNTIF($A$2:A232,A232)&gt;1,"Duplicate","Unique")</f>
        <v>Unique</v>
      </c>
      <c r="Q232" t="str">
        <f t="shared" si="6"/>
        <v>OK</v>
      </c>
      <c r="R232" t="str">
        <f t="shared" si="7"/>
        <v>Available</v>
      </c>
    </row>
    <row r="233" spans="1:18">
      <c r="A233" t="str">
        <f>TRIM(CLEAN(Raw_Data!A233))</f>
        <v>MEM0232</v>
      </c>
      <c r="B233" t="str">
        <f ca="1">TRIM(Raw_Data!B233)</f>
        <v>Arjun Shetty</v>
      </c>
      <c r="C233" t="str">
        <f ca="1">_xlfn.XLOOKUP(D233, Branch_Master!A:A, Branch_Master!B:B)</f>
        <v>Mumbai</v>
      </c>
      <c r="D233" t="str">
        <f ca="1">TRIM(Raw_Data!D233)</f>
        <v>BR05</v>
      </c>
      <c r="E233" t="str">
        <f ca="1">PROPER(TRIM(Raw_Data!E233))</f>
        <v>Standard</v>
      </c>
      <c r="F233" s="2">
        <f>IFERROR(DATEVALUE(Raw_Data!F233), Raw_Data!F233)</f>
        <v>45337</v>
      </c>
      <c r="G233" s="2">
        <f>IFERROR(
    IF(
        IFERROR(DATEVALUE(Raw_Data!G233), Raw_Data!G233) &lt;
        IFERROR(DATEVALUE(Raw_Data!F233), Raw_Data!F233),
        IFERROR(DATEVALUE(Raw_Data!F233), Raw_Data!F233) + 30,
        IFERROR(DATEVALUE(Raw_Data!G233), Raw_Data!G233)
    ),
    ""
)</f>
        <v>45367</v>
      </c>
      <c r="H233">
        <f>IFERROR(VALUE(Raw_Data!H233), "")</f>
        <v>1000</v>
      </c>
      <c r="I233">
        <f ca="1">IFERROR(VALUE(Raw_Data!I233), "")</f>
        <v>4000</v>
      </c>
      <c r="J233">
        <f>IFERROR(
    VALUE(SUBSTITUTE(Raw_Data!J233," visits","")),
    ""
)</f>
        <v>17</v>
      </c>
      <c r="K233" t="str">
        <f ca="1">IF(TRIM(Raw_Data!K233)="","No",PROPER(TRIM(Raw_Data!K233)))</f>
        <v>Yes</v>
      </c>
      <c r="L233" t="str">
        <f ca="1">PROPER(TRIM(Raw_Data!L233))</f>
        <v>Muscle Gain</v>
      </c>
      <c r="M233" t="s">
        <v>151</v>
      </c>
      <c r="N233" s="2">
        <f>IFERROR(DATEVALUE(Raw_Data!N233), Raw_Data!N233)</f>
        <v>45570</v>
      </c>
      <c r="O233" s="2"/>
      <c r="P233" t="str">
        <f>IF(COUNTIF($A$2:A233,A233)&gt;1,"Duplicate","Unique")</f>
        <v>Unique</v>
      </c>
      <c r="Q233" t="str">
        <f t="shared" si="6"/>
        <v>OK</v>
      </c>
      <c r="R233" t="str">
        <f t="shared" si="7"/>
        <v>Available</v>
      </c>
    </row>
    <row r="234" spans="1:18">
      <c r="A234" t="str">
        <f>TRIM(CLEAN(Raw_Data!A234))</f>
        <v>MEM0233</v>
      </c>
      <c r="B234" t="str">
        <f ca="1">TRIM(Raw_Data!B234)</f>
        <v>Harish Bhat</v>
      </c>
      <c r="C234" t="str">
        <f ca="1">_xlfn.XLOOKUP(D234, Branch_Master!A:A, Branch_Master!B:B)</f>
        <v>Chennai</v>
      </c>
      <c r="D234" t="str">
        <f ca="1">TRIM(Raw_Data!D234)</f>
        <v>BR03</v>
      </c>
      <c r="E234" t="str">
        <f ca="1">PROPER(TRIM(Raw_Data!E234))</f>
        <v>Premium</v>
      </c>
      <c r="F234" s="2">
        <f>IFERROR(DATEVALUE(Raw_Data!F234), Raw_Data!F234)</f>
        <v>45952</v>
      </c>
      <c r="G234" s="2">
        <f>IFERROR(
    IF(
        IFERROR(DATEVALUE(Raw_Data!G234), Raw_Data!G234) &lt;
        IFERROR(DATEVALUE(Raw_Data!F234), Raw_Data!F234),
        IFERROR(DATEVALUE(Raw_Data!F234), Raw_Data!F234) + 30,
        IFERROR(DATEVALUE(Raw_Data!G234), Raw_Data!G234)
    ),
    ""
)</f>
        <v>45982</v>
      </c>
      <c r="H234">
        <f>IFERROR(VALUE(Raw_Data!H234), "")</f>
        <v>2000</v>
      </c>
      <c r="I234">
        <f ca="1">IFERROR(VALUE(Raw_Data!I234), "")</f>
        <v>14000</v>
      </c>
      <c r="J234">
        <f>IFERROR(
    VALUE(SUBSTITUTE(Raw_Data!J234," visits","")),
    ""
)</f>
        <v>19</v>
      </c>
      <c r="K234" t="str">
        <f ca="1">IF(TRIM(Raw_Data!K234)="","No",PROPER(TRIM(Raw_Data!K234)))</f>
        <v>Yes</v>
      </c>
      <c r="L234" t="str">
        <f ca="1">PROPER(TRIM(Raw_Data!L234))</f>
        <v>General Fitness</v>
      </c>
      <c r="M234" t="s">
        <v>151</v>
      </c>
      <c r="N234" s="2">
        <f>IFERROR(DATEVALUE(Raw_Data!N234), Raw_Data!N234)</f>
        <v>45997</v>
      </c>
      <c r="O234" s="2"/>
      <c r="P234" t="str">
        <f>IF(COUNTIF($A$2:A234,A234)&gt;1,"Duplicate","Unique")</f>
        <v>Unique</v>
      </c>
      <c r="Q234" t="str">
        <f t="shared" si="6"/>
        <v>OK</v>
      </c>
      <c r="R234" t="str">
        <f t="shared" si="7"/>
        <v>Available</v>
      </c>
    </row>
    <row r="235" spans="1:18">
      <c r="A235" t="str">
        <f>TRIM(CLEAN(Raw_Data!A235))</f>
        <v>MEM0234</v>
      </c>
      <c r="B235" t="str">
        <f ca="1">TRIM(Raw_Data!B235)</f>
        <v>Aditya Kulkarni</v>
      </c>
      <c r="C235" t="str">
        <f ca="1">_xlfn.XLOOKUP(D235, Branch_Master!A:A, Branch_Master!B:B)</f>
        <v>Mumbai</v>
      </c>
      <c r="D235" t="str">
        <f ca="1">TRIM(Raw_Data!D235)</f>
        <v>BR05</v>
      </c>
      <c r="E235" t="str">
        <f ca="1">PROPER(TRIM(Raw_Data!E235))</f>
        <v>Premium</v>
      </c>
      <c r="F235" s="2">
        <f>IFERROR(DATEVALUE(Raw_Data!F235), Raw_Data!F235)</f>
        <v>45152</v>
      </c>
      <c r="G235" s="2">
        <f>IFERROR(
    IF(
        IFERROR(DATEVALUE(Raw_Data!G235), Raw_Data!G235) &lt;
        IFERROR(DATEVALUE(Raw_Data!F235), Raw_Data!F235),
        IFERROR(DATEVALUE(Raw_Data!F235), Raw_Data!F235) + 30,
        IFERROR(DATEVALUE(Raw_Data!G235), Raw_Data!G235)
    ),
    ""
)</f>
        <v>45242</v>
      </c>
      <c r="H235">
        <f>IFERROR(VALUE(Raw_Data!H235), "")</f>
        <v>3500</v>
      </c>
      <c r="I235">
        <f ca="1">IFERROR(VALUE(Raw_Data!I235), "")</f>
        <v>38500</v>
      </c>
      <c r="J235">
        <f>IFERROR(
    VALUE(SUBSTITUTE(Raw_Data!J235," visits","")),
    ""
)</f>
        <v>23</v>
      </c>
      <c r="K235" t="str">
        <f ca="1">IF(TRIM(Raw_Data!K235)="","No",PROPER(TRIM(Raw_Data!K235)))</f>
        <v>Yes</v>
      </c>
      <c r="L235" t="str">
        <f ca="1">PROPER(TRIM(Raw_Data!L235))</f>
        <v>Weight Loss</v>
      </c>
      <c r="M235" t="s">
        <v>151</v>
      </c>
      <c r="N235" s="2">
        <f>IFERROR(DATEVALUE(Raw_Data!N235), Raw_Data!N235)</f>
        <v>45487</v>
      </c>
      <c r="O235" s="2"/>
      <c r="P235" t="str">
        <f>IF(COUNTIF($A$2:A235,A235)&gt;1,"Duplicate","Unique")</f>
        <v>Unique</v>
      </c>
      <c r="Q235" t="str">
        <f t="shared" si="6"/>
        <v>OK</v>
      </c>
      <c r="R235" t="str">
        <f t="shared" si="7"/>
        <v>Available</v>
      </c>
    </row>
    <row r="236" spans="1:18">
      <c r="A236" t="str">
        <f>TRIM(CLEAN(Raw_Data!A236))</f>
        <v>MEM0235</v>
      </c>
      <c r="B236" t="str">
        <f ca="1">TRIM(Raw_Data!B236)</f>
        <v>Zara Verma</v>
      </c>
      <c r="C236" t="str">
        <f ca="1">_xlfn.XLOOKUP(D236, Branch_Master!A:A, Branch_Master!B:B)</f>
        <v>Calicut</v>
      </c>
      <c r="D236" t="str">
        <f ca="1">TRIM(Raw_Data!D236)</f>
        <v>BR07</v>
      </c>
      <c r="E236" t="str">
        <f ca="1">PROPER(TRIM(Raw_Data!E236))</f>
        <v>Standard</v>
      </c>
      <c r="F236" s="2">
        <f>IFERROR(DATEVALUE(Raw_Data!F236), Raw_Data!F236)</f>
        <v>44969</v>
      </c>
      <c r="G236" s="2">
        <f>IFERROR(
    IF(
        IFERROR(DATEVALUE(Raw_Data!G236), Raw_Data!G236) &lt;
        IFERROR(DATEVALUE(Raw_Data!F236), Raw_Data!F236),
        IFERROR(DATEVALUE(Raw_Data!F236), Raw_Data!F236) + 30,
        IFERROR(DATEVALUE(Raw_Data!G236), Raw_Data!G236)
    ),
    ""
)</f>
        <v>44999</v>
      </c>
      <c r="H236">
        <f>IFERROR(VALUE(Raw_Data!H236), "")</f>
        <v>1000</v>
      </c>
      <c r="I236">
        <f ca="1">IFERROR(VALUE(Raw_Data!I236), "")</f>
        <v>8000</v>
      </c>
      <c r="J236">
        <f>IFERROR(
    VALUE(SUBSTITUTE(Raw_Data!J236," visits","")),
    ""
)</f>
        <v>9</v>
      </c>
      <c r="K236" t="str">
        <f ca="1">IF(TRIM(Raw_Data!K236)="","No",PROPER(TRIM(Raw_Data!K236)))</f>
        <v>No</v>
      </c>
      <c r="L236" t="str">
        <f ca="1">PROPER(TRIM(Raw_Data!L236))</f>
        <v>Muscle Gain</v>
      </c>
      <c r="M236" t="s">
        <v>151</v>
      </c>
      <c r="N236" s="2">
        <f>IFERROR(DATEVALUE(Raw_Data!N236), Raw_Data!N236)</f>
        <v>46114</v>
      </c>
      <c r="O236" s="2"/>
      <c r="P236" t="str">
        <f>IF(COUNTIF($A$2:A236,A236)&gt;1,"Duplicate","Unique")</f>
        <v>Unique</v>
      </c>
      <c r="Q236" t="str">
        <f t="shared" si="6"/>
        <v>OK</v>
      </c>
      <c r="R236" t="str">
        <f t="shared" si="7"/>
        <v>Available</v>
      </c>
    </row>
    <row r="237" spans="1:18">
      <c r="A237" t="str">
        <f>TRIM(CLEAN(Raw_Data!A237))</f>
        <v>MEM0236</v>
      </c>
      <c r="B237" t="str">
        <f ca="1">TRIM(Raw_Data!B237)</f>
        <v>Kavya Naidu</v>
      </c>
      <c r="C237" t="str">
        <f ca="1">_xlfn.XLOOKUP(D237, Branch_Master!A:A, Branch_Master!B:B)</f>
        <v>Trivandrum</v>
      </c>
      <c r="D237" t="str">
        <f ca="1">TRIM(Raw_Data!D237)</f>
        <v>BR06</v>
      </c>
      <c r="E237" t="str">
        <f ca="1">PROPER(TRIM(Raw_Data!E237))</f>
        <v>Basic</v>
      </c>
      <c r="F237" s="2">
        <f>IFERROR(DATEVALUE(Raw_Data!F237), Raw_Data!F237)</f>
        <v>45507</v>
      </c>
      <c r="G237" s="2">
        <f>IFERROR(
    IF(
        IFERROR(DATEVALUE(Raw_Data!G237), Raw_Data!G237) &lt;
        IFERROR(DATEVALUE(Raw_Data!F237), Raw_Data!F237),
        IFERROR(DATEVALUE(Raw_Data!F237), Raw_Data!F237) + 30,
        IFERROR(DATEVALUE(Raw_Data!G237), Raw_Data!G237)
    ),
    ""
)</f>
        <v>45872</v>
      </c>
      <c r="H237">
        <f>IFERROR(VALUE(Raw_Data!H237), "")</f>
        <v>3500</v>
      </c>
      <c r="I237">
        <f ca="1">IFERROR(VALUE(Raw_Data!I237), "")</f>
        <v>3500</v>
      </c>
      <c r="J237">
        <f>IFERROR(
    VALUE(SUBSTITUTE(Raw_Data!J237," visits","")),
    ""
)</f>
        <v>17</v>
      </c>
      <c r="K237" t="str">
        <f ca="1">IF(TRIM(Raw_Data!K237)="","No",PROPER(TRIM(Raw_Data!K237)))</f>
        <v>Yes</v>
      </c>
      <c r="L237" t="str">
        <f ca="1">PROPER(TRIM(Raw_Data!L237))</f>
        <v>Weight Loss</v>
      </c>
      <c r="M237" t="s">
        <v>151</v>
      </c>
      <c r="N237" s="2">
        <f>IFERROR(DATEVALUE(Raw_Data!N237), Raw_Data!N237)</f>
        <v>45811</v>
      </c>
      <c r="O237" s="2"/>
      <c r="P237" t="str">
        <f>IF(COUNTIF($A$2:A237,A237)&gt;1,"Duplicate","Unique")</f>
        <v>Unique</v>
      </c>
      <c r="Q237" t="str">
        <f t="shared" si="6"/>
        <v>OK</v>
      </c>
      <c r="R237" t="str">
        <f t="shared" si="7"/>
        <v>Available</v>
      </c>
    </row>
    <row r="238" spans="1:18">
      <c r="A238" t="str">
        <f>TRIM(CLEAN(Raw_Data!A238))</f>
        <v>MEM0237</v>
      </c>
      <c r="B238" t="str">
        <f ca="1">TRIM(Raw_Data!B238)</f>
        <v>Aditya Joshi</v>
      </c>
      <c r="C238" t="str">
        <f ca="1">_xlfn.XLOOKUP(D238, Branch_Master!A:A, Branch_Master!B:B)</f>
        <v>Trivandrum</v>
      </c>
      <c r="D238" t="str">
        <f ca="1">TRIM(Raw_Data!D238)</f>
        <v>BR06</v>
      </c>
      <c r="E238" t="str">
        <f ca="1">PROPER(TRIM(Raw_Data!E238))</f>
        <v>Premium</v>
      </c>
      <c r="F238" s="2">
        <f>IFERROR(DATEVALUE(Raw_Data!F238), Raw_Data!F238)</f>
        <v>45278</v>
      </c>
      <c r="G238" s="2">
        <f>IFERROR(
    IF(
        IFERROR(DATEVALUE(Raw_Data!G238), Raw_Data!G238) &lt;
        IFERROR(DATEVALUE(Raw_Data!F238), Raw_Data!F238),
        IFERROR(DATEVALUE(Raw_Data!F238), Raw_Data!F238) + 30,
        IFERROR(DATEVALUE(Raw_Data!G238), Raw_Data!G238)
    ),
    ""
)</f>
        <v>45643</v>
      </c>
      <c r="H238">
        <f>IFERROR(VALUE(Raw_Data!H238), "")</f>
        <v>2000</v>
      </c>
      <c r="I238">
        <f ca="1">IFERROR(VALUE(Raw_Data!I238), "")</f>
        <v>18000</v>
      </c>
      <c r="J238">
        <f>IFERROR(
    VALUE(SUBSTITUTE(Raw_Data!J238," visits","")),
    ""
)</f>
        <v>4</v>
      </c>
      <c r="K238" t="str">
        <f ca="1">IF(TRIM(Raw_Data!K238)="","No",PROPER(TRIM(Raw_Data!K238)))</f>
        <v>Yes</v>
      </c>
      <c r="L238" t="str">
        <f ca="1">PROPER(TRIM(Raw_Data!L238))</f>
        <v>Weight Loss</v>
      </c>
      <c r="M238" t="s">
        <v>152</v>
      </c>
      <c r="N238" s="2">
        <f>IFERROR(DATEVALUE(Raw_Data!N238), Raw_Data!N238)</f>
        <v>46070</v>
      </c>
      <c r="O238" s="2"/>
      <c r="P238" t="str">
        <f>IF(COUNTIF($A$2:A238,A238)&gt;1,"Duplicate","Unique")</f>
        <v>Unique</v>
      </c>
      <c r="Q238" t="str">
        <f t="shared" si="6"/>
        <v>Cancelled but Active</v>
      </c>
      <c r="R238" t="str">
        <f t="shared" si="7"/>
        <v>Available</v>
      </c>
    </row>
    <row r="239" spans="1:18">
      <c r="A239" t="str">
        <f>TRIM(CLEAN(Raw_Data!A239))</f>
        <v>MEM0238</v>
      </c>
      <c r="B239" t="str">
        <f ca="1">TRIM(Raw_Data!B239)</f>
        <v>Zara Gupta</v>
      </c>
      <c r="C239" t="str">
        <f ca="1">_xlfn.XLOOKUP(D239, Branch_Master!A:A, Branch_Master!B:B)</f>
        <v>Mumbai</v>
      </c>
      <c r="D239" t="str">
        <f ca="1">TRIM(Raw_Data!D239)</f>
        <v>BR05</v>
      </c>
      <c r="E239" t="str">
        <f ca="1">PROPER(TRIM(Raw_Data!E239))</f>
        <v>Premium</v>
      </c>
      <c r="F239" s="2">
        <f>IFERROR(DATEVALUE(Raw_Data!F239), Raw_Data!F239)</f>
        <v>45521</v>
      </c>
      <c r="G239" s="2">
        <f>IFERROR(
    IF(
        IFERROR(DATEVALUE(Raw_Data!G239), Raw_Data!G239) &lt;
        IFERROR(DATEVALUE(Raw_Data!F239), Raw_Data!F239),
        IFERROR(DATEVALUE(Raw_Data!F239), Raw_Data!F239) + 30,
        IFERROR(DATEVALUE(Raw_Data!G239), Raw_Data!G239)
    ),
    ""
)</f>
        <v>45886</v>
      </c>
      <c r="H239">
        <f>IFERROR(VALUE(Raw_Data!H239), "")</f>
        <v>2000</v>
      </c>
      <c r="I239">
        <f ca="1">IFERROR(VALUE(Raw_Data!I239), "")</f>
        <v>18000</v>
      </c>
      <c r="J239">
        <f>IFERROR(
    VALUE(SUBSTITUTE(Raw_Data!J239," visits","")),
    ""
)</f>
        <v>18</v>
      </c>
      <c r="K239" t="str">
        <f ca="1">IF(TRIM(Raw_Data!K239)="","No",PROPER(TRIM(Raw_Data!K239)))</f>
        <v>Yes</v>
      </c>
      <c r="L239" t="str">
        <f ca="1">PROPER(TRIM(Raw_Data!L239))</f>
        <v>Weight Loss</v>
      </c>
      <c r="M239" t="s">
        <v>151</v>
      </c>
      <c r="N239" s="2">
        <f>IFERROR(DATEVALUE(Raw_Data!N239), Raw_Data!N239)</f>
        <v>46107</v>
      </c>
      <c r="O239" s="2"/>
      <c r="P239" t="str">
        <f>IF(COUNTIF($A$2:A239,A239)&gt;1,"Duplicate","Unique")</f>
        <v>Unique</v>
      </c>
      <c r="Q239" t="str">
        <f t="shared" si="6"/>
        <v>OK</v>
      </c>
      <c r="R239" t="str">
        <f t="shared" si="7"/>
        <v>Available</v>
      </c>
    </row>
    <row r="240" spans="1:18">
      <c r="A240" t="str">
        <f>TRIM(CLEAN(Raw_Data!A240))</f>
        <v>MEM0239</v>
      </c>
      <c r="B240" t="str">
        <f ca="1">TRIM(Raw_Data!B240)</f>
        <v>Ankit Joshi</v>
      </c>
      <c r="C240" t="str">
        <f ca="1">_xlfn.XLOOKUP(D240, Branch_Master!A:A, Branch_Master!B:B)</f>
        <v>Chennai</v>
      </c>
      <c r="D240" t="str">
        <f ca="1">TRIM(Raw_Data!D240)</f>
        <v>BR03</v>
      </c>
      <c r="E240" t="str">
        <f ca="1">PROPER(TRIM(Raw_Data!E240))</f>
        <v>Premium</v>
      </c>
      <c r="F240" s="2">
        <f>IFERROR(DATEVALUE(Raw_Data!F240), Raw_Data!F240)</f>
        <v>45465</v>
      </c>
      <c r="G240" s="2">
        <f>IFERROR(
    IF(
        IFERROR(DATEVALUE(Raw_Data!G240), Raw_Data!G240) &lt;
        IFERROR(DATEVALUE(Raw_Data!F240), Raw_Data!F240),
        IFERROR(DATEVALUE(Raw_Data!F240), Raw_Data!F240) + 30,
        IFERROR(DATEVALUE(Raw_Data!G240), Raw_Data!G240)
    ),
    ""
)</f>
        <v>45555</v>
      </c>
      <c r="H240">
        <f>IFERROR(VALUE(Raw_Data!H240), "")</f>
        <v>2000</v>
      </c>
      <c r="I240">
        <f ca="1">IFERROR(VALUE(Raw_Data!I240), "")</f>
        <v>8000</v>
      </c>
      <c r="J240">
        <f>IFERROR(
    VALUE(SUBSTITUTE(Raw_Data!J240," visits","")),
    ""
)</f>
        <v>0</v>
      </c>
      <c r="K240" t="str">
        <f ca="1">IF(TRIM(Raw_Data!K240)="","No",PROPER(TRIM(Raw_Data!K240)))</f>
        <v>No</v>
      </c>
      <c r="L240" t="str">
        <f ca="1">PROPER(TRIM(Raw_Data!L240))</f>
        <v>Muscle Gain</v>
      </c>
      <c r="M240" t="s">
        <v>151</v>
      </c>
      <c r="N240" s="2">
        <f>IFERROR(DATEVALUE(Raw_Data!N240), Raw_Data!N240)</f>
        <v>45501</v>
      </c>
      <c r="O240" s="2"/>
      <c r="P240" t="str">
        <f>IF(COUNTIF($A$2:A240,A240)&gt;1,"Duplicate","Unique")</f>
        <v>Unique</v>
      </c>
      <c r="Q240" t="str">
        <f t="shared" si="6"/>
        <v>OK</v>
      </c>
      <c r="R240" t="str">
        <f t="shared" si="7"/>
        <v>Available</v>
      </c>
    </row>
    <row r="241" spans="1:18">
      <c r="A241" t="str">
        <f>TRIM(CLEAN(Raw_Data!A241))</f>
        <v>MEM0240</v>
      </c>
      <c r="B241" t="str">
        <f ca="1">TRIM(Raw_Data!B241)</f>
        <v>Karthik Thomas</v>
      </c>
      <c r="C241" t="str">
        <f ca="1">_xlfn.XLOOKUP(D241, Branch_Master!A:A, Branch_Master!B:B)</f>
        <v>Bangalore</v>
      </c>
      <c r="D241" t="str">
        <f ca="1">TRIM(Raw_Data!D241)</f>
        <v>BR02</v>
      </c>
      <c r="E241" t="str">
        <f ca="1">PROPER(TRIM(Raw_Data!E241))</f>
        <v>Basic</v>
      </c>
      <c r="F241" s="2">
        <f>IFERROR(DATEVALUE(Raw_Data!F241), Raw_Data!F241)</f>
        <v>45217</v>
      </c>
      <c r="G241" s="2">
        <f>IFERROR(
    IF(
        IFERROR(DATEVALUE(Raw_Data!G241), Raw_Data!G241) &lt;
        IFERROR(DATEVALUE(Raw_Data!F241), Raw_Data!F241),
        IFERROR(DATEVALUE(Raw_Data!F241), Raw_Data!F241) + 30,
        IFERROR(DATEVALUE(Raw_Data!G241), Raw_Data!G241)
    ),
    ""
)</f>
        <v>45247</v>
      </c>
      <c r="H241">
        <f>IFERROR(VALUE(Raw_Data!H241), "")</f>
        <v>2000</v>
      </c>
      <c r="I241">
        <f ca="1">IFERROR(VALUE(Raw_Data!I241), "")</f>
        <v>16000</v>
      </c>
      <c r="J241">
        <f>IFERROR(
    VALUE(SUBSTITUTE(Raw_Data!J241," visits","")),
    ""
)</f>
        <v>13</v>
      </c>
      <c r="K241" t="str">
        <f ca="1">IF(TRIM(Raw_Data!K241)="","No",PROPER(TRIM(Raw_Data!K241)))</f>
        <v>No</v>
      </c>
      <c r="L241" t="str">
        <f ca="1">PROPER(TRIM(Raw_Data!L241))</f>
        <v>Weight Loss</v>
      </c>
      <c r="M241" t="s">
        <v>151</v>
      </c>
      <c r="N241" s="2">
        <f>IFERROR(DATEVALUE(Raw_Data!N241), Raw_Data!N241)</f>
        <v>45859</v>
      </c>
      <c r="O241" s="2"/>
      <c r="P241" t="str">
        <f>IF(COUNTIF($A$2:A241,A241)&gt;1,"Duplicate","Unique")</f>
        <v>Unique</v>
      </c>
      <c r="Q241" t="str">
        <f t="shared" si="6"/>
        <v>OK</v>
      </c>
      <c r="R241" t="str">
        <f t="shared" si="7"/>
        <v>Available</v>
      </c>
    </row>
    <row r="242" spans="1:18">
      <c r="A242" t="str">
        <f>TRIM(CLEAN(Raw_Data!A242))</f>
        <v>MEM0241</v>
      </c>
      <c r="B242" t="str">
        <f ca="1">TRIM(Raw_Data!B242)</f>
        <v>Arjun Thomas</v>
      </c>
      <c r="C242" t="str">
        <f ca="1">_xlfn.XLOOKUP(D242, Branch_Master!A:A, Branch_Master!B:B)</f>
        <v>Calicut</v>
      </c>
      <c r="D242" t="str">
        <f ca="1">TRIM(Raw_Data!D242)</f>
        <v>BR07</v>
      </c>
      <c r="E242" t="str">
        <f ca="1">PROPER(TRIM(Raw_Data!E242))</f>
        <v>Basic</v>
      </c>
      <c r="F242" s="2">
        <f>IFERROR(DATEVALUE(Raw_Data!F242), Raw_Data!F242)</f>
        <v>45486</v>
      </c>
      <c r="G242" s="2">
        <f>IFERROR(
    IF(
        IFERROR(DATEVALUE(Raw_Data!G242), Raw_Data!G242) &lt;
        IFERROR(DATEVALUE(Raw_Data!F242), Raw_Data!F242),
        IFERROR(DATEVALUE(Raw_Data!F242), Raw_Data!F242) + 30,
        IFERROR(DATEVALUE(Raw_Data!G242), Raw_Data!G242)
    ),
    ""
)</f>
        <v>45516</v>
      </c>
      <c r="H242">
        <f>IFERROR(VALUE(Raw_Data!H242), "")</f>
        <v>2000</v>
      </c>
      <c r="I242">
        <f ca="1">IFERROR(VALUE(Raw_Data!I242), "")</f>
        <v>22000</v>
      </c>
      <c r="J242">
        <f>IFERROR(
    VALUE(SUBSTITUTE(Raw_Data!J242," visits","")),
    ""
)</f>
        <v>17</v>
      </c>
      <c r="K242" t="str">
        <f ca="1">IF(TRIM(Raw_Data!K242)="","No",PROPER(TRIM(Raw_Data!K242)))</f>
        <v>Yes</v>
      </c>
      <c r="L242" t="str">
        <f ca="1">PROPER(TRIM(Raw_Data!L242))</f>
        <v>General Fitness</v>
      </c>
      <c r="M242" t="s">
        <v>151</v>
      </c>
      <c r="N242" s="2">
        <f>IFERROR(DATEVALUE(Raw_Data!N242), Raw_Data!N242)</f>
        <v>45912</v>
      </c>
      <c r="O242" s="2"/>
      <c r="P242" t="str">
        <f>IF(COUNTIF($A$2:A242,A242)&gt;1,"Duplicate","Unique")</f>
        <v>Unique</v>
      </c>
      <c r="Q242" t="str">
        <f t="shared" si="6"/>
        <v>OK</v>
      </c>
      <c r="R242" t="str">
        <f t="shared" si="7"/>
        <v>Available</v>
      </c>
    </row>
    <row r="243" spans="1:18">
      <c r="A243" t="str">
        <f>TRIM(CLEAN(Raw_Data!A243))</f>
        <v>MEM0242</v>
      </c>
      <c r="B243" t="str">
        <f ca="1">TRIM(Raw_Data!B243)</f>
        <v>Lakshmi Malhotra</v>
      </c>
      <c r="C243" t="str">
        <f ca="1">_xlfn.XLOOKUP(D243, Branch_Master!A:A, Branch_Master!B:B)</f>
        <v>Trivandrum</v>
      </c>
      <c r="D243" t="str">
        <f ca="1">TRIM(Raw_Data!D243)</f>
        <v>BR06</v>
      </c>
      <c r="E243" t="str">
        <f ca="1">PROPER(TRIM(Raw_Data!E243))</f>
        <v>Standard</v>
      </c>
      <c r="F243" s="2">
        <f>IFERROR(DATEVALUE(Raw_Data!F243), Raw_Data!F243)</f>
        <v>45882</v>
      </c>
      <c r="G243" s="2">
        <f>IFERROR(
    IF(
        IFERROR(DATEVALUE(Raw_Data!G243), Raw_Data!G243) &lt;
        IFERROR(DATEVALUE(Raw_Data!F243), Raw_Data!F243),
        IFERROR(DATEVALUE(Raw_Data!F243), Raw_Data!F243) + 30,
        IFERROR(DATEVALUE(Raw_Data!G243), Raw_Data!G243)
    ),
    ""
)</f>
        <v>45972</v>
      </c>
      <c r="H243">
        <f>IFERROR(VALUE(Raw_Data!H243), "")</f>
        <v>2000</v>
      </c>
      <c r="I243">
        <f ca="1">IFERROR(VALUE(Raw_Data!I243), "")</f>
        <v>6000</v>
      </c>
      <c r="J243">
        <f>IFERROR(
    VALUE(SUBSTITUTE(Raw_Data!J243," visits","")),
    ""
)</f>
        <v>3</v>
      </c>
      <c r="K243" t="str">
        <f ca="1">IF(TRIM(Raw_Data!K243)="","No",PROPER(TRIM(Raw_Data!K243)))</f>
        <v>No</v>
      </c>
      <c r="L243" t="str">
        <f ca="1">PROPER(TRIM(Raw_Data!L243))</f>
        <v>General Fitness</v>
      </c>
      <c r="M243" t="s">
        <v>152</v>
      </c>
      <c r="N243" s="2">
        <f>IFERROR(DATEVALUE(Raw_Data!N243), Raw_Data!N243)</f>
        <v>46047</v>
      </c>
      <c r="O243" s="2"/>
      <c r="P243" t="str">
        <f>IF(COUNTIF($A$2:A243,A243)&gt;1,"Duplicate","Unique")</f>
        <v>Unique</v>
      </c>
      <c r="Q243" t="str">
        <f t="shared" si="6"/>
        <v>Cancelled but Active</v>
      </c>
      <c r="R243" t="str">
        <f t="shared" si="7"/>
        <v>Available</v>
      </c>
    </row>
    <row r="244" spans="1:18">
      <c r="A244" t="str">
        <f>TRIM(CLEAN(Raw_Data!A244))</f>
        <v>MEM0243</v>
      </c>
      <c r="B244" t="str">
        <f ca="1">TRIM(Raw_Data!B244)</f>
        <v>Karthik Shetty</v>
      </c>
      <c r="C244" t="str">
        <f ca="1">_xlfn.XLOOKUP(D244, Branch_Master!A:A, Branch_Master!B:B)</f>
        <v>Calicut</v>
      </c>
      <c r="D244" t="str">
        <f ca="1">TRIM(Raw_Data!D244)</f>
        <v>BR07</v>
      </c>
      <c r="E244" t="str">
        <f ca="1">PROPER(TRIM(Raw_Data!E244))</f>
        <v>Standard</v>
      </c>
      <c r="F244" s="2">
        <f>IFERROR(DATEVALUE(Raw_Data!F244), Raw_Data!F244)</f>
        <v>45621</v>
      </c>
      <c r="G244" s="2">
        <f>IFERROR(
    IF(
        IFERROR(DATEVALUE(Raw_Data!G244), Raw_Data!G244) &lt;
        IFERROR(DATEVALUE(Raw_Data!F244), Raw_Data!F244),
        IFERROR(DATEVALUE(Raw_Data!F244), Raw_Data!F244) + 30,
        IFERROR(DATEVALUE(Raw_Data!G244), Raw_Data!G244)
    ),
    ""
)</f>
        <v>45711</v>
      </c>
      <c r="H244">
        <f>IFERROR(VALUE(Raw_Data!H244), "")</f>
        <v>2000</v>
      </c>
      <c r="I244">
        <f ca="1">IFERROR(VALUE(Raw_Data!I244), "")</f>
        <v>20000</v>
      </c>
      <c r="J244">
        <f>IFERROR(
    VALUE(SUBSTITUTE(Raw_Data!J244," visits","")),
    ""
)</f>
        <v>8</v>
      </c>
      <c r="K244" t="str">
        <f ca="1">IF(TRIM(Raw_Data!K244)="","No",PROPER(TRIM(Raw_Data!K244)))</f>
        <v>No</v>
      </c>
      <c r="L244" t="str">
        <f ca="1">PROPER(TRIM(Raw_Data!L244))</f>
        <v>Muscle Gain</v>
      </c>
      <c r="M244" t="s">
        <v>151</v>
      </c>
      <c r="N244" s="2">
        <f>IFERROR(DATEVALUE(Raw_Data!N244), Raw_Data!N244)</f>
        <v>45868</v>
      </c>
      <c r="O244" s="2"/>
      <c r="P244" t="str">
        <f>IF(COUNTIF($A$2:A244,A244)&gt;1,"Duplicate","Unique")</f>
        <v>Unique</v>
      </c>
      <c r="Q244" t="str">
        <f t="shared" si="6"/>
        <v>OK</v>
      </c>
      <c r="R244" t="str">
        <f t="shared" si="7"/>
        <v>Available</v>
      </c>
    </row>
    <row r="245" spans="1:18">
      <c r="A245" t="str">
        <f>TRIM(CLEAN(Raw_Data!A245))</f>
        <v>MEM0244</v>
      </c>
      <c r="B245" t="str">
        <f ca="1">TRIM(Raw_Data!B245)</f>
        <v>Anjali Nair</v>
      </c>
      <c r="C245" t="str">
        <f ca="1">_xlfn.XLOOKUP(D245, Branch_Master!A:A, Branch_Master!B:B)</f>
        <v>Kochi</v>
      </c>
      <c r="D245" t="str">
        <f ca="1">TRIM(Raw_Data!D245)</f>
        <v>BR01</v>
      </c>
      <c r="E245" t="str">
        <f ca="1">PROPER(TRIM(Raw_Data!E245))</f>
        <v>Standard</v>
      </c>
      <c r="F245" s="2">
        <f>IFERROR(DATEVALUE(Raw_Data!F245), Raw_Data!F245)</f>
        <v>45808</v>
      </c>
      <c r="G245" s="2">
        <f>IFERROR(
    IF(
        IFERROR(DATEVALUE(Raw_Data!G245), Raw_Data!G245) &lt;
        IFERROR(DATEVALUE(Raw_Data!F245), Raw_Data!F245),
        IFERROR(DATEVALUE(Raw_Data!F245), Raw_Data!F245) + 30,
        IFERROR(DATEVALUE(Raw_Data!G245), Raw_Data!G245)
    ),
    ""
)</f>
        <v>46173</v>
      </c>
      <c r="H245">
        <f>IFERROR(VALUE(Raw_Data!H245), "")</f>
        <v>3500</v>
      </c>
      <c r="I245">
        <f ca="1">IFERROR(VALUE(Raw_Data!I245), "")</f>
        <v>31500</v>
      </c>
      <c r="J245">
        <f>IFERROR(
    VALUE(SUBSTITUTE(Raw_Data!J245," visits","")),
    ""
)</f>
        <v>22</v>
      </c>
      <c r="K245" t="str">
        <f ca="1">IF(TRIM(Raw_Data!K245)="","No",PROPER(TRIM(Raw_Data!K245)))</f>
        <v>Yes</v>
      </c>
      <c r="L245" t="str">
        <f ca="1">PROPER(TRIM(Raw_Data!L245))</f>
        <v>General Fitness</v>
      </c>
      <c r="M245" t="s">
        <v>151</v>
      </c>
      <c r="N245" s="2">
        <f>IFERROR(DATEVALUE(Raw_Data!N245), Raw_Data!N245)</f>
        <v>46123</v>
      </c>
      <c r="O245" s="2"/>
      <c r="P245" t="str">
        <f>IF(COUNTIF($A$2:A245,A245)&gt;1,"Duplicate","Unique")</f>
        <v>Unique</v>
      </c>
      <c r="Q245" t="str">
        <f t="shared" si="6"/>
        <v>OK</v>
      </c>
      <c r="R245" t="str">
        <f t="shared" si="7"/>
        <v>Available</v>
      </c>
    </row>
    <row r="246" spans="1:18">
      <c r="A246" t="str">
        <f>TRIM(CLEAN(Raw_Data!A246))</f>
        <v>MEM0245</v>
      </c>
      <c r="B246" t="str">
        <f ca="1">TRIM(Raw_Data!B246)</f>
        <v>Sneha Verma</v>
      </c>
      <c r="C246" t="str">
        <f ca="1">_xlfn.XLOOKUP(D246, Branch_Master!A:A, Branch_Master!B:B)</f>
        <v>Bangalore</v>
      </c>
      <c r="D246" t="str">
        <f ca="1">TRIM(Raw_Data!D246)</f>
        <v>BR02</v>
      </c>
      <c r="E246" t="str">
        <f ca="1">PROPER(TRIM(Raw_Data!E246))</f>
        <v>Standard</v>
      </c>
      <c r="F246" s="2">
        <f>IFERROR(DATEVALUE(Raw_Data!F246), Raw_Data!F246)</f>
        <v>45966</v>
      </c>
      <c r="G246" s="2">
        <f>IFERROR(
    IF(
        IFERROR(DATEVALUE(Raw_Data!G246), Raw_Data!G246) &lt;
        IFERROR(DATEVALUE(Raw_Data!F246), Raw_Data!F246),
        IFERROR(DATEVALUE(Raw_Data!F246), Raw_Data!F246) + 30,
        IFERROR(DATEVALUE(Raw_Data!G246), Raw_Data!G246)
    ),
    ""
)</f>
        <v>45996</v>
      </c>
      <c r="H246">
        <f>IFERROR(VALUE(Raw_Data!H246), "")</f>
        <v>1000</v>
      </c>
      <c r="I246">
        <f ca="1">IFERROR(VALUE(Raw_Data!I246), "")</f>
        <v>11000</v>
      </c>
      <c r="J246">
        <f>IFERROR(
    VALUE(SUBSTITUTE(Raw_Data!J246," visits","")),
    ""
)</f>
        <v>12</v>
      </c>
      <c r="K246" t="str">
        <f ca="1">IF(TRIM(Raw_Data!K246)="","No",PROPER(TRIM(Raw_Data!K246)))</f>
        <v>Yes</v>
      </c>
      <c r="L246" t="str">
        <f ca="1">PROPER(TRIM(Raw_Data!L246))</f>
        <v>General Fitness</v>
      </c>
      <c r="M246" t="s">
        <v>151</v>
      </c>
      <c r="N246" s="2">
        <f>IFERROR(DATEVALUE(Raw_Data!N246), Raw_Data!N246)</f>
        <v>46061</v>
      </c>
      <c r="O246" s="2"/>
      <c r="P246" t="str">
        <f>IF(COUNTIF($A$2:A246,A246)&gt;1,"Duplicate","Unique")</f>
        <v>Unique</v>
      </c>
      <c r="Q246" t="str">
        <f t="shared" si="6"/>
        <v>OK</v>
      </c>
      <c r="R246" t="str">
        <f t="shared" si="7"/>
        <v>Available</v>
      </c>
    </row>
    <row r="247" spans="1:18">
      <c r="A247" t="str">
        <f>TRIM(CLEAN(Raw_Data!A247))</f>
        <v>MEM0246</v>
      </c>
      <c r="B247" t="str">
        <f ca="1">TRIM(Raw_Data!B247)</f>
        <v>Rahul Varghese</v>
      </c>
      <c r="C247" t="str">
        <f ca="1">_xlfn.XLOOKUP(D247, Branch_Master!A:A, Branch_Master!B:B)</f>
        <v>Trivandrum</v>
      </c>
      <c r="D247" t="str">
        <f ca="1">TRIM(Raw_Data!D247)</f>
        <v>BR06</v>
      </c>
      <c r="E247" t="str">
        <f ca="1">PROPER(TRIM(Raw_Data!E247))</f>
        <v>Standard</v>
      </c>
      <c r="F247" s="2">
        <f>IFERROR(DATEVALUE(Raw_Data!F247), Raw_Data!F247)</f>
        <v>45607</v>
      </c>
      <c r="G247" s="2">
        <f>IFERROR(
    IF(
        IFERROR(DATEVALUE(Raw_Data!G247), Raw_Data!G247) &lt;
        IFERROR(DATEVALUE(Raw_Data!F247), Raw_Data!F247),
        IFERROR(DATEVALUE(Raw_Data!F247), Raw_Data!F247) + 30,
        IFERROR(DATEVALUE(Raw_Data!G247), Raw_Data!G247)
    ),
    ""
)</f>
        <v>45697</v>
      </c>
      <c r="H247">
        <f>IFERROR(VALUE(Raw_Data!H247), "")</f>
        <v>3500</v>
      </c>
      <c r="I247">
        <f ca="1">IFERROR(VALUE(Raw_Data!I247), "")</f>
        <v>7000</v>
      </c>
      <c r="J247">
        <f>IFERROR(
    VALUE(SUBSTITUTE(Raw_Data!J247," visits","")),
    ""
)</f>
        <v>17</v>
      </c>
      <c r="K247" t="str">
        <f ca="1">IF(TRIM(Raw_Data!K247)="","No",PROPER(TRIM(Raw_Data!K247)))</f>
        <v>No</v>
      </c>
      <c r="L247" t="str">
        <f ca="1">PROPER(TRIM(Raw_Data!L247))</f>
        <v>Weight Loss</v>
      </c>
      <c r="M247" t="s">
        <v>151</v>
      </c>
      <c r="N247" s="2">
        <f>IFERROR(DATEVALUE(Raw_Data!N247), Raw_Data!N247)</f>
        <v>45853</v>
      </c>
      <c r="O247" s="2"/>
      <c r="P247" t="str">
        <f>IF(COUNTIF($A$2:A247,A247)&gt;1,"Duplicate","Unique")</f>
        <v>Unique</v>
      </c>
      <c r="Q247" t="str">
        <f t="shared" si="6"/>
        <v>OK</v>
      </c>
      <c r="R247" t="str">
        <f t="shared" si="7"/>
        <v>Available</v>
      </c>
    </row>
    <row r="248" spans="1:18">
      <c r="A248" t="str">
        <f>TRIM(CLEAN(Raw_Data!A248))</f>
        <v>MEM0247</v>
      </c>
      <c r="B248" t="str">
        <f ca="1">TRIM(Raw_Data!B248)</f>
        <v>Priya Reddy</v>
      </c>
      <c r="C248" t="str">
        <f ca="1">_xlfn.XLOOKUP(D248, Branch_Master!A:A, Branch_Master!B:B)</f>
        <v>Hyderabad</v>
      </c>
      <c r="D248" t="str">
        <f ca="1">TRIM(Raw_Data!D248)</f>
        <v>BR04</v>
      </c>
      <c r="E248" t="str">
        <f ca="1">PROPER(TRIM(Raw_Data!E248))</f>
        <v>Standard</v>
      </c>
      <c r="F248" s="2">
        <f>IFERROR(DATEVALUE(Raw_Data!F248), Raw_Data!F248)</f>
        <v>45692</v>
      </c>
      <c r="G248" s="2">
        <f>IFERROR(
    IF(
        IFERROR(DATEVALUE(Raw_Data!G248), Raw_Data!G248) &lt;
        IFERROR(DATEVALUE(Raw_Data!F248), Raw_Data!F248),
        IFERROR(DATEVALUE(Raw_Data!F248), Raw_Data!F248) + 30,
        IFERROR(DATEVALUE(Raw_Data!G248), Raw_Data!G248)
    ),
    ""
)</f>
        <v>45722</v>
      </c>
      <c r="H248">
        <f>IFERROR(VALUE(Raw_Data!H248), "")</f>
        <v>2000</v>
      </c>
      <c r="I248">
        <f ca="1">IFERROR(VALUE(Raw_Data!I248), "")</f>
        <v>22000</v>
      </c>
      <c r="J248">
        <f>IFERROR(
    VALUE(SUBSTITUTE(Raw_Data!J248," visits","")),
    ""
)</f>
        <v>20</v>
      </c>
      <c r="K248" t="str">
        <f ca="1">IF(TRIM(Raw_Data!K248)="","No",PROPER(TRIM(Raw_Data!K248)))</f>
        <v>No</v>
      </c>
      <c r="L248" t="str">
        <f ca="1">PROPER(TRIM(Raw_Data!L248))</f>
        <v>Weight Loss</v>
      </c>
      <c r="M248" t="s">
        <v>151</v>
      </c>
      <c r="N248" s="2">
        <f>IFERROR(DATEVALUE(Raw_Data!N248), Raw_Data!N248)</f>
        <v>45886</v>
      </c>
      <c r="O248" s="2"/>
      <c r="P248" t="str">
        <f>IF(COUNTIF($A$2:A248,A248)&gt;1,"Duplicate","Unique")</f>
        <v>Unique</v>
      </c>
      <c r="Q248" t="str">
        <f t="shared" si="6"/>
        <v>OK</v>
      </c>
      <c r="R248" t="str">
        <f t="shared" si="7"/>
        <v>Available</v>
      </c>
    </row>
    <row r="249" spans="1:18">
      <c r="A249" t="str">
        <f>TRIM(CLEAN(Raw_Data!A249))</f>
        <v>MEM0248</v>
      </c>
      <c r="B249" t="str">
        <f ca="1">TRIM(Raw_Data!B249)</f>
        <v>Nikhil Nair</v>
      </c>
      <c r="C249" t="str">
        <f ca="1">_xlfn.XLOOKUP(D249, Branch_Master!A:A, Branch_Master!B:B)</f>
        <v>Bangalore</v>
      </c>
      <c r="D249" t="str">
        <f ca="1">TRIM(Raw_Data!D249)</f>
        <v>BR02</v>
      </c>
      <c r="E249" t="str">
        <f ca="1">PROPER(TRIM(Raw_Data!E249))</f>
        <v>Premium</v>
      </c>
      <c r="F249" s="2">
        <f>IFERROR(DATEVALUE(Raw_Data!F249), Raw_Data!F249)</f>
        <v>45305</v>
      </c>
      <c r="G249" s="2">
        <f>IFERROR(
    IF(
        IFERROR(DATEVALUE(Raw_Data!G249), Raw_Data!G249) &lt;
        IFERROR(DATEVALUE(Raw_Data!F249), Raw_Data!F249),
        IFERROR(DATEVALUE(Raw_Data!F249), Raw_Data!F249) + 30,
        IFERROR(DATEVALUE(Raw_Data!G249), Raw_Data!G249)
    ),
    ""
)</f>
        <v>45395</v>
      </c>
      <c r="H249">
        <f>IFERROR(VALUE(Raw_Data!H249), "")</f>
        <v>3500</v>
      </c>
      <c r="I249">
        <f ca="1">IFERROR(VALUE(Raw_Data!I249), "")</f>
        <v>42000</v>
      </c>
      <c r="J249">
        <f>IFERROR(
    VALUE(SUBSTITUTE(Raw_Data!J249," visits","")),
    ""
)</f>
        <v>6</v>
      </c>
      <c r="K249" t="str">
        <f ca="1">IF(TRIM(Raw_Data!K249)="","No",PROPER(TRIM(Raw_Data!K249)))</f>
        <v>No</v>
      </c>
      <c r="L249" t="str">
        <f ca="1">PROPER(TRIM(Raw_Data!L249))</f>
        <v>Weight Loss</v>
      </c>
      <c r="M249" t="s">
        <v>151</v>
      </c>
      <c r="N249" s="2">
        <f>IFERROR(DATEVALUE(Raw_Data!N249), Raw_Data!N249)</f>
        <v>45674</v>
      </c>
      <c r="O249" s="2"/>
      <c r="P249" t="str">
        <f>IF(COUNTIF($A$2:A249,A249)&gt;1,"Duplicate","Unique")</f>
        <v>Unique</v>
      </c>
      <c r="Q249" t="str">
        <f t="shared" si="6"/>
        <v>OK</v>
      </c>
      <c r="R249" t="str">
        <f t="shared" si="7"/>
        <v>Available</v>
      </c>
    </row>
    <row r="250" spans="1:18">
      <c r="A250" t="str">
        <f>TRIM(CLEAN(Raw_Data!A250))</f>
        <v>MEM0249</v>
      </c>
      <c r="B250" t="str">
        <f ca="1">TRIM(Raw_Data!B250)</f>
        <v>Neha Joshi</v>
      </c>
      <c r="C250" t="str">
        <f ca="1">_xlfn.XLOOKUP(D250, Branch_Master!A:A, Branch_Master!B:B)</f>
        <v>Trivandrum</v>
      </c>
      <c r="D250" t="str">
        <f ca="1">TRIM(Raw_Data!D250)</f>
        <v>BR06</v>
      </c>
      <c r="E250" t="str">
        <f ca="1">PROPER(TRIM(Raw_Data!E250))</f>
        <v>Standard</v>
      </c>
      <c r="F250" s="2">
        <f>IFERROR(DATEVALUE(Raw_Data!F250), Raw_Data!F250)</f>
        <v>45176</v>
      </c>
      <c r="G250" s="2">
        <f>IFERROR(
    IF(
        IFERROR(DATEVALUE(Raw_Data!G250), Raw_Data!G250) &lt;
        IFERROR(DATEVALUE(Raw_Data!F250), Raw_Data!F250),
        IFERROR(DATEVALUE(Raw_Data!F250), Raw_Data!F250) + 30,
        IFERROR(DATEVALUE(Raw_Data!G250), Raw_Data!G250)
    ),
    ""
)</f>
        <v>45206</v>
      </c>
      <c r="H250">
        <f>IFERROR(VALUE(Raw_Data!H250), "")</f>
        <v>3500</v>
      </c>
      <c r="I250">
        <f ca="1">IFERROR(VALUE(Raw_Data!I250), "")</f>
        <v>28000</v>
      </c>
      <c r="J250">
        <f>IFERROR(
    VALUE(SUBSTITUTE(Raw_Data!J250," visits","")),
    ""
)</f>
        <v>21</v>
      </c>
      <c r="K250" t="str">
        <f ca="1">IF(TRIM(Raw_Data!K250)="","No",PROPER(TRIM(Raw_Data!K250)))</f>
        <v>Yes</v>
      </c>
      <c r="L250" t="str">
        <f ca="1">PROPER(TRIM(Raw_Data!L250))</f>
        <v>Muscle Gain</v>
      </c>
      <c r="M250" t="s">
        <v>151</v>
      </c>
      <c r="N250" s="2">
        <f>IFERROR(DATEVALUE(Raw_Data!N250), Raw_Data!N250)</f>
        <v>46082</v>
      </c>
      <c r="O250" s="2"/>
      <c r="P250" t="str">
        <f>IF(COUNTIF($A$2:A250,A250)&gt;1,"Duplicate","Unique")</f>
        <v>Unique</v>
      </c>
      <c r="Q250" t="str">
        <f t="shared" si="6"/>
        <v>OK</v>
      </c>
      <c r="R250" t="str">
        <f t="shared" si="7"/>
        <v>Available</v>
      </c>
    </row>
    <row r="251" spans="1:18">
      <c r="A251" t="str">
        <f>TRIM(CLEAN(Raw_Data!A251))</f>
        <v>MEM0250</v>
      </c>
      <c r="B251" t="str">
        <f ca="1">TRIM(Raw_Data!B251)</f>
        <v>Rohit Agarwal</v>
      </c>
      <c r="C251" t="str">
        <f ca="1">_xlfn.XLOOKUP(D251, Branch_Master!A:A, Branch_Master!B:B)</f>
        <v>Chennai</v>
      </c>
      <c r="D251" t="str">
        <f ca="1">TRIM(Raw_Data!D251)</f>
        <v>BR03</v>
      </c>
      <c r="E251" t="str">
        <f ca="1">PROPER(TRIM(Raw_Data!E251))</f>
        <v>Premium</v>
      </c>
      <c r="F251" s="2">
        <f>IFERROR(DATEVALUE(Raw_Data!F251), Raw_Data!F251)</f>
        <v>45972</v>
      </c>
      <c r="G251" s="2">
        <f>IFERROR(
    IF(
        IFERROR(DATEVALUE(Raw_Data!G251), Raw_Data!G251) &lt;
        IFERROR(DATEVALUE(Raw_Data!F251), Raw_Data!F251),
        IFERROR(DATEVALUE(Raw_Data!F251), Raw_Data!F251) + 30,
        IFERROR(DATEVALUE(Raw_Data!G251), Raw_Data!G251)
    ),
    ""
)</f>
        <v>46337</v>
      </c>
      <c r="H251">
        <f>IFERROR(VALUE(Raw_Data!H251), "")</f>
        <v>2000</v>
      </c>
      <c r="I251">
        <f ca="1">IFERROR(VALUE(Raw_Data!I251), "")</f>
        <v>22000</v>
      </c>
      <c r="J251">
        <f>IFERROR(
    VALUE(SUBSTITUTE(Raw_Data!J251," visits","")),
    ""
)</f>
        <v>5</v>
      </c>
      <c r="K251" t="str">
        <f ca="1">IF(TRIM(Raw_Data!K251)="","No",PROPER(TRIM(Raw_Data!K251)))</f>
        <v>No</v>
      </c>
      <c r="L251" t="str">
        <f ca="1">PROPER(TRIM(Raw_Data!L251))</f>
        <v>Muscle Gain</v>
      </c>
      <c r="M251" t="s">
        <v>151</v>
      </c>
      <c r="N251" s="2">
        <f>IFERROR(DATEVALUE(Raw_Data!N251), Raw_Data!N251)</f>
        <v>46025</v>
      </c>
      <c r="O251" s="2"/>
      <c r="P251" t="str">
        <f>IF(COUNTIF($A$2:A251,A251)&gt;1,"Duplicate","Unique")</f>
        <v>Unique</v>
      </c>
      <c r="Q251" t="str">
        <f t="shared" si="6"/>
        <v>OK</v>
      </c>
      <c r="R251" t="str">
        <f t="shared" si="7"/>
        <v>Available</v>
      </c>
    </row>
    <row r="252" spans="1:18">
      <c r="A252" t="str">
        <f>TRIM(CLEAN(Raw_Data!A252))</f>
        <v>MEM0251</v>
      </c>
      <c r="B252" t="str">
        <f ca="1">TRIM(Raw_Data!B252)</f>
        <v>Arjun Yadav</v>
      </c>
      <c r="C252" t="str">
        <f ca="1">_xlfn.XLOOKUP(D252, Branch_Master!A:A, Branch_Master!B:B)</f>
        <v>Mumbai</v>
      </c>
      <c r="D252" t="str">
        <f ca="1">TRIM(Raw_Data!D252)</f>
        <v>BR05</v>
      </c>
      <c r="E252" t="str">
        <f ca="1">PROPER(TRIM(Raw_Data!E252))</f>
        <v>Standard</v>
      </c>
      <c r="F252" s="2">
        <f>IFERROR(DATEVALUE(Raw_Data!F252), Raw_Data!F252)</f>
        <v>45993</v>
      </c>
      <c r="G252" s="2">
        <f>IFERROR(
    IF(
        IFERROR(DATEVALUE(Raw_Data!G252), Raw_Data!G252) &lt;
        IFERROR(DATEVALUE(Raw_Data!F252), Raw_Data!F252),
        IFERROR(DATEVALUE(Raw_Data!F252), Raw_Data!F252) + 30,
        IFERROR(DATEVALUE(Raw_Data!G252), Raw_Data!G252)
    ),
    ""
)</f>
        <v>46358</v>
      </c>
      <c r="H252">
        <f>IFERROR(VALUE(Raw_Data!H252), "")</f>
        <v>1000</v>
      </c>
      <c r="I252">
        <f ca="1">IFERROR(VALUE(Raw_Data!I252), "")</f>
        <v>12000</v>
      </c>
      <c r="J252">
        <f>IFERROR(
    VALUE(SUBSTITUTE(Raw_Data!J252," visits","")),
    ""
)</f>
        <v>14</v>
      </c>
      <c r="K252" t="str">
        <f ca="1">IF(TRIM(Raw_Data!K252)="","No",PROPER(TRIM(Raw_Data!K252)))</f>
        <v>Yes</v>
      </c>
      <c r="L252" t="str">
        <f ca="1">PROPER(TRIM(Raw_Data!L252))</f>
        <v>Muscle Gain</v>
      </c>
      <c r="M252" t="s">
        <v>151</v>
      </c>
      <c r="N252" s="2">
        <f>IFERROR(DATEVALUE(Raw_Data!N252), Raw_Data!N252)</f>
        <v>46042</v>
      </c>
      <c r="O252" s="2"/>
      <c r="P252" t="str">
        <f>IF(COUNTIF($A$2:A252,A252)&gt;1,"Duplicate","Unique")</f>
        <v>Unique</v>
      </c>
      <c r="Q252" t="str">
        <f t="shared" si="6"/>
        <v>OK</v>
      </c>
      <c r="R252" t="str">
        <f t="shared" si="7"/>
        <v>Available</v>
      </c>
    </row>
    <row r="253" spans="1:18">
      <c r="A253" t="str">
        <f>TRIM(CLEAN(Raw_Data!A253))</f>
        <v>MEM0252</v>
      </c>
      <c r="B253" t="str">
        <f ca="1">TRIM(Raw_Data!B253)</f>
        <v>Manoj Naidu</v>
      </c>
      <c r="C253" t="str">
        <f ca="1">_xlfn.XLOOKUP(D253, Branch_Master!A:A, Branch_Master!B:B)</f>
        <v>Bangalore</v>
      </c>
      <c r="D253" t="str">
        <f ca="1">TRIM(Raw_Data!D253)</f>
        <v>BR02</v>
      </c>
      <c r="E253" t="str">
        <f ca="1">PROPER(TRIM(Raw_Data!E253))</f>
        <v>Basic</v>
      </c>
      <c r="F253" s="2">
        <f>IFERROR(DATEVALUE(Raw_Data!F253), Raw_Data!F253)</f>
        <v>45535</v>
      </c>
      <c r="G253" s="2">
        <f>IFERROR(
    IF(
        IFERROR(DATEVALUE(Raw_Data!G253), Raw_Data!G253) &lt;
        IFERROR(DATEVALUE(Raw_Data!F253), Raw_Data!F253),
        IFERROR(DATEVALUE(Raw_Data!F253), Raw_Data!F253) + 30,
        IFERROR(DATEVALUE(Raw_Data!G253), Raw_Data!G253)
    ),
    ""
)</f>
        <v>45565</v>
      </c>
      <c r="H253">
        <f>IFERROR(VALUE(Raw_Data!H253), "")</f>
        <v>2000</v>
      </c>
      <c r="I253">
        <f ca="1">IFERROR(VALUE(Raw_Data!I253), "")</f>
        <v>22000</v>
      </c>
      <c r="J253">
        <f>IFERROR(
    VALUE(SUBSTITUTE(Raw_Data!J253," visits","")),
    ""
)</f>
        <v>8</v>
      </c>
      <c r="K253" t="str">
        <f ca="1">IF(TRIM(Raw_Data!K253)="","No",PROPER(TRIM(Raw_Data!K253)))</f>
        <v>No</v>
      </c>
      <c r="L253" t="str">
        <f ca="1">PROPER(TRIM(Raw_Data!L253))</f>
        <v>General Fitness</v>
      </c>
      <c r="M253" t="s">
        <v>151</v>
      </c>
      <c r="N253" s="2">
        <f>IFERROR(DATEVALUE(Raw_Data!N253), Raw_Data!N253)</f>
        <v>46073</v>
      </c>
      <c r="O253" s="2"/>
      <c r="P253" t="str">
        <f>IF(COUNTIF($A$2:A253,A253)&gt;1,"Duplicate","Unique")</f>
        <v>Unique</v>
      </c>
      <c r="Q253" t="str">
        <f t="shared" si="6"/>
        <v>OK</v>
      </c>
      <c r="R253" t="str">
        <f t="shared" si="7"/>
        <v>Available</v>
      </c>
    </row>
    <row r="254" spans="1:18">
      <c r="A254" t="str">
        <f>TRIM(CLEAN(Raw_Data!A254))</f>
        <v>MEM0253</v>
      </c>
      <c r="B254" t="str">
        <f ca="1">TRIM(Raw_Data!B254)</f>
        <v>Zara Kulkarni</v>
      </c>
      <c r="C254" t="str">
        <f ca="1">_xlfn.XLOOKUP(D254, Branch_Master!A:A, Branch_Master!B:B)</f>
        <v>Trivandrum</v>
      </c>
      <c r="D254" t="str">
        <f ca="1">TRIM(Raw_Data!D254)</f>
        <v>BR06</v>
      </c>
      <c r="E254" t="str">
        <f ca="1">PROPER(TRIM(Raw_Data!E254))</f>
        <v>Basic</v>
      </c>
      <c r="F254" s="2">
        <f>IFERROR(DATEVALUE(Raw_Data!F254), Raw_Data!F254)</f>
        <v>45312</v>
      </c>
      <c r="G254" s="2">
        <f>IFERROR(
    IF(
        IFERROR(DATEVALUE(Raw_Data!G254), Raw_Data!G254) &lt;
        IFERROR(DATEVALUE(Raw_Data!F254), Raw_Data!F254),
        IFERROR(DATEVALUE(Raw_Data!F254), Raw_Data!F254) + 30,
        IFERROR(DATEVALUE(Raw_Data!G254), Raw_Data!G254)
    ),
    ""
)</f>
        <v>45402</v>
      </c>
      <c r="H254">
        <f>IFERROR(VALUE(Raw_Data!H254), "")</f>
        <v>2000</v>
      </c>
      <c r="I254">
        <f ca="1">IFERROR(VALUE(Raw_Data!I254), "")</f>
        <v>12000</v>
      </c>
      <c r="J254">
        <f>IFERROR(
    VALUE(SUBSTITUTE(Raw_Data!J254," visits","")),
    ""
)</f>
        <v>0</v>
      </c>
      <c r="K254" t="str">
        <f ca="1">IF(TRIM(Raw_Data!K254)="","No",PROPER(TRIM(Raw_Data!K254)))</f>
        <v>Yes</v>
      </c>
      <c r="L254" t="str">
        <f ca="1">PROPER(TRIM(Raw_Data!L254))</f>
        <v>General Fitness</v>
      </c>
      <c r="M254" t="s">
        <v>152</v>
      </c>
      <c r="N254" s="2">
        <f>IFERROR(DATEVALUE(Raw_Data!N254), Raw_Data!N254)</f>
        <v>45979</v>
      </c>
      <c r="O254" s="2"/>
      <c r="P254" t="str">
        <f>IF(COUNTIF($A$2:A254,A254)&gt;1,"Duplicate","Unique")</f>
        <v>Unique</v>
      </c>
      <c r="Q254" t="str">
        <f t="shared" si="6"/>
        <v>Cancelled but Active</v>
      </c>
      <c r="R254" t="str">
        <f t="shared" si="7"/>
        <v>Available</v>
      </c>
    </row>
    <row r="255" spans="1:18">
      <c r="A255" t="str">
        <f>TRIM(CLEAN(Raw_Data!A255))</f>
        <v>MEM0254</v>
      </c>
      <c r="B255" t="str">
        <f ca="1">TRIM(Raw_Data!B255)</f>
        <v>Harish Varghese</v>
      </c>
      <c r="C255" t="str">
        <f ca="1">_xlfn.XLOOKUP(D255, Branch_Master!A:A, Branch_Master!B:B)</f>
        <v>Mumbai</v>
      </c>
      <c r="D255" t="str">
        <f ca="1">TRIM(Raw_Data!D255)</f>
        <v>BR05</v>
      </c>
      <c r="E255" t="str">
        <f ca="1">PROPER(TRIM(Raw_Data!E255))</f>
        <v>Basic</v>
      </c>
      <c r="F255" s="2">
        <f>IFERROR(DATEVALUE(Raw_Data!F255), Raw_Data!F255)</f>
        <v>45830</v>
      </c>
      <c r="G255" s="2">
        <f>IFERROR(
    IF(
        IFERROR(DATEVALUE(Raw_Data!G255), Raw_Data!G255) &lt;
        IFERROR(DATEVALUE(Raw_Data!F255), Raw_Data!F255),
        IFERROR(DATEVALUE(Raw_Data!F255), Raw_Data!F255) + 30,
        IFERROR(DATEVALUE(Raw_Data!G255), Raw_Data!G255)
    ),
    ""
)</f>
        <v>45920</v>
      </c>
      <c r="H255">
        <f>IFERROR(VALUE(Raw_Data!H255), "")</f>
        <v>2000</v>
      </c>
      <c r="I255">
        <f ca="1">IFERROR(VALUE(Raw_Data!I255), "")</f>
        <v>24000</v>
      </c>
      <c r="J255">
        <f>IFERROR(
    VALUE(SUBSTITUTE(Raw_Data!J255," visits","")),
    ""
)</f>
        <v>3</v>
      </c>
      <c r="K255" t="str">
        <f ca="1">IF(TRIM(Raw_Data!K255)="","No",PROPER(TRIM(Raw_Data!K255)))</f>
        <v>No</v>
      </c>
      <c r="L255" t="str">
        <f ca="1">PROPER(TRIM(Raw_Data!L255))</f>
        <v>Weight Loss</v>
      </c>
      <c r="M255" t="s">
        <v>151</v>
      </c>
      <c r="N255" s="2">
        <f>IFERROR(DATEVALUE(Raw_Data!N255), Raw_Data!N255)</f>
        <v>45870</v>
      </c>
      <c r="O255" s="2"/>
      <c r="P255" t="str">
        <f>IF(COUNTIF($A$2:A255,A255)&gt;1,"Duplicate","Unique")</f>
        <v>Unique</v>
      </c>
      <c r="Q255" t="str">
        <f t="shared" si="6"/>
        <v>OK</v>
      </c>
      <c r="R255" t="str">
        <f t="shared" si="7"/>
        <v>Available</v>
      </c>
    </row>
    <row r="256" spans="1:18">
      <c r="A256" t="str">
        <f>TRIM(CLEAN(Raw_Data!A256))</f>
        <v>MEM0255</v>
      </c>
      <c r="B256" t="str">
        <f ca="1">TRIM(Raw_Data!B256)</f>
        <v>Anu Lewis</v>
      </c>
      <c r="C256" t="str">
        <f ca="1">_xlfn.XLOOKUP(D256, Branch_Master!A:A, Branch_Master!B:B)</f>
        <v>Chennai</v>
      </c>
      <c r="D256" t="str">
        <f ca="1">TRIM(Raw_Data!D256)</f>
        <v>BR03</v>
      </c>
      <c r="E256" t="str">
        <f ca="1">PROPER(TRIM(Raw_Data!E256))</f>
        <v>Premium</v>
      </c>
      <c r="F256" s="2">
        <f>IFERROR(DATEVALUE(Raw_Data!F256), Raw_Data!F256)</f>
        <v>45337</v>
      </c>
      <c r="G256" s="2">
        <f>IFERROR(
    IF(
        IFERROR(DATEVALUE(Raw_Data!G256), Raw_Data!G256) &lt;
        IFERROR(DATEVALUE(Raw_Data!F256), Raw_Data!F256),
        IFERROR(DATEVALUE(Raw_Data!F256), Raw_Data!F256) + 30,
        IFERROR(DATEVALUE(Raw_Data!G256), Raw_Data!G256)
    ),
    ""
)</f>
        <v>45367</v>
      </c>
      <c r="H256">
        <f>IFERROR(VALUE(Raw_Data!H256), "")</f>
        <v>3500</v>
      </c>
      <c r="I256">
        <f ca="1">IFERROR(VALUE(Raw_Data!I256), "")</f>
        <v>42000</v>
      </c>
      <c r="J256">
        <f>IFERROR(
    VALUE(SUBSTITUTE(Raw_Data!J256," visits","")),
    ""
)</f>
        <v>18</v>
      </c>
      <c r="K256" t="str">
        <f ca="1">IF(TRIM(Raw_Data!K256)="","No",PROPER(TRIM(Raw_Data!K256)))</f>
        <v>Yes</v>
      </c>
      <c r="L256" t="str">
        <f ca="1">PROPER(TRIM(Raw_Data!L256))</f>
        <v>General Fitness</v>
      </c>
      <c r="M256" t="s">
        <v>151</v>
      </c>
      <c r="N256" s="2">
        <f>IFERROR(DATEVALUE(Raw_Data!N256), Raw_Data!N256)</f>
        <v>46023</v>
      </c>
      <c r="O256" s="2"/>
      <c r="P256" t="str">
        <f>IF(COUNTIF($A$2:A256,A256)&gt;1,"Duplicate","Unique")</f>
        <v>Unique</v>
      </c>
      <c r="Q256" t="str">
        <f t="shared" si="6"/>
        <v>OK</v>
      </c>
      <c r="R256" t="str">
        <f t="shared" si="7"/>
        <v>Available</v>
      </c>
    </row>
    <row r="257" spans="1:18">
      <c r="A257" t="str">
        <f>TRIM(CLEAN(Raw_Data!A257))</f>
        <v>MEM0256</v>
      </c>
      <c r="B257" t="str">
        <f ca="1">TRIM(Raw_Data!B257)</f>
        <v>Sneha Verma</v>
      </c>
      <c r="C257" t="str">
        <f ca="1">_xlfn.XLOOKUP(D257, Branch_Master!A:A, Branch_Master!B:B)</f>
        <v>Calicut</v>
      </c>
      <c r="D257" t="str">
        <f ca="1">TRIM(Raw_Data!D257)</f>
        <v>BR07</v>
      </c>
      <c r="E257" t="str">
        <f ca="1">PROPER(TRIM(Raw_Data!E257))</f>
        <v>Standard</v>
      </c>
      <c r="F257" s="2">
        <f>IFERROR(DATEVALUE(Raw_Data!F257), Raw_Data!F257)</f>
        <v>45477</v>
      </c>
      <c r="G257" s="2">
        <f>IFERROR(
    IF(
        IFERROR(DATEVALUE(Raw_Data!G257), Raw_Data!G257) &lt;
        IFERROR(DATEVALUE(Raw_Data!F257), Raw_Data!F257),
        IFERROR(DATEVALUE(Raw_Data!F257), Raw_Data!F257) + 30,
        IFERROR(DATEVALUE(Raw_Data!G257), Raw_Data!G257)
    ),
    ""
)</f>
        <v>45567</v>
      </c>
      <c r="H257">
        <f>IFERROR(VALUE(Raw_Data!H257), "")</f>
        <v>3500</v>
      </c>
      <c r="I257">
        <f ca="1">IFERROR(VALUE(Raw_Data!I257), "")</f>
        <v>7000</v>
      </c>
      <c r="J257">
        <f>IFERROR(
    VALUE(SUBSTITUTE(Raw_Data!J257," visits","")),
    ""
)</f>
        <v>24</v>
      </c>
      <c r="K257" t="str">
        <f ca="1">IF(TRIM(Raw_Data!K257)="","No",PROPER(TRIM(Raw_Data!K257)))</f>
        <v>Yes</v>
      </c>
      <c r="L257" t="str">
        <f ca="1">PROPER(TRIM(Raw_Data!L257))</f>
        <v>General Fitness</v>
      </c>
      <c r="M257" t="s">
        <v>151</v>
      </c>
      <c r="N257" s="2">
        <f>IFERROR(DATEVALUE(Raw_Data!N257), Raw_Data!N257)</f>
        <v>45861</v>
      </c>
      <c r="O257" s="2"/>
      <c r="P257" t="str">
        <f>IF(COUNTIF($A$2:A257,A257)&gt;1,"Duplicate","Unique")</f>
        <v>Unique</v>
      </c>
      <c r="Q257" t="str">
        <f t="shared" si="6"/>
        <v>OK</v>
      </c>
      <c r="R257" t="str">
        <f t="shared" si="7"/>
        <v>Available</v>
      </c>
    </row>
    <row r="258" spans="1:18">
      <c r="A258" t="str">
        <f>TRIM(CLEAN(Raw_Data!A258))</f>
        <v>MEM0257</v>
      </c>
      <c r="B258" t="str">
        <f ca="1">TRIM(Raw_Data!B258)</f>
        <v>Kavya Thomas</v>
      </c>
      <c r="C258" t="str">
        <f ca="1">_xlfn.XLOOKUP(D258, Branch_Master!A:A, Branch_Master!B:B)</f>
        <v>Chennai</v>
      </c>
      <c r="D258" t="str">
        <f ca="1">TRIM(Raw_Data!D258)</f>
        <v>BR03</v>
      </c>
      <c r="E258" t="str">
        <f ca="1">PROPER(TRIM(Raw_Data!E258))</f>
        <v>Standard</v>
      </c>
      <c r="F258" s="2">
        <f>IFERROR(DATEVALUE(Raw_Data!F258), Raw_Data!F258)</f>
        <v>45724</v>
      </c>
      <c r="G258" s="2">
        <f>IFERROR(
    IF(
        IFERROR(DATEVALUE(Raw_Data!G258), Raw_Data!G258) &lt;
        IFERROR(DATEVALUE(Raw_Data!F258), Raw_Data!F258),
        IFERROR(DATEVALUE(Raw_Data!F258), Raw_Data!F258) + 30,
        IFERROR(DATEVALUE(Raw_Data!G258), Raw_Data!G258)
    ),
    ""
)</f>
        <v>45754</v>
      </c>
      <c r="H258">
        <f>IFERROR(VALUE(Raw_Data!H258), "")</f>
        <v>2000</v>
      </c>
      <c r="I258">
        <f ca="1">IFERROR(VALUE(Raw_Data!I258), "")</f>
        <v>12000</v>
      </c>
      <c r="J258">
        <f>IFERROR(
    VALUE(SUBSTITUTE(Raw_Data!J258," visits","")),
    ""
)</f>
        <v>8</v>
      </c>
      <c r="K258" t="str">
        <f ca="1">IF(TRIM(Raw_Data!K258)="","No",PROPER(TRIM(Raw_Data!K258)))</f>
        <v>Yes</v>
      </c>
      <c r="L258" t="str">
        <f ca="1">PROPER(TRIM(Raw_Data!L258))</f>
        <v>Weight Loss</v>
      </c>
      <c r="M258" t="s">
        <v>151</v>
      </c>
      <c r="N258" s="2">
        <f>IFERROR(DATEVALUE(Raw_Data!N258), Raw_Data!N258)</f>
        <v>45931</v>
      </c>
      <c r="O258" s="2"/>
      <c r="P258" t="str">
        <f>IF(COUNTIF($A$2:A258,A258)&gt;1,"Duplicate","Unique")</f>
        <v>Unique</v>
      </c>
      <c r="Q258" t="str">
        <f t="shared" si="6"/>
        <v>OK</v>
      </c>
      <c r="R258" t="str">
        <f t="shared" si="7"/>
        <v>Available</v>
      </c>
    </row>
    <row r="259" spans="1:18">
      <c r="A259" t="str">
        <f>TRIM(CLEAN(Raw_Data!A259))</f>
        <v>MEM0258</v>
      </c>
      <c r="B259" t="str">
        <f ca="1">TRIM(Raw_Data!B259)</f>
        <v>Tanvi Khan</v>
      </c>
      <c r="C259" t="str">
        <f ca="1">_xlfn.XLOOKUP(D259, Branch_Master!A:A, Branch_Master!B:B)</f>
        <v>Calicut</v>
      </c>
      <c r="D259" t="str">
        <f ca="1">TRIM(Raw_Data!D259)</f>
        <v>BR07</v>
      </c>
      <c r="E259" t="str">
        <f ca="1">PROPER(TRIM(Raw_Data!E259))</f>
        <v>Premium</v>
      </c>
      <c r="F259" s="2">
        <f>IFERROR(DATEVALUE(Raw_Data!F259), Raw_Data!F259)</f>
        <v>45507</v>
      </c>
      <c r="G259" s="2">
        <f>IFERROR(
    IF(
        IFERROR(DATEVALUE(Raw_Data!G259), Raw_Data!G259) &lt;
        IFERROR(DATEVALUE(Raw_Data!F259), Raw_Data!F259),
        IFERROR(DATEVALUE(Raw_Data!F259), Raw_Data!F259) + 30,
        IFERROR(DATEVALUE(Raw_Data!G259), Raw_Data!G259)
    ),
    ""
)</f>
        <v>45537</v>
      </c>
      <c r="H259">
        <f>IFERROR(VALUE(Raw_Data!H259), "")</f>
        <v>1000</v>
      </c>
      <c r="I259">
        <f ca="1">IFERROR(VALUE(Raw_Data!I259), "")</f>
        <v>10000</v>
      </c>
      <c r="J259">
        <f>IFERROR(
    VALUE(SUBSTITUTE(Raw_Data!J259," visits","")),
    ""
)</f>
        <v>4</v>
      </c>
      <c r="K259" t="str">
        <f ca="1">IF(TRIM(Raw_Data!K259)="","No",PROPER(TRIM(Raw_Data!K259)))</f>
        <v>Yes</v>
      </c>
      <c r="L259" t="str">
        <f ca="1">PROPER(TRIM(Raw_Data!L259))</f>
        <v>Muscle Gain</v>
      </c>
      <c r="M259" t="s">
        <v>152</v>
      </c>
      <c r="N259" s="2">
        <f>IFERROR(DATEVALUE(Raw_Data!N259), Raw_Data!N259)</f>
        <v>45522</v>
      </c>
      <c r="O259" s="2"/>
      <c r="P259" t="str">
        <f>IF(COUNTIF($A$2:A259,A259)&gt;1,"Duplicate","Unique")</f>
        <v>Unique</v>
      </c>
      <c r="Q259" t="str">
        <f t="shared" ref="Q259:Q322" si="8">IF(G259&lt;F259,"Expiry Error",
IF(AND(M259="Cancelled",N259&lt;&gt;""),"Cancelled but Active",
IF(J259&gt;30,"Invalid Attendance","OK")))</f>
        <v>Cancelled but Active</v>
      </c>
      <c r="R259" t="str">
        <f t="shared" ref="R259:R322" si="9">IF(N259="","Missing","Available")</f>
        <v>Available</v>
      </c>
    </row>
    <row r="260" spans="1:18">
      <c r="A260" t="str">
        <f>TRIM(CLEAN(Raw_Data!A260))</f>
        <v>MEM0259</v>
      </c>
      <c r="B260" t="str">
        <f ca="1">TRIM(Raw_Data!B260)</f>
        <v>Zara Malhotra</v>
      </c>
      <c r="C260" t="str">
        <f ca="1">_xlfn.XLOOKUP(D260, Branch_Master!A:A, Branch_Master!B:B)</f>
        <v>Trivandrum</v>
      </c>
      <c r="D260" t="str">
        <f ca="1">TRIM(Raw_Data!D260)</f>
        <v>BR06</v>
      </c>
      <c r="E260" t="str">
        <f ca="1">PROPER(TRIM(Raw_Data!E260))</f>
        <v>Standard</v>
      </c>
      <c r="F260" s="2">
        <f>IFERROR(DATEVALUE(Raw_Data!F260), Raw_Data!F260)</f>
        <v>45800</v>
      </c>
      <c r="G260" s="2">
        <f>IFERROR(
    IF(
        IFERROR(DATEVALUE(Raw_Data!G260), Raw_Data!G260) &lt;
        IFERROR(DATEVALUE(Raw_Data!F260), Raw_Data!F260),
        IFERROR(DATEVALUE(Raw_Data!F260), Raw_Data!F260) + 30,
        IFERROR(DATEVALUE(Raw_Data!G260), Raw_Data!G260)
    ),
    ""
)</f>
        <v>46165</v>
      </c>
      <c r="H260">
        <f>IFERROR(VALUE(Raw_Data!H260), "")</f>
        <v>3500</v>
      </c>
      <c r="I260">
        <f ca="1">IFERROR(VALUE(Raw_Data!I260), "")</f>
        <v>24500</v>
      </c>
      <c r="J260">
        <f>IFERROR(
    VALUE(SUBSTITUTE(Raw_Data!J260," visits","")),
    ""
)</f>
        <v>25</v>
      </c>
      <c r="K260" t="str">
        <f ca="1">IF(TRIM(Raw_Data!K260)="","No",PROPER(TRIM(Raw_Data!K260)))</f>
        <v>Yes</v>
      </c>
      <c r="L260" t="str">
        <f ca="1">PROPER(TRIM(Raw_Data!L260))</f>
        <v>Muscle Gain</v>
      </c>
      <c r="M260" t="s">
        <v>151</v>
      </c>
      <c r="N260" s="2">
        <f>IFERROR(DATEVALUE(Raw_Data!N260), Raw_Data!N260)</f>
        <v>46006</v>
      </c>
      <c r="O260" s="2"/>
      <c r="P260" t="str">
        <f>IF(COUNTIF($A$2:A260,A260)&gt;1,"Duplicate","Unique")</f>
        <v>Unique</v>
      </c>
      <c r="Q260" t="str">
        <f t="shared" si="8"/>
        <v>OK</v>
      </c>
      <c r="R260" t="str">
        <f t="shared" si="9"/>
        <v>Available</v>
      </c>
    </row>
    <row r="261" spans="1:18">
      <c r="A261" t="str">
        <f>TRIM(CLEAN(Raw_Data!A261))</f>
        <v>MEM0260</v>
      </c>
      <c r="B261" t="str">
        <f ca="1">TRIM(Raw_Data!B261)</f>
        <v>Priya Mathew</v>
      </c>
      <c r="C261" t="str">
        <f ca="1">_xlfn.XLOOKUP(D261, Branch_Master!A:A, Branch_Master!B:B)</f>
        <v>Trivandrum</v>
      </c>
      <c r="D261" t="str">
        <f ca="1">TRIM(Raw_Data!D261)</f>
        <v>BR06</v>
      </c>
      <c r="E261" t="str">
        <f ca="1">PROPER(TRIM(Raw_Data!E261))</f>
        <v>Premium</v>
      </c>
      <c r="F261" s="2">
        <f>IFERROR(DATEVALUE(Raw_Data!F261), Raw_Data!F261)</f>
        <v>45010</v>
      </c>
      <c r="G261" s="2">
        <f>IFERROR(
    IF(
        IFERROR(DATEVALUE(Raw_Data!G261), Raw_Data!G261) &lt;
        IFERROR(DATEVALUE(Raw_Data!F261), Raw_Data!F261),
        IFERROR(DATEVALUE(Raw_Data!F261), Raw_Data!F261) + 30,
        IFERROR(DATEVALUE(Raw_Data!G261), Raw_Data!G261)
    ),
    ""
)</f>
        <v>45375</v>
      </c>
      <c r="H261">
        <f>IFERROR(VALUE(Raw_Data!H261), "")</f>
        <v>3500</v>
      </c>
      <c r="I261">
        <f ca="1">IFERROR(VALUE(Raw_Data!I261), "")</f>
        <v>3500</v>
      </c>
      <c r="J261">
        <f>IFERROR(
    VALUE(SUBSTITUTE(Raw_Data!J261," visits","")),
    ""
)</f>
        <v>11</v>
      </c>
      <c r="K261" t="str">
        <f ca="1">IF(TRIM(Raw_Data!K261)="","No",PROPER(TRIM(Raw_Data!K261)))</f>
        <v>No</v>
      </c>
      <c r="L261" t="str">
        <f ca="1">PROPER(TRIM(Raw_Data!L261))</f>
        <v>General Fitness</v>
      </c>
      <c r="M261" t="s">
        <v>151</v>
      </c>
      <c r="N261" s="2">
        <f>IFERROR(DATEVALUE(Raw_Data!N261), Raw_Data!N261)</f>
        <v>45235</v>
      </c>
      <c r="O261" s="2"/>
      <c r="P261" t="str">
        <f>IF(COUNTIF($A$2:A261,A261)&gt;1,"Duplicate","Unique")</f>
        <v>Unique</v>
      </c>
      <c r="Q261" t="str">
        <f t="shared" si="8"/>
        <v>OK</v>
      </c>
      <c r="R261" t="str">
        <f t="shared" si="9"/>
        <v>Available</v>
      </c>
    </row>
    <row r="262" spans="1:18">
      <c r="A262" t="str">
        <f>TRIM(CLEAN(Raw_Data!A262))</f>
        <v>MEM0261</v>
      </c>
      <c r="B262" t="str">
        <f ca="1">TRIM(Raw_Data!B262)</f>
        <v>Karthik George</v>
      </c>
      <c r="C262" t="str">
        <f ca="1">_xlfn.XLOOKUP(D262, Branch_Master!A:A, Branch_Master!B:B)</f>
        <v>Chennai</v>
      </c>
      <c r="D262" t="str">
        <f ca="1">TRIM(Raw_Data!D262)</f>
        <v>BR03</v>
      </c>
      <c r="E262" t="str">
        <f ca="1">PROPER(TRIM(Raw_Data!E262))</f>
        <v>Basic</v>
      </c>
      <c r="F262" s="2">
        <f>IFERROR(DATEVALUE(Raw_Data!F262), Raw_Data!F262)</f>
        <v>45350</v>
      </c>
      <c r="G262" s="2">
        <f>IFERROR(
    IF(
        IFERROR(DATEVALUE(Raw_Data!G262), Raw_Data!G262) &lt;
        IFERROR(DATEVALUE(Raw_Data!F262), Raw_Data!F262),
        IFERROR(DATEVALUE(Raw_Data!F262), Raw_Data!F262) + 30,
        IFERROR(DATEVALUE(Raw_Data!G262), Raw_Data!G262)
    ),
    ""
)</f>
        <v>45440</v>
      </c>
      <c r="H262">
        <f>IFERROR(VALUE(Raw_Data!H262), "")</f>
        <v>2000</v>
      </c>
      <c r="I262">
        <f ca="1">IFERROR(VALUE(Raw_Data!I262), "")</f>
        <v>10000</v>
      </c>
      <c r="J262">
        <f>IFERROR(
    VALUE(SUBSTITUTE(Raw_Data!J262," visits","")),
    ""
)</f>
        <v>2</v>
      </c>
      <c r="K262" t="str">
        <f ca="1">IF(TRIM(Raw_Data!K262)="","No",PROPER(TRIM(Raw_Data!K262)))</f>
        <v>Yes</v>
      </c>
      <c r="L262" t="str">
        <f ca="1">PROPER(TRIM(Raw_Data!L262))</f>
        <v>General Fitness</v>
      </c>
      <c r="M262" t="s">
        <v>151</v>
      </c>
      <c r="N262" s="2">
        <f>IFERROR(DATEVALUE(Raw_Data!N262), Raw_Data!N262)</f>
        <v>45559</v>
      </c>
      <c r="O262" s="2"/>
      <c r="P262" t="str">
        <f>IF(COUNTIF($A$2:A262,A262)&gt;1,"Duplicate","Unique")</f>
        <v>Unique</v>
      </c>
      <c r="Q262" t="str">
        <f t="shared" si="8"/>
        <v>OK</v>
      </c>
      <c r="R262" t="str">
        <f t="shared" si="9"/>
        <v>Available</v>
      </c>
    </row>
    <row r="263" spans="1:18">
      <c r="A263" t="str">
        <f>TRIM(CLEAN(Raw_Data!A263))</f>
        <v>MEM0262</v>
      </c>
      <c r="B263" t="str">
        <f ca="1">TRIM(Raw_Data!B263)</f>
        <v>Manoj Chatterjee</v>
      </c>
      <c r="C263" t="str">
        <f ca="1">_xlfn.XLOOKUP(D263, Branch_Master!A:A, Branch_Master!B:B)</f>
        <v>Hyderabad</v>
      </c>
      <c r="D263" t="str">
        <f ca="1">TRIM(Raw_Data!D263)</f>
        <v>BR04</v>
      </c>
      <c r="E263" t="str">
        <f ca="1">PROPER(TRIM(Raw_Data!E263))</f>
        <v>Premium</v>
      </c>
      <c r="F263" s="2">
        <f>IFERROR(DATEVALUE(Raw_Data!F263), Raw_Data!F263)</f>
        <v>45433</v>
      </c>
      <c r="G263" s="2">
        <f>IFERROR(
    IF(
        IFERROR(DATEVALUE(Raw_Data!G263), Raw_Data!G263) &lt;
        IFERROR(DATEVALUE(Raw_Data!F263), Raw_Data!F263),
        IFERROR(DATEVALUE(Raw_Data!F263), Raw_Data!F263) + 30,
        IFERROR(DATEVALUE(Raw_Data!G263), Raw_Data!G263)
    ),
    ""
)</f>
        <v>45523</v>
      </c>
      <c r="H263">
        <f>IFERROR(VALUE(Raw_Data!H263), "")</f>
        <v>2000</v>
      </c>
      <c r="I263">
        <f ca="1">IFERROR(VALUE(Raw_Data!I263), "")</f>
        <v>8000</v>
      </c>
      <c r="J263">
        <f>IFERROR(
    VALUE(SUBSTITUTE(Raw_Data!J263," visits","")),
    ""
)</f>
        <v>3</v>
      </c>
      <c r="K263" t="str">
        <f ca="1">IF(TRIM(Raw_Data!K263)="","No",PROPER(TRIM(Raw_Data!K263)))</f>
        <v>No</v>
      </c>
      <c r="L263" t="str">
        <f ca="1">PROPER(TRIM(Raw_Data!L263))</f>
        <v>Muscle Gain</v>
      </c>
      <c r="M263" t="s">
        <v>152</v>
      </c>
      <c r="N263" s="2">
        <f>IFERROR(DATEVALUE(Raw_Data!N263), Raw_Data!N263)</f>
        <v>45455</v>
      </c>
      <c r="O263" s="2"/>
      <c r="P263" t="str">
        <f>IF(COUNTIF($A$2:A263,A263)&gt;1,"Duplicate","Unique")</f>
        <v>Unique</v>
      </c>
      <c r="Q263" t="str">
        <f t="shared" si="8"/>
        <v>Cancelled but Active</v>
      </c>
      <c r="R263" t="str">
        <f t="shared" si="9"/>
        <v>Available</v>
      </c>
    </row>
    <row r="264" spans="1:18">
      <c r="A264" t="str">
        <f>TRIM(CLEAN(Raw_Data!A264))</f>
        <v>MEM0263</v>
      </c>
      <c r="B264" t="str">
        <f ca="1">TRIM(Raw_Data!B264)</f>
        <v>Harish Shaikh</v>
      </c>
      <c r="C264" t="str">
        <f ca="1">_xlfn.XLOOKUP(D264, Branch_Master!A:A, Branch_Master!B:B)</f>
        <v>Mumbai</v>
      </c>
      <c r="D264" t="str">
        <f ca="1">TRIM(Raw_Data!D264)</f>
        <v>BR05</v>
      </c>
      <c r="E264" t="str">
        <f ca="1">PROPER(TRIM(Raw_Data!E264))</f>
        <v>Standard</v>
      </c>
      <c r="F264" s="2">
        <f>IFERROR(DATEVALUE(Raw_Data!F264), Raw_Data!F264)</f>
        <v>45016</v>
      </c>
      <c r="G264" s="2">
        <f>IFERROR(
    IF(
        IFERROR(DATEVALUE(Raw_Data!G264), Raw_Data!G264) &lt;
        IFERROR(DATEVALUE(Raw_Data!F264), Raw_Data!F264),
        IFERROR(DATEVALUE(Raw_Data!F264), Raw_Data!F264) + 30,
        IFERROR(DATEVALUE(Raw_Data!G264), Raw_Data!G264)
    ),
    ""
)</f>
        <v>45106</v>
      </c>
      <c r="H264">
        <f>IFERROR(VALUE(Raw_Data!H264), "")</f>
        <v>2000</v>
      </c>
      <c r="I264">
        <f ca="1">IFERROR(VALUE(Raw_Data!I264), "")</f>
        <v>12000</v>
      </c>
      <c r="J264">
        <f>IFERROR(
    VALUE(SUBSTITUTE(Raw_Data!J264," visits","")),
    ""
)</f>
        <v>18</v>
      </c>
      <c r="K264" t="str">
        <f ca="1">IF(TRIM(Raw_Data!K264)="","No",PROPER(TRIM(Raw_Data!K264)))</f>
        <v>No</v>
      </c>
      <c r="L264" t="str">
        <f ca="1">PROPER(TRIM(Raw_Data!L264))</f>
        <v>Muscle Gain</v>
      </c>
      <c r="M264" t="s">
        <v>151</v>
      </c>
      <c r="N264" s="2">
        <f>IFERROR(DATEVALUE(Raw_Data!N264), Raw_Data!N264)</f>
        <v>45592</v>
      </c>
      <c r="O264" s="2"/>
      <c r="P264" t="str">
        <f>IF(COUNTIF($A$2:A264,A264)&gt;1,"Duplicate","Unique")</f>
        <v>Unique</v>
      </c>
      <c r="Q264" t="str">
        <f t="shared" si="8"/>
        <v>OK</v>
      </c>
      <c r="R264" t="str">
        <f t="shared" si="9"/>
        <v>Available</v>
      </c>
    </row>
    <row r="265" spans="1:18">
      <c r="A265" t="str">
        <f>TRIM(CLEAN(Raw_Data!A265))</f>
        <v>MEM0264</v>
      </c>
      <c r="B265" t="str">
        <f ca="1">TRIM(Raw_Data!B265)</f>
        <v>Tanvi Joshi</v>
      </c>
      <c r="C265" t="str">
        <f ca="1">_xlfn.XLOOKUP(D265, Branch_Master!A:A, Branch_Master!B:B)</f>
        <v>Hyderabad</v>
      </c>
      <c r="D265" t="str">
        <f ca="1">TRIM(Raw_Data!D265)</f>
        <v>BR04</v>
      </c>
      <c r="E265" t="str">
        <f ca="1">PROPER(TRIM(Raw_Data!E265))</f>
        <v>Basic</v>
      </c>
      <c r="F265" s="2">
        <f>IFERROR(DATEVALUE(Raw_Data!F265), Raw_Data!F265)</f>
        <v>45886</v>
      </c>
      <c r="G265" s="2">
        <f>IFERROR(
    IF(
        IFERROR(DATEVALUE(Raw_Data!G265), Raw_Data!G265) &lt;
        IFERROR(DATEVALUE(Raw_Data!F265), Raw_Data!F265),
        IFERROR(DATEVALUE(Raw_Data!F265), Raw_Data!F265) + 30,
        IFERROR(DATEVALUE(Raw_Data!G265), Raw_Data!G265)
    ),
    ""
)</f>
        <v>46251</v>
      </c>
      <c r="H265">
        <f>IFERROR(VALUE(Raw_Data!H265), "")</f>
        <v>1000</v>
      </c>
      <c r="I265">
        <f ca="1">IFERROR(VALUE(Raw_Data!I265), "")</f>
        <v>2000</v>
      </c>
      <c r="J265">
        <f>IFERROR(
    VALUE(SUBSTITUTE(Raw_Data!J265," visits","")),
    ""
)</f>
        <v>1</v>
      </c>
      <c r="K265" t="str">
        <f ca="1">IF(TRIM(Raw_Data!K265)="","No",PROPER(TRIM(Raw_Data!K265)))</f>
        <v>Yes</v>
      </c>
      <c r="L265" t="str">
        <f ca="1">PROPER(TRIM(Raw_Data!L265))</f>
        <v>Weight Loss</v>
      </c>
      <c r="M265" t="s">
        <v>152</v>
      </c>
      <c r="N265" s="2">
        <f>IFERROR(DATEVALUE(Raw_Data!N265), Raw_Data!N265)</f>
        <v>45997</v>
      </c>
      <c r="O265" s="2"/>
      <c r="P265" t="str">
        <f>IF(COUNTIF($A$2:A265,A265)&gt;1,"Duplicate","Unique")</f>
        <v>Unique</v>
      </c>
      <c r="Q265" t="str">
        <f t="shared" si="8"/>
        <v>Cancelled but Active</v>
      </c>
      <c r="R265" t="str">
        <f t="shared" si="9"/>
        <v>Available</v>
      </c>
    </row>
    <row r="266" spans="1:18">
      <c r="A266" t="str">
        <f>TRIM(CLEAN(Raw_Data!A266))</f>
        <v>MEM0265</v>
      </c>
      <c r="B266" t="str">
        <f ca="1">TRIM(Raw_Data!B266)</f>
        <v>Harish Desai</v>
      </c>
      <c r="C266" t="str">
        <f ca="1">_xlfn.XLOOKUP(D266, Branch_Master!A:A, Branch_Master!B:B)</f>
        <v>Chennai</v>
      </c>
      <c r="D266" t="str">
        <f ca="1">TRIM(Raw_Data!D266)</f>
        <v>BR03</v>
      </c>
      <c r="E266" t="str">
        <f ca="1">PROPER(TRIM(Raw_Data!E266))</f>
        <v>Standard</v>
      </c>
      <c r="F266" s="2">
        <f>IFERROR(DATEVALUE(Raw_Data!F266), Raw_Data!F266)</f>
        <v>44927</v>
      </c>
      <c r="G266" s="2">
        <f>IFERROR(
    IF(
        IFERROR(DATEVALUE(Raw_Data!G266), Raw_Data!G266) &lt;
        IFERROR(DATEVALUE(Raw_Data!F266), Raw_Data!F266),
        IFERROR(DATEVALUE(Raw_Data!F266), Raw_Data!F266) + 30,
        IFERROR(DATEVALUE(Raw_Data!G266), Raw_Data!G266)
    ),
    ""
)</f>
        <v>45017</v>
      </c>
      <c r="H266">
        <f>IFERROR(VALUE(Raw_Data!H266), "")</f>
        <v>1000</v>
      </c>
      <c r="I266">
        <f ca="1">IFERROR(VALUE(Raw_Data!I266), "")</f>
        <v>9000</v>
      </c>
      <c r="J266">
        <f>IFERROR(
    VALUE(SUBSTITUTE(Raw_Data!J266," visits","")),
    ""
)</f>
        <v>4</v>
      </c>
      <c r="K266" t="str">
        <f ca="1">IF(TRIM(Raw_Data!K266)="","No",PROPER(TRIM(Raw_Data!K266)))</f>
        <v>No</v>
      </c>
      <c r="L266" t="str">
        <f ca="1">PROPER(TRIM(Raw_Data!L266))</f>
        <v>Weight Loss</v>
      </c>
      <c r="M266" t="s">
        <v>151</v>
      </c>
      <c r="N266" s="2">
        <f>IFERROR(DATEVALUE(Raw_Data!N266), Raw_Data!N266)</f>
        <v>45218</v>
      </c>
      <c r="O266" s="2"/>
      <c r="P266" t="str">
        <f>IF(COUNTIF($A$2:A266,A266)&gt;1,"Duplicate","Unique")</f>
        <v>Unique</v>
      </c>
      <c r="Q266" t="str">
        <f t="shared" si="8"/>
        <v>OK</v>
      </c>
      <c r="R266" t="str">
        <f t="shared" si="9"/>
        <v>Available</v>
      </c>
    </row>
    <row r="267" spans="1:18">
      <c r="A267" t="str">
        <f>TRIM(CLEAN(Raw_Data!A267))</f>
        <v>MEM0266</v>
      </c>
      <c r="B267" t="str">
        <f ca="1">TRIM(Raw_Data!B267)</f>
        <v>Lakshmi George</v>
      </c>
      <c r="C267" t="str">
        <f ca="1">_xlfn.XLOOKUP(D267, Branch_Master!A:A, Branch_Master!B:B)</f>
        <v>Chennai</v>
      </c>
      <c r="D267" t="str">
        <f ca="1">TRIM(Raw_Data!D267)</f>
        <v>BR03</v>
      </c>
      <c r="E267" t="str">
        <f ca="1">PROPER(TRIM(Raw_Data!E267))</f>
        <v>Basic</v>
      </c>
      <c r="F267" s="2">
        <f>IFERROR(DATEVALUE(Raw_Data!F267), Raw_Data!F267)</f>
        <v>45633</v>
      </c>
      <c r="G267" s="2">
        <f>IFERROR(
    IF(
        IFERROR(DATEVALUE(Raw_Data!G267), Raw_Data!G267) &lt;
        IFERROR(DATEVALUE(Raw_Data!F267), Raw_Data!F267),
        IFERROR(DATEVALUE(Raw_Data!F267), Raw_Data!F267) + 30,
        IFERROR(DATEVALUE(Raw_Data!G267), Raw_Data!G267)
    ),
    ""
)</f>
        <v>45998</v>
      </c>
      <c r="H267">
        <f>IFERROR(VALUE(Raw_Data!H267), "")</f>
        <v>3500</v>
      </c>
      <c r="I267">
        <f ca="1">IFERROR(VALUE(Raw_Data!I267), "")</f>
        <v>21000</v>
      </c>
      <c r="J267">
        <f>IFERROR(
    VALUE(SUBSTITUTE(Raw_Data!J267," visits","")),
    ""
)</f>
        <v>5</v>
      </c>
      <c r="K267" t="str">
        <f ca="1">IF(TRIM(Raw_Data!K267)="","No",PROPER(TRIM(Raw_Data!K267)))</f>
        <v>Yes</v>
      </c>
      <c r="L267" t="str">
        <f ca="1">PROPER(TRIM(Raw_Data!L267))</f>
        <v>Muscle Gain</v>
      </c>
      <c r="M267" t="s">
        <v>151</v>
      </c>
      <c r="N267" s="2">
        <f>IFERROR(DATEVALUE(Raw_Data!N267), Raw_Data!N267)</f>
        <v>45764</v>
      </c>
      <c r="O267" s="2"/>
      <c r="P267" t="str">
        <f>IF(COUNTIF($A$2:A267,A267)&gt;1,"Duplicate","Unique")</f>
        <v>Unique</v>
      </c>
      <c r="Q267" t="str">
        <f t="shared" si="8"/>
        <v>OK</v>
      </c>
      <c r="R267" t="str">
        <f t="shared" si="9"/>
        <v>Available</v>
      </c>
    </row>
    <row r="268" spans="1:18">
      <c r="A268" t="str">
        <f>TRIM(CLEAN(Raw_Data!A268))</f>
        <v>MEM0267</v>
      </c>
      <c r="B268" t="str">
        <f ca="1">TRIM(Raw_Data!B268)</f>
        <v>Akash Iyer</v>
      </c>
      <c r="C268" t="str">
        <f ca="1">_xlfn.XLOOKUP(D268, Branch_Master!A:A, Branch_Master!B:B)</f>
        <v>Hyderabad</v>
      </c>
      <c r="D268" t="str">
        <f ca="1">TRIM(Raw_Data!D268)</f>
        <v>BR04</v>
      </c>
      <c r="E268" t="str">
        <f ca="1">PROPER(TRIM(Raw_Data!E268))</f>
        <v>Standard</v>
      </c>
      <c r="F268" s="2">
        <f>IFERROR(DATEVALUE(Raw_Data!F268), Raw_Data!F268)</f>
        <v>45409</v>
      </c>
      <c r="G268" s="2">
        <f>IFERROR(
    IF(
        IFERROR(DATEVALUE(Raw_Data!G268), Raw_Data!G268) &lt;
        IFERROR(DATEVALUE(Raw_Data!F268), Raw_Data!F268),
        IFERROR(DATEVALUE(Raw_Data!F268), Raw_Data!F268) + 30,
        IFERROR(DATEVALUE(Raw_Data!G268), Raw_Data!G268)
    ),
    ""
)</f>
        <v>45439</v>
      </c>
      <c r="H268">
        <f>IFERROR(VALUE(Raw_Data!H268), "")</f>
        <v>3500</v>
      </c>
      <c r="I268">
        <f ca="1">IFERROR(VALUE(Raw_Data!I268), "")</f>
        <v>17500</v>
      </c>
      <c r="J268">
        <f>IFERROR(
    VALUE(SUBSTITUTE(Raw_Data!J268," visits","")),
    ""
)</f>
        <v>25</v>
      </c>
      <c r="K268" t="str">
        <f ca="1">IF(TRIM(Raw_Data!K268)="","No",PROPER(TRIM(Raw_Data!K268)))</f>
        <v>Yes</v>
      </c>
      <c r="L268" t="str">
        <f ca="1">PROPER(TRIM(Raw_Data!L268))</f>
        <v>Muscle Gain</v>
      </c>
      <c r="M268" t="s">
        <v>151</v>
      </c>
      <c r="N268" s="2">
        <f>IFERROR(DATEVALUE(Raw_Data!N268), Raw_Data!N268)</f>
        <v>46049</v>
      </c>
      <c r="O268" s="2"/>
      <c r="P268" t="str">
        <f>IF(COUNTIF($A$2:A268,A268)&gt;1,"Duplicate","Unique")</f>
        <v>Unique</v>
      </c>
      <c r="Q268" t="str">
        <f t="shared" si="8"/>
        <v>OK</v>
      </c>
      <c r="R268" t="str">
        <f t="shared" si="9"/>
        <v>Available</v>
      </c>
    </row>
    <row r="269" spans="1:18">
      <c r="A269" t="str">
        <f>TRIM(CLEAN(Raw_Data!A269))</f>
        <v>MEM0268</v>
      </c>
      <c r="B269" t="str">
        <f ca="1">TRIM(Raw_Data!B269)</f>
        <v>Riya Joshi</v>
      </c>
      <c r="C269" t="str">
        <f ca="1">_xlfn.XLOOKUP(D269, Branch_Master!A:A, Branch_Master!B:B)</f>
        <v>Bangalore</v>
      </c>
      <c r="D269" t="str">
        <f ca="1">TRIM(Raw_Data!D269)</f>
        <v>BR02</v>
      </c>
      <c r="E269" t="str">
        <f ca="1">PROPER(TRIM(Raw_Data!E269))</f>
        <v>Basic</v>
      </c>
      <c r="F269" s="2">
        <f>IFERROR(DATEVALUE(Raw_Data!F269), Raw_Data!F269)</f>
        <v>45342</v>
      </c>
      <c r="G269" s="2">
        <f>IFERROR(
    IF(
        IFERROR(DATEVALUE(Raw_Data!G269), Raw_Data!G269) &lt;
        IFERROR(DATEVALUE(Raw_Data!F269), Raw_Data!F269),
        IFERROR(DATEVALUE(Raw_Data!F269), Raw_Data!F269) + 30,
        IFERROR(DATEVALUE(Raw_Data!G269), Raw_Data!G269)
    ),
    ""
)</f>
        <v>45707</v>
      </c>
      <c r="H269">
        <f>IFERROR(VALUE(Raw_Data!H269), "")</f>
        <v>3500</v>
      </c>
      <c r="I269">
        <f ca="1">IFERROR(VALUE(Raw_Data!I269), "")</f>
        <v>3500</v>
      </c>
      <c r="J269">
        <f>IFERROR(
    VALUE(SUBSTITUTE(Raw_Data!J269," visits","")),
    ""
)</f>
        <v>17</v>
      </c>
      <c r="K269" t="str">
        <f ca="1">IF(TRIM(Raw_Data!K269)="","No",PROPER(TRIM(Raw_Data!K269)))</f>
        <v>No</v>
      </c>
      <c r="L269" t="str">
        <f ca="1">PROPER(TRIM(Raw_Data!L269))</f>
        <v>Weight Loss</v>
      </c>
      <c r="M269" t="s">
        <v>151</v>
      </c>
      <c r="N269" s="2">
        <f>IFERROR(DATEVALUE(Raw_Data!N269), Raw_Data!N269)</f>
        <v>46012</v>
      </c>
      <c r="O269" s="2"/>
      <c r="P269" t="str">
        <f>IF(COUNTIF($A$2:A269,A269)&gt;1,"Duplicate","Unique")</f>
        <v>Unique</v>
      </c>
      <c r="Q269" t="str">
        <f t="shared" si="8"/>
        <v>OK</v>
      </c>
      <c r="R269" t="str">
        <f t="shared" si="9"/>
        <v>Available</v>
      </c>
    </row>
    <row r="270" spans="1:18">
      <c r="A270" t="str">
        <f>TRIM(CLEAN(Raw_Data!A270))</f>
        <v>MEM0269</v>
      </c>
      <c r="B270" t="str">
        <f ca="1">TRIM(Raw_Data!B270)</f>
        <v>Zara Joseph</v>
      </c>
      <c r="C270" t="str">
        <f ca="1">_xlfn.XLOOKUP(D270, Branch_Master!A:A, Branch_Master!B:B)</f>
        <v>Trivandrum</v>
      </c>
      <c r="D270" t="str">
        <f ca="1">TRIM(Raw_Data!D270)</f>
        <v>BR06</v>
      </c>
      <c r="E270" t="str">
        <f ca="1">PROPER(TRIM(Raw_Data!E270))</f>
        <v>Basic</v>
      </c>
      <c r="F270" s="2">
        <f>IFERROR(DATEVALUE(Raw_Data!F270), Raw_Data!F270)</f>
        <v>45038</v>
      </c>
      <c r="G270" s="2">
        <f>IFERROR(
    IF(
        IFERROR(DATEVALUE(Raw_Data!G270), Raw_Data!G270) &lt;
        IFERROR(DATEVALUE(Raw_Data!F270), Raw_Data!F270),
        IFERROR(DATEVALUE(Raw_Data!F270), Raw_Data!F270) + 30,
        IFERROR(DATEVALUE(Raw_Data!G270), Raw_Data!G270)
    ),
    ""
)</f>
        <v>45128</v>
      </c>
      <c r="H270">
        <f>IFERROR(VALUE(Raw_Data!H270), "")</f>
        <v>1000</v>
      </c>
      <c r="I270">
        <f ca="1">IFERROR(VALUE(Raw_Data!I270), "")</f>
        <v>5000</v>
      </c>
      <c r="J270">
        <f>IFERROR(
    VALUE(SUBSTITUTE(Raw_Data!J270," visits","")),
    ""
)</f>
        <v>6</v>
      </c>
      <c r="K270" t="str">
        <f ca="1">IF(TRIM(Raw_Data!K270)="","No",PROPER(TRIM(Raw_Data!K270)))</f>
        <v>No</v>
      </c>
      <c r="L270" t="str">
        <f ca="1">PROPER(TRIM(Raw_Data!L270))</f>
        <v>General Fitness</v>
      </c>
      <c r="M270" t="s">
        <v>151</v>
      </c>
      <c r="N270" s="2">
        <f>IFERROR(DATEVALUE(Raw_Data!N270), Raw_Data!N270)</f>
        <v>46074</v>
      </c>
      <c r="O270" s="2"/>
      <c r="P270" t="str">
        <f>IF(COUNTIF($A$2:A270,A270)&gt;1,"Duplicate","Unique")</f>
        <v>Unique</v>
      </c>
      <c r="Q270" t="str">
        <f t="shared" si="8"/>
        <v>OK</v>
      </c>
      <c r="R270" t="str">
        <f t="shared" si="9"/>
        <v>Available</v>
      </c>
    </row>
    <row r="271" spans="1:18">
      <c r="A271" t="str">
        <f>TRIM(CLEAN(Raw_Data!A271))</f>
        <v>MEM0270</v>
      </c>
      <c r="B271" t="str">
        <f ca="1">TRIM(Raw_Data!B271)</f>
        <v>Akash Thomas</v>
      </c>
      <c r="C271" t="str">
        <f ca="1">_xlfn.XLOOKUP(D271, Branch_Master!A:A, Branch_Master!B:B)</f>
        <v>Mumbai</v>
      </c>
      <c r="D271" t="str">
        <f ca="1">TRIM(Raw_Data!D271)</f>
        <v>BR05</v>
      </c>
      <c r="E271" t="str">
        <f ca="1">PROPER(TRIM(Raw_Data!E271))</f>
        <v>Premium</v>
      </c>
      <c r="F271" s="2">
        <f>IFERROR(DATEVALUE(Raw_Data!F271), Raw_Data!F271)</f>
        <v>45447</v>
      </c>
      <c r="G271" s="2">
        <f>IFERROR(
    IF(
        IFERROR(DATEVALUE(Raw_Data!G271), Raw_Data!G271) &lt;
        IFERROR(DATEVALUE(Raw_Data!F271), Raw_Data!F271),
        IFERROR(DATEVALUE(Raw_Data!F271), Raw_Data!F271) + 30,
        IFERROR(DATEVALUE(Raw_Data!G271), Raw_Data!G271)
    ),
    ""
)</f>
        <v>45477</v>
      </c>
      <c r="H271">
        <f>IFERROR(VALUE(Raw_Data!H271), "")</f>
        <v>2000</v>
      </c>
      <c r="I271">
        <f ca="1">IFERROR(VALUE(Raw_Data!I271), "")</f>
        <v>8000</v>
      </c>
      <c r="J271">
        <f>IFERROR(
    VALUE(SUBSTITUTE(Raw_Data!J271," visits","")),
    ""
)</f>
        <v>15</v>
      </c>
      <c r="K271" t="str">
        <f ca="1">IF(TRIM(Raw_Data!K271)="","No",PROPER(TRIM(Raw_Data!K271)))</f>
        <v>Yes</v>
      </c>
      <c r="L271" t="str">
        <f ca="1">PROPER(TRIM(Raw_Data!L271))</f>
        <v>Weight Loss</v>
      </c>
      <c r="M271" t="s">
        <v>151</v>
      </c>
      <c r="N271" s="2">
        <f>IFERROR(DATEVALUE(Raw_Data!N271), Raw_Data!N271)</f>
        <v>45982</v>
      </c>
      <c r="O271" s="2"/>
      <c r="P271" t="str">
        <f>IF(COUNTIF($A$2:A271,A271)&gt;1,"Duplicate","Unique")</f>
        <v>Unique</v>
      </c>
      <c r="Q271" t="str">
        <f t="shared" si="8"/>
        <v>OK</v>
      </c>
      <c r="R271" t="str">
        <f t="shared" si="9"/>
        <v>Available</v>
      </c>
    </row>
    <row r="272" spans="1:18">
      <c r="A272" t="str">
        <f>TRIM(CLEAN(Raw_Data!A272))</f>
        <v>MEM0271</v>
      </c>
      <c r="B272" t="str">
        <f ca="1">TRIM(Raw_Data!B272)</f>
        <v>Divya George</v>
      </c>
      <c r="C272" t="str">
        <f ca="1">_xlfn.XLOOKUP(D272, Branch_Master!A:A, Branch_Master!B:B)</f>
        <v>Chennai</v>
      </c>
      <c r="D272" t="str">
        <f ca="1">TRIM(Raw_Data!D272)</f>
        <v>BR03</v>
      </c>
      <c r="E272" t="str">
        <f ca="1">PROPER(TRIM(Raw_Data!E272))</f>
        <v>Standard</v>
      </c>
      <c r="F272" s="2">
        <f>IFERROR(DATEVALUE(Raw_Data!F272), Raw_Data!F272)</f>
        <v>45457</v>
      </c>
      <c r="G272" s="2">
        <f>IFERROR(
    IF(
        IFERROR(DATEVALUE(Raw_Data!G272), Raw_Data!G272) &lt;
        IFERROR(DATEVALUE(Raw_Data!F272), Raw_Data!F272),
        IFERROR(DATEVALUE(Raw_Data!F272), Raw_Data!F272) + 30,
        IFERROR(DATEVALUE(Raw_Data!G272), Raw_Data!G272)
    ),
    ""
)</f>
        <v>45547</v>
      </c>
      <c r="H272">
        <f>IFERROR(VALUE(Raw_Data!H272), "")</f>
        <v>2000</v>
      </c>
      <c r="I272">
        <f ca="1">IFERROR(VALUE(Raw_Data!I272), "")</f>
        <v>8000</v>
      </c>
      <c r="J272">
        <f>IFERROR(
    VALUE(SUBSTITUTE(Raw_Data!J272," visits","")),
    ""
)</f>
        <v>17</v>
      </c>
      <c r="K272" t="str">
        <f ca="1">IF(TRIM(Raw_Data!K272)="","No",PROPER(TRIM(Raw_Data!K272)))</f>
        <v>No</v>
      </c>
      <c r="L272" t="str">
        <f ca="1">PROPER(TRIM(Raw_Data!L272))</f>
        <v>Muscle Gain</v>
      </c>
      <c r="M272" t="s">
        <v>151</v>
      </c>
      <c r="N272" s="2">
        <f>IFERROR(DATEVALUE(Raw_Data!N272), Raw_Data!N272)</f>
        <v>45883</v>
      </c>
      <c r="O272" s="2"/>
      <c r="P272" t="str">
        <f>IF(COUNTIF($A$2:A272,A272)&gt;1,"Duplicate","Unique")</f>
        <v>Unique</v>
      </c>
      <c r="Q272" t="str">
        <f t="shared" si="8"/>
        <v>OK</v>
      </c>
      <c r="R272" t="str">
        <f t="shared" si="9"/>
        <v>Available</v>
      </c>
    </row>
    <row r="273" spans="1:18">
      <c r="A273" t="str">
        <f>TRIM(CLEAN(Raw_Data!A273))</f>
        <v>MEM0272</v>
      </c>
      <c r="B273" t="str">
        <f ca="1">TRIM(Raw_Data!B273)</f>
        <v>Akash Malhotra</v>
      </c>
      <c r="C273" t="str">
        <f ca="1">_xlfn.XLOOKUP(D273, Branch_Master!A:A, Branch_Master!B:B)</f>
        <v>Bangalore</v>
      </c>
      <c r="D273" t="str">
        <f ca="1">TRIM(Raw_Data!D273)</f>
        <v>BR02</v>
      </c>
      <c r="E273" t="str">
        <f ca="1">PROPER(TRIM(Raw_Data!E273))</f>
        <v>Basic</v>
      </c>
      <c r="F273" s="2">
        <f>IFERROR(DATEVALUE(Raw_Data!F273), Raw_Data!F273)</f>
        <v>45220</v>
      </c>
      <c r="G273" s="2">
        <f>IFERROR(
    IF(
        IFERROR(DATEVALUE(Raw_Data!G273), Raw_Data!G273) &lt;
        IFERROR(DATEVALUE(Raw_Data!F273), Raw_Data!F273),
        IFERROR(DATEVALUE(Raw_Data!F273), Raw_Data!F273) + 30,
        IFERROR(DATEVALUE(Raw_Data!G273), Raw_Data!G273)
    ),
    ""
)</f>
        <v>45310</v>
      </c>
      <c r="H273">
        <f>IFERROR(VALUE(Raw_Data!H273), "")</f>
        <v>1000</v>
      </c>
      <c r="I273">
        <f ca="1">IFERROR(VALUE(Raw_Data!I273), "")</f>
        <v>10000</v>
      </c>
      <c r="J273">
        <f>IFERROR(
    VALUE(SUBSTITUTE(Raw_Data!J273," visits","")),
    ""
)</f>
        <v>8</v>
      </c>
      <c r="K273" t="str">
        <f ca="1">IF(TRIM(Raw_Data!K273)="","No",PROPER(TRIM(Raw_Data!K273)))</f>
        <v>No</v>
      </c>
      <c r="L273" t="str">
        <f ca="1">PROPER(TRIM(Raw_Data!L273))</f>
        <v>General Fitness</v>
      </c>
      <c r="M273" t="s">
        <v>151</v>
      </c>
      <c r="N273" s="2">
        <f>IFERROR(DATEVALUE(Raw_Data!N273), Raw_Data!N273)</f>
        <v>45658</v>
      </c>
      <c r="O273" s="2"/>
      <c r="P273" t="str">
        <f>IF(COUNTIF($A$2:A273,A273)&gt;1,"Duplicate","Unique")</f>
        <v>Unique</v>
      </c>
      <c r="Q273" t="str">
        <f t="shared" si="8"/>
        <v>OK</v>
      </c>
      <c r="R273" t="str">
        <f t="shared" si="9"/>
        <v>Available</v>
      </c>
    </row>
    <row r="274" spans="1:18">
      <c r="A274" t="str">
        <f>TRIM(CLEAN(Raw_Data!A274))</f>
        <v>MEM0273</v>
      </c>
      <c r="B274" t="str">
        <f ca="1">TRIM(Raw_Data!B274)</f>
        <v>Aditya Fernandes</v>
      </c>
      <c r="C274" t="str">
        <f ca="1">_xlfn.XLOOKUP(D274, Branch_Master!A:A, Branch_Master!B:B)</f>
        <v>Calicut</v>
      </c>
      <c r="D274" t="str">
        <f ca="1">TRIM(Raw_Data!D274)</f>
        <v>BR07</v>
      </c>
      <c r="E274" t="str">
        <f ca="1">PROPER(TRIM(Raw_Data!E274))</f>
        <v>Basic</v>
      </c>
      <c r="F274" s="2">
        <f>IFERROR(DATEVALUE(Raw_Data!F274), Raw_Data!F274)</f>
        <v>46016</v>
      </c>
      <c r="G274" s="2">
        <f>IFERROR(
    IF(
        IFERROR(DATEVALUE(Raw_Data!G274), Raw_Data!G274) &lt;
        IFERROR(DATEVALUE(Raw_Data!F274), Raw_Data!F274),
        IFERROR(DATEVALUE(Raw_Data!F274), Raw_Data!F274) + 30,
        IFERROR(DATEVALUE(Raw_Data!G274), Raw_Data!G274)
    ),
    ""
)</f>
        <v>46381</v>
      </c>
      <c r="H274">
        <f>IFERROR(VALUE(Raw_Data!H274), "")</f>
        <v>2000</v>
      </c>
      <c r="I274">
        <f ca="1">IFERROR(VALUE(Raw_Data!I274), "")</f>
        <v>24000</v>
      </c>
      <c r="J274">
        <f>IFERROR(
    VALUE(SUBSTITUTE(Raw_Data!J274," visits","")),
    ""
)</f>
        <v>4</v>
      </c>
      <c r="K274" t="str">
        <f ca="1">IF(TRIM(Raw_Data!K274)="","No",PROPER(TRIM(Raw_Data!K274)))</f>
        <v>No</v>
      </c>
      <c r="L274" t="str">
        <f ca="1">PROPER(TRIM(Raw_Data!L274))</f>
        <v>Muscle Gain</v>
      </c>
      <c r="M274" t="s">
        <v>152</v>
      </c>
      <c r="N274" s="2">
        <f>IFERROR(DATEVALUE(Raw_Data!N274), Raw_Data!N274)</f>
        <v>46057</v>
      </c>
      <c r="O274" s="2"/>
      <c r="P274" t="str">
        <f>IF(COUNTIF($A$2:A274,A274)&gt;1,"Duplicate","Unique")</f>
        <v>Unique</v>
      </c>
      <c r="Q274" t="str">
        <f t="shared" si="8"/>
        <v>Cancelled but Active</v>
      </c>
      <c r="R274" t="str">
        <f t="shared" si="9"/>
        <v>Available</v>
      </c>
    </row>
    <row r="275" spans="1:18">
      <c r="A275" t="str">
        <f>TRIM(CLEAN(Raw_Data!A275))</f>
        <v>MEM0274</v>
      </c>
      <c r="B275" t="str">
        <f ca="1">TRIM(Raw_Data!B275)</f>
        <v>Deepak Singh</v>
      </c>
      <c r="C275" t="str">
        <f ca="1">_xlfn.XLOOKUP(D275, Branch_Master!A:A, Branch_Master!B:B)</f>
        <v>Trivandrum</v>
      </c>
      <c r="D275" t="str">
        <f ca="1">TRIM(Raw_Data!D275)</f>
        <v>BR06</v>
      </c>
      <c r="E275" t="str">
        <f ca="1">PROPER(TRIM(Raw_Data!E275))</f>
        <v>Premium</v>
      </c>
      <c r="F275" s="2">
        <f>IFERROR(DATEVALUE(Raw_Data!F275), Raw_Data!F275)</f>
        <v>45085</v>
      </c>
      <c r="G275" s="2">
        <f>IFERROR(
    IF(
        IFERROR(DATEVALUE(Raw_Data!G275), Raw_Data!G275) &lt;
        IFERROR(DATEVALUE(Raw_Data!F275), Raw_Data!F275),
        IFERROR(DATEVALUE(Raw_Data!F275), Raw_Data!F275) + 30,
        IFERROR(DATEVALUE(Raw_Data!G275), Raw_Data!G275)
    ),
    ""
)</f>
        <v>45175</v>
      </c>
      <c r="H275">
        <f>IFERROR(VALUE(Raw_Data!H275), "")</f>
        <v>1000</v>
      </c>
      <c r="I275">
        <f ca="1">IFERROR(VALUE(Raw_Data!I275), "")</f>
        <v>7000</v>
      </c>
      <c r="J275">
        <f>IFERROR(
    VALUE(SUBSTITUTE(Raw_Data!J275," visits","")),
    ""
)</f>
        <v>4</v>
      </c>
      <c r="K275" t="str">
        <f ca="1">IF(TRIM(Raw_Data!K275)="","No",PROPER(TRIM(Raw_Data!K275)))</f>
        <v>No</v>
      </c>
      <c r="L275" t="str">
        <f ca="1">PROPER(TRIM(Raw_Data!L275))</f>
        <v>Weight Loss</v>
      </c>
      <c r="M275" t="s">
        <v>151</v>
      </c>
      <c r="N275" s="2">
        <f>IFERROR(DATEVALUE(Raw_Data!N275), Raw_Data!N275)</f>
        <v>45725</v>
      </c>
      <c r="O275" s="2"/>
      <c r="P275" t="str">
        <f>IF(COUNTIF($A$2:A275,A275)&gt;1,"Duplicate","Unique")</f>
        <v>Unique</v>
      </c>
      <c r="Q275" t="str">
        <f t="shared" si="8"/>
        <v>OK</v>
      </c>
      <c r="R275" t="str">
        <f t="shared" si="9"/>
        <v>Available</v>
      </c>
    </row>
    <row r="276" spans="1:18">
      <c r="A276" t="str">
        <f>TRIM(CLEAN(Raw_Data!A276))</f>
        <v>MEM0275</v>
      </c>
      <c r="B276" t="str">
        <f ca="1">TRIM(Raw_Data!B276)</f>
        <v>Swathi Iyer</v>
      </c>
      <c r="C276" t="str">
        <f ca="1">_xlfn.XLOOKUP(D276, Branch_Master!A:A, Branch_Master!B:B)</f>
        <v>Mumbai</v>
      </c>
      <c r="D276" t="str">
        <f ca="1">TRIM(Raw_Data!D276)</f>
        <v>BR05</v>
      </c>
      <c r="E276" t="str">
        <f ca="1">PROPER(TRIM(Raw_Data!E276))</f>
        <v>Basic</v>
      </c>
      <c r="F276" s="2">
        <f>IFERROR(DATEVALUE(Raw_Data!F276), Raw_Data!F276)</f>
        <v>45133</v>
      </c>
      <c r="G276" s="2">
        <f>IFERROR(
    IF(
        IFERROR(DATEVALUE(Raw_Data!G276), Raw_Data!G276) &lt;
        IFERROR(DATEVALUE(Raw_Data!F276), Raw_Data!F276),
        IFERROR(DATEVALUE(Raw_Data!F276), Raw_Data!F276) + 30,
        IFERROR(DATEVALUE(Raw_Data!G276), Raw_Data!G276)
    ),
    ""
)</f>
        <v>45498</v>
      </c>
      <c r="H276">
        <f>IFERROR(VALUE(Raw_Data!H276), "")</f>
        <v>1000</v>
      </c>
      <c r="I276">
        <f ca="1">IFERROR(VALUE(Raw_Data!I276), "")</f>
        <v>3000</v>
      </c>
      <c r="J276">
        <f>IFERROR(
    VALUE(SUBSTITUTE(Raw_Data!J276," visits","")),
    ""
)</f>
        <v>8</v>
      </c>
      <c r="K276" t="str">
        <f ca="1">IF(TRIM(Raw_Data!K276)="","No",PROPER(TRIM(Raw_Data!K276)))</f>
        <v>No</v>
      </c>
      <c r="L276" t="str">
        <f ca="1">PROPER(TRIM(Raw_Data!L276))</f>
        <v>Weight Loss</v>
      </c>
      <c r="M276" t="s">
        <v>151</v>
      </c>
      <c r="N276" s="2">
        <f>IFERROR(DATEVALUE(Raw_Data!N276), Raw_Data!N276)</f>
        <v>45213</v>
      </c>
      <c r="O276" s="2"/>
      <c r="P276" t="str">
        <f>IF(COUNTIF($A$2:A276,A276)&gt;1,"Duplicate","Unique")</f>
        <v>Unique</v>
      </c>
      <c r="Q276" t="str">
        <f t="shared" si="8"/>
        <v>OK</v>
      </c>
      <c r="R276" t="str">
        <f t="shared" si="9"/>
        <v>Available</v>
      </c>
    </row>
    <row r="277" spans="1:18">
      <c r="A277" t="str">
        <f>TRIM(CLEAN(Raw_Data!A277))</f>
        <v>MEM0276</v>
      </c>
      <c r="B277" t="str">
        <f ca="1">TRIM(Raw_Data!B277)</f>
        <v>Meera Das</v>
      </c>
      <c r="C277" t="str">
        <f ca="1">_xlfn.XLOOKUP(D277, Branch_Master!A:A, Branch_Master!B:B)</f>
        <v>Bangalore</v>
      </c>
      <c r="D277" t="str">
        <f ca="1">TRIM(Raw_Data!D277)</f>
        <v>BR02</v>
      </c>
      <c r="E277" t="str">
        <f ca="1">PROPER(TRIM(Raw_Data!E277))</f>
        <v>Premium</v>
      </c>
      <c r="F277" s="2">
        <f>IFERROR(DATEVALUE(Raw_Data!F277), Raw_Data!F277)</f>
        <v>45350</v>
      </c>
      <c r="G277" s="2">
        <f>IFERROR(
    IF(
        IFERROR(DATEVALUE(Raw_Data!G277), Raw_Data!G277) &lt;
        IFERROR(DATEVALUE(Raw_Data!F277), Raw_Data!F277),
        IFERROR(DATEVALUE(Raw_Data!F277), Raw_Data!F277) + 30,
        IFERROR(DATEVALUE(Raw_Data!G277), Raw_Data!G277)
    ),
    ""
)</f>
        <v>45440</v>
      </c>
      <c r="H277">
        <f>IFERROR(VALUE(Raw_Data!H277), "")</f>
        <v>3500</v>
      </c>
      <c r="I277">
        <f ca="1">IFERROR(VALUE(Raw_Data!I277), "")</f>
        <v>38500</v>
      </c>
      <c r="J277">
        <f>IFERROR(
    VALUE(SUBSTITUTE(Raw_Data!J277," visits","")),
    ""
)</f>
        <v>25</v>
      </c>
      <c r="K277" t="str">
        <f ca="1">IF(TRIM(Raw_Data!K277)="","No",PROPER(TRIM(Raw_Data!K277)))</f>
        <v>No</v>
      </c>
      <c r="L277" t="str">
        <f ca="1">PROPER(TRIM(Raw_Data!L277))</f>
        <v>General Fitness</v>
      </c>
      <c r="M277" t="s">
        <v>151</v>
      </c>
      <c r="N277" s="2">
        <f>IFERROR(DATEVALUE(Raw_Data!N277), Raw_Data!N277)</f>
        <v>45711</v>
      </c>
      <c r="O277" s="2"/>
      <c r="P277" t="str">
        <f>IF(COUNTIF($A$2:A277,A277)&gt;1,"Duplicate","Unique")</f>
        <v>Unique</v>
      </c>
      <c r="Q277" t="str">
        <f t="shared" si="8"/>
        <v>OK</v>
      </c>
      <c r="R277" t="str">
        <f t="shared" si="9"/>
        <v>Available</v>
      </c>
    </row>
    <row r="278" spans="1:18">
      <c r="A278" t="str">
        <f>TRIM(CLEAN(Raw_Data!A278))</f>
        <v>MEM0277</v>
      </c>
      <c r="B278" t="str">
        <f ca="1">TRIM(Raw_Data!B278)</f>
        <v>Swathi Nambiar</v>
      </c>
      <c r="C278" t="str">
        <f ca="1">_xlfn.XLOOKUP(D278, Branch_Master!A:A, Branch_Master!B:B)</f>
        <v>Mumbai</v>
      </c>
      <c r="D278" t="str">
        <f ca="1">TRIM(Raw_Data!D278)</f>
        <v>BR05</v>
      </c>
      <c r="E278" t="str">
        <f ca="1">PROPER(TRIM(Raw_Data!E278))</f>
        <v>Premium</v>
      </c>
      <c r="F278" s="2">
        <f>IFERROR(DATEVALUE(Raw_Data!F278), Raw_Data!F278)</f>
        <v>45096</v>
      </c>
      <c r="G278" s="2">
        <f>IFERROR(
    IF(
        IFERROR(DATEVALUE(Raw_Data!G278), Raw_Data!G278) &lt;
        IFERROR(DATEVALUE(Raw_Data!F278), Raw_Data!F278),
        IFERROR(DATEVALUE(Raw_Data!F278), Raw_Data!F278) + 30,
        IFERROR(DATEVALUE(Raw_Data!G278), Raw_Data!G278)
    ),
    ""
)</f>
        <v>45126</v>
      </c>
      <c r="H278">
        <f>IFERROR(VALUE(Raw_Data!H278), "")</f>
        <v>1000</v>
      </c>
      <c r="I278">
        <f ca="1">IFERROR(VALUE(Raw_Data!I278), "")</f>
        <v>2000</v>
      </c>
      <c r="J278">
        <f>IFERROR(
    VALUE(SUBSTITUTE(Raw_Data!J278," visits","")),
    ""
)</f>
        <v>21</v>
      </c>
      <c r="K278" t="str">
        <f ca="1">IF(TRIM(Raw_Data!K278)="","No",PROPER(TRIM(Raw_Data!K278)))</f>
        <v>Yes</v>
      </c>
      <c r="L278" t="str">
        <f ca="1">PROPER(TRIM(Raw_Data!L278))</f>
        <v>General Fitness</v>
      </c>
      <c r="M278" t="s">
        <v>151</v>
      </c>
      <c r="N278" s="2">
        <f>IFERROR(DATEVALUE(Raw_Data!N278), Raw_Data!N278)</f>
        <v>45137</v>
      </c>
      <c r="O278" s="2"/>
      <c r="P278" t="str">
        <f>IF(COUNTIF($A$2:A278,A278)&gt;1,"Duplicate","Unique")</f>
        <v>Unique</v>
      </c>
      <c r="Q278" t="str">
        <f t="shared" si="8"/>
        <v>OK</v>
      </c>
      <c r="R278" t="str">
        <f t="shared" si="9"/>
        <v>Available</v>
      </c>
    </row>
    <row r="279" spans="1:18">
      <c r="A279" t="str">
        <f>TRIM(CLEAN(Raw_Data!A279))</f>
        <v>MEM0278</v>
      </c>
      <c r="B279" t="str">
        <f ca="1">TRIM(Raw_Data!B279)</f>
        <v>Vivek Bhat</v>
      </c>
      <c r="C279" t="str">
        <f ca="1">_xlfn.XLOOKUP(D279, Branch_Master!A:A, Branch_Master!B:B)</f>
        <v>Mumbai</v>
      </c>
      <c r="D279" t="str">
        <f ca="1">TRIM(Raw_Data!D279)</f>
        <v>BR05</v>
      </c>
      <c r="E279" t="str">
        <f ca="1">PROPER(TRIM(Raw_Data!E279))</f>
        <v>Standard</v>
      </c>
      <c r="F279" s="2">
        <f>IFERROR(DATEVALUE(Raw_Data!F279), Raw_Data!F279)</f>
        <v>45917</v>
      </c>
      <c r="G279" s="2">
        <f>IFERROR(
    IF(
        IFERROR(DATEVALUE(Raw_Data!G279), Raw_Data!G279) &lt;
        IFERROR(DATEVALUE(Raw_Data!F279), Raw_Data!F279),
        IFERROR(DATEVALUE(Raw_Data!F279), Raw_Data!F279) + 30,
        IFERROR(DATEVALUE(Raw_Data!G279), Raw_Data!G279)
    ),
    ""
)</f>
        <v>46007</v>
      </c>
      <c r="H279">
        <f>IFERROR(VALUE(Raw_Data!H279), "")</f>
        <v>3500</v>
      </c>
      <c r="I279">
        <f ca="1">IFERROR(VALUE(Raw_Data!I279), "")</f>
        <v>14000</v>
      </c>
      <c r="J279">
        <f>IFERROR(
    VALUE(SUBSTITUTE(Raw_Data!J279," visits","")),
    ""
)</f>
        <v>2</v>
      </c>
      <c r="K279" t="str">
        <f ca="1">IF(TRIM(Raw_Data!K279)="","No",PROPER(TRIM(Raw_Data!K279)))</f>
        <v>Yes</v>
      </c>
      <c r="L279" t="str">
        <f ca="1">PROPER(TRIM(Raw_Data!L279))</f>
        <v>Muscle Gain</v>
      </c>
      <c r="M279" t="s">
        <v>152</v>
      </c>
      <c r="N279" s="2">
        <f>IFERROR(DATEVALUE(Raw_Data!N279), Raw_Data!N279)</f>
        <v>45940</v>
      </c>
      <c r="O279" s="2"/>
      <c r="P279" t="str">
        <f>IF(COUNTIF($A$2:A279,A279)&gt;1,"Duplicate","Unique")</f>
        <v>Unique</v>
      </c>
      <c r="Q279" t="str">
        <f t="shared" si="8"/>
        <v>Cancelled but Active</v>
      </c>
      <c r="R279" t="str">
        <f t="shared" si="9"/>
        <v>Available</v>
      </c>
    </row>
    <row r="280" spans="1:18">
      <c r="A280" t="str">
        <f>TRIM(CLEAN(Raw_Data!A280))</f>
        <v>MEM0279</v>
      </c>
      <c r="B280" t="str">
        <f ca="1">TRIM(Raw_Data!B280)</f>
        <v>Arjun Gupta</v>
      </c>
      <c r="C280" t="str">
        <f ca="1">_xlfn.XLOOKUP(D280, Branch_Master!A:A, Branch_Master!B:B)</f>
        <v>Trivandrum</v>
      </c>
      <c r="D280" t="str">
        <f ca="1">TRIM(Raw_Data!D280)</f>
        <v>BR06</v>
      </c>
      <c r="E280" t="str">
        <f ca="1">PROPER(TRIM(Raw_Data!E280))</f>
        <v>Standard</v>
      </c>
      <c r="F280" s="2">
        <f>IFERROR(DATEVALUE(Raw_Data!F280), Raw_Data!F280)</f>
        <v>45797</v>
      </c>
      <c r="G280" s="2">
        <f>IFERROR(
    IF(
        IFERROR(DATEVALUE(Raw_Data!G280), Raw_Data!G280) &lt;
        IFERROR(DATEVALUE(Raw_Data!F280), Raw_Data!F280),
        IFERROR(DATEVALUE(Raw_Data!F280), Raw_Data!F280) + 30,
        IFERROR(DATEVALUE(Raw_Data!G280), Raw_Data!G280)
    ),
    ""
)</f>
        <v>46162</v>
      </c>
      <c r="H280">
        <f>IFERROR(VALUE(Raw_Data!H280), "")</f>
        <v>3500</v>
      </c>
      <c r="I280">
        <f ca="1">IFERROR(VALUE(Raw_Data!I280), "")</f>
        <v>31500</v>
      </c>
      <c r="J280">
        <f>IFERROR(
    VALUE(SUBSTITUTE(Raw_Data!J280," visits","")),
    ""
)</f>
        <v>23</v>
      </c>
      <c r="K280" t="str">
        <f ca="1">IF(TRIM(Raw_Data!K280)="","No",PROPER(TRIM(Raw_Data!K280)))</f>
        <v>No</v>
      </c>
      <c r="L280" t="str">
        <f ca="1">PROPER(TRIM(Raw_Data!L280))</f>
        <v>General Fitness</v>
      </c>
      <c r="M280" t="s">
        <v>151</v>
      </c>
      <c r="N280" s="2">
        <f>IFERROR(DATEVALUE(Raw_Data!N280), Raw_Data!N280)</f>
        <v>45819</v>
      </c>
      <c r="O280" s="2"/>
      <c r="P280" t="str">
        <f>IF(COUNTIF($A$2:A280,A280)&gt;1,"Duplicate","Unique")</f>
        <v>Unique</v>
      </c>
      <c r="Q280" t="str">
        <f t="shared" si="8"/>
        <v>OK</v>
      </c>
      <c r="R280" t="str">
        <f t="shared" si="9"/>
        <v>Available</v>
      </c>
    </row>
    <row r="281" spans="1:18">
      <c r="A281" t="str">
        <f>TRIM(CLEAN(Raw_Data!A281))</f>
        <v>MEM0280</v>
      </c>
      <c r="B281" t="str">
        <f ca="1">TRIM(Raw_Data!B281)</f>
        <v>Harish Verma</v>
      </c>
      <c r="C281" t="str">
        <f ca="1">_xlfn.XLOOKUP(D281, Branch_Master!A:A, Branch_Master!B:B)</f>
        <v>Trivandrum</v>
      </c>
      <c r="D281" t="str">
        <f ca="1">TRIM(Raw_Data!D281)</f>
        <v>BR06</v>
      </c>
      <c r="E281" t="str">
        <f ca="1">PROPER(TRIM(Raw_Data!E281))</f>
        <v>Premium</v>
      </c>
      <c r="F281" s="2">
        <f>IFERROR(DATEVALUE(Raw_Data!F281), Raw_Data!F281)</f>
        <v>45573</v>
      </c>
      <c r="G281" s="2">
        <f>IFERROR(
    IF(
        IFERROR(DATEVALUE(Raw_Data!G281), Raw_Data!G281) &lt;
        IFERROR(DATEVALUE(Raw_Data!F281), Raw_Data!F281),
        IFERROR(DATEVALUE(Raw_Data!F281), Raw_Data!F281) + 30,
        IFERROR(DATEVALUE(Raw_Data!G281), Raw_Data!G281)
    ),
    ""
)</f>
        <v>45663</v>
      </c>
      <c r="H281">
        <f>IFERROR(VALUE(Raw_Data!H281), "")</f>
        <v>2000</v>
      </c>
      <c r="I281">
        <f ca="1">IFERROR(VALUE(Raw_Data!I281), "")</f>
        <v>10000</v>
      </c>
      <c r="J281">
        <f>IFERROR(
    VALUE(SUBSTITUTE(Raw_Data!J281," visits","")),
    ""
)</f>
        <v>15</v>
      </c>
      <c r="K281" t="str">
        <f ca="1">IF(TRIM(Raw_Data!K281)="","No",PROPER(TRIM(Raw_Data!K281)))</f>
        <v>Yes</v>
      </c>
      <c r="L281" t="str">
        <f ca="1">PROPER(TRIM(Raw_Data!L281))</f>
        <v>General Fitness</v>
      </c>
      <c r="M281" t="s">
        <v>151</v>
      </c>
      <c r="N281" s="2">
        <f>IFERROR(DATEVALUE(Raw_Data!N281), Raw_Data!N281)</f>
        <v>46121</v>
      </c>
      <c r="O281" s="2"/>
      <c r="P281" t="str">
        <f>IF(COUNTIF($A$2:A281,A281)&gt;1,"Duplicate","Unique")</f>
        <v>Unique</v>
      </c>
      <c r="Q281" t="str">
        <f t="shared" si="8"/>
        <v>OK</v>
      </c>
      <c r="R281" t="str">
        <f t="shared" si="9"/>
        <v>Available</v>
      </c>
    </row>
    <row r="282" spans="1:18">
      <c r="A282" t="str">
        <f>TRIM(CLEAN(Raw_Data!A282))</f>
        <v>MEM0281</v>
      </c>
      <c r="B282" t="str">
        <f ca="1">TRIM(Raw_Data!B282)</f>
        <v>Riya Shetty</v>
      </c>
      <c r="C282" t="str">
        <f ca="1">_xlfn.XLOOKUP(D282, Branch_Master!A:A, Branch_Master!B:B)</f>
        <v>Calicut</v>
      </c>
      <c r="D282" t="str">
        <f ca="1">TRIM(Raw_Data!D282)</f>
        <v>BR07</v>
      </c>
      <c r="E282" t="str">
        <f ca="1">PROPER(TRIM(Raw_Data!E282))</f>
        <v>Basic</v>
      </c>
      <c r="F282" s="2">
        <f>IFERROR(DATEVALUE(Raw_Data!F282), Raw_Data!F282)</f>
        <v>45023</v>
      </c>
      <c r="G282" s="2">
        <f>IFERROR(
    IF(
        IFERROR(DATEVALUE(Raw_Data!G282), Raw_Data!G282) &lt;
        IFERROR(DATEVALUE(Raw_Data!F282), Raw_Data!F282),
        IFERROR(DATEVALUE(Raw_Data!F282), Raw_Data!F282) + 30,
        IFERROR(DATEVALUE(Raw_Data!G282), Raw_Data!G282)
    ),
    ""
)</f>
        <v>45053</v>
      </c>
      <c r="H282">
        <f>IFERROR(VALUE(Raw_Data!H282), "")</f>
        <v>2000</v>
      </c>
      <c r="I282">
        <f ca="1">IFERROR(VALUE(Raw_Data!I282), "")</f>
        <v>14000</v>
      </c>
      <c r="J282">
        <f>IFERROR(
    VALUE(SUBSTITUTE(Raw_Data!J282," visits","")),
    ""
)</f>
        <v>2</v>
      </c>
      <c r="K282" t="str">
        <f ca="1">IF(TRIM(Raw_Data!K282)="","No",PROPER(TRIM(Raw_Data!K282)))</f>
        <v>Yes</v>
      </c>
      <c r="L282" t="str">
        <f ca="1">PROPER(TRIM(Raw_Data!L282))</f>
        <v>General Fitness</v>
      </c>
      <c r="M282" t="s">
        <v>152</v>
      </c>
      <c r="N282" s="2">
        <f>IFERROR(DATEVALUE(Raw_Data!N282), Raw_Data!N282)</f>
        <v>45064</v>
      </c>
      <c r="O282" s="2"/>
      <c r="P282" t="str">
        <f>IF(COUNTIF($A$2:A282,A282)&gt;1,"Duplicate","Unique")</f>
        <v>Unique</v>
      </c>
      <c r="Q282" t="str">
        <f t="shared" si="8"/>
        <v>Cancelled but Active</v>
      </c>
      <c r="R282" t="str">
        <f t="shared" si="9"/>
        <v>Available</v>
      </c>
    </row>
    <row r="283" spans="1:18">
      <c r="A283" t="str">
        <f>TRIM(CLEAN(Raw_Data!A283))</f>
        <v>MEM0282</v>
      </c>
      <c r="B283" t="str">
        <f ca="1">TRIM(Raw_Data!B283)</f>
        <v>Ayesha Joshi</v>
      </c>
      <c r="C283" t="str">
        <f ca="1">_xlfn.XLOOKUP(D283, Branch_Master!A:A, Branch_Master!B:B)</f>
        <v>Bangalore</v>
      </c>
      <c r="D283" t="str">
        <f ca="1">TRIM(Raw_Data!D283)</f>
        <v>BR02</v>
      </c>
      <c r="E283" t="str">
        <f ca="1">PROPER(TRIM(Raw_Data!E283))</f>
        <v>Basic</v>
      </c>
      <c r="F283" s="2">
        <f>IFERROR(DATEVALUE(Raw_Data!F283), Raw_Data!F283)</f>
        <v>45147</v>
      </c>
      <c r="G283" s="2">
        <f>IFERROR(
    IF(
        IFERROR(DATEVALUE(Raw_Data!G283), Raw_Data!G283) &lt;
        IFERROR(DATEVALUE(Raw_Data!F283), Raw_Data!F283),
        IFERROR(DATEVALUE(Raw_Data!F283), Raw_Data!F283) + 30,
        IFERROR(DATEVALUE(Raw_Data!G283), Raw_Data!G283)
    ),
    ""
)</f>
        <v>45512</v>
      </c>
      <c r="H283">
        <f>IFERROR(VALUE(Raw_Data!H283), "")</f>
        <v>1000</v>
      </c>
      <c r="I283">
        <f ca="1">IFERROR(VALUE(Raw_Data!I283), "")</f>
        <v>7000</v>
      </c>
      <c r="J283">
        <f>IFERROR(
    VALUE(SUBSTITUTE(Raw_Data!J283," visits","")),
    ""
)</f>
        <v>8</v>
      </c>
      <c r="K283" t="str">
        <f ca="1">IF(TRIM(Raw_Data!K283)="","No",PROPER(TRIM(Raw_Data!K283)))</f>
        <v>No</v>
      </c>
      <c r="L283" t="str">
        <f ca="1">PROPER(TRIM(Raw_Data!L283))</f>
        <v>Weight Loss</v>
      </c>
      <c r="M283" t="s">
        <v>152</v>
      </c>
      <c r="N283" s="2">
        <f>IFERROR(DATEVALUE(Raw_Data!N283), Raw_Data!N283)</f>
        <v>45330</v>
      </c>
      <c r="O283" s="2"/>
      <c r="P283" t="str">
        <f>IF(COUNTIF($A$2:A283,A283)&gt;1,"Duplicate","Unique")</f>
        <v>Unique</v>
      </c>
      <c r="Q283" t="str">
        <f t="shared" si="8"/>
        <v>Cancelled but Active</v>
      </c>
      <c r="R283" t="str">
        <f t="shared" si="9"/>
        <v>Available</v>
      </c>
    </row>
    <row r="284" spans="1:18">
      <c r="A284" t="str">
        <f>TRIM(CLEAN(Raw_Data!A284))</f>
        <v>MEM0283</v>
      </c>
      <c r="B284" t="str">
        <f ca="1">TRIM(Raw_Data!B284)</f>
        <v>Lakshmi Shaikh</v>
      </c>
      <c r="C284" t="str">
        <f ca="1">_xlfn.XLOOKUP(D284, Branch_Master!A:A, Branch_Master!B:B)</f>
        <v>Hyderabad</v>
      </c>
      <c r="D284" t="str">
        <f ca="1">TRIM(Raw_Data!D284)</f>
        <v>BR04</v>
      </c>
      <c r="E284" t="str">
        <f ca="1">PROPER(TRIM(Raw_Data!E284))</f>
        <v>Standard</v>
      </c>
      <c r="F284" s="2">
        <f>IFERROR(DATEVALUE(Raw_Data!F284), Raw_Data!F284)</f>
        <v>45535</v>
      </c>
      <c r="G284" s="2">
        <f>IFERROR(
    IF(
        IFERROR(DATEVALUE(Raw_Data!G284), Raw_Data!G284) &lt;
        IFERROR(DATEVALUE(Raw_Data!F284), Raw_Data!F284),
        IFERROR(DATEVALUE(Raw_Data!F284), Raw_Data!F284) + 30,
        IFERROR(DATEVALUE(Raw_Data!G284), Raw_Data!G284)
    ),
    ""
)</f>
        <v>45565</v>
      </c>
      <c r="H284">
        <f>IFERROR(VALUE(Raw_Data!H284), "")</f>
        <v>1000</v>
      </c>
      <c r="I284">
        <f ca="1">IFERROR(VALUE(Raw_Data!I284), "")</f>
        <v>9000</v>
      </c>
      <c r="J284">
        <f>IFERROR(
    VALUE(SUBSTITUTE(Raw_Data!J284," visits","")),
    ""
)</f>
        <v>21</v>
      </c>
      <c r="K284" t="str">
        <f ca="1">IF(TRIM(Raw_Data!K284)="","No",PROPER(TRIM(Raw_Data!K284)))</f>
        <v>Yes</v>
      </c>
      <c r="L284" t="str">
        <f ca="1">PROPER(TRIM(Raw_Data!L284))</f>
        <v>Muscle Gain</v>
      </c>
      <c r="M284" t="s">
        <v>151</v>
      </c>
      <c r="N284" s="2">
        <f>IFERROR(DATEVALUE(Raw_Data!N284), Raw_Data!N284)</f>
        <v>45903</v>
      </c>
      <c r="O284" s="2"/>
      <c r="P284" t="str">
        <f>IF(COUNTIF($A$2:A284,A284)&gt;1,"Duplicate","Unique")</f>
        <v>Unique</v>
      </c>
      <c r="Q284" t="str">
        <f t="shared" si="8"/>
        <v>OK</v>
      </c>
      <c r="R284" t="str">
        <f t="shared" si="9"/>
        <v>Available</v>
      </c>
    </row>
    <row r="285" spans="1:18">
      <c r="A285" t="str">
        <f>TRIM(CLEAN(Raw_Data!A285))</f>
        <v>MEM0284</v>
      </c>
      <c r="B285" t="str">
        <f ca="1">TRIM(Raw_Data!B285)</f>
        <v>Lakshmi Reddy</v>
      </c>
      <c r="C285" t="str">
        <f ca="1">_xlfn.XLOOKUP(D285, Branch_Master!A:A, Branch_Master!B:B)</f>
        <v>Bangalore</v>
      </c>
      <c r="D285" t="str">
        <f ca="1">TRIM(Raw_Data!D285)</f>
        <v>BR02</v>
      </c>
      <c r="E285" t="str">
        <f ca="1">PROPER(TRIM(Raw_Data!E285))</f>
        <v>Premium</v>
      </c>
      <c r="F285" s="2">
        <f>IFERROR(DATEVALUE(Raw_Data!F285), Raw_Data!F285)</f>
        <v>45812</v>
      </c>
      <c r="G285" s="2">
        <f>IFERROR(
    IF(
        IFERROR(DATEVALUE(Raw_Data!G285), Raw_Data!G285) &lt;
        IFERROR(DATEVALUE(Raw_Data!F285), Raw_Data!F285),
        IFERROR(DATEVALUE(Raw_Data!F285), Raw_Data!F285) + 30,
        IFERROR(DATEVALUE(Raw_Data!G285), Raw_Data!G285)
    ),
    ""
)</f>
        <v>45842</v>
      </c>
      <c r="H285">
        <f>IFERROR(VALUE(Raw_Data!H285), "")</f>
        <v>3500</v>
      </c>
      <c r="I285">
        <f ca="1">IFERROR(VALUE(Raw_Data!I285), "")</f>
        <v>21000</v>
      </c>
      <c r="J285">
        <f>IFERROR(
    VALUE(SUBSTITUTE(Raw_Data!J285," visits","")),
    ""
)</f>
        <v>16</v>
      </c>
      <c r="K285" t="str">
        <f ca="1">IF(TRIM(Raw_Data!K285)="","No",PROPER(TRIM(Raw_Data!K285)))</f>
        <v>Yes</v>
      </c>
      <c r="L285" t="str">
        <f ca="1">PROPER(TRIM(Raw_Data!L285))</f>
        <v>General Fitness</v>
      </c>
      <c r="M285" t="s">
        <v>151</v>
      </c>
      <c r="N285" s="2">
        <f>IFERROR(DATEVALUE(Raw_Data!N285), Raw_Data!N285)</f>
        <v>45871</v>
      </c>
      <c r="O285" s="2"/>
      <c r="P285" t="str">
        <f>IF(COUNTIF($A$2:A285,A285)&gt;1,"Duplicate","Unique")</f>
        <v>Unique</v>
      </c>
      <c r="Q285" t="str">
        <f t="shared" si="8"/>
        <v>OK</v>
      </c>
      <c r="R285" t="str">
        <f t="shared" si="9"/>
        <v>Available</v>
      </c>
    </row>
    <row r="286" spans="1:18">
      <c r="A286" t="str">
        <f>TRIM(CLEAN(Raw_Data!A286))</f>
        <v>MEM0285</v>
      </c>
      <c r="B286" t="str">
        <f ca="1">TRIM(Raw_Data!B286)</f>
        <v>Riya Kapoor</v>
      </c>
      <c r="C286" t="str">
        <f ca="1">_xlfn.XLOOKUP(D286, Branch_Master!A:A, Branch_Master!B:B)</f>
        <v>Chennai</v>
      </c>
      <c r="D286" t="str">
        <f ca="1">TRIM(Raw_Data!D286)</f>
        <v>BR03</v>
      </c>
      <c r="E286" t="str">
        <f ca="1">PROPER(TRIM(Raw_Data!E286))</f>
        <v>Premium</v>
      </c>
      <c r="F286" s="2">
        <f>IFERROR(DATEVALUE(Raw_Data!F286), Raw_Data!F286)</f>
        <v>44960</v>
      </c>
      <c r="G286" s="2">
        <f>IFERROR(
    IF(
        IFERROR(DATEVALUE(Raw_Data!G286), Raw_Data!G286) &lt;
        IFERROR(DATEVALUE(Raw_Data!F286), Raw_Data!F286),
        IFERROR(DATEVALUE(Raw_Data!F286), Raw_Data!F286) + 30,
        IFERROR(DATEVALUE(Raw_Data!G286), Raw_Data!G286)
    ),
    ""
)</f>
        <v>45325</v>
      </c>
      <c r="H286">
        <f>IFERROR(VALUE(Raw_Data!H286), "")</f>
        <v>1000</v>
      </c>
      <c r="I286">
        <f ca="1">IFERROR(VALUE(Raw_Data!I286), "")</f>
        <v>5000</v>
      </c>
      <c r="J286">
        <f>IFERROR(
    VALUE(SUBSTITUTE(Raw_Data!J286," visits","")),
    ""
)</f>
        <v>24</v>
      </c>
      <c r="K286" t="str">
        <f ca="1">IF(TRIM(Raw_Data!K286)="","No",PROPER(TRIM(Raw_Data!K286)))</f>
        <v>No</v>
      </c>
      <c r="L286" t="str">
        <f ca="1">PROPER(TRIM(Raw_Data!L286))</f>
        <v>Muscle Gain</v>
      </c>
      <c r="M286" t="s">
        <v>152</v>
      </c>
      <c r="N286" s="2">
        <f>IFERROR(DATEVALUE(Raw_Data!N286), Raw_Data!N286)</f>
        <v>45146</v>
      </c>
      <c r="O286" s="2"/>
      <c r="P286" t="str">
        <f>IF(COUNTIF($A$2:A286,A286)&gt;1,"Duplicate","Unique")</f>
        <v>Unique</v>
      </c>
      <c r="Q286" t="str">
        <f t="shared" si="8"/>
        <v>Cancelled but Active</v>
      </c>
      <c r="R286" t="str">
        <f t="shared" si="9"/>
        <v>Available</v>
      </c>
    </row>
    <row r="287" spans="1:18">
      <c r="A287" t="str">
        <f>TRIM(CLEAN(Raw_Data!A287))</f>
        <v>MEM0286</v>
      </c>
      <c r="B287" t="str">
        <f ca="1">TRIM(Raw_Data!B287)</f>
        <v>Akash Reddy</v>
      </c>
      <c r="C287" t="str">
        <f ca="1">_xlfn.XLOOKUP(D287, Branch_Master!A:A, Branch_Master!B:B)</f>
        <v>Trivandrum</v>
      </c>
      <c r="D287" t="str">
        <f ca="1">TRIM(Raw_Data!D287)</f>
        <v>BR06</v>
      </c>
      <c r="E287" t="str">
        <f ca="1">PROPER(TRIM(Raw_Data!E287))</f>
        <v>Premium</v>
      </c>
      <c r="F287" s="2">
        <f>IFERROR(DATEVALUE(Raw_Data!F287), Raw_Data!F287)</f>
        <v>45551</v>
      </c>
      <c r="G287" s="2">
        <f>IFERROR(
    IF(
        IFERROR(DATEVALUE(Raw_Data!G287), Raw_Data!G287) &lt;
        IFERROR(DATEVALUE(Raw_Data!F287), Raw_Data!F287),
        IFERROR(DATEVALUE(Raw_Data!F287), Raw_Data!F287) + 30,
        IFERROR(DATEVALUE(Raw_Data!G287), Raw_Data!G287)
    ),
    ""
)</f>
        <v>45916</v>
      </c>
      <c r="H287">
        <f>IFERROR(VALUE(Raw_Data!H287), "")</f>
        <v>2000</v>
      </c>
      <c r="I287">
        <f ca="1">IFERROR(VALUE(Raw_Data!I287), "")</f>
        <v>22000</v>
      </c>
      <c r="J287">
        <f>IFERROR(
    VALUE(SUBSTITUTE(Raw_Data!J287," visits","")),
    ""
)</f>
        <v>5</v>
      </c>
      <c r="K287" t="str">
        <f ca="1">IF(TRIM(Raw_Data!K287)="","No",PROPER(TRIM(Raw_Data!K287)))</f>
        <v>No</v>
      </c>
      <c r="L287" t="str">
        <f ca="1">PROPER(TRIM(Raw_Data!L287))</f>
        <v>Muscle Gain</v>
      </c>
      <c r="M287" t="s">
        <v>151</v>
      </c>
      <c r="N287" s="2">
        <f>IFERROR(DATEVALUE(Raw_Data!N287), Raw_Data!N287)</f>
        <v>45653</v>
      </c>
      <c r="O287" s="2"/>
      <c r="P287" t="str">
        <f>IF(COUNTIF($A$2:A287,A287)&gt;1,"Duplicate","Unique")</f>
        <v>Unique</v>
      </c>
      <c r="Q287" t="str">
        <f t="shared" si="8"/>
        <v>OK</v>
      </c>
      <c r="R287" t="str">
        <f t="shared" si="9"/>
        <v>Available</v>
      </c>
    </row>
    <row r="288" spans="1:18">
      <c r="A288" t="str">
        <f>TRIM(CLEAN(Raw_Data!A288))</f>
        <v>MEM0287</v>
      </c>
      <c r="B288" t="str">
        <f ca="1">TRIM(Raw_Data!B288)</f>
        <v>Fatima Varghese</v>
      </c>
      <c r="C288" t="str">
        <f ca="1">_xlfn.XLOOKUP(D288, Branch_Master!A:A, Branch_Master!B:B)</f>
        <v>Calicut</v>
      </c>
      <c r="D288" t="str">
        <f ca="1">TRIM(Raw_Data!D288)</f>
        <v>BR07</v>
      </c>
      <c r="E288" t="str">
        <f ca="1">PROPER(TRIM(Raw_Data!E288))</f>
        <v>Standard</v>
      </c>
      <c r="F288" s="2">
        <f>IFERROR(DATEVALUE(Raw_Data!F288), Raw_Data!F288)</f>
        <v>45189</v>
      </c>
      <c r="G288" s="2">
        <f>IFERROR(
    IF(
        IFERROR(DATEVALUE(Raw_Data!G288), Raw_Data!G288) &lt;
        IFERROR(DATEVALUE(Raw_Data!F288), Raw_Data!F288),
        IFERROR(DATEVALUE(Raw_Data!F288), Raw_Data!F288) + 30,
        IFERROR(DATEVALUE(Raw_Data!G288), Raw_Data!G288)
    ),
    ""
)</f>
        <v>45219</v>
      </c>
      <c r="H288">
        <f>IFERROR(VALUE(Raw_Data!H288), "")</f>
        <v>2000</v>
      </c>
      <c r="I288">
        <f ca="1">IFERROR(VALUE(Raw_Data!I288), "")</f>
        <v>24000</v>
      </c>
      <c r="J288">
        <f>IFERROR(
    VALUE(SUBSTITUTE(Raw_Data!J288," visits","")),
    ""
)</f>
        <v>7</v>
      </c>
      <c r="K288" t="str">
        <f ca="1">IF(TRIM(Raw_Data!K288)="","No",PROPER(TRIM(Raw_Data!K288)))</f>
        <v>Yes</v>
      </c>
      <c r="L288" t="str">
        <f ca="1">PROPER(TRIM(Raw_Data!L288))</f>
        <v>General Fitness</v>
      </c>
      <c r="M288" t="s">
        <v>151</v>
      </c>
      <c r="N288" s="2">
        <f>IFERROR(DATEVALUE(Raw_Data!N288), Raw_Data!N288)</f>
        <v>45950</v>
      </c>
      <c r="O288" s="2"/>
      <c r="P288" t="str">
        <f>IF(COUNTIF($A$2:A288,A288)&gt;1,"Duplicate","Unique")</f>
        <v>Unique</v>
      </c>
      <c r="Q288" t="str">
        <f t="shared" si="8"/>
        <v>OK</v>
      </c>
      <c r="R288" t="str">
        <f t="shared" si="9"/>
        <v>Available</v>
      </c>
    </row>
    <row r="289" spans="1:18">
      <c r="A289" t="str">
        <f>TRIM(CLEAN(Raw_Data!A289))</f>
        <v>MEM0288</v>
      </c>
      <c r="B289" t="str">
        <f ca="1">TRIM(Raw_Data!B289)</f>
        <v>Swathi Nair</v>
      </c>
      <c r="C289" t="str">
        <f ca="1">_xlfn.XLOOKUP(D289, Branch_Master!A:A, Branch_Master!B:B)</f>
        <v>Bangalore</v>
      </c>
      <c r="D289" t="str">
        <f ca="1">TRIM(Raw_Data!D289)</f>
        <v>BR02</v>
      </c>
      <c r="E289" t="str">
        <f ca="1">PROPER(TRIM(Raw_Data!E289))</f>
        <v>Premium</v>
      </c>
      <c r="F289" s="2">
        <f>IFERROR(DATEVALUE(Raw_Data!F289), Raw_Data!F289)</f>
        <v>44949</v>
      </c>
      <c r="G289" s="2">
        <f>IFERROR(
    IF(
        IFERROR(DATEVALUE(Raw_Data!G289), Raw_Data!G289) &lt;
        IFERROR(DATEVALUE(Raw_Data!F289), Raw_Data!F289),
        IFERROR(DATEVALUE(Raw_Data!F289), Raw_Data!F289) + 30,
        IFERROR(DATEVALUE(Raw_Data!G289), Raw_Data!G289)
    ),
    ""
)</f>
        <v>45314</v>
      </c>
      <c r="H289">
        <f>IFERROR(VALUE(Raw_Data!H289), "")</f>
        <v>2000</v>
      </c>
      <c r="I289">
        <f ca="1">IFERROR(VALUE(Raw_Data!I289), "")</f>
        <v>16000</v>
      </c>
      <c r="J289">
        <f>IFERROR(
    VALUE(SUBSTITUTE(Raw_Data!J289," visits","")),
    ""
)</f>
        <v>5</v>
      </c>
      <c r="K289" t="str">
        <f ca="1">IF(TRIM(Raw_Data!K289)="","No",PROPER(TRIM(Raw_Data!K289)))</f>
        <v>Yes</v>
      </c>
      <c r="L289" t="str">
        <f ca="1">PROPER(TRIM(Raw_Data!L289))</f>
        <v>Muscle Gain</v>
      </c>
      <c r="M289" t="s">
        <v>151</v>
      </c>
      <c r="N289" s="2">
        <f>IFERROR(DATEVALUE(Raw_Data!N289), Raw_Data!N289)</f>
        <v>45025</v>
      </c>
      <c r="O289" s="2"/>
      <c r="P289" t="str">
        <f>IF(COUNTIF($A$2:A289,A289)&gt;1,"Duplicate","Unique")</f>
        <v>Unique</v>
      </c>
      <c r="Q289" t="str">
        <f t="shared" si="8"/>
        <v>OK</v>
      </c>
      <c r="R289" t="str">
        <f t="shared" si="9"/>
        <v>Available</v>
      </c>
    </row>
    <row r="290" spans="1:18">
      <c r="A290" t="str">
        <f>TRIM(CLEAN(Raw_Data!A290))</f>
        <v>MEM0289</v>
      </c>
      <c r="B290" t="str">
        <f ca="1">TRIM(Raw_Data!B290)</f>
        <v>Priya Chatterjee</v>
      </c>
      <c r="C290" t="str">
        <f ca="1">_xlfn.XLOOKUP(D290, Branch_Master!A:A, Branch_Master!B:B)</f>
        <v>Kochi</v>
      </c>
      <c r="D290" t="str">
        <f ca="1">TRIM(Raw_Data!D290)</f>
        <v>BR01</v>
      </c>
      <c r="E290" t="str">
        <f ca="1">PROPER(TRIM(Raw_Data!E290))</f>
        <v>Basic</v>
      </c>
      <c r="F290" s="2">
        <f>IFERROR(DATEVALUE(Raw_Data!F290), Raw_Data!F290)</f>
        <v>45974</v>
      </c>
      <c r="G290" s="2">
        <f>IFERROR(
    IF(
        IFERROR(DATEVALUE(Raw_Data!G290), Raw_Data!G290) &lt;
        IFERROR(DATEVALUE(Raw_Data!F290), Raw_Data!F290),
        IFERROR(DATEVALUE(Raw_Data!F290), Raw_Data!F290) + 30,
        IFERROR(DATEVALUE(Raw_Data!G290), Raw_Data!G290)
    ),
    ""
)</f>
        <v>46004</v>
      </c>
      <c r="H290">
        <f>IFERROR(VALUE(Raw_Data!H290), "")</f>
        <v>3500</v>
      </c>
      <c r="I290">
        <f ca="1">IFERROR(VALUE(Raw_Data!I290), "")</f>
        <v>21000</v>
      </c>
      <c r="J290">
        <f>IFERROR(
    VALUE(SUBSTITUTE(Raw_Data!J290," visits","")),
    ""
)</f>
        <v>10</v>
      </c>
      <c r="K290" t="str">
        <f ca="1">IF(TRIM(Raw_Data!K290)="","No",PROPER(TRIM(Raw_Data!K290)))</f>
        <v>Yes</v>
      </c>
      <c r="L290" t="str">
        <f ca="1">PROPER(TRIM(Raw_Data!L290))</f>
        <v>Weight Loss</v>
      </c>
      <c r="M290" t="s">
        <v>151</v>
      </c>
      <c r="N290" s="2">
        <f>IFERROR(DATEVALUE(Raw_Data!N290), Raw_Data!N290)</f>
        <v>46106</v>
      </c>
      <c r="O290" s="2"/>
      <c r="P290" t="str">
        <f>IF(COUNTIF($A$2:A290,A290)&gt;1,"Duplicate","Unique")</f>
        <v>Unique</v>
      </c>
      <c r="Q290" t="str">
        <f t="shared" si="8"/>
        <v>OK</v>
      </c>
      <c r="R290" t="str">
        <f t="shared" si="9"/>
        <v>Available</v>
      </c>
    </row>
    <row r="291" spans="1:18">
      <c r="A291" t="str">
        <f>TRIM(CLEAN(Raw_Data!A291))</f>
        <v>MEM0290</v>
      </c>
      <c r="B291" t="str">
        <f ca="1">TRIM(Raw_Data!B291)</f>
        <v>Rohit Nair</v>
      </c>
      <c r="C291" t="str">
        <f ca="1">_xlfn.XLOOKUP(D291, Branch_Master!A:A, Branch_Master!B:B)</f>
        <v>Hyderabad</v>
      </c>
      <c r="D291" t="str">
        <f ca="1">TRIM(Raw_Data!D291)</f>
        <v>BR04</v>
      </c>
      <c r="E291" t="str">
        <f ca="1">PROPER(TRIM(Raw_Data!E291))</f>
        <v>Basic</v>
      </c>
      <c r="F291" s="2">
        <f>IFERROR(DATEVALUE(Raw_Data!F291), Raw_Data!F291)</f>
        <v>45822</v>
      </c>
      <c r="G291" s="2">
        <f>IFERROR(
    IF(
        IFERROR(DATEVALUE(Raw_Data!G291), Raw_Data!G291) &lt;
        IFERROR(DATEVALUE(Raw_Data!F291), Raw_Data!F291),
        IFERROR(DATEVALUE(Raw_Data!F291), Raw_Data!F291) + 30,
        IFERROR(DATEVALUE(Raw_Data!G291), Raw_Data!G291)
    ),
    ""
)</f>
        <v>45912</v>
      </c>
      <c r="H291">
        <f>IFERROR(VALUE(Raw_Data!H291), "")</f>
        <v>3500</v>
      </c>
      <c r="I291">
        <f ca="1">IFERROR(VALUE(Raw_Data!I291), "")</f>
        <v>10500</v>
      </c>
      <c r="J291">
        <f>IFERROR(
    VALUE(SUBSTITUTE(Raw_Data!J291," visits","")),
    ""
)</f>
        <v>8</v>
      </c>
      <c r="K291" t="str">
        <f ca="1">IF(TRIM(Raw_Data!K291)="","No",PROPER(TRIM(Raw_Data!K291)))</f>
        <v>Yes</v>
      </c>
      <c r="L291" t="str">
        <f ca="1">PROPER(TRIM(Raw_Data!L291))</f>
        <v>Muscle Gain</v>
      </c>
      <c r="M291" t="s">
        <v>151</v>
      </c>
      <c r="N291" s="2">
        <f>IFERROR(DATEVALUE(Raw_Data!N291), Raw_Data!N291)</f>
        <v>45854</v>
      </c>
      <c r="O291" s="2"/>
      <c r="P291" t="str">
        <f>IF(COUNTIF($A$2:A291,A291)&gt;1,"Duplicate","Unique")</f>
        <v>Unique</v>
      </c>
      <c r="Q291" t="str">
        <f t="shared" si="8"/>
        <v>OK</v>
      </c>
      <c r="R291" t="str">
        <f t="shared" si="9"/>
        <v>Available</v>
      </c>
    </row>
    <row r="292" spans="1:18">
      <c r="A292" t="str">
        <f>TRIM(CLEAN(Raw_Data!A292))</f>
        <v>MEM0291</v>
      </c>
      <c r="B292" t="str">
        <f ca="1">TRIM(Raw_Data!B292)</f>
        <v>Kavya Yadav</v>
      </c>
      <c r="C292" t="str">
        <f ca="1">_xlfn.XLOOKUP(D292, Branch_Master!A:A, Branch_Master!B:B)</f>
        <v>Trivandrum</v>
      </c>
      <c r="D292" t="str">
        <f ca="1">TRIM(Raw_Data!D292)</f>
        <v>BR06</v>
      </c>
      <c r="E292" t="str">
        <f ca="1">PROPER(TRIM(Raw_Data!E292))</f>
        <v>Premium</v>
      </c>
      <c r="F292" s="2">
        <f>IFERROR(DATEVALUE(Raw_Data!F292), Raw_Data!F292)</f>
        <v>45675</v>
      </c>
      <c r="G292" s="2">
        <f>IFERROR(
    IF(
        IFERROR(DATEVALUE(Raw_Data!G292), Raw_Data!G292) &lt;
        IFERROR(DATEVALUE(Raw_Data!F292), Raw_Data!F292),
        IFERROR(DATEVALUE(Raw_Data!F292), Raw_Data!F292) + 30,
        IFERROR(DATEVALUE(Raw_Data!G292), Raw_Data!G292)
    ),
    ""
)</f>
        <v>45765</v>
      </c>
      <c r="H292">
        <f>IFERROR(VALUE(Raw_Data!H292), "")</f>
        <v>3500</v>
      </c>
      <c r="I292">
        <f ca="1">IFERROR(VALUE(Raw_Data!I292), "")</f>
        <v>10500</v>
      </c>
      <c r="J292">
        <f>IFERROR(
    VALUE(SUBSTITUTE(Raw_Data!J292," visits","")),
    ""
)</f>
        <v>21</v>
      </c>
      <c r="K292" t="str">
        <f ca="1">IF(TRIM(Raw_Data!K292)="","No",PROPER(TRIM(Raw_Data!K292)))</f>
        <v>No</v>
      </c>
      <c r="L292" t="str">
        <f ca="1">PROPER(TRIM(Raw_Data!L292))</f>
        <v>Muscle Gain</v>
      </c>
      <c r="M292" t="s">
        <v>151</v>
      </c>
      <c r="N292" s="2">
        <f>IFERROR(DATEVALUE(Raw_Data!N292), Raw_Data!N292)</f>
        <v>45776</v>
      </c>
      <c r="O292" s="2"/>
      <c r="P292" t="str">
        <f>IF(COUNTIF($A$2:A292,A292)&gt;1,"Duplicate","Unique")</f>
        <v>Unique</v>
      </c>
      <c r="Q292" t="str">
        <f t="shared" si="8"/>
        <v>OK</v>
      </c>
      <c r="R292" t="str">
        <f t="shared" si="9"/>
        <v>Available</v>
      </c>
    </row>
    <row r="293" spans="1:18">
      <c r="A293" t="str">
        <f>TRIM(CLEAN(Raw_Data!A293))</f>
        <v>MEM0292</v>
      </c>
      <c r="B293" t="str">
        <f ca="1">TRIM(Raw_Data!B293)</f>
        <v>Nikhil Malhotra</v>
      </c>
      <c r="C293" t="str">
        <f ca="1">_xlfn.XLOOKUP(D293, Branch_Master!A:A, Branch_Master!B:B)</f>
        <v>Calicut</v>
      </c>
      <c r="D293" t="str">
        <f ca="1">TRIM(Raw_Data!D293)</f>
        <v>BR07</v>
      </c>
      <c r="E293" t="str">
        <f ca="1">PROPER(TRIM(Raw_Data!E293))</f>
        <v>Premium</v>
      </c>
      <c r="F293" s="2">
        <f>IFERROR(DATEVALUE(Raw_Data!F293), Raw_Data!F293)</f>
        <v>45934</v>
      </c>
      <c r="G293" s="2">
        <f>IFERROR(
    IF(
        IFERROR(DATEVALUE(Raw_Data!G293), Raw_Data!G293) &lt;
        IFERROR(DATEVALUE(Raw_Data!F293), Raw_Data!F293),
        IFERROR(DATEVALUE(Raw_Data!F293), Raw_Data!F293) + 30,
        IFERROR(DATEVALUE(Raw_Data!G293), Raw_Data!G293)
    ),
    ""
)</f>
        <v>45964</v>
      </c>
      <c r="H293">
        <f>IFERROR(VALUE(Raw_Data!H293), "")</f>
        <v>2000</v>
      </c>
      <c r="I293">
        <f ca="1">IFERROR(VALUE(Raw_Data!I293), "")</f>
        <v>20000</v>
      </c>
      <c r="J293">
        <f>IFERROR(
    VALUE(SUBSTITUTE(Raw_Data!J293," visits","")),
    ""
)</f>
        <v>19</v>
      </c>
      <c r="K293" t="str">
        <f ca="1">IF(TRIM(Raw_Data!K293)="","No",PROPER(TRIM(Raw_Data!K293)))</f>
        <v>No</v>
      </c>
      <c r="L293" t="str">
        <f ca="1">PROPER(TRIM(Raw_Data!L293))</f>
        <v>Weight Loss</v>
      </c>
      <c r="M293" t="s">
        <v>152</v>
      </c>
      <c r="N293" s="2">
        <f>IFERROR(DATEVALUE(Raw_Data!N293), Raw_Data!N293)</f>
        <v>46117</v>
      </c>
      <c r="O293" s="2"/>
      <c r="P293" t="str">
        <f>IF(COUNTIF($A$2:A293,A293)&gt;1,"Duplicate","Unique")</f>
        <v>Unique</v>
      </c>
      <c r="Q293" t="str">
        <f t="shared" si="8"/>
        <v>Cancelled but Active</v>
      </c>
      <c r="R293" t="str">
        <f t="shared" si="9"/>
        <v>Available</v>
      </c>
    </row>
    <row r="294" spans="1:18">
      <c r="A294" t="str">
        <f>TRIM(CLEAN(Raw_Data!A294))</f>
        <v>MEM0293</v>
      </c>
      <c r="B294" t="str">
        <f ca="1">TRIM(Raw_Data!B294)</f>
        <v>Riya Lewis</v>
      </c>
      <c r="C294" t="str">
        <f ca="1">_xlfn.XLOOKUP(D294, Branch_Master!A:A, Branch_Master!B:B)</f>
        <v>Trivandrum</v>
      </c>
      <c r="D294" t="str">
        <f ca="1">TRIM(Raw_Data!D294)</f>
        <v>BR06</v>
      </c>
      <c r="E294" t="str">
        <f ca="1">PROPER(TRIM(Raw_Data!E294))</f>
        <v>Premium</v>
      </c>
      <c r="F294" s="2">
        <f>IFERROR(DATEVALUE(Raw_Data!F294), Raw_Data!F294)</f>
        <v>44997</v>
      </c>
      <c r="G294" s="2">
        <f>IFERROR(
    IF(
        IFERROR(DATEVALUE(Raw_Data!G294), Raw_Data!G294) &lt;
        IFERROR(DATEVALUE(Raw_Data!F294), Raw_Data!F294),
        IFERROR(DATEVALUE(Raw_Data!F294), Raw_Data!F294) + 30,
        IFERROR(DATEVALUE(Raw_Data!G294), Raw_Data!G294)
    ),
    ""
)</f>
        <v>45362</v>
      </c>
      <c r="H294">
        <f>IFERROR(VALUE(Raw_Data!H294), "")</f>
        <v>3500</v>
      </c>
      <c r="I294">
        <f ca="1">IFERROR(VALUE(Raw_Data!I294), "")</f>
        <v>21000</v>
      </c>
      <c r="J294">
        <f>IFERROR(
    VALUE(SUBSTITUTE(Raw_Data!J294," visits","")),
    ""
)</f>
        <v>4</v>
      </c>
      <c r="K294" t="str">
        <f ca="1">IF(TRIM(Raw_Data!K294)="","No",PROPER(TRIM(Raw_Data!K294)))</f>
        <v>Yes</v>
      </c>
      <c r="L294" t="str">
        <f ca="1">PROPER(TRIM(Raw_Data!L294))</f>
        <v>General Fitness</v>
      </c>
      <c r="M294" t="s">
        <v>151</v>
      </c>
      <c r="N294" s="2">
        <f>IFERROR(DATEVALUE(Raw_Data!N294), Raw_Data!N294)</f>
        <v>45961</v>
      </c>
      <c r="O294" s="2"/>
      <c r="P294" t="str">
        <f>IF(COUNTIF($A$2:A294,A294)&gt;1,"Duplicate","Unique")</f>
        <v>Unique</v>
      </c>
      <c r="Q294" t="str">
        <f t="shared" si="8"/>
        <v>OK</v>
      </c>
      <c r="R294" t="str">
        <f t="shared" si="9"/>
        <v>Available</v>
      </c>
    </row>
    <row r="295" spans="1:18">
      <c r="A295" t="str">
        <f>TRIM(CLEAN(Raw_Data!A295))</f>
        <v>MEM0294</v>
      </c>
      <c r="B295" t="str">
        <f ca="1">TRIM(Raw_Data!B295)</f>
        <v>Manoj Joseph</v>
      </c>
      <c r="C295" t="str">
        <f ca="1">_xlfn.XLOOKUP(D295, Branch_Master!A:A, Branch_Master!B:B)</f>
        <v>Bangalore</v>
      </c>
      <c r="D295" t="str">
        <f ca="1">TRIM(Raw_Data!D295)</f>
        <v>BR02</v>
      </c>
      <c r="E295" t="str">
        <f ca="1">PROPER(TRIM(Raw_Data!E295))</f>
        <v>Basic</v>
      </c>
      <c r="F295" s="2">
        <f>IFERROR(DATEVALUE(Raw_Data!F295), Raw_Data!F295)</f>
        <v>45768</v>
      </c>
      <c r="G295" s="2">
        <f>IFERROR(
    IF(
        IFERROR(DATEVALUE(Raw_Data!G295), Raw_Data!G295) &lt;
        IFERROR(DATEVALUE(Raw_Data!F295), Raw_Data!F295),
        IFERROR(DATEVALUE(Raw_Data!F295), Raw_Data!F295) + 30,
        IFERROR(DATEVALUE(Raw_Data!G295), Raw_Data!G295)
    ),
    ""
)</f>
        <v>45798</v>
      </c>
      <c r="H295">
        <f>IFERROR(VALUE(Raw_Data!H295), "")</f>
        <v>1000</v>
      </c>
      <c r="I295">
        <f ca="1">IFERROR(VALUE(Raw_Data!I295), "")</f>
        <v>8000</v>
      </c>
      <c r="J295">
        <f>IFERROR(
    VALUE(SUBSTITUTE(Raw_Data!J295," visits","")),
    ""
)</f>
        <v>23</v>
      </c>
      <c r="K295" t="str">
        <f ca="1">IF(TRIM(Raw_Data!K295)="","No",PROPER(TRIM(Raw_Data!K295)))</f>
        <v>Yes</v>
      </c>
      <c r="L295" t="str">
        <f ca="1">PROPER(TRIM(Raw_Data!L295))</f>
        <v>Weight Loss</v>
      </c>
      <c r="M295" t="s">
        <v>152</v>
      </c>
      <c r="N295" s="2">
        <f>IFERROR(DATEVALUE(Raw_Data!N295), Raw_Data!N295)</f>
        <v>45813</v>
      </c>
      <c r="O295" s="2"/>
      <c r="P295" t="str">
        <f>IF(COUNTIF($A$2:A295,A295)&gt;1,"Duplicate","Unique")</f>
        <v>Unique</v>
      </c>
      <c r="Q295" t="str">
        <f t="shared" si="8"/>
        <v>Cancelled but Active</v>
      </c>
      <c r="R295" t="str">
        <f t="shared" si="9"/>
        <v>Available</v>
      </c>
    </row>
    <row r="296" spans="1:18">
      <c r="A296" t="str">
        <f>TRIM(CLEAN(Raw_Data!A296))</f>
        <v>MEM0295</v>
      </c>
      <c r="B296" t="str">
        <f ca="1">TRIM(Raw_Data!B296)</f>
        <v>Arjun Chatterjee</v>
      </c>
      <c r="C296" t="str">
        <f ca="1">_xlfn.XLOOKUP(D296, Branch_Master!A:A, Branch_Master!B:B)</f>
        <v>Calicut</v>
      </c>
      <c r="D296" t="str">
        <f ca="1">TRIM(Raw_Data!D296)</f>
        <v>BR07</v>
      </c>
      <c r="E296" t="str">
        <f ca="1">PROPER(TRIM(Raw_Data!E296))</f>
        <v>Basic</v>
      </c>
      <c r="F296" s="2">
        <f>IFERROR(DATEVALUE(Raw_Data!F296), Raw_Data!F296)</f>
        <v>45862</v>
      </c>
      <c r="G296" s="2">
        <f>IFERROR(
    IF(
        IFERROR(DATEVALUE(Raw_Data!G296), Raw_Data!G296) &lt;
        IFERROR(DATEVALUE(Raw_Data!F296), Raw_Data!F296),
        IFERROR(DATEVALUE(Raw_Data!F296), Raw_Data!F296) + 30,
        IFERROR(DATEVALUE(Raw_Data!G296), Raw_Data!G296)
    ),
    ""
)</f>
        <v>45892</v>
      </c>
      <c r="H296">
        <f>IFERROR(VALUE(Raw_Data!H296), "")</f>
        <v>2000</v>
      </c>
      <c r="I296">
        <f ca="1">IFERROR(VALUE(Raw_Data!I296), "")</f>
        <v>2000</v>
      </c>
      <c r="J296">
        <f>IFERROR(
    VALUE(SUBSTITUTE(Raw_Data!J296," visits","")),
    ""
)</f>
        <v>15</v>
      </c>
      <c r="K296" t="str">
        <f ca="1">IF(TRIM(Raw_Data!K296)="","No",PROPER(TRIM(Raw_Data!K296)))</f>
        <v>No</v>
      </c>
      <c r="L296" t="str">
        <f ca="1">PROPER(TRIM(Raw_Data!L296))</f>
        <v>Muscle Gain</v>
      </c>
      <c r="M296" t="s">
        <v>152</v>
      </c>
      <c r="N296" s="2">
        <f>IFERROR(DATEVALUE(Raw_Data!N296), Raw_Data!N296)</f>
        <v>45950</v>
      </c>
      <c r="O296" s="2"/>
      <c r="P296" t="str">
        <f>IF(COUNTIF($A$2:A296,A296)&gt;1,"Duplicate","Unique")</f>
        <v>Unique</v>
      </c>
      <c r="Q296" t="str">
        <f t="shared" si="8"/>
        <v>Cancelled but Active</v>
      </c>
      <c r="R296" t="str">
        <f t="shared" si="9"/>
        <v>Available</v>
      </c>
    </row>
    <row r="297" spans="1:18">
      <c r="A297" t="str">
        <f>TRIM(CLEAN(Raw_Data!A297))</f>
        <v>MEM0296</v>
      </c>
      <c r="B297" t="str">
        <f ca="1">TRIM(Raw_Data!B297)</f>
        <v>Vivek Desai</v>
      </c>
      <c r="C297" t="str">
        <f ca="1">_xlfn.XLOOKUP(D297, Branch_Master!A:A, Branch_Master!B:B)</f>
        <v>Kochi</v>
      </c>
      <c r="D297" t="str">
        <f ca="1">TRIM(Raw_Data!D297)</f>
        <v>BR01</v>
      </c>
      <c r="E297" t="str">
        <f ca="1">PROPER(TRIM(Raw_Data!E297))</f>
        <v>Premium</v>
      </c>
      <c r="F297" s="2">
        <f>IFERROR(DATEVALUE(Raw_Data!F297), Raw_Data!F297)</f>
        <v>45294</v>
      </c>
      <c r="G297" s="2">
        <f>IFERROR(
    IF(
        IFERROR(DATEVALUE(Raw_Data!G297), Raw_Data!G297) &lt;
        IFERROR(DATEVALUE(Raw_Data!F297), Raw_Data!F297),
        IFERROR(DATEVALUE(Raw_Data!F297), Raw_Data!F297) + 30,
        IFERROR(DATEVALUE(Raw_Data!G297), Raw_Data!G297)
    ),
    ""
)</f>
        <v>45324</v>
      </c>
      <c r="H297">
        <f>IFERROR(VALUE(Raw_Data!H297), "")</f>
        <v>1000</v>
      </c>
      <c r="I297">
        <f ca="1">IFERROR(VALUE(Raw_Data!I297), "")</f>
        <v>6000</v>
      </c>
      <c r="J297">
        <f>IFERROR(
    VALUE(SUBSTITUTE(Raw_Data!J297," visits","")),
    ""
)</f>
        <v>16</v>
      </c>
      <c r="K297" t="str">
        <f ca="1">IF(TRIM(Raw_Data!K297)="","No",PROPER(TRIM(Raw_Data!K297)))</f>
        <v>Yes</v>
      </c>
      <c r="L297" t="str">
        <f ca="1">PROPER(TRIM(Raw_Data!L297))</f>
        <v>General Fitness</v>
      </c>
      <c r="M297" t="s">
        <v>151</v>
      </c>
      <c r="N297" s="2">
        <f>IFERROR(DATEVALUE(Raw_Data!N297), Raw_Data!N297)</f>
        <v>45573</v>
      </c>
      <c r="O297" s="2"/>
      <c r="P297" t="str">
        <f>IF(COUNTIF($A$2:A297,A297)&gt;1,"Duplicate","Unique")</f>
        <v>Unique</v>
      </c>
      <c r="Q297" t="str">
        <f t="shared" si="8"/>
        <v>OK</v>
      </c>
      <c r="R297" t="str">
        <f t="shared" si="9"/>
        <v>Available</v>
      </c>
    </row>
    <row r="298" spans="1:18">
      <c r="A298" t="str">
        <f>TRIM(CLEAN(Raw_Data!A298))</f>
        <v>MEM0297</v>
      </c>
      <c r="B298" t="str">
        <f ca="1">TRIM(Raw_Data!B298)</f>
        <v>Rohit Patel</v>
      </c>
      <c r="C298" t="str">
        <f ca="1">_xlfn.XLOOKUP(D298, Branch_Master!A:A, Branch_Master!B:B)</f>
        <v>Bangalore</v>
      </c>
      <c r="D298" t="str">
        <f ca="1">TRIM(Raw_Data!D298)</f>
        <v>BR02</v>
      </c>
      <c r="E298" t="str">
        <f ca="1">PROPER(TRIM(Raw_Data!E298))</f>
        <v>Basic</v>
      </c>
      <c r="F298" s="2">
        <f>IFERROR(DATEVALUE(Raw_Data!F298), Raw_Data!F298)</f>
        <v>45137</v>
      </c>
      <c r="G298" s="2">
        <f>IFERROR(
    IF(
        IFERROR(DATEVALUE(Raw_Data!G298), Raw_Data!G298) &lt;
        IFERROR(DATEVALUE(Raw_Data!F298), Raw_Data!F298),
        IFERROR(DATEVALUE(Raw_Data!F298), Raw_Data!F298) + 30,
        IFERROR(DATEVALUE(Raw_Data!G298), Raw_Data!G298)
    ),
    ""
)</f>
        <v>45227</v>
      </c>
      <c r="H298">
        <f>IFERROR(VALUE(Raw_Data!H298), "")</f>
        <v>2000</v>
      </c>
      <c r="I298">
        <f ca="1">IFERROR(VALUE(Raw_Data!I298), "")</f>
        <v>14000</v>
      </c>
      <c r="J298">
        <f>IFERROR(
    VALUE(SUBSTITUTE(Raw_Data!J298," visits","")),
    ""
)</f>
        <v>25</v>
      </c>
      <c r="K298" t="str">
        <f ca="1">IF(TRIM(Raw_Data!K298)="","No",PROPER(TRIM(Raw_Data!K298)))</f>
        <v>No</v>
      </c>
      <c r="L298" t="str">
        <f ca="1">PROPER(TRIM(Raw_Data!L298))</f>
        <v>Muscle Gain</v>
      </c>
      <c r="M298" t="s">
        <v>151</v>
      </c>
      <c r="N298" s="2">
        <f>IFERROR(DATEVALUE(Raw_Data!N298), Raw_Data!N298)</f>
        <v>45277</v>
      </c>
      <c r="O298" s="2"/>
      <c r="P298" t="str">
        <f>IF(COUNTIF($A$2:A298,A298)&gt;1,"Duplicate","Unique")</f>
        <v>Unique</v>
      </c>
      <c r="Q298" t="str">
        <f t="shared" si="8"/>
        <v>OK</v>
      </c>
      <c r="R298" t="str">
        <f t="shared" si="9"/>
        <v>Available</v>
      </c>
    </row>
    <row r="299" spans="1:18">
      <c r="A299" t="str">
        <f>TRIM(CLEAN(Raw_Data!A299))</f>
        <v>MEM0298</v>
      </c>
      <c r="B299" t="str">
        <f ca="1">TRIM(Raw_Data!B299)</f>
        <v>Manoj Pillai</v>
      </c>
      <c r="C299" t="str">
        <f ca="1">_xlfn.XLOOKUP(D299, Branch_Master!A:A, Branch_Master!B:B)</f>
        <v>Bangalore</v>
      </c>
      <c r="D299" t="str">
        <f ca="1">TRIM(Raw_Data!D299)</f>
        <v>BR02</v>
      </c>
      <c r="E299" t="str">
        <f ca="1">PROPER(TRIM(Raw_Data!E299))</f>
        <v>Standard</v>
      </c>
      <c r="F299" s="2">
        <f>IFERROR(DATEVALUE(Raw_Data!F299), Raw_Data!F299)</f>
        <v>45882</v>
      </c>
      <c r="G299" s="2">
        <f>IFERROR(
    IF(
        IFERROR(DATEVALUE(Raw_Data!G299), Raw_Data!G299) &lt;
        IFERROR(DATEVALUE(Raw_Data!F299), Raw_Data!F299),
        IFERROR(DATEVALUE(Raw_Data!F299), Raw_Data!F299) + 30,
        IFERROR(DATEVALUE(Raw_Data!G299), Raw_Data!G299)
    ),
    ""
)</f>
        <v>45912</v>
      </c>
      <c r="H299">
        <f>IFERROR(VALUE(Raw_Data!H299), "")</f>
        <v>1000</v>
      </c>
      <c r="I299">
        <f ca="1">IFERROR(VALUE(Raw_Data!I299), "")</f>
        <v>9000</v>
      </c>
      <c r="J299">
        <f>IFERROR(
    VALUE(SUBSTITUTE(Raw_Data!J299," visits","")),
    ""
)</f>
        <v>17</v>
      </c>
      <c r="K299" t="str">
        <f ca="1">IF(TRIM(Raw_Data!K299)="","No",PROPER(TRIM(Raw_Data!K299)))</f>
        <v>No</v>
      </c>
      <c r="L299" t="str">
        <f ca="1">PROPER(TRIM(Raw_Data!L299))</f>
        <v>Weight Loss</v>
      </c>
      <c r="M299" t="s">
        <v>152</v>
      </c>
      <c r="N299" s="2">
        <f>IFERROR(DATEVALUE(Raw_Data!N299), Raw_Data!N299)</f>
        <v>46119</v>
      </c>
      <c r="O299" s="2"/>
      <c r="P299" t="str">
        <f>IF(COUNTIF($A$2:A299,A299)&gt;1,"Duplicate","Unique")</f>
        <v>Unique</v>
      </c>
      <c r="Q299" t="str">
        <f t="shared" si="8"/>
        <v>Cancelled but Active</v>
      </c>
      <c r="R299" t="str">
        <f t="shared" si="9"/>
        <v>Available</v>
      </c>
    </row>
    <row r="300" spans="1:18">
      <c r="A300" t="str">
        <f>TRIM(CLEAN(Raw_Data!A300))</f>
        <v>MEM0299</v>
      </c>
      <c r="B300" t="str">
        <f ca="1">TRIM(Raw_Data!B300)</f>
        <v>Karthik Reddy</v>
      </c>
      <c r="C300" t="str">
        <f ca="1">_xlfn.XLOOKUP(D300, Branch_Master!A:A, Branch_Master!B:B)</f>
        <v>Calicut</v>
      </c>
      <c r="D300" t="str">
        <f ca="1">TRIM(Raw_Data!D300)</f>
        <v>BR07</v>
      </c>
      <c r="E300" t="str">
        <f ca="1">PROPER(TRIM(Raw_Data!E300))</f>
        <v>Basic</v>
      </c>
      <c r="F300" s="2">
        <f>IFERROR(DATEVALUE(Raw_Data!F300), Raw_Data!F300)</f>
        <v>46016</v>
      </c>
      <c r="G300" s="2">
        <f>IFERROR(
    IF(
        IFERROR(DATEVALUE(Raw_Data!G300), Raw_Data!G300) &lt;
        IFERROR(DATEVALUE(Raw_Data!F300), Raw_Data!F300),
        IFERROR(DATEVALUE(Raw_Data!F300), Raw_Data!F300) + 30,
        IFERROR(DATEVALUE(Raw_Data!G300), Raw_Data!G300)
    ),
    ""
)</f>
        <v>46381</v>
      </c>
      <c r="H300">
        <f>IFERROR(VALUE(Raw_Data!H300), "")</f>
        <v>1000</v>
      </c>
      <c r="I300">
        <f ca="1">IFERROR(VALUE(Raw_Data!I300), "")</f>
        <v>12000</v>
      </c>
      <c r="J300">
        <f>IFERROR(
    VALUE(SUBSTITUTE(Raw_Data!J300," visits","")),
    ""
)</f>
        <v>1</v>
      </c>
      <c r="K300" t="str">
        <f ca="1">IF(TRIM(Raw_Data!K300)="","No",PROPER(TRIM(Raw_Data!K300)))</f>
        <v>No</v>
      </c>
      <c r="L300" t="str">
        <f ca="1">PROPER(TRIM(Raw_Data!L300))</f>
        <v>Weight Loss</v>
      </c>
      <c r="M300" t="s">
        <v>151</v>
      </c>
      <c r="N300" s="2">
        <f>IFERROR(DATEVALUE(Raw_Data!N300), Raw_Data!N300)</f>
        <v>46124</v>
      </c>
      <c r="O300" s="2"/>
      <c r="P300" t="str">
        <f>IF(COUNTIF($A$2:A300,A300)&gt;1,"Duplicate","Unique")</f>
        <v>Unique</v>
      </c>
      <c r="Q300" t="str">
        <f t="shared" si="8"/>
        <v>OK</v>
      </c>
      <c r="R300" t="str">
        <f t="shared" si="9"/>
        <v>Available</v>
      </c>
    </row>
    <row r="301" spans="1:18">
      <c r="A301" t="str">
        <f>TRIM(CLEAN(Raw_Data!A301))</f>
        <v>MEM0300</v>
      </c>
      <c r="B301" t="str">
        <f ca="1">TRIM(Raw_Data!B301)</f>
        <v>Ankit Banerjee</v>
      </c>
      <c r="C301" t="str">
        <f ca="1">_xlfn.XLOOKUP(D301, Branch_Master!A:A, Branch_Master!B:B)</f>
        <v>Mumbai</v>
      </c>
      <c r="D301" t="str">
        <f ca="1">TRIM(Raw_Data!D301)</f>
        <v>BR05</v>
      </c>
      <c r="E301" t="str">
        <f ca="1">PROPER(TRIM(Raw_Data!E301))</f>
        <v>Basic</v>
      </c>
      <c r="F301" s="2">
        <f>IFERROR(DATEVALUE(Raw_Data!F301), Raw_Data!F301)</f>
        <v>46052</v>
      </c>
      <c r="G301" s="2">
        <f>IFERROR(
    IF(
        IFERROR(DATEVALUE(Raw_Data!G301), Raw_Data!G301) &lt;
        IFERROR(DATEVALUE(Raw_Data!F301), Raw_Data!F301),
        IFERROR(DATEVALUE(Raw_Data!F301), Raw_Data!F301) + 30,
        IFERROR(DATEVALUE(Raw_Data!G301), Raw_Data!G301)
    ),
    ""
)</f>
        <v>46142</v>
      </c>
      <c r="H301">
        <f>IFERROR(VALUE(Raw_Data!H301), "")</f>
        <v>3500</v>
      </c>
      <c r="I301">
        <f ca="1">IFERROR(VALUE(Raw_Data!I301), "")</f>
        <v>21000</v>
      </c>
      <c r="J301">
        <f>IFERROR(
    VALUE(SUBSTITUTE(Raw_Data!J301," visits","")),
    ""
)</f>
        <v>2</v>
      </c>
      <c r="K301" t="str">
        <f ca="1">IF(TRIM(Raw_Data!K301)="","No",PROPER(TRIM(Raw_Data!K301)))</f>
        <v>Yes</v>
      </c>
      <c r="L301" t="str">
        <f ca="1">PROPER(TRIM(Raw_Data!L301))</f>
        <v>General Fitness</v>
      </c>
      <c r="M301" t="s">
        <v>152</v>
      </c>
      <c r="N301" s="2">
        <f>IFERROR(DATEVALUE(Raw_Data!N301), Raw_Data!N301)</f>
        <v>46082</v>
      </c>
      <c r="O301" s="2"/>
      <c r="P301" t="str">
        <f>IF(COUNTIF($A$2:A301,A301)&gt;1,"Duplicate","Unique")</f>
        <v>Unique</v>
      </c>
      <c r="Q301" t="str">
        <f t="shared" si="8"/>
        <v>Cancelled but Active</v>
      </c>
      <c r="R301" t="str">
        <f t="shared" si="9"/>
        <v>Available</v>
      </c>
    </row>
    <row r="302" spans="1:18">
      <c r="A302" t="str">
        <f>TRIM(CLEAN(Raw_Data!A302))</f>
        <v>MEM0301</v>
      </c>
      <c r="B302" t="str">
        <f ca="1">TRIM(Raw_Data!B302)</f>
        <v>Akash Naidu</v>
      </c>
      <c r="C302" t="str">
        <f ca="1">_xlfn.XLOOKUP(D302, Branch_Master!A:A, Branch_Master!B:B)</f>
        <v>Trivandrum</v>
      </c>
      <c r="D302" t="str">
        <f ca="1">TRIM(Raw_Data!D302)</f>
        <v>BR06</v>
      </c>
      <c r="E302" t="str">
        <f ca="1">PROPER(TRIM(Raw_Data!E302))</f>
        <v>Standard</v>
      </c>
      <c r="F302" s="2">
        <f>IFERROR(DATEVALUE(Raw_Data!F302), Raw_Data!F302)</f>
        <v>45614</v>
      </c>
      <c r="G302" s="2">
        <f>IFERROR(
    IF(
        IFERROR(DATEVALUE(Raw_Data!G302), Raw_Data!G302) &lt;
        IFERROR(DATEVALUE(Raw_Data!F302), Raw_Data!F302),
        IFERROR(DATEVALUE(Raw_Data!F302), Raw_Data!F302) + 30,
        IFERROR(DATEVALUE(Raw_Data!G302), Raw_Data!G302)
    ),
    ""
)</f>
        <v>45644</v>
      </c>
      <c r="H302">
        <f>IFERROR(VALUE(Raw_Data!H302), "")</f>
        <v>3500</v>
      </c>
      <c r="I302">
        <f ca="1">IFERROR(VALUE(Raw_Data!I302), "")</f>
        <v>31500</v>
      </c>
      <c r="J302">
        <f>IFERROR(
    VALUE(SUBSTITUTE(Raw_Data!J302," visits","")),
    ""
)</f>
        <v>1</v>
      </c>
      <c r="K302" t="str">
        <f ca="1">IF(TRIM(Raw_Data!K302)="","No",PROPER(TRIM(Raw_Data!K302)))</f>
        <v>Yes</v>
      </c>
      <c r="L302" t="str">
        <f ca="1">PROPER(TRIM(Raw_Data!L302))</f>
        <v>Weight Loss</v>
      </c>
      <c r="M302" t="s">
        <v>151</v>
      </c>
      <c r="N302" s="2">
        <f>IFERROR(DATEVALUE(Raw_Data!N302), Raw_Data!N302)</f>
        <v>45800</v>
      </c>
      <c r="O302" s="2"/>
      <c r="P302" t="str">
        <f>IF(COUNTIF($A$2:A302,A302)&gt;1,"Duplicate","Unique")</f>
        <v>Unique</v>
      </c>
      <c r="Q302" t="str">
        <f t="shared" si="8"/>
        <v>OK</v>
      </c>
      <c r="R302" t="str">
        <f t="shared" si="9"/>
        <v>Available</v>
      </c>
    </row>
    <row r="303" spans="1:18">
      <c r="A303" t="str">
        <f>TRIM(CLEAN(Raw_Data!A303))</f>
        <v>MEM0302</v>
      </c>
      <c r="B303" t="str">
        <f ca="1">TRIM(Raw_Data!B303)</f>
        <v>Harish Patel</v>
      </c>
      <c r="C303" t="str">
        <f ca="1">_xlfn.XLOOKUP(D303, Branch_Master!A:A, Branch_Master!B:B)</f>
        <v>Calicut</v>
      </c>
      <c r="D303" t="str">
        <f ca="1">TRIM(Raw_Data!D303)</f>
        <v>BR07</v>
      </c>
      <c r="E303" t="str">
        <f ca="1">PROPER(TRIM(Raw_Data!E303))</f>
        <v>Premium</v>
      </c>
      <c r="F303" s="2">
        <f>IFERROR(DATEVALUE(Raw_Data!F303), Raw_Data!F303)</f>
        <v>45246</v>
      </c>
      <c r="G303" s="2">
        <f>IFERROR(
    IF(
        IFERROR(DATEVALUE(Raw_Data!G303), Raw_Data!G303) &lt;
        IFERROR(DATEVALUE(Raw_Data!F303), Raw_Data!F303),
        IFERROR(DATEVALUE(Raw_Data!F303), Raw_Data!F303) + 30,
        IFERROR(DATEVALUE(Raw_Data!G303), Raw_Data!G303)
    ),
    ""
)</f>
        <v>45276</v>
      </c>
      <c r="H303">
        <f>IFERROR(VALUE(Raw_Data!H303), "")</f>
        <v>1000</v>
      </c>
      <c r="I303">
        <f ca="1">IFERROR(VALUE(Raw_Data!I303), "")</f>
        <v>8000</v>
      </c>
      <c r="J303">
        <f>IFERROR(
    VALUE(SUBSTITUTE(Raw_Data!J303," visits","")),
    ""
)</f>
        <v>12</v>
      </c>
      <c r="K303" t="str">
        <f ca="1">IF(TRIM(Raw_Data!K303)="","No",PROPER(TRIM(Raw_Data!K303)))</f>
        <v>No</v>
      </c>
      <c r="L303" t="str">
        <f ca="1">PROPER(TRIM(Raw_Data!L303))</f>
        <v>Weight Loss</v>
      </c>
      <c r="M303" t="s">
        <v>151</v>
      </c>
      <c r="N303" s="2">
        <f>IFERROR(DATEVALUE(Raw_Data!N303), Raw_Data!N303)</f>
        <v>45926</v>
      </c>
      <c r="O303" s="2"/>
      <c r="P303" t="str">
        <f>IF(COUNTIF($A$2:A303,A303)&gt;1,"Duplicate","Unique")</f>
        <v>Unique</v>
      </c>
      <c r="Q303" t="str">
        <f t="shared" si="8"/>
        <v>OK</v>
      </c>
      <c r="R303" t="str">
        <f t="shared" si="9"/>
        <v>Available</v>
      </c>
    </row>
    <row r="304" spans="1:18">
      <c r="A304" t="str">
        <f>TRIM(CLEAN(Raw_Data!A304))</f>
        <v>MEM0303</v>
      </c>
      <c r="B304" t="str">
        <f ca="1">TRIM(Raw_Data!B304)</f>
        <v>Shreya Kulkarni</v>
      </c>
      <c r="C304" t="str">
        <f ca="1">_xlfn.XLOOKUP(D304, Branch_Master!A:A, Branch_Master!B:B)</f>
        <v>Bangalore</v>
      </c>
      <c r="D304" t="str">
        <f ca="1">TRIM(Raw_Data!D304)</f>
        <v>BR02</v>
      </c>
      <c r="E304" t="str">
        <f ca="1">PROPER(TRIM(Raw_Data!E304))</f>
        <v>Premium</v>
      </c>
      <c r="F304" s="2">
        <f>IFERROR(DATEVALUE(Raw_Data!F304), Raw_Data!F304)</f>
        <v>45647</v>
      </c>
      <c r="G304" s="2">
        <f>IFERROR(
    IF(
        IFERROR(DATEVALUE(Raw_Data!G304), Raw_Data!G304) &lt;
        IFERROR(DATEVALUE(Raw_Data!F304), Raw_Data!F304),
        IFERROR(DATEVALUE(Raw_Data!F304), Raw_Data!F304) + 30,
        IFERROR(DATEVALUE(Raw_Data!G304), Raw_Data!G304)
    ),
    ""
)</f>
        <v>45677</v>
      </c>
      <c r="H304">
        <f>IFERROR(VALUE(Raw_Data!H304), "")</f>
        <v>2000</v>
      </c>
      <c r="I304">
        <f ca="1">IFERROR(VALUE(Raw_Data!I304), "")</f>
        <v>20000</v>
      </c>
      <c r="J304">
        <f>IFERROR(
    VALUE(SUBSTITUTE(Raw_Data!J304," visits","")),
    ""
)</f>
        <v>1</v>
      </c>
      <c r="K304" t="str">
        <f ca="1">IF(TRIM(Raw_Data!K304)="","No",PROPER(TRIM(Raw_Data!K304)))</f>
        <v>No</v>
      </c>
      <c r="L304" t="str">
        <f ca="1">PROPER(TRIM(Raw_Data!L304))</f>
        <v>General Fitness</v>
      </c>
      <c r="M304" t="s">
        <v>152</v>
      </c>
      <c r="N304" s="2">
        <f>IFERROR(DATEVALUE(Raw_Data!N304), Raw_Data!N304)</f>
        <v>45811</v>
      </c>
      <c r="O304" s="2"/>
      <c r="P304" t="str">
        <f>IF(COUNTIF($A$2:A304,A304)&gt;1,"Duplicate","Unique")</f>
        <v>Unique</v>
      </c>
      <c r="Q304" t="str">
        <f t="shared" si="8"/>
        <v>Cancelled but Active</v>
      </c>
      <c r="R304" t="str">
        <f t="shared" si="9"/>
        <v>Available</v>
      </c>
    </row>
    <row r="305" spans="1:18">
      <c r="A305" t="str">
        <f>TRIM(CLEAN(Raw_Data!A305))</f>
        <v>MEM0304</v>
      </c>
      <c r="B305" t="str">
        <f ca="1">TRIM(Raw_Data!B305)</f>
        <v>Varun Khan</v>
      </c>
      <c r="C305" t="str">
        <f ca="1">_xlfn.XLOOKUP(D305, Branch_Master!A:A, Branch_Master!B:B)</f>
        <v>Calicut</v>
      </c>
      <c r="D305" t="str">
        <f ca="1">TRIM(Raw_Data!D305)</f>
        <v>BR07</v>
      </c>
      <c r="E305" t="str">
        <f ca="1">PROPER(TRIM(Raw_Data!E305))</f>
        <v>Basic</v>
      </c>
      <c r="F305" s="2">
        <f>IFERROR(DATEVALUE(Raw_Data!F305), Raw_Data!F305)</f>
        <v>45789</v>
      </c>
      <c r="G305" s="2">
        <f>IFERROR(
    IF(
        IFERROR(DATEVALUE(Raw_Data!G305), Raw_Data!G305) &lt;
        IFERROR(DATEVALUE(Raw_Data!F305), Raw_Data!F305),
        IFERROR(DATEVALUE(Raw_Data!F305), Raw_Data!F305) + 30,
        IFERROR(DATEVALUE(Raw_Data!G305), Raw_Data!G305)
    ),
    ""
)</f>
        <v>46154</v>
      </c>
      <c r="H305">
        <f>IFERROR(VALUE(Raw_Data!H305), "")</f>
        <v>2000</v>
      </c>
      <c r="I305">
        <f ca="1">IFERROR(VALUE(Raw_Data!I305), "")</f>
        <v>20000</v>
      </c>
      <c r="J305">
        <f>IFERROR(
    VALUE(SUBSTITUTE(Raw_Data!J305," visits","")),
    ""
)</f>
        <v>17</v>
      </c>
      <c r="K305" t="str">
        <f ca="1">IF(TRIM(Raw_Data!K305)="","No",PROPER(TRIM(Raw_Data!K305)))</f>
        <v>No</v>
      </c>
      <c r="L305" t="str">
        <f ca="1">PROPER(TRIM(Raw_Data!L305))</f>
        <v>Weight Loss</v>
      </c>
      <c r="M305" t="s">
        <v>151</v>
      </c>
      <c r="N305" s="2">
        <f>IFERROR(DATEVALUE(Raw_Data!N305), Raw_Data!N305)</f>
        <v>45800</v>
      </c>
      <c r="O305" s="2"/>
      <c r="P305" t="str">
        <f>IF(COUNTIF($A$2:A305,A305)&gt;1,"Duplicate","Unique")</f>
        <v>Unique</v>
      </c>
      <c r="Q305" t="str">
        <f t="shared" si="8"/>
        <v>OK</v>
      </c>
      <c r="R305" t="str">
        <f t="shared" si="9"/>
        <v>Available</v>
      </c>
    </row>
    <row r="306" spans="1:18">
      <c r="A306" t="str">
        <f>TRIM(CLEAN(Raw_Data!A306))</f>
        <v>MEM0305</v>
      </c>
      <c r="B306" t="str">
        <f ca="1">TRIM(Raw_Data!B306)</f>
        <v>Akash Fernandes</v>
      </c>
      <c r="C306" t="str">
        <f ca="1">_xlfn.XLOOKUP(D306, Branch_Master!A:A, Branch_Master!B:B)</f>
        <v>Bangalore</v>
      </c>
      <c r="D306" t="str">
        <f ca="1">TRIM(Raw_Data!D306)</f>
        <v>BR02</v>
      </c>
      <c r="E306" t="str">
        <f ca="1">PROPER(TRIM(Raw_Data!E306))</f>
        <v>Premium</v>
      </c>
      <c r="F306" s="2">
        <f>IFERROR(DATEVALUE(Raw_Data!F306), Raw_Data!F306)</f>
        <v>45774</v>
      </c>
      <c r="G306" s="2">
        <f>IFERROR(
    IF(
        IFERROR(DATEVALUE(Raw_Data!G306), Raw_Data!G306) &lt;
        IFERROR(DATEVALUE(Raw_Data!F306), Raw_Data!F306),
        IFERROR(DATEVALUE(Raw_Data!F306), Raw_Data!F306) + 30,
        IFERROR(DATEVALUE(Raw_Data!G306), Raw_Data!G306)
    ),
    ""
)</f>
        <v>46139</v>
      </c>
      <c r="H306">
        <f>IFERROR(VALUE(Raw_Data!H306), "")</f>
        <v>1000</v>
      </c>
      <c r="I306">
        <f ca="1">IFERROR(VALUE(Raw_Data!I306), "")</f>
        <v>12000</v>
      </c>
      <c r="J306">
        <f>IFERROR(
    VALUE(SUBSTITUTE(Raw_Data!J306," visits","")),
    ""
)</f>
        <v>13</v>
      </c>
      <c r="K306" t="str">
        <f ca="1">IF(TRIM(Raw_Data!K306)="","No",PROPER(TRIM(Raw_Data!K306)))</f>
        <v>No</v>
      </c>
      <c r="L306" t="str">
        <f ca="1">PROPER(TRIM(Raw_Data!L306))</f>
        <v>Weight Loss</v>
      </c>
      <c r="M306" t="s">
        <v>151</v>
      </c>
      <c r="N306" s="2">
        <f>IFERROR(DATEVALUE(Raw_Data!N306), Raw_Data!N306)</f>
        <v>45786</v>
      </c>
      <c r="O306" s="2"/>
      <c r="P306" t="str">
        <f>IF(COUNTIF($A$2:A306,A306)&gt;1,"Duplicate","Unique")</f>
        <v>Unique</v>
      </c>
      <c r="Q306" t="str">
        <f t="shared" si="8"/>
        <v>OK</v>
      </c>
      <c r="R306" t="str">
        <f t="shared" si="9"/>
        <v>Available</v>
      </c>
    </row>
    <row r="307" spans="1:18">
      <c r="A307" t="str">
        <f>TRIM(CLEAN(Raw_Data!A307))</f>
        <v>MEM0306</v>
      </c>
      <c r="B307" t="str">
        <f ca="1">TRIM(Raw_Data!B307)</f>
        <v>Karthik Nambiar</v>
      </c>
      <c r="C307" t="str">
        <f ca="1">_xlfn.XLOOKUP(D307, Branch_Master!A:A, Branch_Master!B:B)</f>
        <v>Chennai</v>
      </c>
      <c r="D307" t="str">
        <f ca="1">TRIM(Raw_Data!D307)</f>
        <v>BR03</v>
      </c>
      <c r="E307" t="str">
        <f ca="1">PROPER(TRIM(Raw_Data!E307))</f>
        <v>Standard</v>
      </c>
      <c r="F307" s="2">
        <f>IFERROR(DATEVALUE(Raw_Data!F307), Raw_Data!F307)</f>
        <v>45884</v>
      </c>
      <c r="G307" s="2">
        <f>IFERROR(
    IF(
        IFERROR(DATEVALUE(Raw_Data!G307), Raw_Data!G307) &lt;
        IFERROR(DATEVALUE(Raw_Data!F307), Raw_Data!F307),
        IFERROR(DATEVALUE(Raw_Data!F307), Raw_Data!F307) + 30,
        IFERROR(DATEVALUE(Raw_Data!G307), Raw_Data!G307)
    ),
    ""
)</f>
        <v>46249</v>
      </c>
      <c r="H307">
        <f>IFERROR(VALUE(Raw_Data!H307), "")</f>
        <v>3500</v>
      </c>
      <c r="I307">
        <f ca="1">IFERROR(VALUE(Raw_Data!I307), "")</f>
        <v>28000</v>
      </c>
      <c r="J307">
        <f>IFERROR(
    VALUE(SUBSTITUTE(Raw_Data!J307," visits","")),
    ""
)</f>
        <v>17</v>
      </c>
      <c r="K307" t="str">
        <f ca="1">IF(TRIM(Raw_Data!K307)="","No",PROPER(TRIM(Raw_Data!K307)))</f>
        <v>Yes</v>
      </c>
      <c r="L307" t="str">
        <f ca="1">PROPER(TRIM(Raw_Data!L307))</f>
        <v>General Fitness</v>
      </c>
      <c r="M307" t="s">
        <v>151</v>
      </c>
      <c r="N307" s="2">
        <f>IFERROR(DATEVALUE(Raw_Data!N307), Raw_Data!N307)</f>
        <v>45996</v>
      </c>
      <c r="O307" s="2"/>
      <c r="P307" t="str">
        <f>IF(COUNTIF($A$2:A307,A307)&gt;1,"Duplicate","Unique")</f>
        <v>Unique</v>
      </c>
      <c r="Q307" t="str">
        <f t="shared" si="8"/>
        <v>OK</v>
      </c>
      <c r="R307" t="str">
        <f t="shared" si="9"/>
        <v>Available</v>
      </c>
    </row>
    <row r="308" spans="1:18">
      <c r="A308" t="str">
        <f>TRIM(CLEAN(Raw_Data!A308))</f>
        <v>MEM0307</v>
      </c>
      <c r="B308" t="str">
        <f ca="1">TRIM(Raw_Data!B308)</f>
        <v>Neha Patel</v>
      </c>
      <c r="C308" t="str">
        <f ca="1">_xlfn.XLOOKUP(D308, Branch_Master!A:A, Branch_Master!B:B)</f>
        <v>Mumbai</v>
      </c>
      <c r="D308" t="str">
        <f ca="1">TRIM(Raw_Data!D308)</f>
        <v>BR05</v>
      </c>
      <c r="E308" t="str">
        <f ca="1">PROPER(TRIM(Raw_Data!E308))</f>
        <v>Standard</v>
      </c>
      <c r="F308" s="2">
        <f>IFERROR(DATEVALUE(Raw_Data!F308), Raw_Data!F308)</f>
        <v>45902</v>
      </c>
      <c r="G308" s="2">
        <f>IFERROR(
    IF(
        IFERROR(DATEVALUE(Raw_Data!G308), Raw_Data!G308) &lt;
        IFERROR(DATEVALUE(Raw_Data!F308), Raw_Data!F308),
        IFERROR(DATEVALUE(Raw_Data!F308), Raw_Data!F308) + 30,
        IFERROR(DATEVALUE(Raw_Data!G308), Raw_Data!G308)
    ),
    ""
)</f>
        <v>45992</v>
      </c>
      <c r="H308">
        <f>IFERROR(VALUE(Raw_Data!H308), "")</f>
        <v>1000</v>
      </c>
      <c r="I308">
        <f ca="1">IFERROR(VALUE(Raw_Data!I308), "")</f>
        <v>10000</v>
      </c>
      <c r="J308">
        <f>IFERROR(
    VALUE(SUBSTITUTE(Raw_Data!J308," visits","")),
    ""
)</f>
        <v>2</v>
      </c>
      <c r="K308" t="str">
        <f ca="1">IF(TRIM(Raw_Data!K308)="","No",PROPER(TRIM(Raw_Data!K308)))</f>
        <v>Yes</v>
      </c>
      <c r="L308" t="str">
        <f ca="1">PROPER(TRIM(Raw_Data!L308))</f>
        <v>Weight Loss</v>
      </c>
      <c r="M308" t="s">
        <v>152</v>
      </c>
      <c r="N308" s="2">
        <f>IFERROR(DATEVALUE(Raw_Data!N308), Raw_Data!N308)</f>
        <v>46102</v>
      </c>
      <c r="O308" s="2"/>
      <c r="P308" t="str">
        <f>IF(COUNTIF($A$2:A308,A308)&gt;1,"Duplicate","Unique")</f>
        <v>Unique</v>
      </c>
      <c r="Q308" t="str">
        <f t="shared" si="8"/>
        <v>Cancelled but Active</v>
      </c>
      <c r="R308" t="str">
        <f t="shared" si="9"/>
        <v>Available</v>
      </c>
    </row>
    <row r="309" spans="1:18">
      <c r="A309" t="str">
        <f>TRIM(CLEAN(Raw_Data!A309))</f>
        <v>MEM0308</v>
      </c>
      <c r="B309" t="str">
        <f ca="1">TRIM(Raw_Data!B309)</f>
        <v>Akash Banerjee</v>
      </c>
      <c r="C309" t="str">
        <f ca="1">_xlfn.XLOOKUP(D309, Branch_Master!A:A, Branch_Master!B:B)</f>
        <v>Kochi</v>
      </c>
      <c r="D309" t="str">
        <f ca="1">TRIM(Raw_Data!D309)</f>
        <v>BR01</v>
      </c>
      <c r="E309" t="str">
        <f ca="1">PROPER(TRIM(Raw_Data!E309))</f>
        <v>Basic</v>
      </c>
      <c r="F309" s="2">
        <f>IFERROR(DATEVALUE(Raw_Data!F309), Raw_Data!F309)</f>
        <v>45358</v>
      </c>
      <c r="G309" s="2">
        <f>IFERROR(
    IF(
        IFERROR(DATEVALUE(Raw_Data!G309), Raw_Data!G309) &lt;
        IFERROR(DATEVALUE(Raw_Data!F309), Raw_Data!F309),
        IFERROR(DATEVALUE(Raw_Data!F309), Raw_Data!F309) + 30,
        IFERROR(DATEVALUE(Raw_Data!G309), Raw_Data!G309)
    ),
    ""
)</f>
        <v>45723</v>
      </c>
      <c r="H309">
        <f>IFERROR(VALUE(Raw_Data!H309), "")</f>
        <v>3500</v>
      </c>
      <c r="I309">
        <f ca="1">IFERROR(VALUE(Raw_Data!I309), "")</f>
        <v>14000</v>
      </c>
      <c r="J309">
        <f>IFERROR(
    VALUE(SUBSTITUTE(Raw_Data!J309," visits","")),
    ""
)</f>
        <v>22</v>
      </c>
      <c r="K309" t="str">
        <f ca="1">IF(TRIM(Raw_Data!K309)="","No",PROPER(TRIM(Raw_Data!K309)))</f>
        <v>Yes</v>
      </c>
      <c r="L309" t="str">
        <f ca="1">PROPER(TRIM(Raw_Data!L309))</f>
        <v>Muscle Gain</v>
      </c>
      <c r="M309" t="s">
        <v>152</v>
      </c>
      <c r="N309" s="2">
        <f>IFERROR(DATEVALUE(Raw_Data!N309), Raw_Data!N309)</f>
        <v>45479</v>
      </c>
      <c r="O309" s="2"/>
      <c r="P309" t="str">
        <f>IF(COUNTIF($A$2:A309,A309)&gt;1,"Duplicate","Unique")</f>
        <v>Unique</v>
      </c>
      <c r="Q309" t="str">
        <f t="shared" si="8"/>
        <v>Cancelled but Active</v>
      </c>
      <c r="R309" t="str">
        <f t="shared" si="9"/>
        <v>Available</v>
      </c>
    </row>
    <row r="310" spans="1:18">
      <c r="A310" t="str">
        <f>TRIM(CLEAN(Raw_Data!A310))</f>
        <v>MEM0309</v>
      </c>
      <c r="B310" t="str">
        <f ca="1">TRIM(Raw_Data!B310)</f>
        <v>Neha Kapoor</v>
      </c>
      <c r="C310" t="str">
        <f ca="1">_xlfn.XLOOKUP(D310, Branch_Master!A:A, Branch_Master!B:B)</f>
        <v>Hyderabad</v>
      </c>
      <c r="D310" t="str">
        <f ca="1">TRIM(Raw_Data!D310)</f>
        <v>BR04</v>
      </c>
      <c r="E310" t="str">
        <f ca="1">PROPER(TRIM(Raw_Data!E310))</f>
        <v>Basic</v>
      </c>
      <c r="F310" s="2">
        <f>IFERROR(DATEVALUE(Raw_Data!F310), Raw_Data!F310)</f>
        <v>45915</v>
      </c>
      <c r="G310" s="2">
        <f>IFERROR(
    IF(
        IFERROR(DATEVALUE(Raw_Data!G310), Raw_Data!G310) &lt;
        IFERROR(DATEVALUE(Raw_Data!F310), Raw_Data!F310),
        IFERROR(DATEVALUE(Raw_Data!F310), Raw_Data!F310) + 30,
        IFERROR(DATEVALUE(Raw_Data!G310), Raw_Data!G310)
    ),
    ""
)</f>
        <v>45945</v>
      </c>
      <c r="H310">
        <f>IFERROR(VALUE(Raw_Data!H310), "")</f>
        <v>1000</v>
      </c>
      <c r="I310">
        <f ca="1">IFERROR(VALUE(Raw_Data!I310), "")</f>
        <v>3000</v>
      </c>
      <c r="J310">
        <f>IFERROR(
    VALUE(SUBSTITUTE(Raw_Data!J310," visits","")),
    ""
)</f>
        <v>6</v>
      </c>
      <c r="K310" t="str">
        <f ca="1">IF(TRIM(Raw_Data!K310)="","No",PROPER(TRIM(Raw_Data!K310)))</f>
        <v>No</v>
      </c>
      <c r="L310" t="str">
        <f ca="1">PROPER(TRIM(Raw_Data!L310))</f>
        <v>General Fitness</v>
      </c>
      <c r="M310" t="s">
        <v>151</v>
      </c>
      <c r="N310" s="2">
        <f>IFERROR(DATEVALUE(Raw_Data!N310), Raw_Data!N310)</f>
        <v>45973</v>
      </c>
      <c r="O310" s="2"/>
      <c r="P310" t="str">
        <f>IF(COUNTIF($A$2:A310,A310)&gt;1,"Duplicate","Unique")</f>
        <v>Unique</v>
      </c>
      <c r="Q310" t="str">
        <f t="shared" si="8"/>
        <v>OK</v>
      </c>
      <c r="R310" t="str">
        <f t="shared" si="9"/>
        <v>Available</v>
      </c>
    </row>
    <row r="311" spans="1:18">
      <c r="A311" t="str">
        <f>TRIM(CLEAN(Raw_Data!A311))</f>
        <v>MEM0310</v>
      </c>
      <c r="B311" t="str">
        <f ca="1">TRIM(Raw_Data!B311)</f>
        <v>Deepak Pillai</v>
      </c>
      <c r="C311" t="str">
        <f ca="1">_xlfn.XLOOKUP(D311, Branch_Master!A:A, Branch_Master!B:B)</f>
        <v>Trivandrum</v>
      </c>
      <c r="D311" t="str">
        <f ca="1">TRIM(Raw_Data!D311)</f>
        <v>BR06</v>
      </c>
      <c r="E311" t="str">
        <f ca="1">PROPER(TRIM(Raw_Data!E311))</f>
        <v>Basic</v>
      </c>
      <c r="F311" s="2">
        <f>IFERROR(DATEVALUE(Raw_Data!F311), Raw_Data!F311)</f>
        <v>45837</v>
      </c>
      <c r="G311" s="2">
        <f>IFERROR(
    IF(
        IFERROR(DATEVALUE(Raw_Data!G311), Raw_Data!G311) &lt;
        IFERROR(DATEVALUE(Raw_Data!F311), Raw_Data!F311),
        IFERROR(DATEVALUE(Raw_Data!F311), Raw_Data!F311) + 30,
        IFERROR(DATEVALUE(Raw_Data!G311), Raw_Data!G311)
    ),
    ""
)</f>
        <v>46202</v>
      </c>
      <c r="H311">
        <f>IFERROR(VALUE(Raw_Data!H311), "")</f>
        <v>3500</v>
      </c>
      <c r="I311">
        <f ca="1">IFERROR(VALUE(Raw_Data!I311), "")</f>
        <v>7000</v>
      </c>
      <c r="J311">
        <f>IFERROR(
    VALUE(SUBSTITUTE(Raw_Data!J311," visits","")),
    ""
)</f>
        <v>9</v>
      </c>
      <c r="K311" t="str">
        <f ca="1">IF(TRIM(Raw_Data!K311)="","No",PROPER(TRIM(Raw_Data!K311)))</f>
        <v>No</v>
      </c>
      <c r="L311" t="str">
        <f ca="1">PROPER(TRIM(Raw_Data!L311))</f>
        <v>General Fitness</v>
      </c>
      <c r="M311" t="s">
        <v>152</v>
      </c>
      <c r="N311" s="2">
        <f>IFERROR(DATEVALUE(Raw_Data!N311), Raw_Data!N311)</f>
        <v>45972</v>
      </c>
      <c r="O311" s="2"/>
      <c r="P311" t="str">
        <f>IF(COUNTIF($A$2:A311,A311)&gt;1,"Duplicate","Unique")</f>
        <v>Unique</v>
      </c>
      <c r="Q311" t="str">
        <f t="shared" si="8"/>
        <v>Cancelled but Active</v>
      </c>
      <c r="R311" t="str">
        <f t="shared" si="9"/>
        <v>Available</v>
      </c>
    </row>
    <row r="312" spans="1:18">
      <c r="A312" t="str">
        <f>TRIM(CLEAN(Raw_Data!A312))</f>
        <v>MEM0311</v>
      </c>
      <c r="B312" t="str">
        <f ca="1">TRIM(Raw_Data!B312)</f>
        <v>Kavya D’Souza</v>
      </c>
      <c r="C312" t="str">
        <f ca="1">_xlfn.XLOOKUP(D312, Branch_Master!A:A, Branch_Master!B:B)</f>
        <v>Calicut</v>
      </c>
      <c r="D312" t="str">
        <f ca="1">TRIM(Raw_Data!D312)</f>
        <v>BR07</v>
      </c>
      <c r="E312" t="str">
        <f ca="1">PROPER(TRIM(Raw_Data!E312))</f>
        <v>Basic</v>
      </c>
      <c r="F312" s="2">
        <f>IFERROR(DATEVALUE(Raw_Data!F312), Raw_Data!F312)</f>
        <v>45208</v>
      </c>
      <c r="G312" s="2">
        <f>IFERROR(
    IF(
        IFERROR(DATEVALUE(Raw_Data!G312), Raw_Data!G312) &lt;
        IFERROR(DATEVALUE(Raw_Data!F312), Raw_Data!F312),
        IFERROR(DATEVALUE(Raw_Data!F312), Raw_Data!F312) + 30,
        IFERROR(DATEVALUE(Raw_Data!G312), Raw_Data!G312)
    ),
    ""
)</f>
        <v>45573</v>
      </c>
      <c r="H312">
        <f>IFERROR(VALUE(Raw_Data!H312), "")</f>
        <v>3500</v>
      </c>
      <c r="I312">
        <f ca="1">IFERROR(VALUE(Raw_Data!I312), "")</f>
        <v>38500</v>
      </c>
      <c r="J312">
        <f>IFERROR(
    VALUE(SUBSTITUTE(Raw_Data!J312," visits","")),
    ""
)</f>
        <v>2</v>
      </c>
      <c r="K312" t="str">
        <f ca="1">IF(TRIM(Raw_Data!K312)="","No",PROPER(TRIM(Raw_Data!K312)))</f>
        <v>No</v>
      </c>
      <c r="L312" t="str">
        <f ca="1">PROPER(TRIM(Raw_Data!L312))</f>
        <v>General Fitness</v>
      </c>
      <c r="M312" t="s">
        <v>151</v>
      </c>
      <c r="N312" s="2">
        <f>IFERROR(DATEVALUE(Raw_Data!N312), Raw_Data!N312)</f>
        <v>45495</v>
      </c>
      <c r="O312" s="2"/>
      <c r="P312" t="str">
        <f>IF(COUNTIF($A$2:A312,A312)&gt;1,"Duplicate","Unique")</f>
        <v>Unique</v>
      </c>
      <c r="Q312" t="str">
        <f t="shared" si="8"/>
        <v>OK</v>
      </c>
      <c r="R312" t="str">
        <f t="shared" si="9"/>
        <v>Available</v>
      </c>
    </row>
    <row r="313" spans="1:18">
      <c r="A313" t="str">
        <f>TRIM(CLEAN(Raw_Data!A313))</f>
        <v>MEM0312</v>
      </c>
      <c r="B313" t="str">
        <f ca="1">TRIM(Raw_Data!B313)</f>
        <v>Nikhil Desai</v>
      </c>
      <c r="C313" t="str">
        <f ca="1">_xlfn.XLOOKUP(D313, Branch_Master!A:A, Branch_Master!B:B)</f>
        <v>Mumbai</v>
      </c>
      <c r="D313" t="str">
        <f ca="1">TRIM(Raw_Data!D313)</f>
        <v>BR05</v>
      </c>
      <c r="E313" t="str">
        <f ca="1">PROPER(TRIM(Raw_Data!E313))</f>
        <v>Premium</v>
      </c>
      <c r="F313" s="2">
        <f>IFERROR(DATEVALUE(Raw_Data!F313), Raw_Data!F313)</f>
        <v>45439</v>
      </c>
      <c r="G313" s="2">
        <f>IFERROR(
    IF(
        IFERROR(DATEVALUE(Raw_Data!G313), Raw_Data!G313) &lt;
        IFERROR(DATEVALUE(Raw_Data!F313), Raw_Data!F313),
        IFERROR(DATEVALUE(Raw_Data!F313), Raw_Data!F313) + 30,
        IFERROR(DATEVALUE(Raw_Data!G313), Raw_Data!G313)
    ),
    ""
)</f>
        <v>45804</v>
      </c>
      <c r="H313">
        <f>IFERROR(VALUE(Raw_Data!H313), "")</f>
        <v>1000</v>
      </c>
      <c r="I313">
        <f ca="1">IFERROR(VALUE(Raw_Data!I313), "")</f>
        <v>5000</v>
      </c>
      <c r="J313">
        <f>IFERROR(
    VALUE(SUBSTITUTE(Raw_Data!J313," visits","")),
    ""
)</f>
        <v>13</v>
      </c>
      <c r="K313" t="str">
        <f ca="1">IF(TRIM(Raw_Data!K313)="","No",PROPER(TRIM(Raw_Data!K313)))</f>
        <v>Yes</v>
      </c>
      <c r="L313" t="str">
        <f ca="1">PROPER(TRIM(Raw_Data!L313))</f>
        <v>General Fitness</v>
      </c>
      <c r="M313" t="s">
        <v>151</v>
      </c>
      <c r="N313" s="2">
        <f>IFERROR(DATEVALUE(Raw_Data!N313), Raw_Data!N313)</f>
        <v>45935</v>
      </c>
      <c r="O313" s="2"/>
      <c r="P313" t="str">
        <f>IF(COUNTIF($A$2:A313,A313)&gt;1,"Duplicate","Unique")</f>
        <v>Unique</v>
      </c>
      <c r="Q313" t="str">
        <f t="shared" si="8"/>
        <v>OK</v>
      </c>
      <c r="R313" t="str">
        <f t="shared" si="9"/>
        <v>Available</v>
      </c>
    </row>
    <row r="314" spans="1:18">
      <c r="A314" t="str">
        <f>TRIM(CLEAN(Raw_Data!A314))</f>
        <v>MEM0313</v>
      </c>
      <c r="B314" t="str">
        <f ca="1">TRIM(Raw_Data!B314)</f>
        <v>Kavya Thomas</v>
      </c>
      <c r="C314" t="str">
        <f ca="1">_xlfn.XLOOKUP(D314, Branch_Master!A:A, Branch_Master!B:B)</f>
        <v>Kochi</v>
      </c>
      <c r="D314" t="str">
        <f ca="1">TRIM(Raw_Data!D314)</f>
        <v>BR01</v>
      </c>
      <c r="E314" t="str">
        <f ca="1">PROPER(TRIM(Raw_Data!E314))</f>
        <v>Basic</v>
      </c>
      <c r="F314" s="2">
        <f>IFERROR(DATEVALUE(Raw_Data!F314), Raw_Data!F314)</f>
        <v>45760</v>
      </c>
      <c r="G314" s="2">
        <f>IFERROR(
    IF(
        IFERROR(DATEVALUE(Raw_Data!G314), Raw_Data!G314) &lt;
        IFERROR(DATEVALUE(Raw_Data!F314), Raw_Data!F314),
        IFERROR(DATEVALUE(Raw_Data!F314), Raw_Data!F314) + 30,
        IFERROR(DATEVALUE(Raw_Data!G314), Raw_Data!G314)
    ),
    ""
)</f>
        <v>45790</v>
      </c>
      <c r="H314">
        <f>IFERROR(VALUE(Raw_Data!H314), "")</f>
        <v>1000</v>
      </c>
      <c r="I314">
        <f ca="1">IFERROR(VALUE(Raw_Data!I314), "")</f>
        <v>2000</v>
      </c>
      <c r="J314">
        <f>IFERROR(
    VALUE(SUBSTITUTE(Raw_Data!J314," visits","")),
    ""
)</f>
        <v>15</v>
      </c>
      <c r="K314" t="str">
        <f ca="1">IF(TRIM(Raw_Data!K314)="","No",PROPER(TRIM(Raw_Data!K314)))</f>
        <v>Yes</v>
      </c>
      <c r="L314" t="str">
        <f ca="1">PROPER(TRIM(Raw_Data!L314))</f>
        <v>General Fitness</v>
      </c>
      <c r="M314" t="s">
        <v>151</v>
      </c>
      <c r="N314" s="2">
        <f>IFERROR(DATEVALUE(Raw_Data!N314), Raw_Data!N314)</f>
        <v>46065</v>
      </c>
      <c r="O314" s="2"/>
      <c r="P314" t="str">
        <f>IF(COUNTIF($A$2:A314,A314)&gt;1,"Duplicate","Unique")</f>
        <v>Unique</v>
      </c>
      <c r="Q314" t="str">
        <f t="shared" si="8"/>
        <v>OK</v>
      </c>
      <c r="R314" t="str">
        <f t="shared" si="9"/>
        <v>Available</v>
      </c>
    </row>
    <row r="315" spans="1:18">
      <c r="A315" t="str">
        <f>TRIM(CLEAN(Raw_Data!A315))</f>
        <v>MEM0314</v>
      </c>
      <c r="B315" t="str">
        <f ca="1">TRIM(Raw_Data!B315)</f>
        <v>Meera Joseph</v>
      </c>
      <c r="C315" t="str">
        <f ca="1">_xlfn.XLOOKUP(D315, Branch_Master!A:A, Branch_Master!B:B)</f>
        <v>Mumbai</v>
      </c>
      <c r="D315" t="str">
        <f ca="1">TRIM(Raw_Data!D315)</f>
        <v>BR05</v>
      </c>
      <c r="E315" t="str">
        <f ca="1">PROPER(TRIM(Raw_Data!E315))</f>
        <v>Basic</v>
      </c>
      <c r="F315" s="2">
        <f>IFERROR(DATEVALUE(Raw_Data!F315), Raw_Data!F315)</f>
        <v>45795</v>
      </c>
      <c r="G315" s="2">
        <f>IFERROR(
    IF(
        IFERROR(DATEVALUE(Raw_Data!G315), Raw_Data!G315) &lt;
        IFERROR(DATEVALUE(Raw_Data!F315), Raw_Data!F315),
        IFERROR(DATEVALUE(Raw_Data!F315), Raw_Data!F315) + 30,
        IFERROR(DATEVALUE(Raw_Data!G315), Raw_Data!G315)
    ),
    ""
)</f>
        <v>45885</v>
      </c>
      <c r="H315">
        <f>IFERROR(VALUE(Raw_Data!H315), "")</f>
        <v>1000</v>
      </c>
      <c r="I315">
        <f ca="1">IFERROR(VALUE(Raw_Data!I315), "")</f>
        <v>5000</v>
      </c>
      <c r="J315">
        <f>IFERROR(
    VALUE(SUBSTITUTE(Raw_Data!J315," visits","")),
    ""
)</f>
        <v>0</v>
      </c>
      <c r="K315" t="str">
        <f ca="1">IF(TRIM(Raw_Data!K315)="","No",PROPER(TRIM(Raw_Data!K315)))</f>
        <v>Yes</v>
      </c>
      <c r="L315" t="str">
        <f ca="1">PROPER(TRIM(Raw_Data!L315))</f>
        <v>Weight Loss</v>
      </c>
      <c r="M315" t="s">
        <v>151</v>
      </c>
      <c r="N315" s="2">
        <f>IFERROR(DATEVALUE(Raw_Data!N315), Raw_Data!N315)</f>
        <v>46124</v>
      </c>
      <c r="O315" s="2"/>
      <c r="P315" t="str">
        <f>IF(COUNTIF($A$2:A315,A315)&gt;1,"Duplicate","Unique")</f>
        <v>Unique</v>
      </c>
      <c r="Q315" t="str">
        <f t="shared" si="8"/>
        <v>OK</v>
      </c>
      <c r="R315" t="str">
        <f t="shared" si="9"/>
        <v>Available</v>
      </c>
    </row>
    <row r="316" spans="1:18">
      <c r="A316" t="str">
        <f>TRIM(CLEAN(Raw_Data!A316))</f>
        <v>MEM0315</v>
      </c>
      <c r="B316" t="str">
        <f ca="1">TRIM(Raw_Data!B316)</f>
        <v>Sanjay Desai</v>
      </c>
      <c r="C316" t="str">
        <f ca="1">_xlfn.XLOOKUP(D316, Branch_Master!A:A, Branch_Master!B:B)</f>
        <v>Kochi</v>
      </c>
      <c r="D316" t="str">
        <f ca="1">TRIM(Raw_Data!D316)</f>
        <v>BR01</v>
      </c>
      <c r="E316" t="str">
        <f ca="1">PROPER(TRIM(Raw_Data!E316))</f>
        <v>Basic</v>
      </c>
      <c r="F316" s="2">
        <f>IFERROR(DATEVALUE(Raw_Data!F316), Raw_Data!F316)</f>
        <v>44959</v>
      </c>
      <c r="G316" s="2">
        <f>IFERROR(
    IF(
        IFERROR(DATEVALUE(Raw_Data!G316), Raw_Data!G316) &lt;
        IFERROR(DATEVALUE(Raw_Data!F316), Raw_Data!F316),
        IFERROR(DATEVALUE(Raw_Data!F316), Raw_Data!F316) + 30,
        IFERROR(DATEVALUE(Raw_Data!G316), Raw_Data!G316)
    ),
    ""
)</f>
        <v>44989</v>
      </c>
      <c r="H316">
        <f>IFERROR(VALUE(Raw_Data!H316), "")</f>
        <v>3500</v>
      </c>
      <c r="I316">
        <f ca="1">IFERROR(VALUE(Raw_Data!I316), "")</f>
        <v>7000</v>
      </c>
      <c r="J316">
        <f>IFERROR(
    VALUE(SUBSTITUTE(Raw_Data!J316," visits","")),
    ""
)</f>
        <v>13</v>
      </c>
      <c r="K316" t="str">
        <f ca="1">IF(TRIM(Raw_Data!K316)="","No",PROPER(TRIM(Raw_Data!K316)))</f>
        <v>Yes</v>
      </c>
      <c r="L316" t="str">
        <f ca="1">PROPER(TRIM(Raw_Data!L316))</f>
        <v>Weight Loss</v>
      </c>
      <c r="M316" t="s">
        <v>151</v>
      </c>
      <c r="N316" s="2">
        <f>IFERROR(DATEVALUE(Raw_Data!N316), Raw_Data!N316)</f>
        <v>45631</v>
      </c>
      <c r="O316" s="2"/>
      <c r="P316" t="str">
        <f>IF(COUNTIF($A$2:A316,A316)&gt;1,"Duplicate","Unique")</f>
        <v>Unique</v>
      </c>
      <c r="Q316" t="str">
        <f t="shared" si="8"/>
        <v>OK</v>
      </c>
      <c r="R316" t="str">
        <f t="shared" si="9"/>
        <v>Available</v>
      </c>
    </row>
    <row r="317" spans="1:18">
      <c r="A317" t="str">
        <f>TRIM(CLEAN(Raw_Data!A317))</f>
        <v>MEM0316</v>
      </c>
      <c r="B317" t="str">
        <f ca="1">TRIM(Raw_Data!B317)</f>
        <v>Lakshmi Nambiar</v>
      </c>
      <c r="C317" t="str">
        <f ca="1">_xlfn.XLOOKUP(D317, Branch_Master!A:A, Branch_Master!B:B)</f>
        <v>Trivandrum</v>
      </c>
      <c r="D317" t="str">
        <f ca="1">TRIM(Raw_Data!D317)</f>
        <v>BR06</v>
      </c>
      <c r="E317" t="str">
        <f ca="1">PROPER(TRIM(Raw_Data!E317))</f>
        <v>Premium</v>
      </c>
      <c r="F317" s="2">
        <f>IFERROR(DATEVALUE(Raw_Data!F317), Raw_Data!F317)</f>
        <v>45355</v>
      </c>
      <c r="G317" s="2">
        <f>IFERROR(
    IF(
        IFERROR(DATEVALUE(Raw_Data!G317), Raw_Data!G317) &lt;
        IFERROR(DATEVALUE(Raw_Data!F317), Raw_Data!F317),
        IFERROR(DATEVALUE(Raw_Data!F317), Raw_Data!F317) + 30,
        IFERROR(DATEVALUE(Raw_Data!G317), Raw_Data!G317)
    ),
    ""
)</f>
        <v>45720</v>
      </c>
      <c r="H317">
        <f>IFERROR(VALUE(Raw_Data!H317), "")</f>
        <v>3500</v>
      </c>
      <c r="I317">
        <f ca="1">IFERROR(VALUE(Raw_Data!I317), "")</f>
        <v>35000</v>
      </c>
      <c r="J317">
        <f>IFERROR(
    VALUE(SUBSTITUTE(Raw_Data!J317," visits","")),
    ""
)</f>
        <v>5</v>
      </c>
      <c r="K317" t="str">
        <f ca="1">IF(TRIM(Raw_Data!K317)="","No",PROPER(TRIM(Raw_Data!K317)))</f>
        <v>No</v>
      </c>
      <c r="L317" t="str">
        <f ca="1">PROPER(TRIM(Raw_Data!L317))</f>
        <v>Muscle Gain</v>
      </c>
      <c r="M317" t="s">
        <v>152</v>
      </c>
      <c r="N317" s="2">
        <f>IFERROR(DATEVALUE(Raw_Data!N317), Raw_Data!N317)</f>
        <v>45722</v>
      </c>
      <c r="O317" s="2"/>
      <c r="P317" t="str">
        <f>IF(COUNTIF($A$2:A317,A317)&gt;1,"Duplicate","Unique")</f>
        <v>Unique</v>
      </c>
      <c r="Q317" t="str">
        <f t="shared" si="8"/>
        <v>Cancelled but Active</v>
      </c>
      <c r="R317" t="str">
        <f t="shared" si="9"/>
        <v>Available</v>
      </c>
    </row>
    <row r="318" spans="1:18">
      <c r="A318" t="str">
        <f>TRIM(CLEAN(Raw_Data!A318))</f>
        <v>MEM0317</v>
      </c>
      <c r="B318" t="str">
        <f ca="1">TRIM(Raw_Data!B318)</f>
        <v>Riya Das</v>
      </c>
      <c r="C318" t="str">
        <f ca="1">_xlfn.XLOOKUP(D318, Branch_Master!A:A, Branch_Master!B:B)</f>
        <v>Bangalore</v>
      </c>
      <c r="D318" t="str">
        <f ca="1">TRIM(Raw_Data!D318)</f>
        <v>BR02</v>
      </c>
      <c r="E318" t="str">
        <f ca="1">PROPER(TRIM(Raw_Data!E318))</f>
        <v>Standard</v>
      </c>
      <c r="F318" s="2">
        <f>IFERROR(DATEVALUE(Raw_Data!F318), Raw_Data!F318)</f>
        <v>45392</v>
      </c>
      <c r="G318" s="2">
        <f>IFERROR(
    IF(
        IFERROR(DATEVALUE(Raw_Data!G318), Raw_Data!G318) &lt;
        IFERROR(DATEVALUE(Raw_Data!F318), Raw_Data!F318),
        IFERROR(DATEVALUE(Raw_Data!F318), Raw_Data!F318) + 30,
        IFERROR(DATEVALUE(Raw_Data!G318), Raw_Data!G318)
    ),
    ""
)</f>
        <v>45757</v>
      </c>
      <c r="H318">
        <f>IFERROR(VALUE(Raw_Data!H318), "")</f>
        <v>1000</v>
      </c>
      <c r="I318">
        <f ca="1">IFERROR(VALUE(Raw_Data!I318), "")</f>
        <v>5000</v>
      </c>
      <c r="J318">
        <f>IFERROR(
    VALUE(SUBSTITUTE(Raw_Data!J318," visits","")),
    ""
)</f>
        <v>16</v>
      </c>
      <c r="K318" t="str">
        <f ca="1">IF(TRIM(Raw_Data!K318)="","No",PROPER(TRIM(Raw_Data!K318)))</f>
        <v>Yes</v>
      </c>
      <c r="L318" t="str">
        <f ca="1">PROPER(TRIM(Raw_Data!L318))</f>
        <v>General Fitness</v>
      </c>
      <c r="M318" t="s">
        <v>152</v>
      </c>
      <c r="N318" s="2">
        <f>IFERROR(DATEVALUE(Raw_Data!N318), Raw_Data!N318)</f>
        <v>45408</v>
      </c>
      <c r="O318" s="2"/>
      <c r="P318" t="str">
        <f>IF(COUNTIF($A$2:A318,A318)&gt;1,"Duplicate","Unique")</f>
        <v>Unique</v>
      </c>
      <c r="Q318" t="str">
        <f t="shared" si="8"/>
        <v>Cancelled but Active</v>
      </c>
      <c r="R318" t="str">
        <f t="shared" si="9"/>
        <v>Available</v>
      </c>
    </row>
    <row r="319" spans="1:18">
      <c r="A319" t="str">
        <f>TRIM(CLEAN(Raw_Data!A319))</f>
        <v>MEM0318</v>
      </c>
      <c r="B319" t="str">
        <f ca="1">TRIM(Raw_Data!B319)</f>
        <v>Manoj Singh</v>
      </c>
      <c r="C319" t="str">
        <f ca="1">_xlfn.XLOOKUP(D319, Branch_Master!A:A, Branch_Master!B:B)</f>
        <v>Hyderabad</v>
      </c>
      <c r="D319" t="str">
        <f ca="1">TRIM(Raw_Data!D319)</f>
        <v>BR04</v>
      </c>
      <c r="E319" t="str">
        <f ca="1">PROPER(TRIM(Raw_Data!E319))</f>
        <v>Premium</v>
      </c>
      <c r="F319" s="2">
        <f>IFERROR(DATEVALUE(Raw_Data!F319), Raw_Data!F319)</f>
        <v>45250</v>
      </c>
      <c r="G319" s="2">
        <f>IFERROR(
    IF(
        IFERROR(DATEVALUE(Raw_Data!G319), Raw_Data!G319) &lt;
        IFERROR(DATEVALUE(Raw_Data!F319), Raw_Data!F319),
        IFERROR(DATEVALUE(Raw_Data!F319), Raw_Data!F319) + 30,
        IFERROR(DATEVALUE(Raw_Data!G319), Raw_Data!G319)
    ),
    ""
)</f>
        <v>45340</v>
      </c>
      <c r="H319">
        <f>IFERROR(VALUE(Raw_Data!H319), "")</f>
        <v>3500</v>
      </c>
      <c r="I319">
        <f ca="1">IFERROR(VALUE(Raw_Data!I319), "")</f>
        <v>42000</v>
      </c>
      <c r="J319">
        <f>IFERROR(
    VALUE(SUBSTITUTE(Raw_Data!J319," visits","")),
    ""
)</f>
        <v>16</v>
      </c>
      <c r="K319" t="str">
        <f ca="1">IF(TRIM(Raw_Data!K319)="","No",PROPER(TRIM(Raw_Data!K319)))</f>
        <v>Yes</v>
      </c>
      <c r="L319" t="str">
        <f ca="1">PROPER(TRIM(Raw_Data!L319))</f>
        <v>General Fitness</v>
      </c>
      <c r="M319" t="s">
        <v>151</v>
      </c>
      <c r="N319" s="2">
        <f>IFERROR(DATEVALUE(Raw_Data!N319), Raw_Data!N319)</f>
        <v>45446</v>
      </c>
      <c r="O319" s="2"/>
      <c r="P319" t="str">
        <f>IF(COUNTIF($A$2:A319,A319)&gt;1,"Duplicate","Unique")</f>
        <v>Unique</v>
      </c>
      <c r="Q319" t="str">
        <f t="shared" si="8"/>
        <v>OK</v>
      </c>
      <c r="R319" t="str">
        <f t="shared" si="9"/>
        <v>Available</v>
      </c>
    </row>
    <row r="320" spans="1:18">
      <c r="A320" t="str">
        <f>TRIM(CLEAN(Raw_Data!A320))</f>
        <v>MEM0319</v>
      </c>
      <c r="B320" t="str">
        <f ca="1">TRIM(Raw_Data!B320)</f>
        <v>Aditya Thomas</v>
      </c>
      <c r="C320" t="str">
        <f ca="1">_xlfn.XLOOKUP(D320, Branch_Master!A:A, Branch_Master!B:B)</f>
        <v>Bangalore</v>
      </c>
      <c r="D320" t="str">
        <f ca="1">TRIM(Raw_Data!D320)</f>
        <v>BR02</v>
      </c>
      <c r="E320" t="str">
        <f ca="1">PROPER(TRIM(Raw_Data!E320))</f>
        <v>Basic</v>
      </c>
      <c r="F320" s="2">
        <f>IFERROR(DATEVALUE(Raw_Data!F320), Raw_Data!F320)</f>
        <v>45074</v>
      </c>
      <c r="G320" s="2">
        <f>IFERROR(
    IF(
        IFERROR(DATEVALUE(Raw_Data!G320), Raw_Data!G320) &lt;
        IFERROR(DATEVALUE(Raw_Data!F320), Raw_Data!F320),
        IFERROR(DATEVALUE(Raw_Data!F320), Raw_Data!F320) + 30,
        IFERROR(DATEVALUE(Raw_Data!G320), Raw_Data!G320)
    ),
    ""
)</f>
        <v>45164</v>
      </c>
      <c r="H320">
        <f>IFERROR(VALUE(Raw_Data!H320), "")</f>
        <v>2000</v>
      </c>
      <c r="I320">
        <f ca="1">IFERROR(VALUE(Raw_Data!I320), "")</f>
        <v>16000</v>
      </c>
      <c r="J320">
        <f>IFERROR(
    VALUE(SUBSTITUTE(Raw_Data!J320," visits","")),
    ""
)</f>
        <v>22</v>
      </c>
      <c r="K320" t="str">
        <f ca="1">IF(TRIM(Raw_Data!K320)="","No",PROPER(TRIM(Raw_Data!K320)))</f>
        <v>Yes</v>
      </c>
      <c r="L320" t="str">
        <f ca="1">PROPER(TRIM(Raw_Data!L320))</f>
        <v>Weight Loss</v>
      </c>
      <c r="M320" t="s">
        <v>151</v>
      </c>
      <c r="N320" s="2">
        <f>IFERROR(DATEVALUE(Raw_Data!N320), Raw_Data!N320)</f>
        <v>45814</v>
      </c>
      <c r="O320" s="2"/>
      <c r="P320" t="str">
        <f>IF(COUNTIF($A$2:A320,A320)&gt;1,"Duplicate","Unique")</f>
        <v>Unique</v>
      </c>
      <c r="Q320" t="str">
        <f t="shared" si="8"/>
        <v>OK</v>
      </c>
      <c r="R320" t="str">
        <f t="shared" si="9"/>
        <v>Available</v>
      </c>
    </row>
    <row r="321" spans="1:18">
      <c r="A321" t="str">
        <f>TRIM(CLEAN(Raw_Data!A321))</f>
        <v>MEM0320</v>
      </c>
      <c r="B321" t="str">
        <f ca="1">TRIM(Raw_Data!B321)</f>
        <v>Nikhil Bhat</v>
      </c>
      <c r="C321" t="str">
        <f ca="1">_xlfn.XLOOKUP(D321, Branch_Master!A:A, Branch_Master!B:B)</f>
        <v>Bangalore</v>
      </c>
      <c r="D321" t="str">
        <f ca="1">TRIM(Raw_Data!D321)</f>
        <v>BR02</v>
      </c>
      <c r="E321" t="str">
        <f ca="1">PROPER(TRIM(Raw_Data!E321))</f>
        <v>Basic</v>
      </c>
      <c r="F321" s="2">
        <f>IFERROR(DATEVALUE(Raw_Data!F321), Raw_Data!F321)</f>
        <v>46039</v>
      </c>
      <c r="G321" s="2">
        <f>IFERROR(
    IF(
        IFERROR(DATEVALUE(Raw_Data!G321), Raw_Data!G321) &lt;
        IFERROR(DATEVALUE(Raw_Data!F321), Raw_Data!F321),
        IFERROR(DATEVALUE(Raw_Data!F321), Raw_Data!F321) + 30,
        IFERROR(DATEVALUE(Raw_Data!G321), Raw_Data!G321)
    ),
    ""
)</f>
        <v>46404</v>
      </c>
      <c r="H321">
        <f>IFERROR(VALUE(Raw_Data!H321), "")</f>
        <v>2000</v>
      </c>
      <c r="I321">
        <f ca="1">IFERROR(VALUE(Raw_Data!I321), "")</f>
        <v>14000</v>
      </c>
      <c r="J321">
        <f>IFERROR(
    VALUE(SUBSTITUTE(Raw_Data!J321," visits","")),
    ""
)</f>
        <v>14</v>
      </c>
      <c r="K321" t="str">
        <f ca="1">IF(TRIM(Raw_Data!K321)="","No",PROPER(TRIM(Raw_Data!K321)))</f>
        <v>Yes</v>
      </c>
      <c r="L321" t="str">
        <f ca="1">PROPER(TRIM(Raw_Data!L321))</f>
        <v>General Fitness</v>
      </c>
      <c r="M321" t="s">
        <v>151</v>
      </c>
      <c r="N321" s="2">
        <f>IFERROR(DATEVALUE(Raw_Data!N321), Raw_Data!N321)</f>
        <v>46057</v>
      </c>
      <c r="O321" s="2"/>
      <c r="P321" t="str">
        <f>IF(COUNTIF($A$2:A321,A321)&gt;1,"Duplicate","Unique")</f>
        <v>Unique</v>
      </c>
      <c r="Q321" t="str">
        <f t="shared" si="8"/>
        <v>OK</v>
      </c>
      <c r="R321" t="str">
        <f t="shared" si="9"/>
        <v>Available</v>
      </c>
    </row>
    <row r="322" spans="1:18">
      <c r="A322" t="str">
        <f>TRIM(CLEAN(Raw_Data!A322))</f>
        <v>MEM0321</v>
      </c>
      <c r="B322" t="str">
        <f ca="1">TRIM(Raw_Data!B322)</f>
        <v>Nisha Agarwal</v>
      </c>
      <c r="C322" t="str">
        <f ca="1">_xlfn.XLOOKUP(D322, Branch_Master!A:A, Branch_Master!B:B)</f>
        <v>Calicut</v>
      </c>
      <c r="D322" t="str">
        <f ca="1">TRIM(Raw_Data!D322)</f>
        <v>BR07</v>
      </c>
      <c r="E322" t="str">
        <f ca="1">PROPER(TRIM(Raw_Data!E322))</f>
        <v>Standard</v>
      </c>
      <c r="F322" s="2">
        <f>IFERROR(DATEVALUE(Raw_Data!F322), Raw_Data!F322)</f>
        <v>45043</v>
      </c>
      <c r="G322" s="2">
        <f>IFERROR(
    IF(
        IFERROR(DATEVALUE(Raw_Data!G322), Raw_Data!G322) &lt;
        IFERROR(DATEVALUE(Raw_Data!F322), Raw_Data!F322),
        IFERROR(DATEVALUE(Raw_Data!F322), Raw_Data!F322) + 30,
        IFERROR(DATEVALUE(Raw_Data!G322), Raw_Data!G322)
    ),
    ""
)</f>
        <v>45408</v>
      </c>
      <c r="H322">
        <f>IFERROR(VALUE(Raw_Data!H322), "")</f>
        <v>1000</v>
      </c>
      <c r="I322">
        <f ca="1">IFERROR(VALUE(Raw_Data!I322), "")</f>
        <v>1000</v>
      </c>
      <c r="J322">
        <f>IFERROR(
    VALUE(SUBSTITUTE(Raw_Data!J322," visits","")),
    ""
)</f>
        <v>23</v>
      </c>
      <c r="K322" t="str">
        <f ca="1">IF(TRIM(Raw_Data!K322)="","No",PROPER(TRIM(Raw_Data!K322)))</f>
        <v>No</v>
      </c>
      <c r="L322" t="str">
        <f ca="1">PROPER(TRIM(Raw_Data!L322))</f>
        <v>Muscle Gain</v>
      </c>
      <c r="M322" t="s">
        <v>151</v>
      </c>
      <c r="N322" s="2">
        <f>IFERROR(DATEVALUE(Raw_Data!N322), Raw_Data!N322)</f>
        <v>45497</v>
      </c>
      <c r="O322" s="2"/>
      <c r="P322" t="str">
        <f>IF(COUNTIF($A$2:A322,A322)&gt;1,"Duplicate","Unique")</f>
        <v>Unique</v>
      </c>
      <c r="Q322" t="str">
        <f t="shared" si="8"/>
        <v>OK</v>
      </c>
      <c r="R322" t="str">
        <f t="shared" si="9"/>
        <v>Available</v>
      </c>
    </row>
    <row r="323" spans="1:18">
      <c r="A323" t="str">
        <f>TRIM(CLEAN(Raw_Data!A323))</f>
        <v>MEM0322</v>
      </c>
      <c r="B323" t="str">
        <f ca="1">TRIM(Raw_Data!B323)</f>
        <v>Rohit Nambiar</v>
      </c>
      <c r="C323" t="str">
        <f ca="1">_xlfn.XLOOKUP(D323, Branch_Master!A:A, Branch_Master!B:B)</f>
        <v>Bangalore</v>
      </c>
      <c r="D323" t="str">
        <f ca="1">TRIM(Raw_Data!D323)</f>
        <v>BR02</v>
      </c>
      <c r="E323" t="str">
        <f ca="1">PROPER(TRIM(Raw_Data!E323))</f>
        <v>Basic</v>
      </c>
      <c r="F323" s="2">
        <f>IFERROR(DATEVALUE(Raw_Data!F323), Raw_Data!F323)</f>
        <v>45354</v>
      </c>
      <c r="G323" s="2">
        <f>IFERROR(
    IF(
        IFERROR(DATEVALUE(Raw_Data!G323), Raw_Data!G323) &lt;
        IFERROR(DATEVALUE(Raw_Data!F323), Raw_Data!F323),
        IFERROR(DATEVALUE(Raw_Data!F323), Raw_Data!F323) + 30,
        IFERROR(DATEVALUE(Raw_Data!G323), Raw_Data!G323)
    ),
    ""
)</f>
        <v>45384</v>
      </c>
      <c r="H323">
        <f>IFERROR(VALUE(Raw_Data!H323), "")</f>
        <v>1000</v>
      </c>
      <c r="I323">
        <f ca="1">IFERROR(VALUE(Raw_Data!I323), "")</f>
        <v>6000</v>
      </c>
      <c r="J323">
        <f>IFERROR(
    VALUE(SUBSTITUTE(Raw_Data!J323," visits","")),
    ""
)</f>
        <v>11</v>
      </c>
      <c r="K323" t="str">
        <f ca="1">IF(TRIM(Raw_Data!K323)="","No",PROPER(TRIM(Raw_Data!K323)))</f>
        <v>No</v>
      </c>
      <c r="L323" t="str">
        <f ca="1">PROPER(TRIM(Raw_Data!L323))</f>
        <v>Muscle Gain</v>
      </c>
      <c r="M323" t="s">
        <v>151</v>
      </c>
      <c r="N323" s="2">
        <f>IFERROR(DATEVALUE(Raw_Data!N323), Raw_Data!N323)</f>
        <v>45972</v>
      </c>
      <c r="O323" s="2"/>
      <c r="P323" t="str">
        <f>IF(COUNTIF($A$2:A323,A323)&gt;1,"Duplicate","Unique")</f>
        <v>Unique</v>
      </c>
      <c r="Q323" t="str">
        <f t="shared" ref="Q323:Q386" si="10">IF(G323&lt;F323,"Expiry Error",
IF(AND(M323="Cancelled",N323&lt;&gt;""),"Cancelled but Active",
IF(J323&gt;30,"Invalid Attendance","OK")))</f>
        <v>OK</v>
      </c>
      <c r="R323" t="str">
        <f t="shared" ref="R323:R386" si="11">IF(N323="","Missing","Available")</f>
        <v>Available</v>
      </c>
    </row>
    <row r="324" spans="1:18">
      <c r="A324" t="str">
        <f>TRIM(CLEAN(Raw_Data!A324))</f>
        <v>MEM0323</v>
      </c>
      <c r="B324" t="str">
        <f ca="1">TRIM(Raw_Data!B324)</f>
        <v>Karthik Shaikh</v>
      </c>
      <c r="C324" t="str">
        <f ca="1">_xlfn.XLOOKUP(D324, Branch_Master!A:A, Branch_Master!B:B)</f>
        <v>Calicut</v>
      </c>
      <c r="D324" t="str">
        <f ca="1">TRIM(Raw_Data!D324)</f>
        <v>BR07</v>
      </c>
      <c r="E324" t="str">
        <f ca="1">PROPER(TRIM(Raw_Data!E324))</f>
        <v>Premium</v>
      </c>
      <c r="F324" s="2">
        <f>IFERROR(DATEVALUE(Raw_Data!F324), Raw_Data!F324)</f>
        <v>44968</v>
      </c>
      <c r="G324" s="2">
        <f>IFERROR(
    IF(
        IFERROR(DATEVALUE(Raw_Data!G324), Raw_Data!G324) &lt;
        IFERROR(DATEVALUE(Raw_Data!F324), Raw_Data!F324),
        IFERROR(DATEVALUE(Raw_Data!F324), Raw_Data!F324) + 30,
        IFERROR(DATEVALUE(Raw_Data!G324), Raw_Data!G324)
    ),
    ""
)</f>
        <v>44998</v>
      </c>
      <c r="H324">
        <f>IFERROR(VALUE(Raw_Data!H324), "")</f>
        <v>2000</v>
      </c>
      <c r="I324">
        <f ca="1">IFERROR(VALUE(Raw_Data!I324), "")</f>
        <v>6000</v>
      </c>
      <c r="J324">
        <f>IFERROR(
    VALUE(SUBSTITUTE(Raw_Data!J324," visits","")),
    ""
)</f>
        <v>3</v>
      </c>
      <c r="K324" t="str">
        <f ca="1">IF(TRIM(Raw_Data!K324)="","No",PROPER(TRIM(Raw_Data!K324)))</f>
        <v>Yes</v>
      </c>
      <c r="L324" t="str">
        <f ca="1">PROPER(TRIM(Raw_Data!L324))</f>
        <v>Muscle Gain</v>
      </c>
      <c r="M324" t="s">
        <v>151</v>
      </c>
      <c r="N324" s="2">
        <f>IFERROR(DATEVALUE(Raw_Data!N324), Raw_Data!N324)</f>
        <v>44989</v>
      </c>
      <c r="O324" s="2"/>
      <c r="P324" t="str">
        <f>IF(COUNTIF($A$2:A324,A324)&gt;1,"Duplicate","Unique")</f>
        <v>Unique</v>
      </c>
      <c r="Q324" t="str">
        <f t="shared" si="10"/>
        <v>OK</v>
      </c>
      <c r="R324" t="str">
        <f t="shared" si="11"/>
        <v>Available</v>
      </c>
    </row>
    <row r="325" spans="1:18">
      <c r="A325" t="str">
        <f>TRIM(CLEAN(Raw_Data!A325))</f>
        <v>MEM0324</v>
      </c>
      <c r="B325" t="str">
        <f ca="1">TRIM(Raw_Data!B325)</f>
        <v>Ishita Verma</v>
      </c>
      <c r="C325" t="str">
        <f ca="1">_xlfn.XLOOKUP(D325, Branch_Master!A:A, Branch_Master!B:B)</f>
        <v>Calicut</v>
      </c>
      <c r="D325" t="str">
        <f ca="1">TRIM(Raw_Data!D325)</f>
        <v>BR07</v>
      </c>
      <c r="E325" t="str">
        <f ca="1">PROPER(TRIM(Raw_Data!E325))</f>
        <v>Premium</v>
      </c>
      <c r="F325" s="2">
        <f>IFERROR(DATEVALUE(Raw_Data!F325), Raw_Data!F325)</f>
        <v>45827</v>
      </c>
      <c r="G325" s="2">
        <f>IFERROR(
    IF(
        IFERROR(DATEVALUE(Raw_Data!G325), Raw_Data!G325) &lt;
        IFERROR(DATEVALUE(Raw_Data!F325), Raw_Data!F325),
        IFERROR(DATEVALUE(Raw_Data!F325), Raw_Data!F325) + 30,
        IFERROR(DATEVALUE(Raw_Data!G325), Raw_Data!G325)
    ),
    ""
)</f>
        <v>45857</v>
      </c>
      <c r="H325">
        <f>IFERROR(VALUE(Raw_Data!H325), "")</f>
        <v>1000</v>
      </c>
      <c r="I325">
        <f ca="1">IFERROR(VALUE(Raw_Data!I325), "")</f>
        <v>11000</v>
      </c>
      <c r="J325">
        <f>IFERROR(
    VALUE(SUBSTITUTE(Raw_Data!J325," visits","")),
    ""
)</f>
        <v>13</v>
      </c>
      <c r="K325" t="str">
        <f ca="1">IF(TRIM(Raw_Data!K325)="","No",PROPER(TRIM(Raw_Data!K325)))</f>
        <v>Yes</v>
      </c>
      <c r="L325" t="str">
        <f ca="1">PROPER(TRIM(Raw_Data!L325))</f>
        <v>Muscle Gain</v>
      </c>
      <c r="M325" t="s">
        <v>151</v>
      </c>
      <c r="N325" s="2">
        <f>IFERROR(DATEVALUE(Raw_Data!N325), Raw_Data!N325)</f>
        <v>45989</v>
      </c>
      <c r="O325" s="2"/>
      <c r="P325" t="str">
        <f>IF(COUNTIF($A$2:A325,A325)&gt;1,"Duplicate","Unique")</f>
        <v>Unique</v>
      </c>
      <c r="Q325" t="str">
        <f t="shared" si="10"/>
        <v>OK</v>
      </c>
      <c r="R325" t="str">
        <f t="shared" si="11"/>
        <v>Available</v>
      </c>
    </row>
    <row r="326" spans="1:18">
      <c r="A326" t="str">
        <f>TRIM(CLEAN(Raw_Data!A326))</f>
        <v>MEM0325</v>
      </c>
      <c r="B326" t="str">
        <f ca="1">TRIM(Raw_Data!B326)</f>
        <v>Nikhil Kapoor</v>
      </c>
      <c r="C326" t="str">
        <f ca="1">_xlfn.XLOOKUP(D326, Branch_Master!A:A, Branch_Master!B:B)</f>
        <v>Mumbai</v>
      </c>
      <c r="D326" t="str">
        <f ca="1">TRIM(Raw_Data!D326)</f>
        <v>BR05</v>
      </c>
      <c r="E326" t="str">
        <f ca="1">PROPER(TRIM(Raw_Data!E326))</f>
        <v>Standard</v>
      </c>
      <c r="F326" s="2">
        <f>IFERROR(DATEVALUE(Raw_Data!F326), Raw_Data!F326)</f>
        <v>45262</v>
      </c>
      <c r="G326" s="2">
        <f>IFERROR(
    IF(
        IFERROR(DATEVALUE(Raw_Data!G326), Raw_Data!G326) &lt;
        IFERROR(DATEVALUE(Raw_Data!F326), Raw_Data!F326),
        IFERROR(DATEVALUE(Raw_Data!F326), Raw_Data!F326) + 30,
        IFERROR(DATEVALUE(Raw_Data!G326), Raw_Data!G326)
    ),
    ""
)</f>
        <v>45627</v>
      </c>
      <c r="H326">
        <f>IFERROR(VALUE(Raw_Data!H326), "")</f>
        <v>1000</v>
      </c>
      <c r="I326">
        <f ca="1">IFERROR(VALUE(Raw_Data!I326), "")</f>
        <v>2000</v>
      </c>
      <c r="J326">
        <f>IFERROR(
    VALUE(SUBSTITUTE(Raw_Data!J326," visits","")),
    ""
)</f>
        <v>20</v>
      </c>
      <c r="K326" t="str">
        <f ca="1">IF(TRIM(Raw_Data!K326)="","No",PROPER(TRIM(Raw_Data!K326)))</f>
        <v>Yes</v>
      </c>
      <c r="L326" t="str">
        <f ca="1">PROPER(TRIM(Raw_Data!L326))</f>
        <v>General Fitness</v>
      </c>
      <c r="M326" t="s">
        <v>151</v>
      </c>
      <c r="N326" s="2">
        <f>IFERROR(DATEVALUE(Raw_Data!N326), Raw_Data!N326)</f>
        <v>46008</v>
      </c>
      <c r="O326" s="2"/>
      <c r="P326" t="str">
        <f>IF(COUNTIF($A$2:A326,A326)&gt;1,"Duplicate","Unique")</f>
        <v>Unique</v>
      </c>
      <c r="Q326" t="str">
        <f t="shared" si="10"/>
        <v>OK</v>
      </c>
      <c r="R326" t="str">
        <f t="shared" si="11"/>
        <v>Available</v>
      </c>
    </row>
    <row r="327" spans="1:18">
      <c r="A327" t="str">
        <f>TRIM(CLEAN(Raw_Data!A327))</f>
        <v>MEM0326</v>
      </c>
      <c r="B327" t="str">
        <f ca="1">TRIM(Raw_Data!B327)</f>
        <v>Neha Iyer</v>
      </c>
      <c r="C327" t="str">
        <f ca="1">_xlfn.XLOOKUP(D327, Branch_Master!A:A, Branch_Master!B:B)</f>
        <v>Bangalore</v>
      </c>
      <c r="D327" t="str">
        <f ca="1">TRIM(Raw_Data!D327)</f>
        <v>BR02</v>
      </c>
      <c r="E327" t="str">
        <f ca="1">PROPER(TRIM(Raw_Data!E327))</f>
        <v>Premium</v>
      </c>
      <c r="F327" s="2">
        <f>IFERROR(DATEVALUE(Raw_Data!F327), Raw_Data!F327)</f>
        <v>45926</v>
      </c>
      <c r="G327" s="2">
        <f>IFERROR(
    IF(
        IFERROR(DATEVALUE(Raw_Data!G327), Raw_Data!G327) &lt;
        IFERROR(DATEVALUE(Raw_Data!F327), Raw_Data!F327),
        IFERROR(DATEVALUE(Raw_Data!F327), Raw_Data!F327) + 30,
        IFERROR(DATEVALUE(Raw_Data!G327), Raw_Data!G327)
    ),
    ""
)</f>
        <v>45956</v>
      </c>
      <c r="H327">
        <f>IFERROR(VALUE(Raw_Data!H327), "")</f>
        <v>2000</v>
      </c>
      <c r="I327">
        <f ca="1">IFERROR(VALUE(Raw_Data!I327), "")</f>
        <v>12000</v>
      </c>
      <c r="J327">
        <f>IFERROR(
    VALUE(SUBSTITUTE(Raw_Data!J327," visits","")),
    ""
)</f>
        <v>4</v>
      </c>
      <c r="K327" t="str">
        <f ca="1">IF(TRIM(Raw_Data!K327)="","No",PROPER(TRIM(Raw_Data!K327)))</f>
        <v>No</v>
      </c>
      <c r="L327" t="str">
        <f ca="1">PROPER(TRIM(Raw_Data!L327))</f>
        <v>Weight Loss</v>
      </c>
      <c r="M327" t="s">
        <v>152</v>
      </c>
      <c r="N327" s="2">
        <f>IFERROR(DATEVALUE(Raw_Data!N327), Raw_Data!N327)</f>
        <v>45965</v>
      </c>
      <c r="O327" s="2"/>
      <c r="P327" t="str">
        <f>IF(COUNTIF($A$2:A327,A327)&gt;1,"Duplicate","Unique")</f>
        <v>Unique</v>
      </c>
      <c r="Q327" t="str">
        <f t="shared" si="10"/>
        <v>Cancelled but Active</v>
      </c>
      <c r="R327" t="str">
        <f t="shared" si="11"/>
        <v>Available</v>
      </c>
    </row>
    <row r="328" spans="1:18">
      <c r="A328" t="str">
        <f>TRIM(CLEAN(Raw_Data!A328))</f>
        <v>MEM0327</v>
      </c>
      <c r="B328" t="str">
        <f ca="1">TRIM(Raw_Data!B328)</f>
        <v>Anu Mathew</v>
      </c>
      <c r="C328" t="str">
        <f ca="1">_xlfn.XLOOKUP(D328, Branch_Master!A:A, Branch_Master!B:B)</f>
        <v>Mumbai</v>
      </c>
      <c r="D328" t="str">
        <f ca="1">TRIM(Raw_Data!D328)</f>
        <v>BR05</v>
      </c>
      <c r="E328" t="str">
        <f ca="1">PROPER(TRIM(Raw_Data!E328))</f>
        <v>Premium</v>
      </c>
      <c r="F328" s="2">
        <f>IFERROR(DATEVALUE(Raw_Data!F328), Raw_Data!F328)</f>
        <v>45569</v>
      </c>
      <c r="G328" s="2">
        <f>IFERROR(
    IF(
        IFERROR(DATEVALUE(Raw_Data!G328), Raw_Data!G328) &lt;
        IFERROR(DATEVALUE(Raw_Data!F328), Raw_Data!F328),
        IFERROR(DATEVALUE(Raw_Data!F328), Raw_Data!F328) + 30,
        IFERROR(DATEVALUE(Raw_Data!G328), Raw_Data!G328)
    ),
    ""
)</f>
        <v>45659</v>
      </c>
      <c r="H328">
        <f>IFERROR(VALUE(Raw_Data!H328), "")</f>
        <v>3500</v>
      </c>
      <c r="I328">
        <f ca="1">IFERROR(VALUE(Raw_Data!I328), "")</f>
        <v>42000</v>
      </c>
      <c r="J328">
        <f>IFERROR(
    VALUE(SUBSTITUTE(Raw_Data!J328," visits","")),
    ""
)</f>
        <v>21</v>
      </c>
      <c r="K328" t="str">
        <f ca="1">IF(TRIM(Raw_Data!K328)="","No",PROPER(TRIM(Raw_Data!K328)))</f>
        <v>No</v>
      </c>
      <c r="L328" t="str">
        <f ca="1">PROPER(TRIM(Raw_Data!L328))</f>
        <v>Weight Loss</v>
      </c>
      <c r="M328" t="s">
        <v>151</v>
      </c>
      <c r="N328" s="2">
        <f>IFERROR(DATEVALUE(Raw_Data!N328), Raw_Data!N328)</f>
        <v>45726</v>
      </c>
      <c r="O328" s="2"/>
      <c r="P328" t="str">
        <f>IF(COUNTIF($A$2:A328,A328)&gt;1,"Duplicate","Unique")</f>
        <v>Unique</v>
      </c>
      <c r="Q328" t="str">
        <f t="shared" si="10"/>
        <v>OK</v>
      </c>
      <c r="R328" t="str">
        <f t="shared" si="11"/>
        <v>Available</v>
      </c>
    </row>
    <row r="329" spans="1:18">
      <c r="A329" t="str">
        <f>TRIM(CLEAN(Raw_Data!A329))</f>
        <v>MEM0328</v>
      </c>
      <c r="B329" t="str">
        <f ca="1">TRIM(Raw_Data!B329)</f>
        <v>Ishita Mathew</v>
      </c>
      <c r="C329" t="str">
        <f ca="1">_xlfn.XLOOKUP(D329, Branch_Master!A:A, Branch_Master!B:B)</f>
        <v>Kochi</v>
      </c>
      <c r="D329" t="str">
        <f ca="1">TRIM(Raw_Data!D329)</f>
        <v>BR01</v>
      </c>
      <c r="E329" t="str">
        <f ca="1">PROPER(TRIM(Raw_Data!E329))</f>
        <v>Premium</v>
      </c>
      <c r="F329" s="2">
        <f>IFERROR(DATEVALUE(Raw_Data!F329), Raw_Data!F329)</f>
        <v>45291</v>
      </c>
      <c r="G329" s="2">
        <f>IFERROR(
    IF(
        IFERROR(DATEVALUE(Raw_Data!G329), Raw_Data!G329) &lt;
        IFERROR(DATEVALUE(Raw_Data!F329), Raw_Data!F329),
        IFERROR(DATEVALUE(Raw_Data!F329), Raw_Data!F329) + 30,
        IFERROR(DATEVALUE(Raw_Data!G329), Raw_Data!G329)
    ),
    ""
)</f>
        <v>45381</v>
      </c>
      <c r="H329">
        <f>IFERROR(VALUE(Raw_Data!H329), "")</f>
        <v>3500</v>
      </c>
      <c r="I329">
        <f ca="1">IFERROR(VALUE(Raw_Data!I329), "")</f>
        <v>10500</v>
      </c>
      <c r="J329">
        <f>IFERROR(
    VALUE(SUBSTITUTE(Raw_Data!J329," visits","")),
    ""
)</f>
        <v>14</v>
      </c>
      <c r="K329" t="str">
        <f ca="1">IF(TRIM(Raw_Data!K329)="","No",PROPER(TRIM(Raw_Data!K329)))</f>
        <v>Yes</v>
      </c>
      <c r="L329" t="str">
        <f ca="1">PROPER(TRIM(Raw_Data!L329))</f>
        <v>Weight Loss</v>
      </c>
      <c r="M329" t="s">
        <v>151</v>
      </c>
      <c r="N329" s="2">
        <f>IFERROR(DATEVALUE(Raw_Data!N329), Raw_Data!N329)</f>
        <v>46054</v>
      </c>
      <c r="O329" s="2"/>
      <c r="P329" t="str">
        <f>IF(COUNTIF($A$2:A329,A329)&gt;1,"Duplicate","Unique")</f>
        <v>Unique</v>
      </c>
      <c r="Q329" t="str">
        <f t="shared" si="10"/>
        <v>OK</v>
      </c>
      <c r="R329" t="str">
        <f t="shared" si="11"/>
        <v>Available</v>
      </c>
    </row>
    <row r="330" spans="1:18">
      <c r="A330" t="str">
        <f>TRIM(CLEAN(Raw_Data!A330))</f>
        <v>MEM0329</v>
      </c>
      <c r="B330" t="str">
        <f ca="1">TRIM(Raw_Data!B330)</f>
        <v>Meera Khan</v>
      </c>
      <c r="C330" t="str">
        <f ca="1">_xlfn.XLOOKUP(D330, Branch_Master!A:A, Branch_Master!B:B)</f>
        <v>Mumbai</v>
      </c>
      <c r="D330" t="str">
        <f ca="1">TRIM(Raw_Data!D330)</f>
        <v>BR05</v>
      </c>
      <c r="E330" t="str">
        <f ca="1">PROPER(TRIM(Raw_Data!E330))</f>
        <v>Standard</v>
      </c>
      <c r="F330" s="2">
        <f>IFERROR(DATEVALUE(Raw_Data!F330), Raw_Data!F330)</f>
        <v>45100</v>
      </c>
      <c r="G330" s="2">
        <f>IFERROR(
    IF(
        IFERROR(DATEVALUE(Raw_Data!G330), Raw_Data!G330) &lt;
        IFERROR(DATEVALUE(Raw_Data!F330), Raw_Data!F330),
        IFERROR(DATEVALUE(Raw_Data!F330), Raw_Data!F330) + 30,
        IFERROR(DATEVALUE(Raw_Data!G330), Raw_Data!G330)
    ),
    ""
)</f>
        <v>45465</v>
      </c>
      <c r="H330">
        <f>IFERROR(VALUE(Raw_Data!H330), "")</f>
        <v>1000</v>
      </c>
      <c r="I330">
        <f ca="1">IFERROR(VALUE(Raw_Data!I330), "")</f>
        <v>11000</v>
      </c>
      <c r="J330">
        <f>IFERROR(
    VALUE(SUBSTITUTE(Raw_Data!J330," visits","")),
    ""
)</f>
        <v>1</v>
      </c>
      <c r="K330" t="str">
        <f ca="1">IF(TRIM(Raw_Data!K330)="","No",PROPER(TRIM(Raw_Data!K330)))</f>
        <v>No</v>
      </c>
      <c r="L330" t="str">
        <f ca="1">PROPER(TRIM(Raw_Data!L330))</f>
        <v>General Fitness</v>
      </c>
      <c r="M330" t="s">
        <v>151</v>
      </c>
      <c r="N330" s="2">
        <f>IFERROR(DATEVALUE(Raw_Data!N330), Raw_Data!N330)</f>
        <v>46099</v>
      </c>
      <c r="O330" s="2"/>
      <c r="P330" t="str">
        <f>IF(COUNTIF($A$2:A330,A330)&gt;1,"Duplicate","Unique")</f>
        <v>Unique</v>
      </c>
      <c r="Q330" t="str">
        <f t="shared" si="10"/>
        <v>OK</v>
      </c>
      <c r="R330" t="str">
        <f t="shared" si="11"/>
        <v>Available</v>
      </c>
    </row>
    <row r="331" spans="1:18">
      <c r="A331" t="str">
        <f>TRIM(CLEAN(Raw_Data!A331))</f>
        <v>MEM0330</v>
      </c>
      <c r="B331" t="str">
        <f ca="1">TRIM(Raw_Data!B331)</f>
        <v>Karthik Reddy</v>
      </c>
      <c r="C331" t="str">
        <f ca="1">_xlfn.XLOOKUP(D331, Branch_Master!A:A, Branch_Master!B:B)</f>
        <v>Hyderabad</v>
      </c>
      <c r="D331" t="str">
        <f ca="1">TRIM(Raw_Data!D331)</f>
        <v>BR04</v>
      </c>
      <c r="E331" t="str">
        <f ca="1">PROPER(TRIM(Raw_Data!E331))</f>
        <v>Standard</v>
      </c>
      <c r="F331" s="2">
        <f>IFERROR(DATEVALUE(Raw_Data!F331), Raw_Data!F331)</f>
        <v>45939</v>
      </c>
      <c r="G331" s="2">
        <f>IFERROR(
    IF(
        IFERROR(DATEVALUE(Raw_Data!G331), Raw_Data!G331) &lt;
        IFERROR(DATEVALUE(Raw_Data!F331), Raw_Data!F331),
        IFERROR(DATEVALUE(Raw_Data!F331), Raw_Data!F331) + 30,
        IFERROR(DATEVALUE(Raw_Data!G331), Raw_Data!G331)
    ),
    ""
)</f>
        <v>45969</v>
      </c>
      <c r="H331">
        <f>IFERROR(VALUE(Raw_Data!H331), "")</f>
        <v>2000</v>
      </c>
      <c r="I331">
        <f ca="1">IFERROR(VALUE(Raw_Data!I331), "")</f>
        <v>2000</v>
      </c>
      <c r="J331">
        <f>IFERROR(
    VALUE(SUBSTITUTE(Raw_Data!J331," visits","")),
    ""
)</f>
        <v>10</v>
      </c>
      <c r="K331" t="str">
        <f ca="1">IF(TRIM(Raw_Data!K331)="","No",PROPER(TRIM(Raw_Data!K331)))</f>
        <v>Yes</v>
      </c>
      <c r="L331" t="str">
        <f ca="1">PROPER(TRIM(Raw_Data!L331))</f>
        <v>General Fitness</v>
      </c>
      <c r="M331" t="s">
        <v>151</v>
      </c>
      <c r="N331" s="2">
        <f>IFERROR(DATEVALUE(Raw_Data!N331), Raw_Data!N331)</f>
        <v>46061</v>
      </c>
      <c r="O331" s="2"/>
      <c r="P331" t="str">
        <f>IF(COUNTIF($A$2:A331,A331)&gt;1,"Duplicate","Unique")</f>
        <v>Unique</v>
      </c>
      <c r="Q331" t="str">
        <f t="shared" si="10"/>
        <v>OK</v>
      </c>
      <c r="R331" t="str">
        <f t="shared" si="11"/>
        <v>Available</v>
      </c>
    </row>
    <row r="332" spans="1:18">
      <c r="A332" t="str">
        <f>TRIM(CLEAN(Raw_Data!A332))</f>
        <v>MEM0331</v>
      </c>
      <c r="B332" t="str">
        <f ca="1">TRIM(Raw_Data!B332)</f>
        <v>Priya Das</v>
      </c>
      <c r="C332" t="str">
        <f ca="1">_xlfn.XLOOKUP(D332, Branch_Master!A:A, Branch_Master!B:B)</f>
        <v>Chennai</v>
      </c>
      <c r="D332" t="str">
        <f ca="1">TRIM(Raw_Data!D332)</f>
        <v>BR03</v>
      </c>
      <c r="E332" t="str">
        <f ca="1">PROPER(TRIM(Raw_Data!E332))</f>
        <v>Basic</v>
      </c>
      <c r="F332" s="2">
        <f>IFERROR(DATEVALUE(Raw_Data!F332), Raw_Data!F332)</f>
        <v>45257</v>
      </c>
      <c r="G332" s="2">
        <f>IFERROR(
    IF(
        IFERROR(DATEVALUE(Raw_Data!G332), Raw_Data!G332) &lt;
        IFERROR(DATEVALUE(Raw_Data!F332), Raw_Data!F332),
        IFERROR(DATEVALUE(Raw_Data!F332), Raw_Data!F332) + 30,
        IFERROR(DATEVALUE(Raw_Data!G332), Raw_Data!G332)
    ),
    ""
)</f>
        <v>45347</v>
      </c>
      <c r="H332">
        <f>IFERROR(VALUE(Raw_Data!H332), "")</f>
        <v>1000</v>
      </c>
      <c r="I332">
        <f ca="1">IFERROR(VALUE(Raw_Data!I332), "")</f>
        <v>6000</v>
      </c>
      <c r="J332">
        <f>IFERROR(
    VALUE(SUBSTITUTE(Raw_Data!J332," visits","")),
    ""
)</f>
        <v>14</v>
      </c>
      <c r="K332" t="str">
        <f ca="1">IF(TRIM(Raw_Data!K332)="","No",PROPER(TRIM(Raw_Data!K332)))</f>
        <v>Yes</v>
      </c>
      <c r="L332" t="str">
        <f ca="1">PROPER(TRIM(Raw_Data!L332))</f>
        <v>Weight Loss</v>
      </c>
      <c r="M332" t="s">
        <v>151</v>
      </c>
      <c r="N332" s="2">
        <f>IFERROR(DATEVALUE(Raw_Data!N332), Raw_Data!N332)</f>
        <v>46036</v>
      </c>
      <c r="O332" s="2"/>
      <c r="P332" t="str">
        <f>IF(COUNTIF($A$2:A332,A332)&gt;1,"Duplicate","Unique")</f>
        <v>Unique</v>
      </c>
      <c r="Q332" t="str">
        <f t="shared" si="10"/>
        <v>OK</v>
      </c>
      <c r="R332" t="str">
        <f t="shared" si="11"/>
        <v>Available</v>
      </c>
    </row>
    <row r="333" spans="1:18">
      <c r="A333" t="str">
        <f>TRIM(CLEAN(Raw_Data!A333))</f>
        <v>MEM0332</v>
      </c>
      <c r="B333" t="str">
        <f ca="1">TRIM(Raw_Data!B333)</f>
        <v>Divya Agarwal</v>
      </c>
      <c r="C333" t="str">
        <f ca="1">_xlfn.XLOOKUP(D333, Branch_Master!A:A, Branch_Master!B:B)</f>
        <v>Trivandrum</v>
      </c>
      <c r="D333" t="str">
        <f ca="1">TRIM(Raw_Data!D333)</f>
        <v>BR06</v>
      </c>
      <c r="E333" t="str">
        <f ca="1">PROPER(TRIM(Raw_Data!E333))</f>
        <v>Premium</v>
      </c>
      <c r="F333" s="2">
        <f>IFERROR(DATEVALUE(Raw_Data!F333), Raw_Data!F333)</f>
        <v>45218</v>
      </c>
      <c r="G333" s="2">
        <f>IFERROR(
    IF(
        IFERROR(DATEVALUE(Raw_Data!G333), Raw_Data!G333) &lt;
        IFERROR(DATEVALUE(Raw_Data!F333), Raw_Data!F333),
        IFERROR(DATEVALUE(Raw_Data!F333), Raw_Data!F333) + 30,
        IFERROR(DATEVALUE(Raw_Data!G333), Raw_Data!G333)
    ),
    ""
)</f>
        <v>45583</v>
      </c>
      <c r="H333">
        <f>IFERROR(VALUE(Raw_Data!H333), "")</f>
        <v>1000</v>
      </c>
      <c r="I333">
        <f ca="1">IFERROR(VALUE(Raw_Data!I333), "")</f>
        <v>3000</v>
      </c>
      <c r="J333">
        <f>IFERROR(
    VALUE(SUBSTITUTE(Raw_Data!J333," visits","")),
    ""
)</f>
        <v>21</v>
      </c>
      <c r="K333" t="str">
        <f ca="1">IF(TRIM(Raw_Data!K333)="","No",PROPER(TRIM(Raw_Data!K333)))</f>
        <v>Yes</v>
      </c>
      <c r="L333" t="str">
        <f ca="1">PROPER(TRIM(Raw_Data!L333))</f>
        <v>Muscle Gain</v>
      </c>
      <c r="M333" t="s">
        <v>152</v>
      </c>
      <c r="N333" s="2">
        <f>IFERROR(DATEVALUE(Raw_Data!N333), Raw_Data!N333)</f>
        <v>46021</v>
      </c>
      <c r="O333" s="2"/>
      <c r="P333" t="str">
        <f>IF(COUNTIF($A$2:A333,A333)&gt;1,"Duplicate","Unique")</f>
        <v>Unique</v>
      </c>
      <c r="Q333" t="str">
        <f t="shared" si="10"/>
        <v>Cancelled but Active</v>
      </c>
      <c r="R333" t="str">
        <f t="shared" si="11"/>
        <v>Available</v>
      </c>
    </row>
    <row r="334" spans="1:18">
      <c r="A334" t="str">
        <f>TRIM(CLEAN(Raw_Data!A334))</f>
        <v>MEM0333</v>
      </c>
      <c r="B334" t="str">
        <f ca="1">TRIM(Raw_Data!B334)</f>
        <v>Karthik Sharma</v>
      </c>
      <c r="C334" t="str">
        <f ca="1">_xlfn.XLOOKUP(D334, Branch_Master!A:A, Branch_Master!B:B)</f>
        <v>Hyderabad</v>
      </c>
      <c r="D334" t="str">
        <f ca="1">TRIM(Raw_Data!D334)</f>
        <v>BR04</v>
      </c>
      <c r="E334" t="str">
        <f ca="1">PROPER(TRIM(Raw_Data!E334))</f>
        <v>Premium</v>
      </c>
      <c r="F334" s="2">
        <f>IFERROR(DATEVALUE(Raw_Data!F334), Raw_Data!F334)</f>
        <v>45497</v>
      </c>
      <c r="G334" s="2">
        <f>IFERROR(
    IF(
        IFERROR(DATEVALUE(Raw_Data!G334), Raw_Data!G334) &lt;
        IFERROR(DATEVALUE(Raw_Data!F334), Raw_Data!F334),
        IFERROR(DATEVALUE(Raw_Data!F334), Raw_Data!F334) + 30,
        IFERROR(DATEVALUE(Raw_Data!G334), Raw_Data!G334)
    ),
    ""
)</f>
        <v>45862</v>
      </c>
      <c r="H334">
        <f>IFERROR(VALUE(Raw_Data!H334), "")</f>
        <v>1000</v>
      </c>
      <c r="I334">
        <f ca="1">IFERROR(VALUE(Raw_Data!I334), "")</f>
        <v>10000</v>
      </c>
      <c r="J334">
        <f>IFERROR(
    VALUE(SUBSTITUTE(Raw_Data!J334," visits","")),
    ""
)</f>
        <v>11</v>
      </c>
      <c r="K334" t="str">
        <f ca="1">IF(TRIM(Raw_Data!K334)="","No",PROPER(TRIM(Raw_Data!K334)))</f>
        <v>Yes</v>
      </c>
      <c r="L334" t="str">
        <f ca="1">PROPER(TRIM(Raw_Data!L334))</f>
        <v>Muscle Gain</v>
      </c>
      <c r="M334" t="s">
        <v>151</v>
      </c>
      <c r="N334" s="2">
        <f>IFERROR(DATEVALUE(Raw_Data!N334), Raw_Data!N334)</f>
        <v>46064</v>
      </c>
      <c r="O334" s="2"/>
      <c r="P334" t="str">
        <f>IF(COUNTIF($A$2:A334,A334)&gt;1,"Duplicate","Unique")</f>
        <v>Unique</v>
      </c>
      <c r="Q334" t="str">
        <f t="shared" si="10"/>
        <v>OK</v>
      </c>
      <c r="R334" t="str">
        <f t="shared" si="11"/>
        <v>Available</v>
      </c>
    </row>
    <row r="335" spans="1:18">
      <c r="A335" t="str">
        <f>TRIM(CLEAN(Raw_Data!A335))</f>
        <v>MEM0334</v>
      </c>
      <c r="B335" t="str">
        <f ca="1">TRIM(Raw_Data!B335)</f>
        <v>Varun Verma</v>
      </c>
      <c r="C335" t="str">
        <f ca="1">_xlfn.XLOOKUP(D335, Branch_Master!A:A, Branch_Master!B:B)</f>
        <v>Calicut</v>
      </c>
      <c r="D335" t="str">
        <f ca="1">TRIM(Raw_Data!D335)</f>
        <v>BR07</v>
      </c>
      <c r="E335" t="str">
        <f ca="1">PROPER(TRIM(Raw_Data!E335))</f>
        <v>Basic</v>
      </c>
      <c r="F335" s="2">
        <f>IFERROR(DATEVALUE(Raw_Data!F335), Raw_Data!F335)</f>
        <v>45056</v>
      </c>
      <c r="G335" s="2">
        <f>IFERROR(
    IF(
        IFERROR(DATEVALUE(Raw_Data!G335), Raw_Data!G335) &lt;
        IFERROR(DATEVALUE(Raw_Data!F335), Raw_Data!F335),
        IFERROR(DATEVALUE(Raw_Data!F335), Raw_Data!F335) + 30,
        IFERROR(DATEVALUE(Raw_Data!G335), Raw_Data!G335)
    ),
    ""
)</f>
        <v>45146</v>
      </c>
      <c r="H335">
        <f>IFERROR(VALUE(Raw_Data!H335), "")</f>
        <v>2000</v>
      </c>
      <c r="I335">
        <f ca="1">IFERROR(VALUE(Raw_Data!I335), "")</f>
        <v>2000</v>
      </c>
      <c r="J335">
        <f>IFERROR(
    VALUE(SUBSTITUTE(Raw_Data!J335," visits","")),
    ""
)</f>
        <v>21</v>
      </c>
      <c r="K335" t="str">
        <f ca="1">IF(TRIM(Raw_Data!K335)="","No",PROPER(TRIM(Raw_Data!K335)))</f>
        <v>No</v>
      </c>
      <c r="L335" t="str">
        <f ca="1">PROPER(TRIM(Raw_Data!L335))</f>
        <v>General Fitness</v>
      </c>
      <c r="M335" t="s">
        <v>151</v>
      </c>
      <c r="N335" s="2">
        <f>IFERROR(DATEVALUE(Raw_Data!N335), Raw_Data!N335)</f>
        <v>45678</v>
      </c>
      <c r="O335" s="2"/>
      <c r="P335" t="str">
        <f>IF(COUNTIF($A$2:A335,A335)&gt;1,"Duplicate","Unique")</f>
        <v>Unique</v>
      </c>
      <c r="Q335" t="str">
        <f t="shared" si="10"/>
        <v>OK</v>
      </c>
      <c r="R335" t="str">
        <f t="shared" si="11"/>
        <v>Available</v>
      </c>
    </row>
    <row r="336" spans="1:18">
      <c r="A336" t="str">
        <f>TRIM(CLEAN(Raw_Data!A336))</f>
        <v>MEM0335</v>
      </c>
      <c r="B336" t="str">
        <f ca="1">TRIM(Raw_Data!B336)</f>
        <v>Zara Fernandes</v>
      </c>
      <c r="C336" t="str">
        <f ca="1">_xlfn.XLOOKUP(D336, Branch_Master!A:A, Branch_Master!B:B)</f>
        <v>Calicut</v>
      </c>
      <c r="D336" t="str">
        <f ca="1">TRIM(Raw_Data!D336)</f>
        <v>BR07</v>
      </c>
      <c r="E336" t="str">
        <f ca="1">PROPER(TRIM(Raw_Data!E336))</f>
        <v>Standard</v>
      </c>
      <c r="F336" s="2">
        <f>IFERROR(DATEVALUE(Raw_Data!F336), Raw_Data!F336)</f>
        <v>45201</v>
      </c>
      <c r="G336" s="2">
        <f>IFERROR(
    IF(
        IFERROR(DATEVALUE(Raw_Data!G336), Raw_Data!G336) &lt;
        IFERROR(DATEVALUE(Raw_Data!F336), Raw_Data!F336),
        IFERROR(DATEVALUE(Raw_Data!F336), Raw_Data!F336) + 30,
        IFERROR(DATEVALUE(Raw_Data!G336), Raw_Data!G336)
    ),
    ""
)</f>
        <v>45291</v>
      </c>
      <c r="H336">
        <f>IFERROR(VALUE(Raw_Data!H336), "")</f>
        <v>3500</v>
      </c>
      <c r="I336">
        <f ca="1">IFERROR(VALUE(Raw_Data!I336), "")</f>
        <v>31500</v>
      </c>
      <c r="J336">
        <f>IFERROR(
    VALUE(SUBSTITUTE(Raw_Data!J336," visits","")),
    ""
)</f>
        <v>15</v>
      </c>
      <c r="K336" t="str">
        <f ca="1">IF(TRIM(Raw_Data!K336)="","No",PROPER(TRIM(Raw_Data!K336)))</f>
        <v>Yes</v>
      </c>
      <c r="L336" t="str">
        <f ca="1">PROPER(TRIM(Raw_Data!L336))</f>
        <v>General Fitness</v>
      </c>
      <c r="M336" t="s">
        <v>151</v>
      </c>
      <c r="N336" s="2">
        <f>IFERROR(DATEVALUE(Raw_Data!N336), Raw_Data!N336)</f>
        <v>46034</v>
      </c>
      <c r="O336" s="2"/>
      <c r="P336" t="str">
        <f>IF(COUNTIF($A$2:A336,A336)&gt;1,"Duplicate","Unique")</f>
        <v>Unique</v>
      </c>
      <c r="Q336" t="str">
        <f t="shared" si="10"/>
        <v>OK</v>
      </c>
      <c r="R336" t="str">
        <f t="shared" si="11"/>
        <v>Available</v>
      </c>
    </row>
    <row r="337" spans="1:18">
      <c r="A337" t="str">
        <f>TRIM(CLEAN(Raw_Data!A337))</f>
        <v>MEM0336</v>
      </c>
      <c r="B337" t="str">
        <f ca="1">TRIM(Raw_Data!B337)</f>
        <v>Ayesha Malhotra</v>
      </c>
      <c r="C337" t="str">
        <f ca="1">_xlfn.XLOOKUP(D337, Branch_Master!A:A, Branch_Master!B:B)</f>
        <v>Kochi</v>
      </c>
      <c r="D337" t="str">
        <f ca="1">TRIM(Raw_Data!D337)</f>
        <v>BR01</v>
      </c>
      <c r="E337" t="str">
        <f ca="1">PROPER(TRIM(Raw_Data!E337))</f>
        <v>Standard</v>
      </c>
      <c r="F337" s="2">
        <f>IFERROR(DATEVALUE(Raw_Data!F337), Raw_Data!F337)</f>
        <v>45681</v>
      </c>
      <c r="G337" s="2">
        <f>IFERROR(
    IF(
        IFERROR(DATEVALUE(Raw_Data!G337), Raw_Data!G337) &lt;
        IFERROR(DATEVALUE(Raw_Data!F337), Raw_Data!F337),
        IFERROR(DATEVALUE(Raw_Data!F337), Raw_Data!F337) + 30,
        IFERROR(DATEVALUE(Raw_Data!G337), Raw_Data!G337)
    ),
    ""
)</f>
        <v>46046</v>
      </c>
      <c r="H337">
        <f>IFERROR(VALUE(Raw_Data!H337), "")</f>
        <v>3500</v>
      </c>
      <c r="I337">
        <f ca="1">IFERROR(VALUE(Raw_Data!I337), "")</f>
        <v>3500</v>
      </c>
      <c r="J337">
        <f>IFERROR(
    VALUE(SUBSTITUTE(Raw_Data!J337," visits","")),
    ""
)</f>
        <v>22</v>
      </c>
      <c r="K337" t="str">
        <f ca="1">IF(TRIM(Raw_Data!K337)="","No",PROPER(TRIM(Raw_Data!K337)))</f>
        <v>Yes</v>
      </c>
      <c r="L337" t="str">
        <f ca="1">PROPER(TRIM(Raw_Data!L337))</f>
        <v>Muscle Gain</v>
      </c>
      <c r="M337" t="s">
        <v>151</v>
      </c>
      <c r="N337" s="2">
        <f>IFERROR(DATEVALUE(Raw_Data!N337), Raw_Data!N337)</f>
        <v>45688</v>
      </c>
      <c r="O337" s="2"/>
      <c r="P337" t="str">
        <f>IF(COUNTIF($A$2:A337,A337)&gt;1,"Duplicate","Unique")</f>
        <v>Unique</v>
      </c>
      <c r="Q337" t="str">
        <f t="shared" si="10"/>
        <v>OK</v>
      </c>
      <c r="R337" t="str">
        <f t="shared" si="11"/>
        <v>Available</v>
      </c>
    </row>
    <row r="338" spans="1:18">
      <c r="A338" t="str">
        <f>TRIM(CLEAN(Raw_Data!A338))</f>
        <v>MEM0337</v>
      </c>
      <c r="B338" t="str">
        <f ca="1">TRIM(Raw_Data!B338)</f>
        <v>Arjun Naidu</v>
      </c>
      <c r="C338" t="str">
        <f ca="1">_xlfn.XLOOKUP(D338, Branch_Master!A:A, Branch_Master!B:B)</f>
        <v>Hyderabad</v>
      </c>
      <c r="D338" t="str">
        <f ca="1">TRIM(Raw_Data!D338)</f>
        <v>BR04</v>
      </c>
      <c r="E338" t="str">
        <f ca="1">PROPER(TRIM(Raw_Data!E338))</f>
        <v>Basic</v>
      </c>
      <c r="F338" s="2">
        <f>IFERROR(DATEVALUE(Raw_Data!F338), Raw_Data!F338)</f>
        <v>45995</v>
      </c>
      <c r="G338" s="2">
        <f>IFERROR(
    IF(
        IFERROR(DATEVALUE(Raw_Data!G338), Raw_Data!G338) &lt;
        IFERROR(DATEVALUE(Raw_Data!F338), Raw_Data!F338),
        IFERROR(DATEVALUE(Raw_Data!F338), Raw_Data!F338) + 30,
        IFERROR(DATEVALUE(Raw_Data!G338), Raw_Data!G338)
    ),
    ""
)</f>
        <v>46360</v>
      </c>
      <c r="H338">
        <f>IFERROR(VALUE(Raw_Data!H338), "")</f>
        <v>1000</v>
      </c>
      <c r="I338">
        <f ca="1">IFERROR(VALUE(Raw_Data!I338), "")</f>
        <v>3000</v>
      </c>
      <c r="J338">
        <f>IFERROR(
    VALUE(SUBSTITUTE(Raw_Data!J338," visits","")),
    ""
)</f>
        <v>18</v>
      </c>
      <c r="K338" t="str">
        <f ca="1">IF(TRIM(Raw_Data!K338)="","No",PROPER(TRIM(Raw_Data!K338)))</f>
        <v>Yes</v>
      </c>
      <c r="L338" t="str">
        <f ca="1">PROPER(TRIM(Raw_Data!L338))</f>
        <v>Weight Loss</v>
      </c>
      <c r="M338" t="s">
        <v>151</v>
      </c>
      <c r="N338" s="2">
        <f>IFERROR(DATEVALUE(Raw_Data!N338), Raw_Data!N338)</f>
        <v>46109</v>
      </c>
      <c r="O338" s="2"/>
      <c r="P338" t="str">
        <f>IF(COUNTIF($A$2:A338,A338)&gt;1,"Duplicate","Unique")</f>
        <v>Unique</v>
      </c>
      <c r="Q338" t="str">
        <f t="shared" si="10"/>
        <v>OK</v>
      </c>
      <c r="R338" t="str">
        <f t="shared" si="11"/>
        <v>Available</v>
      </c>
    </row>
    <row r="339" spans="1:18">
      <c r="A339" t="str">
        <f>TRIM(CLEAN(Raw_Data!A339))</f>
        <v>MEM0338</v>
      </c>
      <c r="B339" t="str">
        <f ca="1">TRIM(Raw_Data!B339)</f>
        <v>Shreya Sharma</v>
      </c>
      <c r="C339" t="str">
        <f ca="1">_xlfn.XLOOKUP(D339, Branch_Master!A:A, Branch_Master!B:B)</f>
        <v>Kochi</v>
      </c>
      <c r="D339" t="str">
        <f ca="1">TRIM(Raw_Data!D339)</f>
        <v>BR01</v>
      </c>
      <c r="E339" t="str">
        <f ca="1">PROPER(TRIM(Raw_Data!E339))</f>
        <v>Basic</v>
      </c>
      <c r="F339" s="2">
        <f>IFERROR(DATEVALUE(Raw_Data!F339), Raw_Data!F339)</f>
        <v>45821</v>
      </c>
      <c r="G339" s="2">
        <f>IFERROR(
    IF(
        IFERROR(DATEVALUE(Raw_Data!G339), Raw_Data!G339) &lt;
        IFERROR(DATEVALUE(Raw_Data!F339), Raw_Data!F339),
        IFERROR(DATEVALUE(Raw_Data!F339), Raw_Data!F339) + 30,
        IFERROR(DATEVALUE(Raw_Data!G339), Raw_Data!G339)
    ),
    ""
)</f>
        <v>46186</v>
      </c>
      <c r="H339">
        <f>IFERROR(VALUE(Raw_Data!H339), "")</f>
        <v>2000</v>
      </c>
      <c r="I339">
        <f ca="1">IFERROR(VALUE(Raw_Data!I339), "")</f>
        <v>16000</v>
      </c>
      <c r="J339">
        <f>IFERROR(
    VALUE(SUBSTITUTE(Raw_Data!J339," visits","")),
    ""
)</f>
        <v>8</v>
      </c>
      <c r="K339" t="str">
        <f ca="1">IF(TRIM(Raw_Data!K339)="","No",PROPER(TRIM(Raw_Data!K339)))</f>
        <v>No</v>
      </c>
      <c r="L339" t="str">
        <f ca="1">PROPER(TRIM(Raw_Data!L339))</f>
        <v>Muscle Gain</v>
      </c>
      <c r="M339" t="s">
        <v>151</v>
      </c>
      <c r="N339" s="2">
        <f>IFERROR(DATEVALUE(Raw_Data!N339), Raw_Data!N339)</f>
        <v>46059</v>
      </c>
      <c r="O339" s="2"/>
      <c r="P339" t="str">
        <f>IF(COUNTIF($A$2:A339,A339)&gt;1,"Duplicate","Unique")</f>
        <v>Unique</v>
      </c>
      <c r="Q339" t="str">
        <f t="shared" si="10"/>
        <v>OK</v>
      </c>
      <c r="R339" t="str">
        <f t="shared" si="11"/>
        <v>Available</v>
      </c>
    </row>
    <row r="340" spans="1:18">
      <c r="A340" t="str">
        <f>TRIM(CLEAN(Raw_Data!A340))</f>
        <v>MEM0339</v>
      </c>
      <c r="B340" t="str">
        <f ca="1">TRIM(Raw_Data!B340)</f>
        <v>Vivek D’Souza</v>
      </c>
      <c r="C340" t="str">
        <f ca="1">_xlfn.XLOOKUP(D340, Branch_Master!A:A, Branch_Master!B:B)</f>
        <v>Chennai</v>
      </c>
      <c r="D340" t="str">
        <f ca="1">TRIM(Raw_Data!D340)</f>
        <v>BR03</v>
      </c>
      <c r="E340" t="str">
        <f ca="1">PROPER(TRIM(Raw_Data!E340))</f>
        <v>Basic</v>
      </c>
      <c r="F340" s="2">
        <f>IFERROR(DATEVALUE(Raw_Data!F340), Raw_Data!F340)</f>
        <v>45656</v>
      </c>
      <c r="G340" s="2">
        <f>IFERROR(
    IF(
        IFERROR(DATEVALUE(Raw_Data!G340), Raw_Data!G340) &lt;
        IFERROR(DATEVALUE(Raw_Data!F340), Raw_Data!F340),
        IFERROR(DATEVALUE(Raw_Data!F340), Raw_Data!F340) + 30,
        IFERROR(DATEVALUE(Raw_Data!G340), Raw_Data!G340)
    ),
    ""
)</f>
        <v>45686</v>
      </c>
      <c r="H340">
        <f>IFERROR(VALUE(Raw_Data!H340), "")</f>
        <v>3500</v>
      </c>
      <c r="I340">
        <f ca="1">IFERROR(VALUE(Raw_Data!I340), "")</f>
        <v>21000</v>
      </c>
      <c r="J340">
        <f>IFERROR(
    VALUE(SUBSTITUTE(Raw_Data!J340," visits","")),
    ""
)</f>
        <v>18</v>
      </c>
      <c r="K340" t="str">
        <f ca="1">IF(TRIM(Raw_Data!K340)="","No",PROPER(TRIM(Raw_Data!K340)))</f>
        <v>No</v>
      </c>
      <c r="L340" t="str">
        <f ca="1">PROPER(TRIM(Raw_Data!L340))</f>
        <v>Weight Loss</v>
      </c>
      <c r="M340" t="s">
        <v>151</v>
      </c>
      <c r="N340" s="2">
        <f>IFERROR(DATEVALUE(Raw_Data!N340), Raw_Data!N340)</f>
        <v>45810</v>
      </c>
      <c r="O340" s="2"/>
      <c r="P340" t="str">
        <f>IF(COUNTIF($A$2:A340,A340)&gt;1,"Duplicate","Unique")</f>
        <v>Unique</v>
      </c>
      <c r="Q340" t="str">
        <f t="shared" si="10"/>
        <v>OK</v>
      </c>
      <c r="R340" t="str">
        <f t="shared" si="11"/>
        <v>Available</v>
      </c>
    </row>
    <row r="341" spans="1:18">
      <c r="A341" t="str">
        <f>TRIM(CLEAN(Raw_Data!A341))</f>
        <v>MEM0340</v>
      </c>
      <c r="B341" t="str">
        <f ca="1">TRIM(Raw_Data!B341)</f>
        <v>Ishita Nambiar</v>
      </c>
      <c r="C341" t="str">
        <f ca="1">_xlfn.XLOOKUP(D341, Branch_Master!A:A, Branch_Master!B:B)</f>
        <v>Bangalore</v>
      </c>
      <c r="D341" t="str">
        <f ca="1">TRIM(Raw_Data!D341)</f>
        <v>BR02</v>
      </c>
      <c r="E341" t="str">
        <f ca="1">PROPER(TRIM(Raw_Data!E341))</f>
        <v>Premium</v>
      </c>
      <c r="F341" s="2">
        <f>IFERROR(DATEVALUE(Raw_Data!F341), Raw_Data!F341)</f>
        <v>45364</v>
      </c>
      <c r="G341" s="2">
        <f>IFERROR(
    IF(
        IFERROR(DATEVALUE(Raw_Data!G341), Raw_Data!G341) &lt;
        IFERROR(DATEVALUE(Raw_Data!F341), Raw_Data!F341),
        IFERROR(DATEVALUE(Raw_Data!F341), Raw_Data!F341) + 30,
        IFERROR(DATEVALUE(Raw_Data!G341), Raw_Data!G341)
    ),
    ""
)</f>
        <v>45394</v>
      </c>
      <c r="H341">
        <f>IFERROR(VALUE(Raw_Data!H341), "")</f>
        <v>3500</v>
      </c>
      <c r="I341">
        <f ca="1">IFERROR(VALUE(Raw_Data!I341), "")</f>
        <v>35000</v>
      </c>
      <c r="J341">
        <f>IFERROR(
    VALUE(SUBSTITUTE(Raw_Data!J341," visits","")),
    ""
)</f>
        <v>1</v>
      </c>
      <c r="K341" t="str">
        <f ca="1">IF(TRIM(Raw_Data!K341)="","No",PROPER(TRIM(Raw_Data!K341)))</f>
        <v>No</v>
      </c>
      <c r="L341" t="str">
        <f ca="1">PROPER(TRIM(Raw_Data!L341))</f>
        <v>Muscle Gain</v>
      </c>
      <c r="M341" t="s">
        <v>152</v>
      </c>
      <c r="N341" s="2">
        <f>IFERROR(DATEVALUE(Raw_Data!N341), Raw_Data!N341)</f>
        <v>45854</v>
      </c>
      <c r="O341" s="2"/>
      <c r="P341" t="str">
        <f>IF(COUNTIF($A$2:A341,A341)&gt;1,"Duplicate","Unique")</f>
        <v>Unique</v>
      </c>
      <c r="Q341" t="str">
        <f t="shared" si="10"/>
        <v>Cancelled but Active</v>
      </c>
      <c r="R341" t="str">
        <f t="shared" si="11"/>
        <v>Available</v>
      </c>
    </row>
    <row r="342" spans="1:18">
      <c r="A342" t="str">
        <f>TRIM(CLEAN(Raw_Data!A342))</f>
        <v>MEM0341</v>
      </c>
      <c r="B342" t="str">
        <f ca="1">TRIM(Raw_Data!B342)</f>
        <v>Neha Joshi</v>
      </c>
      <c r="C342" t="str">
        <f ca="1">_xlfn.XLOOKUP(D342, Branch_Master!A:A, Branch_Master!B:B)</f>
        <v>Bangalore</v>
      </c>
      <c r="D342" t="str">
        <f ca="1">TRIM(Raw_Data!D342)</f>
        <v>BR02</v>
      </c>
      <c r="E342" t="str">
        <f ca="1">PROPER(TRIM(Raw_Data!E342))</f>
        <v>Standard</v>
      </c>
      <c r="F342" s="2">
        <f>IFERROR(DATEVALUE(Raw_Data!F342), Raw_Data!F342)</f>
        <v>46013</v>
      </c>
      <c r="G342" s="2">
        <f>IFERROR(
    IF(
        IFERROR(DATEVALUE(Raw_Data!G342), Raw_Data!G342) &lt;
        IFERROR(DATEVALUE(Raw_Data!F342), Raw_Data!F342),
        IFERROR(DATEVALUE(Raw_Data!F342), Raw_Data!F342) + 30,
        IFERROR(DATEVALUE(Raw_Data!G342), Raw_Data!G342)
    ),
    ""
)</f>
        <v>46043</v>
      </c>
      <c r="H342">
        <f>IFERROR(VALUE(Raw_Data!H342), "")</f>
        <v>2000</v>
      </c>
      <c r="I342">
        <f ca="1">IFERROR(VALUE(Raw_Data!I342), "")</f>
        <v>24000</v>
      </c>
      <c r="J342">
        <f>IFERROR(
    VALUE(SUBSTITUTE(Raw_Data!J342," visits","")),
    ""
)</f>
        <v>21</v>
      </c>
      <c r="K342" t="str">
        <f ca="1">IF(TRIM(Raw_Data!K342)="","No",PROPER(TRIM(Raw_Data!K342)))</f>
        <v>Yes</v>
      </c>
      <c r="L342" t="str">
        <f ca="1">PROPER(TRIM(Raw_Data!L342))</f>
        <v>Weight Loss</v>
      </c>
      <c r="M342" t="s">
        <v>151</v>
      </c>
      <c r="N342" s="2">
        <f>IFERROR(DATEVALUE(Raw_Data!N342), Raw_Data!N342)</f>
        <v>46072</v>
      </c>
      <c r="O342" s="2"/>
      <c r="P342" t="str">
        <f>IF(COUNTIF($A$2:A342,A342)&gt;1,"Duplicate","Unique")</f>
        <v>Unique</v>
      </c>
      <c r="Q342" t="str">
        <f t="shared" si="10"/>
        <v>OK</v>
      </c>
      <c r="R342" t="str">
        <f t="shared" si="11"/>
        <v>Available</v>
      </c>
    </row>
    <row r="343" spans="1:18">
      <c r="A343" t="str">
        <f>TRIM(CLEAN(Raw_Data!A343))</f>
        <v>MEM0342</v>
      </c>
      <c r="B343" t="str">
        <f ca="1">TRIM(Raw_Data!B343)</f>
        <v>Pooja Kapoor</v>
      </c>
      <c r="C343" t="str">
        <f ca="1">_xlfn.XLOOKUP(D343, Branch_Master!A:A, Branch_Master!B:B)</f>
        <v>Bangalore</v>
      </c>
      <c r="D343" t="str">
        <f ca="1">TRIM(Raw_Data!D343)</f>
        <v>BR02</v>
      </c>
      <c r="E343" t="str">
        <f ca="1">PROPER(TRIM(Raw_Data!E343))</f>
        <v>Standard</v>
      </c>
      <c r="F343" s="2">
        <f>IFERROR(DATEVALUE(Raw_Data!F343), Raw_Data!F343)</f>
        <v>45156</v>
      </c>
      <c r="G343" s="2">
        <f>IFERROR(
    IF(
        IFERROR(DATEVALUE(Raw_Data!G343), Raw_Data!G343) &lt;
        IFERROR(DATEVALUE(Raw_Data!F343), Raw_Data!F343),
        IFERROR(DATEVALUE(Raw_Data!F343), Raw_Data!F343) + 30,
        IFERROR(DATEVALUE(Raw_Data!G343), Raw_Data!G343)
    ),
    ""
)</f>
        <v>45186</v>
      </c>
      <c r="H343">
        <f>IFERROR(VALUE(Raw_Data!H343), "")</f>
        <v>2000</v>
      </c>
      <c r="I343">
        <f ca="1">IFERROR(VALUE(Raw_Data!I343), "")</f>
        <v>2000</v>
      </c>
      <c r="J343">
        <f>IFERROR(
    VALUE(SUBSTITUTE(Raw_Data!J343," visits","")),
    ""
)</f>
        <v>22</v>
      </c>
      <c r="K343" t="str">
        <f ca="1">IF(TRIM(Raw_Data!K343)="","No",PROPER(TRIM(Raw_Data!K343)))</f>
        <v>No</v>
      </c>
      <c r="L343" t="str">
        <f ca="1">PROPER(TRIM(Raw_Data!L343))</f>
        <v>Weight Loss</v>
      </c>
      <c r="M343" t="s">
        <v>151</v>
      </c>
      <c r="N343" s="2">
        <f>IFERROR(DATEVALUE(Raw_Data!N343), Raw_Data!N343)</f>
        <v>45239</v>
      </c>
      <c r="O343" s="2"/>
      <c r="P343" t="str">
        <f>IF(COUNTIF($A$2:A343,A343)&gt;1,"Duplicate","Unique")</f>
        <v>Unique</v>
      </c>
      <c r="Q343" t="str">
        <f t="shared" si="10"/>
        <v>OK</v>
      </c>
      <c r="R343" t="str">
        <f t="shared" si="11"/>
        <v>Available</v>
      </c>
    </row>
    <row r="344" spans="1:18">
      <c r="A344" t="str">
        <f>TRIM(CLEAN(Raw_Data!A344))</f>
        <v>MEM0343</v>
      </c>
      <c r="B344" t="str">
        <f ca="1">TRIM(Raw_Data!B344)</f>
        <v>Nikhil Malhotra</v>
      </c>
      <c r="C344" t="str">
        <f ca="1">_xlfn.XLOOKUP(D344, Branch_Master!A:A, Branch_Master!B:B)</f>
        <v>Hyderabad</v>
      </c>
      <c r="D344" t="str">
        <f ca="1">TRIM(Raw_Data!D344)</f>
        <v>BR04</v>
      </c>
      <c r="E344" t="str">
        <f ca="1">PROPER(TRIM(Raw_Data!E344))</f>
        <v>Basic</v>
      </c>
      <c r="F344" s="2">
        <f>IFERROR(DATEVALUE(Raw_Data!F344), Raw_Data!F344)</f>
        <v>45787</v>
      </c>
      <c r="G344" s="2">
        <f>IFERROR(
    IF(
        IFERROR(DATEVALUE(Raw_Data!G344), Raw_Data!G344) &lt;
        IFERROR(DATEVALUE(Raw_Data!F344), Raw_Data!F344),
        IFERROR(DATEVALUE(Raw_Data!F344), Raw_Data!F344) + 30,
        IFERROR(DATEVALUE(Raw_Data!G344), Raw_Data!G344)
    ),
    ""
)</f>
        <v>46152</v>
      </c>
      <c r="H344">
        <f>IFERROR(VALUE(Raw_Data!H344), "")</f>
        <v>3500</v>
      </c>
      <c r="I344">
        <f ca="1">IFERROR(VALUE(Raw_Data!I344), "")</f>
        <v>31500</v>
      </c>
      <c r="J344">
        <f>IFERROR(
    VALUE(SUBSTITUTE(Raw_Data!J344," visits","")),
    ""
)</f>
        <v>18</v>
      </c>
      <c r="K344" t="str">
        <f ca="1">IF(TRIM(Raw_Data!K344)="","No",PROPER(TRIM(Raw_Data!K344)))</f>
        <v>No</v>
      </c>
      <c r="L344" t="str">
        <f ca="1">PROPER(TRIM(Raw_Data!L344))</f>
        <v>Weight Loss</v>
      </c>
      <c r="M344" t="s">
        <v>151</v>
      </c>
      <c r="N344" s="2">
        <f>IFERROR(DATEVALUE(Raw_Data!N344), Raw_Data!N344)</f>
        <v>46097</v>
      </c>
      <c r="O344" s="2"/>
      <c r="P344" t="str">
        <f>IF(COUNTIF($A$2:A344,A344)&gt;1,"Duplicate","Unique")</f>
        <v>Unique</v>
      </c>
      <c r="Q344" t="str">
        <f t="shared" si="10"/>
        <v>OK</v>
      </c>
      <c r="R344" t="str">
        <f t="shared" si="11"/>
        <v>Available</v>
      </c>
    </row>
    <row r="345" spans="1:18">
      <c r="A345" t="str">
        <f>TRIM(CLEAN(Raw_Data!A345))</f>
        <v>MEM0344</v>
      </c>
      <c r="B345" t="str">
        <f ca="1">TRIM(Raw_Data!B345)</f>
        <v>Anjali Singh</v>
      </c>
      <c r="C345" t="str">
        <f ca="1">_xlfn.XLOOKUP(D345, Branch_Master!A:A, Branch_Master!B:B)</f>
        <v>Kochi</v>
      </c>
      <c r="D345" t="str">
        <f ca="1">TRIM(Raw_Data!D345)</f>
        <v>BR01</v>
      </c>
      <c r="E345" t="str">
        <f ca="1">PROPER(TRIM(Raw_Data!E345))</f>
        <v>Premium</v>
      </c>
      <c r="F345" s="2">
        <f>IFERROR(DATEVALUE(Raw_Data!F345), Raw_Data!F345)</f>
        <v>45776</v>
      </c>
      <c r="G345" s="2">
        <f>IFERROR(
    IF(
        IFERROR(DATEVALUE(Raw_Data!G345), Raw_Data!G345) &lt;
        IFERROR(DATEVALUE(Raw_Data!F345), Raw_Data!F345),
        IFERROR(DATEVALUE(Raw_Data!F345), Raw_Data!F345) + 30,
        IFERROR(DATEVALUE(Raw_Data!G345), Raw_Data!G345)
    ),
    ""
)</f>
        <v>45806</v>
      </c>
      <c r="H345">
        <f>IFERROR(VALUE(Raw_Data!H345), "")</f>
        <v>2000</v>
      </c>
      <c r="I345">
        <f ca="1">IFERROR(VALUE(Raw_Data!I345), "")</f>
        <v>24000</v>
      </c>
      <c r="J345">
        <f>IFERROR(
    VALUE(SUBSTITUTE(Raw_Data!J345," visits","")),
    ""
)</f>
        <v>4</v>
      </c>
      <c r="K345" t="str">
        <f ca="1">IF(TRIM(Raw_Data!K345)="","No",PROPER(TRIM(Raw_Data!K345)))</f>
        <v>Yes</v>
      </c>
      <c r="L345" t="str">
        <f ca="1">PROPER(TRIM(Raw_Data!L345))</f>
        <v>Weight Loss</v>
      </c>
      <c r="M345" t="s">
        <v>151</v>
      </c>
      <c r="N345" s="2">
        <f>IFERROR(DATEVALUE(Raw_Data!N345), Raw_Data!N345)</f>
        <v>45838</v>
      </c>
      <c r="O345" s="2"/>
      <c r="P345" t="str">
        <f>IF(COUNTIF($A$2:A345,A345)&gt;1,"Duplicate","Unique")</f>
        <v>Unique</v>
      </c>
      <c r="Q345" t="str">
        <f t="shared" si="10"/>
        <v>OK</v>
      </c>
      <c r="R345" t="str">
        <f t="shared" si="11"/>
        <v>Available</v>
      </c>
    </row>
    <row r="346" spans="1:18">
      <c r="A346" t="str">
        <f>TRIM(CLEAN(Raw_Data!A346))</f>
        <v>MEM0345</v>
      </c>
      <c r="B346" t="str">
        <f ca="1">TRIM(Raw_Data!B346)</f>
        <v>Zara Menon</v>
      </c>
      <c r="C346" t="str">
        <f ca="1">_xlfn.XLOOKUP(D346, Branch_Master!A:A, Branch_Master!B:B)</f>
        <v>Chennai</v>
      </c>
      <c r="D346" t="str">
        <f ca="1">TRIM(Raw_Data!D346)</f>
        <v>BR03</v>
      </c>
      <c r="E346" t="str">
        <f ca="1">PROPER(TRIM(Raw_Data!E346))</f>
        <v>Basic</v>
      </c>
      <c r="F346" s="2">
        <f>IFERROR(DATEVALUE(Raw_Data!F346), Raw_Data!F346)</f>
        <v>45375</v>
      </c>
      <c r="G346" s="2">
        <f>IFERROR(
    IF(
        IFERROR(DATEVALUE(Raw_Data!G346), Raw_Data!G346) &lt;
        IFERROR(DATEVALUE(Raw_Data!F346), Raw_Data!F346),
        IFERROR(DATEVALUE(Raw_Data!F346), Raw_Data!F346) + 30,
        IFERROR(DATEVALUE(Raw_Data!G346), Raw_Data!G346)
    ),
    ""
)</f>
        <v>45405</v>
      </c>
      <c r="H346">
        <f>IFERROR(VALUE(Raw_Data!H346), "")</f>
        <v>2000</v>
      </c>
      <c r="I346">
        <f ca="1">IFERROR(VALUE(Raw_Data!I346), "")</f>
        <v>12000</v>
      </c>
      <c r="J346">
        <f>IFERROR(
    VALUE(SUBSTITUTE(Raw_Data!J346," visits","")),
    ""
)</f>
        <v>17</v>
      </c>
      <c r="K346" t="str">
        <f ca="1">IF(TRIM(Raw_Data!K346)="","No",PROPER(TRIM(Raw_Data!K346)))</f>
        <v>Yes</v>
      </c>
      <c r="L346" t="str">
        <f ca="1">PROPER(TRIM(Raw_Data!L346))</f>
        <v>Weight Loss</v>
      </c>
      <c r="M346" t="s">
        <v>151</v>
      </c>
      <c r="N346" s="2">
        <f>IFERROR(DATEVALUE(Raw_Data!N346), Raw_Data!N346)</f>
        <v>45409</v>
      </c>
      <c r="O346" s="2"/>
      <c r="P346" t="str">
        <f>IF(COUNTIF($A$2:A346,A346)&gt;1,"Duplicate","Unique")</f>
        <v>Unique</v>
      </c>
      <c r="Q346" t="str">
        <f t="shared" si="10"/>
        <v>OK</v>
      </c>
      <c r="R346" t="str">
        <f t="shared" si="11"/>
        <v>Available</v>
      </c>
    </row>
    <row r="347" spans="1:18">
      <c r="A347" t="str">
        <f>TRIM(CLEAN(Raw_Data!A347))</f>
        <v>MEM0346</v>
      </c>
      <c r="B347" t="str">
        <f ca="1">TRIM(Raw_Data!B347)</f>
        <v>Ishita Naidu</v>
      </c>
      <c r="C347" t="str">
        <f ca="1">_xlfn.XLOOKUP(D347, Branch_Master!A:A, Branch_Master!B:B)</f>
        <v>Bangalore</v>
      </c>
      <c r="D347" t="str">
        <f ca="1">TRIM(Raw_Data!D347)</f>
        <v>BR02</v>
      </c>
      <c r="E347" t="str">
        <f ca="1">PROPER(TRIM(Raw_Data!E347))</f>
        <v>Standard</v>
      </c>
      <c r="F347" s="2">
        <f>IFERROR(DATEVALUE(Raw_Data!F347), Raw_Data!F347)</f>
        <v>45901</v>
      </c>
      <c r="G347" s="2">
        <f>IFERROR(
    IF(
        IFERROR(DATEVALUE(Raw_Data!G347), Raw_Data!G347) &lt;
        IFERROR(DATEVALUE(Raw_Data!F347), Raw_Data!F347),
        IFERROR(DATEVALUE(Raw_Data!F347), Raw_Data!F347) + 30,
        IFERROR(DATEVALUE(Raw_Data!G347), Raw_Data!G347)
    ),
    ""
)</f>
        <v>45991</v>
      </c>
      <c r="H347">
        <f>IFERROR(VALUE(Raw_Data!H347), "")</f>
        <v>1000</v>
      </c>
      <c r="I347">
        <f ca="1">IFERROR(VALUE(Raw_Data!I347), "")</f>
        <v>4000</v>
      </c>
      <c r="J347">
        <f>IFERROR(
    VALUE(SUBSTITUTE(Raw_Data!J347," visits","")),
    ""
)</f>
        <v>25</v>
      </c>
      <c r="K347" t="str">
        <f ca="1">IF(TRIM(Raw_Data!K347)="","No",PROPER(TRIM(Raw_Data!K347)))</f>
        <v>No</v>
      </c>
      <c r="L347" t="str">
        <f ca="1">PROPER(TRIM(Raw_Data!L347))</f>
        <v>General Fitness</v>
      </c>
      <c r="M347" t="s">
        <v>151</v>
      </c>
      <c r="N347" s="2">
        <f>IFERROR(DATEVALUE(Raw_Data!N347), Raw_Data!N347)</f>
        <v>46119</v>
      </c>
      <c r="O347" s="2"/>
      <c r="P347" t="str">
        <f>IF(COUNTIF($A$2:A347,A347)&gt;1,"Duplicate","Unique")</f>
        <v>Unique</v>
      </c>
      <c r="Q347" t="str">
        <f t="shared" si="10"/>
        <v>OK</v>
      </c>
      <c r="R347" t="str">
        <f t="shared" si="11"/>
        <v>Available</v>
      </c>
    </row>
    <row r="348" spans="1:18">
      <c r="A348" t="str">
        <f>TRIM(CLEAN(Raw_Data!A348))</f>
        <v>MEM0347</v>
      </c>
      <c r="B348" t="str">
        <f ca="1">TRIM(Raw_Data!B348)</f>
        <v>Varun Nambiar</v>
      </c>
      <c r="C348" t="str">
        <f ca="1">_xlfn.XLOOKUP(D348, Branch_Master!A:A, Branch_Master!B:B)</f>
        <v>Mumbai</v>
      </c>
      <c r="D348" t="str">
        <f ca="1">TRIM(Raw_Data!D348)</f>
        <v>BR05</v>
      </c>
      <c r="E348" t="str">
        <f ca="1">PROPER(TRIM(Raw_Data!E348))</f>
        <v>Basic</v>
      </c>
      <c r="F348" s="2">
        <f>IFERROR(DATEVALUE(Raw_Data!F348), Raw_Data!F348)</f>
        <v>44931</v>
      </c>
      <c r="G348" s="2">
        <f>IFERROR(
    IF(
        IFERROR(DATEVALUE(Raw_Data!G348), Raw_Data!G348) &lt;
        IFERROR(DATEVALUE(Raw_Data!F348), Raw_Data!F348),
        IFERROR(DATEVALUE(Raw_Data!F348), Raw_Data!F348) + 30,
        IFERROR(DATEVALUE(Raw_Data!G348), Raw_Data!G348)
    ),
    ""
)</f>
        <v>44961</v>
      </c>
      <c r="H348">
        <f>IFERROR(VALUE(Raw_Data!H348), "")</f>
        <v>1000</v>
      </c>
      <c r="I348">
        <f ca="1">IFERROR(VALUE(Raw_Data!I348), "")</f>
        <v>4000</v>
      </c>
      <c r="J348">
        <f>IFERROR(
    VALUE(SUBSTITUTE(Raw_Data!J348," visits","")),
    ""
)</f>
        <v>3</v>
      </c>
      <c r="K348" t="str">
        <f ca="1">IF(TRIM(Raw_Data!K348)="","No",PROPER(TRIM(Raw_Data!K348)))</f>
        <v>Yes</v>
      </c>
      <c r="L348" t="str">
        <f ca="1">PROPER(TRIM(Raw_Data!L348))</f>
        <v>General Fitness</v>
      </c>
      <c r="M348" t="s">
        <v>152</v>
      </c>
      <c r="N348" s="2">
        <f>IFERROR(DATEVALUE(Raw_Data!N348), Raw_Data!N348)</f>
        <v>46122</v>
      </c>
      <c r="O348" s="2"/>
      <c r="P348" t="str">
        <f>IF(COUNTIF($A$2:A348,A348)&gt;1,"Duplicate","Unique")</f>
        <v>Unique</v>
      </c>
      <c r="Q348" t="str">
        <f t="shared" si="10"/>
        <v>Cancelled but Active</v>
      </c>
      <c r="R348" t="str">
        <f t="shared" si="11"/>
        <v>Available</v>
      </c>
    </row>
    <row r="349" spans="1:18">
      <c r="A349" t="str">
        <f>TRIM(CLEAN(Raw_Data!A349))</f>
        <v>MEM0348</v>
      </c>
      <c r="B349" t="str">
        <f ca="1">TRIM(Raw_Data!B349)</f>
        <v>Divya D’Souza</v>
      </c>
      <c r="C349" t="str">
        <f ca="1">_xlfn.XLOOKUP(D349, Branch_Master!A:A, Branch_Master!B:B)</f>
        <v>Bangalore</v>
      </c>
      <c r="D349" t="str">
        <f ca="1">TRIM(Raw_Data!D349)</f>
        <v>BR02</v>
      </c>
      <c r="E349" t="str">
        <f ca="1">PROPER(TRIM(Raw_Data!E349))</f>
        <v>Basic</v>
      </c>
      <c r="F349" s="2">
        <f>IFERROR(DATEVALUE(Raw_Data!F349), Raw_Data!F349)</f>
        <v>45071</v>
      </c>
      <c r="G349" s="2">
        <f>IFERROR(
    IF(
        IFERROR(DATEVALUE(Raw_Data!G349), Raw_Data!G349) &lt;
        IFERROR(DATEVALUE(Raw_Data!F349), Raw_Data!F349),
        IFERROR(DATEVALUE(Raw_Data!F349), Raw_Data!F349) + 30,
        IFERROR(DATEVALUE(Raw_Data!G349), Raw_Data!G349)
    ),
    ""
)</f>
        <v>45161</v>
      </c>
      <c r="H349">
        <f>IFERROR(VALUE(Raw_Data!H349), "")</f>
        <v>3500</v>
      </c>
      <c r="I349">
        <f ca="1">IFERROR(VALUE(Raw_Data!I349), "")</f>
        <v>7000</v>
      </c>
      <c r="J349">
        <f>IFERROR(
    VALUE(SUBSTITUTE(Raw_Data!J349," visits","")),
    ""
)</f>
        <v>3</v>
      </c>
      <c r="K349" t="str">
        <f ca="1">IF(TRIM(Raw_Data!K349)="","No",PROPER(TRIM(Raw_Data!K349)))</f>
        <v>No</v>
      </c>
      <c r="L349" t="str">
        <f ca="1">PROPER(TRIM(Raw_Data!L349))</f>
        <v>Weight Loss</v>
      </c>
      <c r="M349" t="s">
        <v>152</v>
      </c>
      <c r="N349" s="2">
        <f>IFERROR(DATEVALUE(Raw_Data!N349), Raw_Data!N349)</f>
        <v>45890</v>
      </c>
      <c r="O349" s="2"/>
      <c r="P349" t="str">
        <f>IF(COUNTIF($A$2:A349,A349)&gt;1,"Duplicate","Unique")</f>
        <v>Unique</v>
      </c>
      <c r="Q349" t="str">
        <f t="shared" si="10"/>
        <v>Cancelled but Active</v>
      </c>
      <c r="R349" t="str">
        <f t="shared" si="11"/>
        <v>Available</v>
      </c>
    </row>
    <row r="350" spans="1:18">
      <c r="A350" t="str">
        <f>TRIM(CLEAN(Raw_Data!A350))</f>
        <v>MEM0349</v>
      </c>
      <c r="B350" t="str">
        <f ca="1">TRIM(Raw_Data!B350)</f>
        <v>Priya Patel</v>
      </c>
      <c r="C350" t="str">
        <f ca="1">_xlfn.XLOOKUP(D350, Branch_Master!A:A, Branch_Master!B:B)</f>
        <v>Chennai</v>
      </c>
      <c r="D350" t="str">
        <f ca="1">TRIM(Raw_Data!D350)</f>
        <v>BR03</v>
      </c>
      <c r="E350" t="str">
        <f ca="1">PROPER(TRIM(Raw_Data!E350))</f>
        <v>Basic</v>
      </c>
      <c r="F350" s="2">
        <f>IFERROR(DATEVALUE(Raw_Data!F350), Raw_Data!F350)</f>
        <v>45238</v>
      </c>
      <c r="G350" s="2">
        <f>IFERROR(
    IF(
        IFERROR(DATEVALUE(Raw_Data!G350), Raw_Data!G350) &lt;
        IFERROR(DATEVALUE(Raw_Data!F350), Raw_Data!F350),
        IFERROR(DATEVALUE(Raw_Data!F350), Raw_Data!F350) + 30,
        IFERROR(DATEVALUE(Raw_Data!G350), Raw_Data!G350)
    ),
    ""
)</f>
        <v>45268</v>
      </c>
      <c r="H350">
        <f>IFERROR(VALUE(Raw_Data!H350), "")</f>
        <v>3500</v>
      </c>
      <c r="I350">
        <f ca="1">IFERROR(VALUE(Raw_Data!I350), "")</f>
        <v>31500</v>
      </c>
      <c r="J350">
        <f>IFERROR(
    VALUE(SUBSTITUTE(Raw_Data!J350," visits","")),
    ""
)</f>
        <v>18</v>
      </c>
      <c r="K350" t="str">
        <f ca="1">IF(TRIM(Raw_Data!K350)="","No",PROPER(TRIM(Raw_Data!K350)))</f>
        <v>No</v>
      </c>
      <c r="L350" t="str">
        <f ca="1">PROPER(TRIM(Raw_Data!L350))</f>
        <v>Muscle Gain</v>
      </c>
      <c r="M350" t="s">
        <v>152</v>
      </c>
      <c r="N350" s="2">
        <f>IFERROR(DATEVALUE(Raw_Data!N350), Raw_Data!N350)</f>
        <v>46063</v>
      </c>
      <c r="O350" s="2"/>
      <c r="P350" t="str">
        <f>IF(COUNTIF($A$2:A350,A350)&gt;1,"Duplicate","Unique")</f>
        <v>Unique</v>
      </c>
      <c r="Q350" t="str">
        <f t="shared" si="10"/>
        <v>Cancelled but Active</v>
      </c>
      <c r="R350" t="str">
        <f t="shared" si="11"/>
        <v>Available</v>
      </c>
    </row>
    <row r="351" spans="1:18">
      <c r="A351" t="str">
        <f>TRIM(CLEAN(Raw_Data!A351))</f>
        <v>MEM0350</v>
      </c>
      <c r="B351" t="str">
        <f ca="1">TRIM(Raw_Data!B351)</f>
        <v>Lakshmi Mathew</v>
      </c>
      <c r="C351" t="str">
        <f ca="1">_xlfn.XLOOKUP(D351, Branch_Master!A:A, Branch_Master!B:B)</f>
        <v>Chennai</v>
      </c>
      <c r="D351" t="str">
        <f ca="1">TRIM(Raw_Data!D351)</f>
        <v>BR03</v>
      </c>
      <c r="E351" t="str">
        <f ca="1">PROPER(TRIM(Raw_Data!E351))</f>
        <v>Premium</v>
      </c>
      <c r="F351" s="2">
        <f>IFERROR(DATEVALUE(Raw_Data!F351), Raw_Data!F351)</f>
        <v>45325</v>
      </c>
      <c r="G351" s="2">
        <f>IFERROR(
    IF(
        IFERROR(DATEVALUE(Raw_Data!G351), Raw_Data!G351) &lt;
        IFERROR(DATEVALUE(Raw_Data!F351), Raw_Data!F351),
        IFERROR(DATEVALUE(Raw_Data!F351), Raw_Data!F351) + 30,
        IFERROR(DATEVALUE(Raw_Data!G351), Raw_Data!G351)
    ),
    ""
)</f>
        <v>45415</v>
      </c>
      <c r="H351">
        <f>IFERROR(VALUE(Raw_Data!H351), "")</f>
        <v>2000</v>
      </c>
      <c r="I351">
        <f ca="1">IFERROR(VALUE(Raw_Data!I351), "")</f>
        <v>14000</v>
      </c>
      <c r="J351">
        <f>IFERROR(
    VALUE(SUBSTITUTE(Raw_Data!J351," visits","")),
    ""
)</f>
        <v>11</v>
      </c>
      <c r="K351" t="str">
        <f ca="1">IF(TRIM(Raw_Data!K351)="","No",PROPER(TRIM(Raw_Data!K351)))</f>
        <v>Yes</v>
      </c>
      <c r="L351" t="str">
        <f ca="1">PROPER(TRIM(Raw_Data!L351))</f>
        <v>Muscle Gain</v>
      </c>
      <c r="M351" t="s">
        <v>151</v>
      </c>
      <c r="N351" s="2">
        <f>IFERROR(DATEVALUE(Raw_Data!N351), Raw_Data!N351)</f>
        <v>45473</v>
      </c>
      <c r="O351" s="2"/>
      <c r="P351" t="str">
        <f>IF(COUNTIF($A$2:A351,A351)&gt;1,"Duplicate","Unique")</f>
        <v>Unique</v>
      </c>
      <c r="Q351" t="str">
        <f t="shared" si="10"/>
        <v>OK</v>
      </c>
      <c r="R351" t="str">
        <f t="shared" si="11"/>
        <v>Available</v>
      </c>
    </row>
    <row r="352" spans="1:18">
      <c r="A352" t="str">
        <f>TRIM(CLEAN(Raw_Data!A352))</f>
        <v>MEM0351</v>
      </c>
      <c r="B352" t="str">
        <f ca="1">TRIM(Raw_Data!B352)</f>
        <v>Rohit Kulkarni</v>
      </c>
      <c r="C352" t="str">
        <f ca="1">_xlfn.XLOOKUP(D352, Branch_Master!A:A, Branch_Master!B:B)</f>
        <v>Trivandrum</v>
      </c>
      <c r="D352" t="str">
        <f ca="1">TRIM(Raw_Data!D352)</f>
        <v>BR06</v>
      </c>
      <c r="E352" t="str">
        <f ca="1">PROPER(TRIM(Raw_Data!E352))</f>
        <v>Basic</v>
      </c>
      <c r="F352" s="2">
        <f>IFERROR(DATEVALUE(Raw_Data!F352), Raw_Data!F352)</f>
        <v>45001</v>
      </c>
      <c r="G352" s="2">
        <f>IFERROR(
    IF(
        IFERROR(DATEVALUE(Raw_Data!G352), Raw_Data!G352) &lt;
        IFERROR(DATEVALUE(Raw_Data!F352), Raw_Data!F352),
        IFERROR(DATEVALUE(Raw_Data!F352), Raw_Data!F352) + 30,
        IFERROR(DATEVALUE(Raw_Data!G352), Raw_Data!G352)
    ),
    ""
)</f>
        <v>45031</v>
      </c>
      <c r="H352">
        <f>IFERROR(VALUE(Raw_Data!H352), "")</f>
        <v>3500</v>
      </c>
      <c r="I352">
        <f ca="1">IFERROR(VALUE(Raw_Data!I352), "")</f>
        <v>7000</v>
      </c>
      <c r="J352">
        <f>IFERROR(
    VALUE(SUBSTITUTE(Raw_Data!J352," visits","")),
    ""
)</f>
        <v>11</v>
      </c>
      <c r="K352" t="str">
        <f ca="1">IF(TRIM(Raw_Data!K352)="","No",PROPER(TRIM(Raw_Data!K352)))</f>
        <v>No</v>
      </c>
      <c r="L352" t="str">
        <f ca="1">PROPER(TRIM(Raw_Data!L352))</f>
        <v>Weight Loss</v>
      </c>
      <c r="M352" t="s">
        <v>151</v>
      </c>
      <c r="N352" s="2">
        <f>IFERROR(DATEVALUE(Raw_Data!N352), Raw_Data!N352)</f>
        <v>45052</v>
      </c>
      <c r="O352" s="2"/>
      <c r="P352" t="str">
        <f>IF(COUNTIF($A$2:A352,A352)&gt;1,"Duplicate","Unique")</f>
        <v>Unique</v>
      </c>
      <c r="Q352" t="str">
        <f t="shared" si="10"/>
        <v>OK</v>
      </c>
      <c r="R352" t="str">
        <f t="shared" si="11"/>
        <v>Available</v>
      </c>
    </row>
    <row r="353" spans="1:18">
      <c r="A353" t="str">
        <f>TRIM(CLEAN(Raw_Data!A353))</f>
        <v>MEM0352</v>
      </c>
      <c r="B353" t="str">
        <f ca="1">TRIM(Raw_Data!B353)</f>
        <v>Anjali Kapoor</v>
      </c>
      <c r="C353" t="str">
        <f ca="1">_xlfn.XLOOKUP(D353, Branch_Master!A:A, Branch_Master!B:B)</f>
        <v>Chennai</v>
      </c>
      <c r="D353" t="str">
        <f ca="1">TRIM(Raw_Data!D353)</f>
        <v>BR03</v>
      </c>
      <c r="E353" t="str">
        <f ca="1">PROPER(TRIM(Raw_Data!E353))</f>
        <v>Premium</v>
      </c>
      <c r="F353" s="2">
        <f>IFERROR(DATEVALUE(Raw_Data!F353), Raw_Data!F353)</f>
        <v>45670</v>
      </c>
      <c r="G353" s="2">
        <f>IFERROR(
    IF(
        IFERROR(DATEVALUE(Raw_Data!G353), Raw_Data!G353) &lt;
        IFERROR(DATEVALUE(Raw_Data!F353), Raw_Data!F353),
        IFERROR(DATEVALUE(Raw_Data!F353), Raw_Data!F353) + 30,
        IFERROR(DATEVALUE(Raw_Data!G353), Raw_Data!G353)
    ),
    ""
)</f>
        <v>45760</v>
      </c>
      <c r="H353">
        <f>IFERROR(VALUE(Raw_Data!H353), "")</f>
        <v>1000</v>
      </c>
      <c r="I353">
        <f ca="1">IFERROR(VALUE(Raw_Data!I353), "")</f>
        <v>2000</v>
      </c>
      <c r="J353">
        <f>IFERROR(
    VALUE(SUBSTITUTE(Raw_Data!J353," visits","")),
    ""
)</f>
        <v>6</v>
      </c>
      <c r="K353" t="str">
        <f ca="1">IF(TRIM(Raw_Data!K353)="","No",PROPER(TRIM(Raw_Data!K353)))</f>
        <v>Yes</v>
      </c>
      <c r="L353" t="str">
        <f ca="1">PROPER(TRIM(Raw_Data!L353))</f>
        <v>Weight Loss</v>
      </c>
      <c r="M353" t="s">
        <v>151</v>
      </c>
      <c r="N353" s="2">
        <f>IFERROR(DATEVALUE(Raw_Data!N353), Raw_Data!N353)</f>
        <v>45904</v>
      </c>
      <c r="O353" s="2"/>
      <c r="P353" t="str">
        <f>IF(COUNTIF($A$2:A353,A353)&gt;1,"Duplicate","Unique")</f>
        <v>Unique</v>
      </c>
      <c r="Q353" t="str">
        <f t="shared" si="10"/>
        <v>OK</v>
      </c>
      <c r="R353" t="str">
        <f t="shared" si="11"/>
        <v>Available</v>
      </c>
    </row>
    <row r="354" spans="1:18">
      <c r="A354" t="str">
        <f>TRIM(CLEAN(Raw_Data!A354))</f>
        <v>MEM0353</v>
      </c>
      <c r="B354" t="str">
        <f ca="1">TRIM(Raw_Data!B354)</f>
        <v>Riya Fernandes</v>
      </c>
      <c r="C354" t="str">
        <f ca="1">_xlfn.XLOOKUP(D354, Branch_Master!A:A, Branch_Master!B:B)</f>
        <v>Kochi</v>
      </c>
      <c r="D354" t="str">
        <f ca="1">TRIM(Raw_Data!D354)</f>
        <v>BR01</v>
      </c>
      <c r="E354" t="str">
        <f ca="1">PROPER(TRIM(Raw_Data!E354))</f>
        <v>Basic</v>
      </c>
      <c r="F354" s="2">
        <f>IFERROR(DATEVALUE(Raw_Data!F354), Raw_Data!F354)</f>
        <v>45252</v>
      </c>
      <c r="G354" s="2">
        <f>IFERROR(
    IF(
        IFERROR(DATEVALUE(Raw_Data!G354), Raw_Data!G354) &lt;
        IFERROR(DATEVALUE(Raw_Data!F354), Raw_Data!F354),
        IFERROR(DATEVALUE(Raw_Data!F354), Raw_Data!F354) + 30,
        IFERROR(DATEVALUE(Raw_Data!G354), Raw_Data!G354)
    ),
    ""
)</f>
        <v>45617</v>
      </c>
      <c r="H354">
        <f>IFERROR(VALUE(Raw_Data!H354), "")</f>
        <v>1000</v>
      </c>
      <c r="I354">
        <f ca="1">IFERROR(VALUE(Raw_Data!I354), "")</f>
        <v>5000</v>
      </c>
      <c r="J354">
        <f>IFERROR(
    VALUE(SUBSTITUTE(Raw_Data!J354," visits","")),
    ""
)</f>
        <v>7</v>
      </c>
      <c r="K354" t="str">
        <f ca="1">IF(TRIM(Raw_Data!K354)="","No",PROPER(TRIM(Raw_Data!K354)))</f>
        <v>No</v>
      </c>
      <c r="L354" t="str">
        <f ca="1">PROPER(TRIM(Raw_Data!L354))</f>
        <v>Muscle Gain</v>
      </c>
      <c r="M354" t="s">
        <v>151</v>
      </c>
      <c r="N354" s="2">
        <f>IFERROR(DATEVALUE(Raw_Data!N354), Raw_Data!N354)</f>
        <v>45697</v>
      </c>
      <c r="O354" s="2"/>
      <c r="P354" t="str">
        <f>IF(COUNTIF($A$2:A354,A354)&gt;1,"Duplicate","Unique")</f>
        <v>Unique</v>
      </c>
      <c r="Q354" t="str">
        <f t="shared" si="10"/>
        <v>OK</v>
      </c>
      <c r="R354" t="str">
        <f t="shared" si="11"/>
        <v>Available</v>
      </c>
    </row>
    <row r="355" spans="1:18">
      <c r="A355" t="str">
        <f>TRIM(CLEAN(Raw_Data!A355))</f>
        <v>MEM0354</v>
      </c>
      <c r="B355" t="str">
        <f ca="1">TRIM(Raw_Data!B355)</f>
        <v>Rohit Bhat</v>
      </c>
      <c r="C355" t="str">
        <f ca="1">_xlfn.XLOOKUP(D355, Branch_Master!A:A, Branch_Master!B:B)</f>
        <v>Mumbai</v>
      </c>
      <c r="D355" t="str">
        <f ca="1">TRIM(Raw_Data!D355)</f>
        <v>BR05</v>
      </c>
      <c r="E355" t="str">
        <f ca="1">PROPER(TRIM(Raw_Data!E355))</f>
        <v>Premium</v>
      </c>
      <c r="F355" s="2">
        <f>IFERROR(DATEVALUE(Raw_Data!F355), Raw_Data!F355)</f>
        <v>45495</v>
      </c>
      <c r="G355" s="2">
        <f>IFERROR(
    IF(
        IFERROR(DATEVALUE(Raw_Data!G355), Raw_Data!G355) &lt;
        IFERROR(DATEVALUE(Raw_Data!F355), Raw_Data!F355),
        IFERROR(DATEVALUE(Raw_Data!F355), Raw_Data!F355) + 30,
        IFERROR(DATEVALUE(Raw_Data!G355), Raw_Data!G355)
    ),
    ""
)</f>
        <v>45860</v>
      </c>
      <c r="H355">
        <f>IFERROR(VALUE(Raw_Data!H355), "")</f>
        <v>3500</v>
      </c>
      <c r="I355">
        <f ca="1">IFERROR(VALUE(Raw_Data!I355), "")</f>
        <v>28000</v>
      </c>
      <c r="J355">
        <f>IFERROR(
    VALUE(SUBSTITUTE(Raw_Data!J355," visits","")),
    ""
)</f>
        <v>2</v>
      </c>
      <c r="K355" t="str">
        <f ca="1">IF(TRIM(Raw_Data!K355)="","No",PROPER(TRIM(Raw_Data!K355)))</f>
        <v>No</v>
      </c>
      <c r="L355" t="str">
        <f ca="1">PROPER(TRIM(Raw_Data!L355))</f>
        <v>Muscle Gain</v>
      </c>
      <c r="M355" t="s">
        <v>152</v>
      </c>
      <c r="N355" s="2">
        <f>IFERROR(DATEVALUE(Raw_Data!N355), Raw_Data!N355)</f>
        <v>46049</v>
      </c>
      <c r="O355" s="2"/>
      <c r="P355" t="str">
        <f>IF(COUNTIF($A$2:A355,A355)&gt;1,"Duplicate","Unique")</f>
        <v>Unique</v>
      </c>
      <c r="Q355" t="str">
        <f t="shared" si="10"/>
        <v>Cancelled but Active</v>
      </c>
      <c r="R355" t="str">
        <f t="shared" si="11"/>
        <v>Available</v>
      </c>
    </row>
    <row r="356" spans="1:18">
      <c r="A356" t="str">
        <f>TRIM(CLEAN(Raw_Data!A356))</f>
        <v>MEM0355</v>
      </c>
      <c r="B356" t="str">
        <f ca="1">TRIM(Raw_Data!B356)</f>
        <v>Sanjay Desai</v>
      </c>
      <c r="C356" t="str">
        <f ca="1">_xlfn.XLOOKUP(D356, Branch_Master!A:A, Branch_Master!B:B)</f>
        <v>Mumbai</v>
      </c>
      <c r="D356" t="str">
        <f ca="1">TRIM(Raw_Data!D356)</f>
        <v>BR05</v>
      </c>
      <c r="E356" t="str">
        <f ca="1">PROPER(TRIM(Raw_Data!E356))</f>
        <v>Premium</v>
      </c>
      <c r="F356" s="2">
        <f>IFERROR(DATEVALUE(Raw_Data!F356), Raw_Data!F356)</f>
        <v>45251</v>
      </c>
      <c r="G356" s="2">
        <f>IFERROR(
    IF(
        IFERROR(DATEVALUE(Raw_Data!G356), Raw_Data!G356) &lt;
        IFERROR(DATEVALUE(Raw_Data!F356), Raw_Data!F356),
        IFERROR(DATEVALUE(Raw_Data!F356), Raw_Data!F356) + 30,
        IFERROR(DATEVALUE(Raw_Data!G356), Raw_Data!G356)
    ),
    ""
)</f>
        <v>45281</v>
      </c>
      <c r="H356">
        <f>IFERROR(VALUE(Raw_Data!H356), "")</f>
        <v>3500</v>
      </c>
      <c r="I356">
        <f ca="1">IFERROR(VALUE(Raw_Data!I356), "")</f>
        <v>35000</v>
      </c>
      <c r="J356">
        <f>IFERROR(
    VALUE(SUBSTITUTE(Raw_Data!J356," visits","")),
    ""
)</f>
        <v>19</v>
      </c>
      <c r="K356" t="str">
        <f ca="1">IF(TRIM(Raw_Data!K356)="","No",PROPER(TRIM(Raw_Data!K356)))</f>
        <v>Yes</v>
      </c>
      <c r="L356" t="str">
        <f ca="1">PROPER(TRIM(Raw_Data!L356))</f>
        <v>Weight Loss</v>
      </c>
      <c r="M356" t="s">
        <v>151</v>
      </c>
      <c r="N356" s="2">
        <f>IFERROR(DATEVALUE(Raw_Data!N356), Raw_Data!N356)</f>
        <v>45481</v>
      </c>
      <c r="O356" s="2"/>
      <c r="P356" t="str">
        <f>IF(COUNTIF($A$2:A356,A356)&gt;1,"Duplicate","Unique")</f>
        <v>Unique</v>
      </c>
      <c r="Q356" t="str">
        <f t="shared" si="10"/>
        <v>OK</v>
      </c>
      <c r="R356" t="str">
        <f t="shared" si="11"/>
        <v>Available</v>
      </c>
    </row>
    <row r="357" spans="1:18">
      <c r="A357" t="str">
        <f>TRIM(CLEAN(Raw_Data!A357))</f>
        <v>MEM0356</v>
      </c>
      <c r="B357" t="str">
        <f ca="1">TRIM(Raw_Data!B357)</f>
        <v>Anjali Sharma</v>
      </c>
      <c r="C357" t="str">
        <f ca="1">_xlfn.XLOOKUP(D357, Branch_Master!A:A, Branch_Master!B:B)</f>
        <v>Calicut</v>
      </c>
      <c r="D357" t="str">
        <f ca="1">TRIM(Raw_Data!D357)</f>
        <v>BR07</v>
      </c>
      <c r="E357" t="str">
        <f ca="1">PROPER(TRIM(Raw_Data!E357))</f>
        <v>Basic</v>
      </c>
      <c r="F357" s="2">
        <f>IFERROR(DATEVALUE(Raw_Data!F357), Raw_Data!F357)</f>
        <v>45575</v>
      </c>
      <c r="G357" s="2">
        <f>IFERROR(
    IF(
        IFERROR(DATEVALUE(Raw_Data!G357), Raw_Data!G357) &lt;
        IFERROR(DATEVALUE(Raw_Data!F357), Raw_Data!F357),
        IFERROR(DATEVALUE(Raw_Data!F357), Raw_Data!F357) + 30,
        IFERROR(DATEVALUE(Raw_Data!G357), Raw_Data!G357)
    ),
    ""
)</f>
        <v>45605</v>
      </c>
      <c r="H357">
        <f>IFERROR(VALUE(Raw_Data!H357), "")</f>
        <v>3500</v>
      </c>
      <c r="I357">
        <f ca="1">IFERROR(VALUE(Raw_Data!I357), "")</f>
        <v>35000</v>
      </c>
      <c r="J357">
        <f>IFERROR(
    VALUE(SUBSTITUTE(Raw_Data!J357," visits","")),
    ""
)</f>
        <v>17</v>
      </c>
      <c r="K357" t="str">
        <f ca="1">IF(TRIM(Raw_Data!K357)="","No",PROPER(TRIM(Raw_Data!K357)))</f>
        <v>Yes</v>
      </c>
      <c r="L357" t="str">
        <f ca="1">PROPER(TRIM(Raw_Data!L357))</f>
        <v>Muscle Gain</v>
      </c>
      <c r="M357" t="s">
        <v>151</v>
      </c>
      <c r="N357" s="2">
        <f>IFERROR(DATEVALUE(Raw_Data!N357), Raw_Data!N357)</f>
        <v>45889</v>
      </c>
      <c r="O357" s="2"/>
      <c r="P357" t="str">
        <f>IF(COUNTIF($A$2:A357,A357)&gt;1,"Duplicate","Unique")</f>
        <v>Unique</v>
      </c>
      <c r="Q357" t="str">
        <f t="shared" si="10"/>
        <v>OK</v>
      </c>
      <c r="R357" t="str">
        <f t="shared" si="11"/>
        <v>Available</v>
      </c>
    </row>
    <row r="358" spans="1:18">
      <c r="A358" t="str">
        <f>TRIM(CLEAN(Raw_Data!A358))</f>
        <v>MEM0357</v>
      </c>
      <c r="B358" t="str">
        <f ca="1">TRIM(Raw_Data!B358)</f>
        <v>Ankit D’Souza</v>
      </c>
      <c r="C358" t="str">
        <f ca="1">_xlfn.XLOOKUP(D358, Branch_Master!A:A, Branch_Master!B:B)</f>
        <v>Mumbai</v>
      </c>
      <c r="D358" t="str">
        <f ca="1">TRIM(Raw_Data!D358)</f>
        <v>BR05</v>
      </c>
      <c r="E358" t="str">
        <f ca="1">PROPER(TRIM(Raw_Data!E358))</f>
        <v>Basic</v>
      </c>
      <c r="F358" s="2">
        <f>IFERROR(DATEVALUE(Raw_Data!F358), Raw_Data!F358)</f>
        <v>45989</v>
      </c>
      <c r="G358" s="2">
        <f>IFERROR(
    IF(
        IFERROR(DATEVALUE(Raw_Data!G358), Raw_Data!G358) &lt;
        IFERROR(DATEVALUE(Raw_Data!F358), Raw_Data!F358),
        IFERROR(DATEVALUE(Raw_Data!F358), Raw_Data!F358) + 30,
        IFERROR(DATEVALUE(Raw_Data!G358), Raw_Data!G358)
    ),
    ""
)</f>
        <v>46354</v>
      </c>
      <c r="H358">
        <f>IFERROR(VALUE(Raw_Data!H358), "")</f>
        <v>3500</v>
      </c>
      <c r="I358">
        <f ca="1">IFERROR(VALUE(Raw_Data!I358), "")</f>
        <v>24500</v>
      </c>
      <c r="J358">
        <f>IFERROR(
    VALUE(SUBSTITUTE(Raw_Data!J358," visits","")),
    ""
)</f>
        <v>4</v>
      </c>
      <c r="K358" t="str">
        <f ca="1">IF(TRIM(Raw_Data!K358)="","No",PROPER(TRIM(Raw_Data!K358)))</f>
        <v>Yes</v>
      </c>
      <c r="L358" t="str">
        <f ca="1">PROPER(TRIM(Raw_Data!L358))</f>
        <v>General Fitness</v>
      </c>
      <c r="M358" t="s">
        <v>152</v>
      </c>
      <c r="N358" s="2">
        <f>IFERROR(DATEVALUE(Raw_Data!N358), Raw_Data!N358)</f>
        <v>46014</v>
      </c>
      <c r="O358" s="2"/>
      <c r="P358" t="str">
        <f>IF(COUNTIF($A$2:A358,A358)&gt;1,"Duplicate","Unique")</f>
        <v>Unique</v>
      </c>
      <c r="Q358" t="str">
        <f t="shared" si="10"/>
        <v>Cancelled but Active</v>
      </c>
      <c r="R358" t="str">
        <f t="shared" si="11"/>
        <v>Available</v>
      </c>
    </row>
    <row r="359" spans="1:18">
      <c r="A359" t="str">
        <f>TRIM(CLEAN(Raw_Data!A359))</f>
        <v>MEM0358</v>
      </c>
      <c r="B359" t="str">
        <f ca="1">TRIM(Raw_Data!B359)</f>
        <v>Siddharth Patel</v>
      </c>
      <c r="C359" t="str">
        <f ca="1">_xlfn.XLOOKUP(D359, Branch_Master!A:A, Branch_Master!B:B)</f>
        <v>Hyderabad</v>
      </c>
      <c r="D359" t="str">
        <f ca="1">TRIM(Raw_Data!D359)</f>
        <v>BR04</v>
      </c>
      <c r="E359" t="str">
        <f ca="1">PROPER(TRIM(Raw_Data!E359))</f>
        <v>Standard</v>
      </c>
      <c r="F359" s="2">
        <f>IFERROR(DATEVALUE(Raw_Data!F359), Raw_Data!F359)</f>
        <v>45580</v>
      </c>
      <c r="G359" s="2">
        <f>IFERROR(
    IF(
        IFERROR(DATEVALUE(Raw_Data!G359), Raw_Data!G359) &lt;
        IFERROR(DATEVALUE(Raw_Data!F359), Raw_Data!F359),
        IFERROR(DATEVALUE(Raw_Data!F359), Raw_Data!F359) + 30,
        IFERROR(DATEVALUE(Raw_Data!G359), Raw_Data!G359)
    ),
    ""
)</f>
        <v>45670</v>
      </c>
      <c r="H359">
        <f>IFERROR(VALUE(Raw_Data!H359), "")</f>
        <v>1000</v>
      </c>
      <c r="I359">
        <f ca="1">IFERROR(VALUE(Raw_Data!I359), "")</f>
        <v>4000</v>
      </c>
      <c r="J359">
        <f>IFERROR(
    VALUE(SUBSTITUTE(Raw_Data!J359," visits","")),
    ""
)</f>
        <v>4</v>
      </c>
      <c r="K359" t="str">
        <f ca="1">IF(TRIM(Raw_Data!K359)="","No",PROPER(TRIM(Raw_Data!K359)))</f>
        <v>No</v>
      </c>
      <c r="L359" t="str">
        <f ca="1">PROPER(TRIM(Raw_Data!L359))</f>
        <v>General Fitness</v>
      </c>
      <c r="M359" t="s">
        <v>152</v>
      </c>
      <c r="N359" s="2">
        <f>IFERROR(DATEVALUE(Raw_Data!N359), Raw_Data!N359)</f>
        <v>45625</v>
      </c>
      <c r="O359" s="2"/>
      <c r="P359" t="str">
        <f>IF(COUNTIF($A$2:A359,A359)&gt;1,"Duplicate","Unique")</f>
        <v>Unique</v>
      </c>
      <c r="Q359" t="str">
        <f t="shared" si="10"/>
        <v>Cancelled but Active</v>
      </c>
      <c r="R359" t="str">
        <f t="shared" si="11"/>
        <v>Available</v>
      </c>
    </row>
    <row r="360" spans="1:18">
      <c r="A360" t="str">
        <f>TRIM(CLEAN(Raw_Data!A360))</f>
        <v>MEM0359</v>
      </c>
      <c r="B360" t="str">
        <f ca="1">TRIM(Raw_Data!B360)</f>
        <v>Anu Thomas</v>
      </c>
      <c r="C360" t="str">
        <f ca="1">_xlfn.XLOOKUP(D360, Branch_Master!A:A, Branch_Master!B:B)</f>
        <v>Kochi</v>
      </c>
      <c r="D360" t="str">
        <f ca="1">TRIM(Raw_Data!D360)</f>
        <v>BR01</v>
      </c>
      <c r="E360" t="str">
        <f ca="1">PROPER(TRIM(Raw_Data!E360))</f>
        <v>Standard</v>
      </c>
      <c r="F360" s="2">
        <f>IFERROR(DATEVALUE(Raw_Data!F360), Raw_Data!F360)</f>
        <v>45645</v>
      </c>
      <c r="G360" s="2">
        <f>IFERROR(
    IF(
        IFERROR(DATEVALUE(Raw_Data!G360), Raw_Data!G360) &lt;
        IFERROR(DATEVALUE(Raw_Data!F360), Raw_Data!F360),
        IFERROR(DATEVALUE(Raw_Data!F360), Raw_Data!F360) + 30,
        IFERROR(DATEVALUE(Raw_Data!G360), Raw_Data!G360)
    ),
    ""
)</f>
        <v>46010</v>
      </c>
      <c r="H360">
        <f>IFERROR(VALUE(Raw_Data!H360), "")</f>
        <v>2000</v>
      </c>
      <c r="I360">
        <f ca="1">IFERROR(VALUE(Raw_Data!I360), "")</f>
        <v>16000</v>
      </c>
      <c r="J360">
        <f>IFERROR(
    VALUE(SUBSTITUTE(Raw_Data!J360," visits","")),
    ""
)</f>
        <v>13</v>
      </c>
      <c r="K360" t="str">
        <f ca="1">IF(TRIM(Raw_Data!K360)="","No",PROPER(TRIM(Raw_Data!K360)))</f>
        <v>Yes</v>
      </c>
      <c r="L360" t="str">
        <f ca="1">PROPER(TRIM(Raw_Data!L360))</f>
        <v>Weight Loss</v>
      </c>
      <c r="M360" t="s">
        <v>151</v>
      </c>
      <c r="N360" s="2">
        <f>IFERROR(DATEVALUE(Raw_Data!N360), Raw_Data!N360)</f>
        <v>45828</v>
      </c>
      <c r="O360" s="2"/>
      <c r="P360" t="str">
        <f>IF(COUNTIF($A$2:A360,A360)&gt;1,"Duplicate","Unique")</f>
        <v>Unique</v>
      </c>
      <c r="Q360" t="str">
        <f t="shared" si="10"/>
        <v>OK</v>
      </c>
      <c r="R360" t="str">
        <f t="shared" si="11"/>
        <v>Available</v>
      </c>
    </row>
    <row r="361" spans="1:18">
      <c r="A361" t="str">
        <f>TRIM(CLEAN(Raw_Data!A361))</f>
        <v>MEM0360</v>
      </c>
      <c r="B361" t="str">
        <f ca="1">TRIM(Raw_Data!B361)</f>
        <v>Fatima Shetty</v>
      </c>
      <c r="C361" t="str">
        <f ca="1">_xlfn.XLOOKUP(D361, Branch_Master!A:A, Branch_Master!B:B)</f>
        <v>Kochi</v>
      </c>
      <c r="D361" t="str">
        <f ca="1">TRIM(Raw_Data!D361)</f>
        <v>BR01</v>
      </c>
      <c r="E361" t="str">
        <f ca="1">PROPER(TRIM(Raw_Data!E361))</f>
        <v>Basic</v>
      </c>
      <c r="F361" s="2">
        <f>IFERROR(DATEVALUE(Raw_Data!F361), Raw_Data!F361)</f>
        <v>45012</v>
      </c>
      <c r="G361" s="2">
        <f>IFERROR(
    IF(
        IFERROR(DATEVALUE(Raw_Data!G361), Raw_Data!G361) &lt;
        IFERROR(DATEVALUE(Raw_Data!F361), Raw_Data!F361),
        IFERROR(DATEVALUE(Raw_Data!F361), Raw_Data!F361) + 30,
        IFERROR(DATEVALUE(Raw_Data!G361), Raw_Data!G361)
    ),
    ""
)</f>
        <v>45102</v>
      </c>
      <c r="H361">
        <f>IFERROR(VALUE(Raw_Data!H361), "")</f>
        <v>1000</v>
      </c>
      <c r="I361">
        <f ca="1">IFERROR(VALUE(Raw_Data!I361), "")</f>
        <v>3000</v>
      </c>
      <c r="J361">
        <f>IFERROR(
    VALUE(SUBSTITUTE(Raw_Data!J361," visits","")),
    ""
)</f>
        <v>23</v>
      </c>
      <c r="K361" t="str">
        <f ca="1">IF(TRIM(Raw_Data!K361)="","No",PROPER(TRIM(Raw_Data!K361)))</f>
        <v>No</v>
      </c>
      <c r="L361" t="str">
        <f ca="1">PROPER(TRIM(Raw_Data!L361))</f>
        <v>Weight Loss</v>
      </c>
      <c r="M361" t="s">
        <v>151</v>
      </c>
      <c r="N361" s="2">
        <f>IFERROR(DATEVALUE(Raw_Data!N361), Raw_Data!N361)</f>
        <v>45090</v>
      </c>
      <c r="O361" s="2"/>
      <c r="P361" t="str">
        <f>IF(COUNTIF($A$2:A361,A361)&gt;1,"Duplicate","Unique")</f>
        <v>Unique</v>
      </c>
      <c r="Q361" t="str">
        <f t="shared" si="10"/>
        <v>OK</v>
      </c>
      <c r="R361" t="str">
        <f t="shared" si="11"/>
        <v>Available</v>
      </c>
    </row>
    <row r="362" spans="1:18">
      <c r="A362" t="str">
        <f>TRIM(CLEAN(Raw_Data!A362))</f>
        <v>MEM0361</v>
      </c>
      <c r="B362" t="str">
        <f ca="1">TRIM(Raw_Data!B362)</f>
        <v>Deepak Gupta</v>
      </c>
      <c r="C362" t="str">
        <f ca="1">_xlfn.XLOOKUP(D362, Branch_Master!A:A, Branch_Master!B:B)</f>
        <v>Hyderabad</v>
      </c>
      <c r="D362" t="str">
        <f ca="1">TRIM(Raw_Data!D362)</f>
        <v>BR04</v>
      </c>
      <c r="E362" t="str">
        <f ca="1">PROPER(TRIM(Raw_Data!E362))</f>
        <v>Standard</v>
      </c>
      <c r="F362" s="2">
        <f>IFERROR(DATEVALUE(Raw_Data!F362), Raw_Data!F362)</f>
        <v>45107</v>
      </c>
      <c r="G362" s="2">
        <f>IFERROR(
    IF(
        IFERROR(DATEVALUE(Raw_Data!G362), Raw_Data!G362) &lt;
        IFERROR(DATEVALUE(Raw_Data!F362), Raw_Data!F362),
        IFERROR(DATEVALUE(Raw_Data!F362), Raw_Data!F362) + 30,
        IFERROR(DATEVALUE(Raw_Data!G362), Raw_Data!G362)
    ),
    ""
)</f>
        <v>45137</v>
      </c>
      <c r="H362">
        <f>IFERROR(VALUE(Raw_Data!H362), "")</f>
        <v>1000</v>
      </c>
      <c r="I362">
        <f ca="1">IFERROR(VALUE(Raw_Data!I362), "")</f>
        <v>1000</v>
      </c>
      <c r="J362">
        <f>IFERROR(
    VALUE(SUBSTITUTE(Raw_Data!J362," visits","")),
    ""
)</f>
        <v>1</v>
      </c>
      <c r="K362" t="str">
        <f ca="1">IF(TRIM(Raw_Data!K362)="","No",PROPER(TRIM(Raw_Data!K362)))</f>
        <v>Yes</v>
      </c>
      <c r="L362" t="str">
        <f ca="1">PROPER(TRIM(Raw_Data!L362))</f>
        <v>Muscle Gain</v>
      </c>
      <c r="M362" t="s">
        <v>152</v>
      </c>
      <c r="N362" s="2">
        <f>IFERROR(DATEVALUE(Raw_Data!N362), Raw_Data!N362)</f>
        <v>45663</v>
      </c>
      <c r="O362" s="2"/>
      <c r="P362" t="str">
        <f>IF(COUNTIF($A$2:A362,A362)&gt;1,"Duplicate","Unique")</f>
        <v>Unique</v>
      </c>
      <c r="Q362" t="str">
        <f t="shared" si="10"/>
        <v>Cancelled but Active</v>
      </c>
      <c r="R362" t="str">
        <f t="shared" si="11"/>
        <v>Available</v>
      </c>
    </row>
    <row r="363" spans="1:18">
      <c r="A363" t="str">
        <f>TRIM(CLEAN(Raw_Data!A363))</f>
        <v>MEM0362</v>
      </c>
      <c r="B363" t="str">
        <f ca="1">TRIM(Raw_Data!B363)</f>
        <v>Siddharth Joshi</v>
      </c>
      <c r="C363" t="str">
        <f ca="1">_xlfn.XLOOKUP(D363, Branch_Master!A:A, Branch_Master!B:B)</f>
        <v>Mumbai</v>
      </c>
      <c r="D363" t="str">
        <f ca="1">TRIM(Raw_Data!D363)</f>
        <v>BR05</v>
      </c>
      <c r="E363" t="str">
        <f ca="1">PROPER(TRIM(Raw_Data!E363))</f>
        <v>Basic</v>
      </c>
      <c r="F363" s="2">
        <f>IFERROR(DATEVALUE(Raw_Data!F363), Raw_Data!F363)</f>
        <v>45563</v>
      </c>
      <c r="G363" s="2">
        <f>IFERROR(
    IF(
        IFERROR(DATEVALUE(Raw_Data!G363), Raw_Data!G363) &lt;
        IFERROR(DATEVALUE(Raw_Data!F363), Raw_Data!F363),
        IFERROR(DATEVALUE(Raw_Data!F363), Raw_Data!F363) + 30,
        IFERROR(DATEVALUE(Raw_Data!G363), Raw_Data!G363)
    ),
    ""
)</f>
        <v>45928</v>
      </c>
      <c r="H363">
        <f>IFERROR(VALUE(Raw_Data!H363), "")</f>
        <v>3500</v>
      </c>
      <c r="I363">
        <f ca="1">IFERROR(VALUE(Raw_Data!I363), "")</f>
        <v>28000</v>
      </c>
      <c r="J363">
        <f>IFERROR(
    VALUE(SUBSTITUTE(Raw_Data!J363," visits","")),
    ""
)</f>
        <v>23</v>
      </c>
      <c r="K363" t="str">
        <f ca="1">IF(TRIM(Raw_Data!K363)="","No",PROPER(TRIM(Raw_Data!K363)))</f>
        <v>No</v>
      </c>
      <c r="L363" t="str">
        <f ca="1">PROPER(TRIM(Raw_Data!L363))</f>
        <v>General Fitness</v>
      </c>
      <c r="M363" t="s">
        <v>151</v>
      </c>
      <c r="N363" s="2">
        <f>IFERROR(DATEVALUE(Raw_Data!N363), Raw_Data!N363)</f>
        <v>46009</v>
      </c>
      <c r="O363" s="2"/>
      <c r="P363" t="str">
        <f>IF(COUNTIF($A$2:A363,A363)&gt;1,"Duplicate","Unique")</f>
        <v>Unique</v>
      </c>
      <c r="Q363" t="str">
        <f t="shared" si="10"/>
        <v>OK</v>
      </c>
      <c r="R363" t="str">
        <f t="shared" si="11"/>
        <v>Available</v>
      </c>
    </row>
    <row r="364" spans="1:18">
      <c r="A364" t="str">
        <f>TRIM(CLEAN(Raw_Data!A364))</f>
        <v>MEM0363</v>
      </c>
      <c r="B364" t="str">
        <f ca="1">TRIM(Raw_Data!B364)</f>
        <v>Priya Patel</v>
      </c>
      <c r="C364" t="str">
        <f ca="1">_xlfn.XLOOKUP(D364, Branch_Master!A:A, Branch_Master!B:B)</f>
        <v>Mumbai</v>
      </c>
      <c r="D364" t="str">
        <f ca="1">TRIM(Raw_Data!D364)</f>
        <v>BR05</v>
      </c>
      <c r="E364" t="str">
        <f ca="1">PROPER(TRIM(Raw_Data!E364))</f>
        <v>Premium</v>
      </c>
      <c r="F364" s="2">
        <f>IFERROR(DATEVALUE(Raw_Data!F364), Raw_Data!F364)</f>
        <v>45971</v>
      </c>
      <c r="G364" s="2">
        <f>IFERROR(
    IF(
        IFERROR(DATEVALUE(Raw_Data!G364), Raw_Data!G364) &lt;
        IFERROR(DATEVALUE(Raw_Data!F364), Raw_Data!F364),
        IFERROR(DATEVALUE(Raw_Data!F364), Raw_Data!F364) + 30,
        IFERROR(DATEVALUE(Raw_Data!G364), Raw_Data!G364)
    ),
    ""
)</f>
        <v>46336</v>
      </c>
      <c r="H364">
        <f>IFERROR(VALUE(Raw_Data!H364), "")</f>
        <v>3500</v>
      </c>
      <c r="I364">
        <f ca="1">IFERROR(VALUE(Raw_Data!I364), "")</f>
        <v>17500</v>
      </c>
      <c r="J364">
        <f>IFERROR(
    VALUE(SUBSTITUTE(Raw_Data!J364," visits","")),
    ""
)</f>
        <v>8</v>
      </c>
      <c r="K364" t="str">
        <f ca="1">IF(TRIM(Raw_Data!K364)="","No",PROPER(TRIM(Raw_Data!K364)))</f>
        <v>No</v>
      </c>
      <c r="L364" t="str">
        <f ca="1">PROPER(TRIM(Raw_Data!L364))</f>
        <v>General Fitness</v>
      </c>
      <c r="M364" t="s">
        <v>151</v>
      </c>
      <c r="N364" s="2">
        <f>IFERROR(DATEVALUE(Raw_Data!N364), Raw_Data!N364)</f>
        <v>46010</v>
      </c>
      <c r="O364" s="2"/>
      <c r="P364" t="str">
        <f>IF(COUNTIF($A$2:A364,A364)&gt;1,"Duplicate","Unique")</f>
        <v>Unique</v>
      </c>
      <c r="Q364" t="str">
        <f t="shared" si="10"/>
        <v>OK</v>
      </c>
      <c r="R364" t="str">
        <f t="shared" si="11"/>
        <v>Available</v>
      </c>
    </row>
    <row r="365" spans="1:18">
      <c r="A365" t="str">
        <f>TRIM(CLEAN(Raw_Data!A365))</f>
        <v>MEM0364</v>
      </c>
      <c r="B365" t="str">
        <f ca="1">TRIM(Raw_Data!B365)</f>
        <v>Ayesha Chatterjee</v>
      </c>
      <c r="C365" t="str">
        <f ca="1">_xlfn.XLOOKUP(D365, Branch_Master!A:A, Branch_Master!B:B)</f>
        <v>Hyderabad</v>
      </c>
      <c r="D365" t="str">
        <f ca="1">TRIM(Raw_Data!D365)</f>
        <v>BR04</v>
      </c>
      <c r="E365" t="str">
        <f ca="1">PROPER(TRIM(Raw_Data!E365))</f>
        <v>Basic</v>
      </c>
      <c r="F365" s="2">
        <f>IFERROR(DATEVALUE(Raw_Data!F365), Raw_Data!F365)</f>
        <v>45835</v>
      </c>
      <c r="G365" s="2">
        <f>IFERROR(
    IF(
        IFERROR(DATEVALUE(Raw_Data!G365), Raw_Data!G365) &lt;
        IFERROR(DATEVALUE(Raw_Data!F365), Raw_Data!F365),
        IFERROR(DATEVALUE(Raw_Data!F365), Raw_Data!F365) + 30,
        IFERROR(DATEVALUE(Raw_Data!G365), Raw_Data!G365)
    ),
    ""
)</f>
        <v>46200</v>
      </c>
      <c r="H365">
        <f>IFERROR(VALUE(Raw_Data!H365), "")</f>
        <v>2000</v>
      </c>
      <c r="I365">
        <f ca="1">IFERROR(VALUE(Raw_Data!I365), "")</f>
        <v>10000</v>
      </c>
      <c r="J365">
        <f>IFERROR(
    VALUE(SUBSTITUTE(Raw_Data!J365," visits","")),
    ""
)</f>
        <v>24</v>
      </c>
      <c r="K365" t="str">
        <f ca="1">IF(TRIM(Raw_Data!K365)="","No",PROPER(TRIM(Raw_Data!K365)))</f>
        <v>No</v>
      </c>
      <c r="L365" t="str">
        <f ca="1">PROPER(TRIM(Raw_Data!L365))</f>
        <v>General Fitness</v>
      </c>
      <c r="M365" t="s">
        <v>151</v>
      </c>
      <c r="N365" s="2">
        <f>IFERROR(DATEVALUE(Raw_Data!N365), Raw_Data!N365)</f>
        <v>45932</v>
      </c>
      <c r="O365" s="2"/>
      <c r="P365" t="str">
        <f>IF(COUNTIF($A$2:A365,A365)&gt;1,"Duplicate","Unique")</f>
        <v>Unique</v>
      </c>
      <c r="Q365" t="str">
        <f t="shared" si="10"/>
        <v>OK</v>
      </c>
      <c r="R365" t="str">
        <f t="shared" si="11"/>
        <v>Available</v>
      </c>
    </row>
    <row r="366" spans="1:18">
      <c r="A366" t="str">
        <f>TRIM(CLEAN(Raw_Data!A366))</f>
        <v>MEM0365</v>
      </c>
      <c r="B366" t="str">
        <f ca="1">TRIM(Raw_Data!B366)</f>
        <v>Priya Kapoor</v>
      </c>
      <c r="C366" t="str">
        <f ca="1">_xlfn.XLOOKUP(D366, Branch_Master!A:A, Branch_Master!B:B)</f>
        <v>Chennai</v>
      </c>
      <c r="D366" t="str">
        <f ca="1">TRIM(Raw_Data!D366)</f>
        <v>BR03</v>
      </c>
      <c r="E366" t="str">
        <f ca="1">PROPER(TRIM(Raw_Data!E366))</f>
        <v>Basic</v>
      </c>
      <c r="F366" s="2">
        <f>IFERROR(DATEVALUE(Raw_Data!F366), Raw_Data!F366)</f>
        <v>46019</v>
      </c>
      <c r="G366" s="2">
        <f>IFERROR(
    IF(
        IFERROR(DATEVALUE(Raw_Data!G366), Raw_Data!G366) &lt;
        IFERROR(DATEVALUE(Raw_Data!F366), Raw_Data!F366),
        IFERROR(DATEVALUE(Raw_Data!F366), Raw_Data!F366) + 30,
        IFERROR(DATEVALUE(Raw_Data!G366), Raw_Data!G366)
    ),
    ""
)</f>
        <v>46049</v>
      </c>
      <c r="H366">
        <f>IFERROR(VALUE(Raw_Data!H366), "")</f>
        <v>2000</v>
      </c>
      <c r="I366">
        <f ca="1">IFERROR(VALUE(Raw_Data!I366), "")</f>
        <v>12000</v>
      </c>
      <c r="J366">
        <f>IFERROR(
    VALUE(SUBSTITUTE(Raw_Data!J366," visits","")),
    ""
)</f>
        <v>24</v>
      </c>
      <c r="K366" t="str">
        <f ca="1">IF(TRIM(Raw_Data!K366)="","No",PROPER(TRIM(Raw_Data!K366)))</f>
        <v>No</v>
      </c>
      <c r="L366" t="str">
        <f ca="1">PROPER(TRIM(Raw_Data!L366))</f>
        <v>General Fitness</v>
      </c>
      <c r="M366" t="s">
        <v>151</v>
      </c>
      <c r="N366" s="2">
        <f>IFERROR(DATEVALUE(Raw_Data!N366), Raw_Data!N366)</f>
        <v>46026</v>
      </c>
      <c r="O366" s="2"/>
      <c r="P366" t="str">
        <f>IF(COUNTIF($A$2:A366,A366)&gt;1,"Duplicate","Unique")</f>
        <v>Unique</v>
      </c>
      <c r="Q366" t="str">
        <f t="shared" si="10"/>
        <v>OK</v>
      </c>
      <c r="R366" t="str">
        <f t="shared" si="11"/>
        <v>Available</v>
      </c>
    </row>
    <row r="367" spans="1:18">
      <c r="A367" t="str">
        <f>TRIM(CLEAN(Raw_Data!A367))</f>
        <v>MEM0366</v>
      </c>
      <c r="B367" t="str">
        <f ca="1">TRIM(Raw_Data!B367)</f>
        <v>Swathi Bhat</v>
      </c>
      <c r="C367" t="str">
        <f ca="1">_xlfn.XLOOKUP(D367, Branch_Master!A:A, Branch_Master!B:B)</f>
        <v>Kochi</v>
      </c>
      <c r="D367" t="str">
        <f ca="1">TRIM(Raw_Data!D367)</f>
        <v>BR01</v>
      </c>
      <c r="E367" t="str">
        <f ca="1">PROPER(TRIM(Raw_Data!E367))</f>
        <v>Premium</v>
      </c>
      <c r="F367" s="2">
        <f>IFERROR(DATEVALUE(Raw_Data!F367), Raw_Data!F367)</f>
        <v>45121</v>
      </c>
      <c r="G367" s="2">
        <f>IFERROR(
    IF(
        IFERROR(DATEVALUE(Raw_Data!G367), Raw_Data!G367) &lt;
        IFERROR(DATEVALUE(Raw_Data!F367), Raw_Data!F367),
        IFERROR(DATEVALUE(Raw_Data!F367), Raw_Data!F367) + 30,
        IFERROR(DATEVALUE(Raw_Data!G367), Raw_Data!G367)
    ),
    ""
)</f>
        <v>45151</v>
      </c>
      <c r="H367">
        <f>IFERROR(VALUE(Raw_Data!H367), "")</f>
        <v>1000</v>
      </c>
      <c r="I367">
        <f ca="1">IFERROR(VALUE(Raw_Data!I367), "")</f>
        <v>2000</v>
      </c>
      <c r="J367">
        <f>IFERROR(
    VALUE(SUBSTITUTE(Raw_Data!J367," visits","")),
    ""
)</f>
        <v>18</v>
      </c>
      <c r="K367" t="str">
        <f ca="1">IF(TRIM(Raw_Data!K367)="","No",PROPER(TRIM(Raw_Data!K367)))</f>
        <v>No</v>
      </c>
      <c r="L367" t="str">
        <f ca="1">PROPER(TRIM(Raw_Data!L367))</f>
        <v>Muscle Gain</v>
      </c>
      <c r="M367" t="s">
        <v>151</v>
      </c>
      <c r="N367" s="2">
        <f>IFERROR(DATEVALUE(Raw_Data!N367), Raw_Data!N367)</f>
        <v>46027</v>
      </c>
      <c r="O367" s="2"/>
      <c r="P367" t="str">
        <f>IF(COUNTIF($A$2:A367,A367)&gt;1,"Duplicate","Unique")</f>
        <v>Unique</v>
      </c>
      <c r="Q367" t="str">
        <f t="shared" si="10"/>
        <v>OK</v>
      </c>
      <c r="R367" t="str">
        <f t="shared" si="11"/>
        <v>Available</v>
      </c>
    </row>
    <row r="368" spans="1:18">
      <c r="A368" t="str">
        <f>TRIM(CLEAN(Raw_Data!A368))</f>
        <v>MEM0367</v>
      </c>
      <c r="B368" t="str">
        <f ca="1">TRIM(Raw_Data!B368)</f>
        <v>Tanvi Malhotra</v>
      </c>
      <c r="C368" t="str">
        <f ca="1">_xlfn.XLOOKUP(D368, Branch_Master!A:A, Branch_Master!B:B)</f>
        <v>Kochi</v>
      </c>
      <c r="D368" t="str">
        <f ca="1">TRIM(Raw_Data!D368)</f>
        <v>BR01</v>
      </c>
      <c r="E368" t="str">
        <f ca="1">PROPER(TRIM(Raw_Data!E368))</f>
        <v>Basic</v>
      </c>
      <c r="F368" s="2">
        <f>IFERROR(DATEVALUE(Raw_Data!F368), Raw_Data!F368)</f>
        <v>45574</v>
      </c>
      <c r="G368" s="2">
        <f>IFERROR(
    IF(
        IFERROR(DATEVALUE(Raw_Data!G368), Raw_Data!G368) &lt;
        IFERROR(DATEVALUE(Raw_Data!F368), Raw_Data!F368),
        IFERROR(DATEVALUE(Raw_Data!F368), Raw_Data!F368) + 30,
        IFERROR(DATEVALUE(Raw_Data!G368), Raw_Data!G368)
    ),
    ""
)</f>
        <v>45939</v>
      </c>
      <c r="H368">
        <f>IFERROR(VALUE(Raw_Data!H368), "")</f>
        <v>1000</v>
      </c>
      <c r="I368">
        <f ca="1">IFERROR(VALUE(Raw_Data!I368), "")</f>
        <v>3000</v>
      </c>
      <c r="J368">
        <f>IFERROR(
    VALUE(SUBSTITUTE(Raw_Data!J368," visits","")),
    ""
)</f>
        <v>8</v>
      </c>
      <c r="K368" t="str">
        <f ca="1">IF(TRIM(Raw_Data!K368)="","No",PROPER(TRIM(Raw_Data!K368)))</f>
        <v>No</v>
      </c>
      <c r="L368" t="str">
        <f ca="1">PROPER(TRIM(Raw_Data!L368))</f>
        <v>Muscle Gain</v>
      </c>
      <c r="M368" t="s">
        <v>151</v>
      </c>
      <c r="N368" s="2">
        <f>IFERROR(DATEVALUE(Raw_Data!N368), Raw_Data!N368)</f>
        <v>45781</v>
      </c>
      <c r="O368" s="2"/>
      <c r="P368" t="str">
        <f>IF(COUNTIF($A$2:A368,A368)&gt;1,"Duplicate","Unique")</f>
        <v>Unique</v>
      </c>
      <c r="Q368" t="str">
        <f t="shared" si="10"/>
        <v>OK</v>
      </c>
      <c r="R368" t="str">
        <f t="shared" si="11"/>
        <v>Available</v>
      </c>
    </row>
    <row r="369" spans="1:18">
      <c r="A369" t="str">
        <f>TRIM(CLEAN(Raw_Data!A369))</f>
        <v>MEM0368</v>
      </c>
      <c r="B369" t="str">
        <f ca="1">TRIM(Raw_Data!B369)</f>
        <v>Aditya Nair</v>
      </c>
      <c r="C369" t="str">
        <f ca="1">_xlfn.XLOOKUP(D369, Branch_Master!A:A, Branch_Master!B:B)</f>
        <v>Kochi</v>
      </c>
      <c r="D369" t="str">
        <f ca="1">TRIM(Raw_Data!D369)</f>
        <v>BR01</v>
      </c>
      <c r="E369" t="str">
        <f ca="1">PROPER(TRIM(Raw_Data!E369))</f>
        <v>Standard</v>
      </c>
      <c r="F369" s="2">
        <f>IFERROR(DATEVALUE(Raw_Data!F369), Raw_Data!F369)</f>
        <v>45873</v>
      </c>
      <c r="G369" s="2">
        <f>IFERROR(
    IF(
        IFERROR(DATEVALUE(Raw_Data!G369), Raw_Data!G369) &lt;
        IFERROR(DATEVALUE(Raw_Data!F369), Raw_Data!F369),
        IFERROR(DATEVALUE(Raw_Data!F369), Raw_Data!F369) + 30,
        IFERROR(DATEVALUE(Raw_Data!G369), Raw_Data!G369)
    ),
    ""
)</f>
        <v>45903</v>
      </c>
      <c r="H369">
        <f>IFERROR(VALUE(Raw_Data!H369), "")</f>
        <v>3500</v>
      </c>
      <c r="I369">
        <f ca="1">IFERROR(VALUE(Raw_Data!I369), "")</f>
        <v>3500</v>
      </c>
      <c r="J369">
        <f>IFERROR(
    VALUE(SUBSTITUTE(Raw_Data!J369," visits","")),
    ""
)</f>
        <v>14</v>
      </c>
      <c r="K369" t="str">
        <f ca="1">IF(TRIM(Raw_Data!K369)="","No",PROPER(TRIM(Raw_Data!K369)))</f>
        <v>Yes</v>
      </c>
      <c r="L369" t="str">
        <f ca="1">PROPER(TRIM(Raw_Data!L369))</f>
        <v>Weight Loss</v>
      </c>
      <c r="M369" t="s">
        <v>151</v>
      </c>
      <c r="N369" s="2">
        <f>IFERROR(DATEVALUE(Raw_Data!N369), Raw_Data!N369)</f>
        <v>46055</v>
      </c>
      <c r="O369" s="2"/>
      <c r="P369" t="str">
        <f>IF(COUNTIF($A$2:A369,A369)&gt;1,"Duplicate","Unique")</f>
        <v>Unique</v>
      </c>
      <c r="Q369" t="str">
        <f t="shared" si="10"/>
        <v>OK</v>
      </c>
      <c r="R369" t="str">
        <f t="shared" si="11"/>
        <v>Available</v>
      </c>
    </row>
    <row r="370" spans="1:18">
      <c r="A370" t="str">
        <f>TRIM(CLEAN(Raw_Data!A370))</f>
        <v>MEM0369</v>
      </c>
      <c r="B370" t="str">
        <f ca="1">TRIM(Raw_Data!B370)</f>
        <v>Sanjay Malhotra</v>
      </c>
      <c r="C370" t="str">
        <f ca="1">_xlfn.XLOOKUP(D370, Branch_Master!A:A, Branch_Master!B:B)</f>
        <v>Trivandrum</v>
      </c>
      <c r="D370" t="str">
        <f ca="1">TRIM(Raw_Data!D370)</f>
        <v>BR06</v>
      </c>
      <c r="E370" t="str">
        <f ca="1">PROPER(TRIM(Raw_Data!E370))</f>
        <v>Premium</v>
      </c>
      <c r="F370" s="2">
        <f>IFERROR(DATEVALUE(Raw_Data!F370), Raw_Data!F370)</f>
        <v>45020</v>
      </c>
      <c r="G370" s="2">
        <f>IFERROR(
    IF(
        IFERROR(DATEVALUE(Raw_Data!G370), Raw_Data!G370) &lt;
        IFERROR(DATEVALUE(Raw_Data!F370), Raw_Data!F370),
        IFERROR(DATEVALUE(Raw_Data!F370), Raw_Data!F370) + 30,
        IFERROR(DATEVALUE(Raw_Data!G370), Raw_Data!G370)
    ),
    ""
)</f>
        <v>45050</v>
      </c>
      <c r="H370">
        <f>IFERROR(VALUE(Raw_Data!H370), "")</f>
        <v>2000</v>
      </c>
      <c r="I370">
        <f ca="1">IFERROR(VALUE(Raw_Data!I370), "")</f>
        <v>20000</v>
      </c>
      <c r="J370">
        <f>IFERROR(
    VALUE(SUBSTITUTE(Raw_Data!J370," visits","")),
    ""
)</f>
        <v>24</v>
      </c>
      <c r="K370" t="str">
        <f ca="1">IF(TRIM(Raw_Data!K370)="","No",PROPER(TRIM(Raw_Data!K370)))</f>
        <v>Yes</v>
      </c>
      <c r="L370" t="str">
        <f ca="1">PROPER(TRIM(Raw_Data!L370))</f>
        <v>Muscle Gain</v>
      </c>
      <c r="M370" t="s">
        <v>151</v>
      </c>
      <c r="N370" s="2">
        <f>IFERROR(DATEVALUE(Raw_Data!N370), Raw_Data!N370)</f>
        <v>45855</v>
      </c>
      <c r="O370" s="2"/>
      <c r="P370" t="str">
        <f>IF(COUNTIF($A$2:A370,A370)&gt;1,"Duplicate","Unique")</f>
        <v>Unique</v>
      </c>
      <c r="Q370" t="str">
        <f t="shared" si="10"/>
        <v>OK</v>
      </c>
      <c r="R370" t="str">
        <f t="shared" si="11"/>
        <v>Available</v>
      </c>
    </row>
    <row r="371" spans="1:18">
      <c r="A371" t="str">
        <f>TRIM(CLEAN(Raw_Data!A371))</f>
        <v>MEM0370</v>
      </c>
      <c r="B371" t="str">
        <f ca="1">TRIM(Raw_Data!B371)</f>
        <v>Fatima Lewis</v>
      </c>
      <c r="C371" t="str">
        <f ca="1">_xlfn.XLOOKUP(D371, Branch_Master!A:A, Branch_Master!B:B)</f>
        <v>Trivandrum</v>
      </c>
      <c r="D371" t="str">
        <f ca="1">TRIM(Raw_Data!D371)</f>
        <v>BR06</v>
      </c>
      <c r="E371" t="str">
        <f ca="1">PROPER(TRIM(Raw_Data!E371))</f>
        <v>Premium</v>
      </c>
      <c r="F371" s="2">
        <f>IFERROR(DATEVALUE(Raw_Data!F371), Raw_Data!F371)</f>
        <v>45493</v>
      </c>
      <c r="G371" s="2">
        <f>IFERROR(
    IF(
        IFERROR(DATEVALUE(Raw_Data!G371), Raw_Data!G371) &lt;
        IFERROR(DATEVALUE(Raw_Data!F371), Raw_Data!F371),
        IFERROR(DATEVALUE(Raw_Data!F371), Raw_Data!F371) + 30,
        IFERROR(DATEVALUE(Raw_Data!G371), Raw_Data!G371)
    ),
    ""
)</f>
        <v>45583</v>
      </c>
      <c r="H371">
        <f>IFERROR(VALUE(Raw_Data!H371), "")</f>
        <v>2000</v>
      </c>
      <c r="I371">
        <f ca="1">IFERROR(VALUE(Raw_Data!I371), "")</f>
        <v>12000</v>
      </c>
      <c r="J371">
        <f>IFERROR(
    VALUE(SUBSTITUTE(Raw_Data!J371," visits","")),
    ""
)</f>
        <v>16</v>
      </c>
      <c r="K371" t="str">
        <f ca="1">IF(TRIM(Raw_Data!K371)="","No",PROPER(TRIM(Raw_Data!K371)))</f>
        <v>Yes</v>
      </c>
      <c r="L371" t="str">
        <f ca="1">PROPER(TRIM(Raw_Data!L371))</f>
        <v>Weight Loss</v>
      </c>
      <c r="M371" t="s">
        <v>151</v>
      </c>
      <c r="N371" s="2">
        <f>IFERROR(DATEVALUE(Raw_Data!N371), Raw_Data!N371)</f>
        <v>45836</v>
      </c>
      <c r="O371" s="2"/>
      <c r="P371" t="str">
        <f>IF(COUNTIF($A$2:A371,A371)&gt;1,"Duplicate","Unique")</f>
        <v>Unique</v>
      </c>
      <c r="Q371" t="str">
        <f t="shared" si="10"/>
        <v>OK</v>
      </c>
      <c r="R371" t="str">
        <f t="shared" si="11"/>
        <v>Available</v>
      </c>
    </row>
    <row r="372" spans="1:18">
      <c r="A372" t="str">
        <f>TRIM(CLEAN(Raw_Data!A372))</f>
        <v>MEM0371</v>
      </c>
      <c r="B372" t="str">
        <f ca="1">TRIM(Raw_Data!B372)</f>
        <v>Anjali Khan</v>
      </c>
      <c r="C372" t="str">
        <f ca="1">_xlfn.XLOOKUP(D372, Branch_Master!A:A, Branch_Master!B:B)</f>
        <v>Kochi</v>
      </c>
      <c r="D372" t="str">
        <f ca="1">TRIM(Raw_Data!D372)</f>
        <v>BR01</v>
      </c>
      <c r="E372" t="str">
        <f ca="1">PROPER(TRIM(Raw_Data!E372))</f>
        <v>Basic</v>
      </c>
      <c r="F372" s="2">
        <f>IFERROR(DATEVALUE(Raw_Data!F372), Raw_Data!F372)</f>
        <v>45693</v>
      </c>
      <c r="G372" s="2">
        <f>IFERROR(
    IF(
        IFERROR(DATEVALUE(Raw_Data!G372), Raw_Data!G372) &lt;
        IFERROR(DATEVALUE(Raw_Data!F372), Raw_Data!F372),
        IFERROR(DATEVALUE(Raw_Data!F372), Raw_Data!F372) + 30,
        IFERROR(DATEVALUE(Raw_Data!G372), Raw_Data!G372)
    ),
    ""
)</f>
        <v>45723</v>
      </c>
      <c r="H372">
        <f>IFERROR(VALUE(Raw_Data!H372), "")</f>
        <v>3500</v>
      </c>
      <c r="I372">
        <f ca="1">IFERROR(VALUE(Raw_Data!I372), "")</f>
        <v>35000</v>
      </c>
      <c r="J372">
        <f>IFERROR(
    VALUE(SUBSTITUTE(Raw_Data!J372," visits","")),
    ""
)</f>
        <v>16</v>
      </c>
      <c r="K372" t="str">
        <f ca="1">IF(TRIM(Raw_Data!K372)="","No",PROPER(TRIM(Raw_Data!K372)))</f>
        <v>No</v>
      </c>
      <c r="L372" t="str">
        <f ca="1">PROPER(TRIM(Raw_Data!L372))</f>
        <v>General Fitness</v>
      </c>
      <c r="M372" t="s">
        <v>151</v>
      </c>
      <c r="N372" s="2">
        <f>IFERROR(DATEVALUE(Raw_Data!N372), Raw_Data!N372)</f>
        <v>46045</v>
      </c>
      <c r="O372" s="2"/>
      <c r="P372" t="str">
        <f>IF(COUNTIF($A$2:A372,A372)&gt;1,"Duplicate","Unique")</f>
        <v>Unique</v>
      </c>
      <c r="Q372" t="str">
        <f t="shared" si="10"/>
        <v>OK</v>
      </c>
      <c r="R372" t="str">
        <f t="shared" si="11"/>
        <v>Available</v>
      </c>
    </row>
    <row r="373" spans="1:18">
      <c r="A373" t="str">
        <f>TRIM(CLEAN(Raw_Data!A373))</f>
        <v>MEM0372</v>
      </c>
      <c r="B373" t="str">
        <f ca="1">TRIM(Raw_Data!B373)</f>
        <v>Deepak Yadav</v>
      </c>
      <c r="C373" t="str">
        <f ca="1">_xlfn.XLOOKUP(D373, Branch_Master!A:A, Branch_Master!B:B)</f>
        <v>Chennai</v>
      </c>
      <c r="D373" t="str">
        <f ca="1">TRIM(Raw_Data!D373)</f>
        <v>BR03</v>
      </c>
      <c r="E373" t="str">
        <f ca="1">PROPER(TRIM(Raw_Data!E373))</f>
        <v>Standard</v>
      </c>
      <c r="F373" s="2">
        <f>IFERROR(DATEVALUE(Raw_Data!F373), Raw_Data!F373)</f>
        <v>45538</v>
      </c>
      <c r="G373" s="2">
        <f>IFERROR(
    IF(
        IFERROR(DATEVALUE(Raw_Data!G373), Raw_Data!G373) &lt;
        IFERROR(DATEVALUE(Raw_Data!F373), Raw_Data!F373),
        IFERROR(DATEVALUE(Raw_Data!F373), Raw_Data!F373) + 30,
        IFERROR(DATEVALUE(Raw_Data!G373), Raw_Data!G373)
    ),
    ""
)</f>
        <v>45628</v>
      </c>
      <c r="H373">
        <f>IFERROR(VALUE(Raw_Data!H373), "")</f>
        <v>3500</v>
      </c>
      <c r="I373">
        <f ca="1">IFERROR(VALUE(Raw_Data!I373), "")</f>
        <v>42000</v>
      </c>
      <c r="J373">
        <f>IFERROR(
    VALUE(SUBSTITUTE(Raw_Data!J373," visits","")),
    ""
)</f>
        <v>22</v>
      </c>
      <c r="K373" t="str">
        <f ca="1">IF(TRIM(Raw_Data!K373)="","No",PROPER(TRIM(Raw_Data!K373)))</f>
        <v>Yes</v>
      </c>
      <c r="L373" t="str">
        <f ca="1">PROPER(TRIM(Raw_Data!L373))</f>
        <v>Weight Loss</v>
      </c>
      <c r="M373" t="s">
        <v>151</v>
      </c>
      <c r="N373" s="2">
        <f>IFERROR(DATEVALUE(Raw_Data!N373), Raw_Data!N373)</f>
        <v>45577</v>
      </c>
      <c r="O373" s="2"/>
      <c r="P373" t="str">
        <f>IF(COUNTIF($A$2:A373,A373)&gt;1,"Duplicate","Unique")</f>
        <v>Unique</v>
      </c>
      <c r="Q373" t="str">
        <f t="shared" si="10"/>
        <v>OK</v>
      </c>
      <c r="R373" t="str">
        <f t="shared" si="11"/>
        <v>Available</v>
      </c>
    </row>
    <row r="374" spans="1:18">
      <c r="A374" t="str">
        <f>TRIM(CLEAN(Raw_Data!A374))</f>
        <v>MEM0373</v>
      </c>
      <c r="B374" t="str">
        <f ca="1">TRIM(Raw_Data!B374)</f>
        <v>Vivek Iyer</v>
      </c>
      <c r="C374" t="str">
        <f ca="1">_xlfn.XLOOKUP(D374, Branch_Master!A:A, Branch_Master!B:B)</f>
        <v>Trivandrum</v>
      </c>
      <c r="D374" t="str">
        <f ca="1">TRIM(Raw_Data!D374)</f>
        <v>BR06</v>
      </c>
      <c r="E374" t="str">
        <f ca="1">PROPER(TRIM(Raw_Data!E374))</f>
        <v>Basic</v>
      </c>
      <c r="F374" s="2">
        <f>IFERROR(DATEVALUE(Raw_Data!F374), Raw_Data!F374)</f>
        <v>45223</v>
      </c>
      <c r="G374" s="2">
        <f>IFERROR(
    IF(
        IFERROR(DATEVALUE(Raw_Data!G374), Raw_Data!G374) &lt;
        IFERROR(DATEVALUE(Raw_Data!F374), Raw_Data!F374),
        IFERROR(DATEVALUE(Raw_Data!F374), Raw_Data!F374) + 30,
        IFERROR(DATEVALUE(Raw_Data!G374), Raw_Data!G374)
    ),
    ""
)</f>
        <v>45253</v>
      </c>
      <c r="H374">
        <f>IFERROR(VALUE(Raw_Data!H374), "")</f>
        <v>1000</v>
      </c>
      <c r="I374">
        <f ca="1">IFERROR(VALUE(Raw_Data!I374), "")</f>
        <v>4000</v>
      </c>
      <c r="J374">
        <f>IFERROR(
    VALUE(SUBSTITUTE(Raw_Data!J374," visits","")),
    ""
)</f>
        <v>24</v>
      </c>
      <c r="K374" t="str">
        <f ca="1">IF(TRIM(Raw_Data!K374)="","No",PROPER(TRIM(Raw_Data!K374)))</f>
        <v>Yes</v>
      </c>
      <c r="L374" t="str">
        <f ca="1">PROPER(TRIM(Raw_Data!L374))</f>
        <v>Muscle Gain</v>
      </c>
      <c r="M374" t="s">
        <v>151</v>
      </c>
      <c r="N374" s="2">
        <f>IFERROR(DATEVALUE(Raw_Data!N374), Raw_Data!N374)</f>
        <v>46114</v>
      </c>
      <c r="O374" s="2"/>
      <c r="P374" t="str">
        <f>IF(COUNTIF($A$2:A374,A374)&gt;1,"Duplicate","Unique")</f>
        <v>Unique</v>
      </c>
      <c r="Q374" t="str">
        <f t="shared" si="10"/>
        <v>OK</v>
      </c>
      <c r="R374" t="str">
        <f t="shared" si="11"/>
        <v>Available</v>
      </c>
    </row>
    <row r="375" spans="1:18">
      <c r="A375" t="str">
        <f>TRIM(CLEAN(Raw_Data!A375))</f>
        <v>MEM0374</v>
      </c>
      <c r="B375" t="str">
        <f ca="1">TRIM(Raw_Data!B375)</f>
        <v>Lakshmi Mathew</v>
      </c>
      <c r="C375" t="str">
        <f ca="1">_xlfn.XLOOKUP(D375, Branch_Master!A:A, Branch_Master!B:B)</f>
        <v>Mumbai</v>
      </c>
      <c r="D375" t="str">
        <f ca="1">TRIM(Raw_Data!D375)</f>
        <v>BR05</v>
      </c>
      <c r="E375" t="str">
        <f ca="1">PROPER(TRIM(Raw_Data!E375))</f>
        <v>Basic</v>
      </c>
      <c r="F375" s="2">
        <f>IFERROR(DATEVALUE(Raw_Data!F375), Raw_Data!F375)</f>
        <v>45116</v>
      </c>
      <c r="G375" s="2">
        <f>IFERROR(
    IF(
        IFERROR(DATEVALUE(Raw_Data!G375), Raw_Data!G375) &lt;
        IFERROR(DATEVALUE(Raw_Data!F375), Raw_Data!F375),
        IFERROR(DATEVALUE(Raw_Data!F375), Raw_Data!F375) + 30,
        IFERROR(DATEVALUE(Raw_Data!G375), Raw_Data!G375)
    ),
    ""
)</f>
        <v>45206</v>
      </c>
      <c r="H375">
        <f>IFERROR(VALUE(Raw_Data!H375), "")</f>
        <v>1000</v>
      </c>
      <c r="I375">
        <f ca="1">IFERROR(VALUE(Raw_Data!I375), "")</f>
        <v>3000</v>
      </c>
      <c r="J375">
        <f>IFERROR(
    VALUE(SUBSTITUTE(Raw_Data!J375," visits","")),
    ""
)</f>
        <v>2</v>
      </c>
      <c r="K375" t="str">
        <f ca="1">IF(TRIM(Raw_Data!K375)="","No",PROPER(TRIM(Raw_Data!K375)))</f>
        <v>Yes</v>
      </c>
      <c r="L375" t="str">
        <f ca="1">PROPER(TRIM(Raw_Data!L375))</f>
        <v>Weight Loss</v>
      </c>
      <c r="M375" t="s">
        <v>152</v>
      </c>
      <c r="N375" s="2">
        <f>IFERROR(DATEVALUE(Raw_Data!N375), Raw_Data!N375)</f>
        <v>45847</v>
      </c>
      <c r="O375" s="2"/>
      <c r="P375" t="str">
        <f>IF(COUNTIF($A$2:A375,A375)&gt;1,"Duplicate","Unique")</f>
        <v>Unique</v>
      </c>
      <c r="Q375" t="str">
        <f t="shared" si="10"/>
        <v>Cancelled but Active</v>
      </c>
      <c r="R375" t="str">
        <f t="shared" si="11"/>
        <v>Available</v>
      </c>
    </row>
    <row r="376" spans="1:18">
      <c r="A376" t="str">
        <f>TRIM(CLEAN(Raw_Data!A376))</f>
        <v>MEM0375</v>
      </c>
      <c r="B376" t="str">
        <f ca="1">TRIM(Raw_Data!B376)</f>
        <v>Swathi Fernandes</v>
      </c>
      <c r="C376" t="str">
        <f ca="1">_xlfn.XLOOKUP(D376, Branch_Master!A:A, Branch_Master!B:B)</f>
        <v>Calicut</v>
      </c>
      <c r="D376" t="str">
        <f ca="1">TRIM(Raw_Data!D376)</f>
        <v>BR07</v>
      </c>
      <c r="E376" t="str">
        <f ca="1">PROPER(TRIM(Raw_Data!E376))</f>
        <v>Basic</v>
      </c>
      <c r="F376" s="2">
        <f>IFERROR(DATEVALUE(Raw_Data!F376), Raw_Data!F376)</f>
        <v>44961</v>
      </c>
      <c r="G376" s="2">
        <f>IFERROR(
    IF(
        IFERROR(DATEVALUE(Raw_Data!G376), Raw_Data!G376) &lt;
        IFERROR(DATEVALUE(Raw_Data!F376), Raw_Data!F376),
        IFERROR(DATEVALUE(Raw_Data!F376), Raw_Data!F376) + 30,
        IFERROR(DATEVALUE(Raw_Data!G376), Raw_Data!G376)
    ),
    ""
)</f>
        <v>44991</v>
      </c>
      <c r="H376">
        <f>IFERROR(VALUE(Raw_Data!H376), "")</f>
        <v>1000</v>
      </c>
      <c r="I376">
        <f ca="1">IFERROR(VALUE(Raw_Data!I376), "")</f>
        <v>9000</v>
      </c>
      <c r="J376">
        <f>IFERROR(
    VALUE(SUBSTITUTE(Raw_Data!J376," visits","")),
    ""
)</f>
        <v>1</v>
      </c>
      <c r="K376" t="str">
        <f ca="1">IF(TRIM(Raw_Data!K376)="","No",PROPER(TRIM(Raw_Data!K376)))</f>
        <v>Yes</v>
      </c>
      <c r="L376" t="str">
        <f ca="1">PROPER(TRIM(Raw_Data!L376))</f>
        <v>Weight Loss</v>
      </c>
      <c r="M376" t="s">
        <v>151</v>
      </c>
      <c r="N376" s="2">
        <f>IFERROR(DATEVALUE(Raw_Data!N376), Raw_Data!N376)</f>
        <v>45825</v>
      </c>
      <c r="O376" s="2"/>
      <c r="P376" t="str">
        <f>IF(COUNTIF($A$2:A376,A376)&gt;1,"Duplicate","Unique")</f>
        <v>Unique</v>
      </c>
      <c r="Q376" t="str">
        <f t="shared" si="10"/>
        <v>OK</v>
      </c>
      <c r="R376" t="str">
        <f t="shared" si="11"/>
        <v>Available</v>
      </c>
    </row>
    <row r="377" spans="1:18">
      <c r="A377" t="str">
        <f>TRIM(CLEAN(Raw_Data!A377))</f>
        <v>MEM0376</v>
      </c>
      <c r="B377" t="str">
        <f ca="1">TRIM(Raw_Data!B377)</f>
        <v>Anjali Joshi</v>
      </c>
      <c r="C377" t="str">
        <f ca="1">_xlfn.XLOOKUP(D377, Branch_Master!A:A, Branch_Master!B:B)</f>
        <v>Bangalore</v>
      </c>
      <c r="D377" t="str">
        <f ca="1">TRIM(Raw_Data!D377)</f>
        <v>BR02</v>
      </c>
      <c r="E377" t="str">
        <f ca="1">PROPER(TRIM(Raw_Data!E377))</f>
        <v>Basic</v>
      </c>
      <c r="F377" s="2">
        <f>IFERROR(DATEVALUE(Raw_Data!F377), Raw_Data!F377)</f>
        <v>45860</v>
      </c>
      <c r="G377" s="2">
        <f>IFERROR(
    IF(
        IFERROR(DATEVALUE(Raw_Data!G377), Raw_Data!G377) &lt;
        IFERROR(DATEVALUE(Raw_Data!F377), Raw_Data!F377),
        IFERROR(DATEVALUE(Raw_Data!F377), Raw_Data!F377) + 30,
        IFERROR(DATEVALUE(Raw_Data!G377), Raw_Data!G377)
    ),
    ""
)</f>
        <v>45950</v>
      </c>
      <c r="H377">
        <f>IFERROR(VALUE(Raw_Data!H377), "")</f>
        <v>3500</v>
      </c>
      <c r="I377">
        <f ca="1">IFERROR(VALUE(Raw_Data!I377), "")</f>
        <v>31500</v>
      </c>
      <c r="J377">
        <f>IFERROR(
    VALUE(SUBSTITUTE(Raw_Data!J377," visits","")),
    ""
)</f>
        <v>19</v>
      </c>
      <c r="K377" t="str">
        <f ca="1">IF(TRIM(Raw_Data!K377)="","No",PROPER(TRIM(Raw_Data!K377)))</f>
        <v>Yes</v>
      </c>
      <c r="L377" t="str">
        <f ca="1">PROPER(TRIM(Raw_Data!L377))</f>
        <v>Muscle Gain</v>
      </c>
      <c r="M377" t="s">
        <v>151</v>
      </c>
      <c r="N377" s="2">
        <f>IFERROR(DATEVALUE(Raw_Data!N377), Raw_Data!N377)</f>
        <v>46123</v>
      </c>
      <c r="O377" s="2"/>
      <c r="P377" t="str">
        <f>IF(COUNTIF($A$2:A377,A377)&gt;1,"Duplicate","Unique")</f>
        <v>Unique</v>
      </c>
      <c r="Q377" t="str">
        <f t="shared" si="10"/>
        <v>OK</v>
      </c>
      <c r="R377" t="str">
        <f t="shared" si="11"/>
        <v>Available</v>
      </c>
    </row>
    <row r="378" spans="1:18">
      <c r="A378" t="str">
        <f>TRIM(CLEAN(Raw_Data!A378))</f>
        <v>MEM0377</v>
      </c>
      <c r="B378" t="str">
        <f ca="1">TRIM(Raw_Data!B378)</f>
        <v>Nikhil Singh</v>
      </c>
      <c r="C378" t="str">
        <f ca="1">_xlfn.XLOOKUP(D378, Branch_Master!A:A, Branch_Master!B:B)</f>
        <v>Hyderabad</v>
      </c>
      <c r="D378" t="str">
        <f ca="1">TRIM(Raw_Data!D378)</f>
        <v>BR04</v>
      </c>
      <c r="E378" t="str">
        <f ca="1">PROPER(TRIM(Raw_Data!E378))</f>
        <v>Premium</v>
      </c>
      <c r="F378" s="2">
        <f>IFERROR(DATEVALUE(Raw_Data!F378), Raw_Data!F378)</f>
        <v>45379</v>
      </c>
      <c r="G378" s="2">
        <f>IFERROR(
    IF(
        IFERROR(DATEVALUE(Raw_Data!G378), Raw_Data!G378) &lt;
        IFERROR(DATEVALUE(Raw_Data!F378), Raw_Data!F378),
        IFERROR(DATEVALUE(Raw_Data!F378), Raw_Data!F378) + 30,
        IFERROR(DATEVALUE(Raw_Data!G378), Raw_Data!G378)
    ),
    ""
)</f>
        <v>45409</v>
      </c>
      <c r="H378">
        <f>IFERROR(VALUE(Raw_Data!H378), "")</f>
        <v>2000</v>
      </c>
      <c r="I378">
        <f ca="1">IFERROR(VALUE(Raw_Data!I378), "")</f>
        <v>12000</v>
      </c>
      <c r="J378">
        <f>IFERROR(
    VALUE(SUBSTITUTE(Raw_Data!J378," visits","")),
    ""
)</f>
        <v>1</v>
      </c>
      <c r="K378" t="str">
        <f ca="1">IF(TRIM(Raw_Data!K378)="","No",PROPER(TRIM(Raw_Data!K378)))</f>
        <v>Yes</v>
      </c>
      <c r="L378" t="str">
        <f ca="1">PROPER(TRIM(Raw_Data!L378))</f>
        <v>Muscle Gain</v>
      </c>
      <c r="M378" t="s">
        <v>151</v>
      </c>
      <c r="N378" s="2">
        <f>IFERROR(DATEVALUE(Raw_Data!N378), Raw_Data!N378)</f>
        <v>45815</v>
      </c>
      <c r="O378" s="2"/>
      <c r="P378" t="str">
        <f>IF(COUNTIF($A$2:A378,A378)&gt;1,"Duplicate","Unique")</f>
        <v>Unique</v>
      </c>
      <c r="Q378" t="str">
        <f t="shared" si="10"/>
        <v>OK</v>
      </c>
      <c r="R378" t="str">
        <f t="shared" si="11"/>
        <v>Available</v>
      </c>
    </row>
    <row r="379" spans="1:18">
      <c r="A379" t="str">
        <f>TRIM(CLEAN(Raw_Data!A379))</f>
        <v>MEM0378</v>
      </c>
      <c r="B379" t="str">
        <f ca="1">TRIM(Raw_Data!B379)</f>
        <v>Varun Naidu</v>
      </c>
      <c r="C379" t="str">
        <f ca="1">_xlfn.XLOOKUP(D379, Branch_Master!A:A, Branch_Master!B:B)</f>
        <v>Chennai</v>
      </c>
      <c r="D379" t="str">
        <f ca="1">TRIM(Raw_Data!D379)</f>
        <v>BR03</v>
      </c>
      <c r="E379" t="str">
        <f ca="1">PROPER(TRIM(Raw_Data!E379))</f>
        <v>Premium</v>
      </c>
      <c r="F379" s="2">
        <f>IFERROR(DATEVALUE(Raw_Data!F379), Raw_Data!F379)</f>
        <v>45750</v>
      </c>
      <c r="G379" s="2">
        <f>IFERROR(
    IF(
        IFERROR(DATEVALUE(Raw_Data!G379), Raw_Data!G379) &lt;
        IFERROR(DATEVALUE(Raw_Data!F379), Raw_Data!F379),
        IFERROR(DATEVALUE(Raw_Data!F379), Raw_Data!F379) + 30,
        IFERROR(DATEVALUE(Raw_Data!G379), Raw_Data!G379)
    ),
    ""
)</f>
        <v>46115</v>
      </c>
      <c r="H379">
        <f>IFERROR(VALUE(Raw_Data!H379), "")</f>
        <v>3500</v>
      </c>
      <c r="I379">
        <f ca="1">IFERROR(VALUE(Raw_Data!I379), "")</f>
        <v>35000</v>
      </c>
      <c r="J379">
        <f>IFERROR(
    VALUE(SUBSTITUTE(Raw_Data!J379," visits","")),
    ""
)</f>
        <v>6</v>
      </c>
      <c r="K379" t="str">
        <f ca="1">IF(TRIM(Raw_Data!K379)="","No",PROPER(TRIM(Raw_Data!K379)))</f>
        <v>No</v>
      </c>
      <c r="L379" t="str">
        <f ca="1">PROPER(TRIM(Raw_Data!L379))</f>
        <v>Weight Loss</v>
      </c>
      <c r="M379" t="s">
        <v>151</v>
      </c>
      <c r="N379" s="2">
        <f>IFERROR(DATEVALUE(Raw_Data!N379), Raw_Data!N379)</f>
        <v>45917</v>
      </c>
      <c r="O379" s="2"/>
      <c r="P379" t="str">
        <f>IF(COUNTIF($A$2:A379,A379)&gt;1,"Duplicate","Unique")</f>
        <v>Unique</v>
      </c>
      <c r="Q379" t="str">
        <f t="shared" si="10"/>
        <v>OK</v>
      </c>
      <c r="R379" t="str">
        <f t="shared" si="11"/>
        <v>Available</v>
      </c>
    </row>
    <row r="380" spans="1:18">
      <c r="A380" t="str">
        <f>TRIM(CLEAN(Raw_Data!A380))</f>
        <v>MEM0379</v>
      </c>
      <c r="B380" t="str">
        <f ca="1">TRIM(Raw_Data!B380)</f>
        <v>Anjali Patel</v>
      </c>
      <c r="C380" t="str">
        <f ca="1">_xlfn.XLOOKUP(D380, Branch_Master!A:A, Branch_Master!B:B)</f>
        <v>Mumbai</v>
      </c>
      <c r="D380" t="str">
        <f ca="1">TRIM(Raw_Data!D380)</f>
        <v>BR05</v>
      </c>
      <c r="E380" t="str">
        <f ca="1">PROPER(TRIM(Raw_Data!E380))</f>
        <v>Premium</v>
      </c>
      <c r="F380" s="2">
        <f>IFERROR(DATEVALUE(Raw_Data!F380), Raw_Data!F380)</f>
        <v>45842</v>
      </c>
      <c r="G380" s="2">
        <f>IFERROR(
    IF(
        IFERROR(DATEVALUE(Raw_Data!G380), Raw_Data!G380) &lt;
        IFERROR(DATEVALUE(Raw_Data!F380), Raw_Data!F380),
        IFERROR(DATEVALUE(Raw_Data!F380), Raw_Data!F380) + 30,
        IFERROR(DATEVALUE(Raw_Data!G380), Raw_Data!G380)
    ),
    ""
)</f>
        <v>46207</v>
      </c>
      <c r="H380">
        <f>IFERROR(VALUE(Raw_Data!H380), "")</f>
        <v>2000</v>
      </c>
      <c r="I380">
        <f ca="1">IFERROR(VALUE(Raw_Data!I380), "")</f>
        <v>4000</v>
      </c>
      <c r="J380">
        <f>IFERROR(
    VALUE(SUBSTITUTE(Raw_Data!J380," visits","")),
    ""
)</f>
        <v>3</v>
      </c>
      <c r="K380" t="str">
        <f ca="1">IF(TRIM(Raw_Data!K380)="","No",PROPER(TRIM(Raw_Data!K380)))</f>
        <v>Yes</v>
      </c>
      <c r="L380" t="str">
        <f ca="1">PROPER(TRIM(Raw_Data!L380))</f>
        <v>Muscle Gain</v>
      </c>
      <c r="M380" t="s">
        <v>151</v>
      </c>
      <c r="N380" s="2">
        <f>IFERROR(DATEVALUE(Raw_Data!N380), Raw_Data!N380)</f>
        <v>45851</v>
      </c>
      <c r="O380" s="2"/>
      <c r="P380" t="str">
        <f>IF(COUNTIF($A$2:A380,A380)&gt;1,"Duplicate","Unique")</f>
        <v>Unique</v>
      </c>
      <c r="Q380" t="str">
        <f t="shared" si="10"/>
        <v>OK</v>
      </c>
      <c r="R380" t="str">
        <f t="shared" si="11"/>
        <v>Available</v>
      </c>
    </row>
    <row r="381" spans="1:18">
      <c r="A381" t="str">
        <f>TRIM(CLEAN(Raw_Data!A381))</f>
        <v>MEM0380</v>
      </c>
      <c r="B381" t="str">
        <f ca="1">TRIM(Raw_Data!B381)</f>
        <v>Akash Malhotra</v>
      </c>
      <c r="C381" t="str">
        <f ca="1">_xlfn.XLOOKUP(D381, Branch_Master!A:A, Branch_Master!B:B)</f>
        <v>Bangalore</v>
      </c>
      <c r="D381" t="str">
        <f ca="1">TRIM(Raw_Data!D381)</f>
        <v>BR02</v>
      </c>
      <c r="E381" t="str">
        <f ca="1">PROPER(TRIM(Raw_Data!E381))</f>
        <v>Premium</v>
      </c>
      <c r="F381" s="2">
        <f>IFERROR(DATEVALUE(Raw_Data!F381), Raw_Data!F381)</f>
        <v>45143</v>
      </c>
      <c r="G381" s="2">
        <f>IFERROR(
    IF(
        IFERROR(DATEVALUE(Raw_Data!G381), Raw_Data!G381) &lt;
        IFERROR(DATEVALUE(Raw_Data!F381), Raw_Data!F381),
        IFERROR(DATEVALUE(Raw_Data!F381), Raw_Data!F381) + 30,
        IFERROR(DATEVALUE(Raw_Data!G381), Raw_Data!G381)
    ),
    ""
)</f>
        <v>45233</v>
      </c>
      <c r="H381">
        <f>IFERROR(VALUE(Raw_Data!H381), "")</f>
        <v>1000</v>
      </c>
      <c r="I381">
        <f ca="1">IFERROR(VALUE(Raw_Data!I381), "")</f>
        <v>6000</v>
      </c>
      <c r="J381">
        <f>IFERROR(
    VALUE(SUBSTITUTE(Raw_Data!J381," visits","")),
    ""
)</f>
        <v>11</v>
      </c>
      <c r="K381" t="str">
        <f ca="1">IF(TRIM(Raw_Data!K381)="","No",PROPER(TRIM(Raw_Data!K381)))</f>
        <v>No</v>
      </c>
      <c r="L381" t="str">
        <f ca="1">PROPER(TRIM(Raw_Data!L381))</f>
        <v>Weight Loss</v>
      </c>
      <c r="M381" t="s">
        <v>151</v>
      </c>
      <c r="N381" s="2">
        <f>IFERROR(DATEVALUE(Raw_Data!N381), Raw_Data!N381)</f>
        <v>45360</v>
      </c>
      <c r="O381" s="2"/>
      <c r="P381" t="str">
        <f>IF(COUNTIF($A$2:A381,A381)&gt;1,"Duplicate","Unique")</f>
        <v>Unique</v>
      </c>
      <c r="Q381" t="str">
        <f t="shared" si="10"/>
        <v>OK</v>
      </c>
      <c r="R381" t="str">
        <f t="shared" si="11"/>
        <v>Available</v>
      </c>
    </row>
    <row r="382" spans="1:18">
      <c r="A382" t="str">
        <f>TRIM(CLEAN(Raw_Data!A382))</f>
        <v>MEM0381</v>
      </c>
      <c r="B382" t="str">
        <f ca="1">TRIM(Raw_Data!B382)</f>
        <v>Ankit Thomas</v>
      </c>
      <c r="C382" t="str">
        <f ca="1">_xlfn.XLOOKUP(D382, Branch_Master!A:A, Branch_Master!B:B)</f>
        <v>Chennai</v>
      </c>
      <c r="D382" t="str">
        <f ca="1">TRIM(Raw_Data!D382)</f>
        <v>BR03</v>
      </c>
      <c r="E382" t="str">
        <f ca="1">PROPER(TRIM(Raw_Data!E382))</f>
        <v>Premium</v>
      </c>
      <c r="F382" s="2">
        <f>IFERROR(DATEVALUE(Raw_Data!F382), Raw_Data!F382)</f>
        <v>45607</v>
      </c>
      <c r="G382" s="2">
        <f>IFERROR(
    IF(
        IFERROR(DATEVALUE(Raw_Data!G382), Raw_Data!G382) &lt;
        IFERROR(DATEVALUE(Raw_Data!F382), Raw_Data!F382),
        IFERROR(DATEVALUE(Raw_Data!F382), Raw_Data!F382) + 30,
        IFERROR(DATEVALUE(Raw_Data!G382), Raw_Data!G382)
    ),
    ""
)</f>
        <v>45697</v>
      </c>
      <c r="H382">
        <f>IFERROR(VALUE(Raw_Data!H382), "")</f>
        <v>3500</v>
      </c>
      <c r="I382">
        <f ca="1">IFERROR(VALUE(Raw_Data!I382), "")</f>
        <v>10500</v>
      </c>
      <c r="J382">
        <f>IFERROR(
    VALUE(SUBSTITUTE(Raw_Data!J382," visits","")),
    ""
)</f>
        <v>12</v>
      </c>
      <c r="K382" t="str">
        <f ca="1">IF(TRIM(Raw_Data!K382)="","No",PROPER(TRIM(Raw_Data!K382)))</f>
        <v>Yes</v>
      </c>
      <c r="L382" t="str">
        <f ca="1">PROPER(TRIM(Raw_Data!L382))</f>
        <v>Muscle Gain</v>
      </c>
      <c r="M382" t="s">
        <v>151</v>
      </c>
      <c r="N382" s="2">
        <f>IFERROR(DATEVALUE(Raw_Data!N382), Raw_Data!N382)</f>
        <v>45828</v>
      </c>
      <c r="O382" s="2"/>
      <c r="P382" t="str">
        <f>IF(COUNTIF($A$2:A382,A382)&gt;1,"Duplicate","Unique")</f>
        <v>Unique</v>
      </c>
      <c r="Q382" t="str">
        <f t="shared" si="10"/>
        <v>OK</v>
      </c>
      <c r="R382" t="str">
        <f t="shared" si="11"/>
        <v>Available</v>
      </c>
    </row>
    <row r="383" spans="1:18">
      <c r="A383" t="str">
        <f>TRIM(CLEAN(Raw_Data!A383))</f>
        <v>MEM0382</v>
      </c>
      <c r="B383" t="str">
        <f ca="1">TRIM(Raw_Data!B383)</f>
        <v>Arjun Shaikh</v>
      </c>
      <c r="C383" t="str">
        <f ca="1">_xlfn.XLOOKUP(D383, Branch_Master!A:A, Branch_Master!B:B)</f>
        <v>Chennai</v>
      </c>
      <c r="D383" t="str">
        <f ca="1">TRIM(Raw_Data!D383)</f>
        <v>BR03</v>
      </c>
      <c r="E383" t="str">
        <f ca="1">PROPER(TRIM(Raw_Data!E383))</f>
        <v>Standard</v>
      </c>
      <c r="F383" s="2">
        <f>IFERROR(DATEVALUE(Raw_Data!F383), Raw_Data!F383)</f>
        <v>45705</v>
      </c>
      <c r="G383" s="2">
        <f>IFERROR(
    IF(
        IFERROR(DATEVALUE(Raw_Data!G383), Raw_Data!G383) &lt;
        IFERROR(DATEVALUE(Raw_Data!F383), Raw_Data!F383),
        IFERROR(DATEVALUE(Raw_Data!F383), Raw_Data!F383) + 30,
        IFERROR(DATEVALUE(Raw_Data!G383), Raw_Data!G383)
    ),
    ""
)</f>
        <v>46070</v>
      </c>
      <c r="H383">
        <f>IFERROR(VALUE(Raw_Data!H383), "")</f>
        <v>1000</v>
      </c>
      <c r="I383">
        <f ca="1">IFERROR(VALUE(Raw_Data!I383), "")</f>
        <v>9000</v>
      </c>
      <c r="J383">
        <f>IFERROR(
    VALUE(SUBSTITUTE(Raw_Data!J383," visits","")),
    ""
)</f>
        <v>22</v>
      </c>
      <c r="K383" t="str">
        <f ca="1">IF(TRIM(Raw_Data!K383)="","No",PROPER(TRIM(Raw_Data!K383)))</f>
        <v>No</v>
      </c>
      <c r="L383" t="str">
        <f ca="1">PROPER(TRIM(Raw_Data!L383))</f>
        <v>Muscle Gain</v>
      </c>
      <c r="M383" t="s">
        <v>151</v>
      </c>
      <c r="N383" s="2">
        <f>IFERROR(DATEVALUE(Raw_Data!N383), Raw_Data!N383)</f>
        <v>46009</v>
      </c>
      <c r="O383" s="2"/>
      <c r="P383" t="str">
        <f>IF(COUNTIF($A$2:A383,A383)&gt;1,"Duplicate","Unique")</f>
        <v>Unique</v>
      </c>
      <c r="Q383" t="str">
        <f t="shared" si="10"/>
        <v>OK</v>
      </c>
      <c r="R383" t="str">
        <f t="shared" si="11"/>
        <v>Available</v>
      </c>
    </row>
    <row r="384" spans="1:18">
      <c r="A384" t="str">
        <f>TRIM(CLEAN(Raw_Data!A384))</f>
        <v>MEM0383</v>
      </c>
      <c r="B384" t="str">
        <f ca="1">TRIM(Raw_Data!B384)</f>
        <v>Siddharth Mathew</v>
      </c>
      <c r="C384" t="str">
        <f ca="1">_xlfn.XLOOKUP(D384, Branch_Master!A:A, Branch_Master!B:B)</f>
        <v>Calicut</v>
      </c>
      <c r="D384" t="str">
        <f ca="1">TRIM(Raw_Data!D384)</f>
        <v>BR07</v>
      </c>
      <c r="E384" t="str">
        <f ca="1">PROPER(TRIM(Raw_Data!E384))</f>
        <v>Premium</v>
      </c>
      <c r="F384" s="2">
        <f>IFERROR(DATEVALUE(Raw_Data!F384), Raw_Data!F384)</f>
        <v>45456</v>
      </c>
      <c r="G384" s="2">
        <f>IFERROR(
    IF(
        IFERROR(DATEVALUE(Raw_Data!G384), Raw_Data!G384) &lt;
        IFERROR(DATEVALUE(Raw_Data!F384), Raw_Data!F384),
        IFERROR(DATEVALUE(Raw_Data!F384), Raw_Data!F384) + 30,
        IFERROR(DATEVALUE(Raw_Data!G384), Raw_Data!G384)
    ),
    ""
)</f>
        <v>45486</v>
      </c>
      <c r="H384">
        <f>IFERROR(VALUE(Raw_Data!H384), "")</f>
        <v>1000</v>
      </c>
      <c r="I384">
        <f ca="1">IFERROR(VALUE(Raw_Data!I384), "")</f>
        <v>11000</v>
      </c>
      <c r="J384">
        <f>IFERROR(
    VALUE(SUBSTITUTE(Raw_Data!J384," visits","")),
    ""
)</f>
        <v>4</v>
      </c>
      <c r="K384" t="str">
        <f ca="1">IF(TRIM(Raw_Data!K384)="","No",PROPER(TRIM(Raw_Data!K384)))</f>
        <v>Yes</v>
      </c>
      <c r="L384" t="str">
        <f ca="1">PROPER(TRIM(Raw_Data!L384))</f>
        <v>General Fitness</v>
      </c>
      <c r="M384" t="s">
        <v>151</v>
      </c>
      <c r="N384" s="2">
        <f>IFERROR(DATEVALUE(Raw_Data!N384), Raw_Data!N384)</f>
        <v>45468</v>
      </c>
      <c r="O384" s="2"/>
      <c r="P384" t="str">
        <f>IF(COUNTIF($A$2:A384,A384)&gt;1,"Duplicate","Unique")</f>
        <v>Unique</v>
      </c>
      <c r="Q384" t="str">
        <f t="shared" si="10"/>
        <v>OK</v>
      </c>
      <c r="R384" t="str">
        <f t="shared" si="11"/>
        <v>Available</v>
      </c>
    </row>
    <row r="385" spans="1:18">
      <c r="A385" t="str">
        <f>TRIM(CLEAN(Raw_Data!A385))</f>
        <v>MEM0384</v>
      </c>
      <c r="B385" t="str">
        <f ca="1">TRIM(Raw_Data!B385)</f>
        <v>Divya Reddy</v>
      </c>
      <c r="C385" t="str">
        <f ca="1">_xlfn.XLOOKUP(D385, Branch_Master!A:A, Branch_Master!B:B)</f>
        <v>Chennai</v>
      </c>
      <c r="D385" t="str">
        <f ca="1">TRIM(Raw_Data!D385)</f>
        <v>BR03</v>
      </c>
      <c r="E385" t="str">
        <f ca="1">PROPER(TRIM(Raw_Data!E385))</f>
        <v>Basic</v>
      </c>
      <c r="F385" s="2">
        <f>IFERROR(DATEVALUE(Raw_Data!F385), Raw_Data!F385)</f>
        <v>45676</v>
      </c>
      <c r="G385" s="2">
        <f>IFERROR(
    IF(
        IFERROR(DATEVALUE(Raw_Data!G385), Raw_Data!G385) &lt;
        IFERROR(DATEVALUE(Raw_Data!F385), Raw_Data!F385),
        IFERROR(DATEVALUE(Raw_Data!F385), Raw_Data!F385) + 30,
        IFERROR(DATEVALUE(Raw_Data!G385), Raw_Data!G385)
    ),
    ""
)</f>
        <v>46041</v>
      </c>
      <c r="H385">
        <f>IFERROR(VALUE(Raw_Data!H385), "")</f>
        <v>1000</v>
      </c>
      <c r="I385">
        <f ca="1">IFERROR(VALUE(Raw_Data!I385), "")</f>
        <v>6000</v>
      </c>
      <c r="J385">
        <f>IFERROR(
    VALUE(SUBSTITUTE(Raw_Data!J385," visits","")),
    ""
)</f>
        <v>12</v>
      </c>
      <c r="K385" t="str">
        <f ca="1">IF(TRIM(Raw_Data!K385)="","No",PROPER(TRIM(Raw_Data!K385)))</f>
        <v>No</v>
      </c>
      <c r="L385" t="str">
        <f ca="1">PROPER(TRIM(Raw_Data!L385))</f>
        <v>Weight Loss</v>
      </c>
      <c r="M385" t="s">
        <v>151</v>
      </c>
      <c r="N385" s="2">
        <f>IFERROR(DATEVALUE(Raw_Data!N385), Raw_Data!N385)</f>
        <v>46079</v>
      </c>
      <c r="O385" s="2"/>
      <c r="P385" t="str">
        <f>IF(COUNTIF($A$2:A385,A385)&gt;1,"Duplicate","Unique")</f>
        <v>Unique</v>
      </c>
      <c r="Q385" t="str">
        <f t="shared" si="10"/>
        <v>OK</v>
      </c>
      <c r="R385" t="str">
        <f t="shared" si="11"/>
        <v>Available</v>
      </c>
    </row>
    <row r="386" spans="1:18">
      <c r="A386" t="str">
        <f>TRIM(CLEAN(Raw_Data!A386))</f>
        <v>MEM0385</v>
      </c>
      <c r="B386" t="str">
        <f ca="1">TRIM(Raw_Data!B386)</f>
        <v>Rahul Bhat</v>
      </c>
      <c r="C386" t="str">
        <f ca="1">_xlfn.XLOOKUP(D386, Branch_Master!A:A, Branch_Master!B:B)</f>
        <v>Chennai</v>
      </c>
      <c r="D386" t="str">
        <f ca="1">TRIM(Raw_Data!D386)</f>
        <v>BR03</v>
      </c>
      <c r="E386" t="str">
        <f ca="1">PROPER(TRIM(Raw_Data!E386))</f>
        <v>Premium</v>
      </c>
      <c r="F386" s="2">
        <f>IFERROR(DATEVALUE(Raw_Data!F386), Raw_Data!F386)</f>
        <v>45771</v>
      </c>
      <c r="G386" s="2">
        <f>IFERROR(
    IF(
        IFERROR(DATEVALUE(Raw_Data!G386), Raw_Data!G386) &lt;
        IFERROR(DATEVALUE(Raw_Data!F386), Raw_Data!F386),
        IFERROR(DATEVALUE(Raw_Data!F386), Raw_Data!F386) + 30,
        IFERROR(DATEVALUE(Raw_Data!G386), Raw_Data!G386)
    ),
    ""
)</f>
        <v>45801</v>
      </c>
      <c r="H386">
        <f>IFERROR(VALUE(Raw_Data!H386), "")</f>
        <v>1000</v>
      </c>
      <c r="I386">
        <f ca="1">IFERROR(VALUE(Raw_Data!I386), "")</f>
        <v>11000</v>
      </c>
      <c r="J386">
        <f>IFERROR(
    VALUE(SUBSTITUTE(Raw_Data!J386," visits","")),
    ""
)</f>
        <v>25</v>
      </c>
      <c r="K386" t="str">
        <f ca="1">IF(TRIM(Raw_Data!K386)="","No",PROPER(TRIM(Raw_Data!K386)))</f>
        <v>Yes</v>
      </c>
      <c r="L386" t="str">
        <f ca="1">PROPER(TRIM(Raw_Data!L386))</f>
        <v>Weight Loss</v>
      </c>
      <c r="M386" t="s">
        <v>151</v>
      </c>
      <c r="N386" s="2">
        <f>IFERROR(DATEVALUE(Raw_Data!N386), Raw_Data!N386)</f>
        <v>45933</v>
      </c>
      <c r="O386" s="2"/>
      <c r="P386" t="str">
        <f>IF(COUNTIF($A$2:A386,A386)&gt;1,"Duplicate","Unique")</f>
        <v>Unique</v>
      </c>
      <c r="Q386" t="str">
        <f t="shared" si="10"/>
        <v>OK</v>
      </c>
      <c r="R386" t="str">
        <f t="shared" si="11"/>
        <v>Available</v>
      </c>
    </row>
    <row r="387" spans="1:18">
      <c r="A387" t="str">
        <f>TRIM(CLEAN(Raw_Data!A387))</f>
        <v>MEM0386</v>
      </c>
      <c r="B387" t="str">
        <f ca="1">TRIM(Raw_Data!B387)</f>
        <v>Divya Banerjee</v>
      </c>
      <c r="C387" t="str">
        <f ca="1">_xlfn.XLOOKUP(D387, Branch_Master!A:A, Branch_Master!B:B)</f>
        <v>Hyderabad</v>
      </c>
      <c r="D387" t="str">
        <f ca="1">TRIM(Raw_Data!D387)</f>
        <v>BR04</v>
      </c>
      <c r="E387" t="str">
        <f ca="1">PROPER(TRIM(Raw_Data!E387))</f>
        <v>Premium</v>
      </c>
      <c r="F387" s="2">
        <f>IFERROR(DATEVALUE(Raw_Data!F387), Raw_Data!F387)</f>
        <v>45941</v>
      </c>
      <c r="G387" s="2">
        <f>IFERROR(
    IF(
        IFERROR(DATEVALUE(Raw_Data!G387), Raw_Data!G387) &lt;
        IFERROR(DATEVALUE(Raw_Data!F387), Raw_Data!F387),
        IFERROR(DATEVALUE(Raw_Data!F387), Raw_Data!F387) + 30,
        IFERROR(DATEVALUE(Raw_Data!G387), Raw_Data!G387)
    ),
    ""
)</f>
        <v>46031</v>
      </c>
      <c r="H387">
        <f>IFERROR(VALUE(Raw_Data!H387), "")</f>
        <v>2000</v>
      </c>
      <c r="I387">
        <f ca="1">IFERROR(VALUE(Raw_Data!I387), "")</f>
        <v>4000</v>
      </c>
      <c r="J387">
        <f>IFERROR(
    VALUE(SUBSTITUTE(Raw_Data!J387," visits","")),
    ""
)</f>
        <v>5</v>
      </c>
      <c r="K387" t="str">
        <f ca="1">IF(TRIM(Raw_Data!K387)="","No",PROPER(TRIM(Raw_Data!K387)))</f>
        <v>Yes</v>
      </c>
      <c r="L387" t="str">
        <f ca="1">PROPER(TRIM(Raw_Data!L387))</f>
        <v>Weight Loss</v>
      </c>
      <c r="M387" t="s">
        <v>151</v>
      </c>
      <c r="N387" s="2">
        <f>IFERROR(DATEVALUE(Raw_Data!N387), Raw_Data!N387)</f>
        <v>46063</v>
      </c>
      <c r="O387" s="2"/>
      <c r="P387" t="str">
        <f>IF(COUNTIF($A$2:A387,A387)&gt;1,"Duplicate","Unique")</f>
        <v>Unique</v>
      </c>
      <c r="Q387" t="str">
        <f t="shared" ref="Q387:Q450" si="12">IF(G387&lt;F387,"Expiry Error",
IF(AND(M387="Cancelled",N387&lt;&gt;""),"Cancelled but Active",
IF(J387&gt;30,"Invalid Attendance","OK")))</f>
        <v>OK</v>
      </c>
      <c r="R387" t="str">
        <f t="shared" ref="R387:R450" si="13">IF(N387="","Missing","Available")</f>
        <v>Available</v>
      </c>
    </row>
    <row r="388" spans="1:18">
      <c r="A388" t="str">
        <f>TRIM(CLEAN(Raw_Data!A388))</f>
        <v>MEM0387</v>
      </c>
      <c r="B388" t="str">
        <f ca="1">TRIM(Raw_Data!B388)</f>
        <v>Pooja Gupta</v>
      </c>
      <c r="C388" t="str">
        <f ca="1">_xlfn.XLOOKUP(D388, Branch_Master!A:A, Branch_Master!B:B)</f>
        <v>Calicut</v>
      </c>
      <c r="D388" t="str">
        <f ca="1">TRIM(Raw_Data!D388)</f>
        <v>BR07</v>
      </c>
      <c r="E388" t="str">
        <f ca="1">PROPER(TRIM(Raw_Data!E388))</f>
        <v>Standard</v>
      </c>
      <c r="F388" s="2">
        <f>IFERROR(DATEVALUE(Raw_Data!F388), Raw_Data!F388)</f>
        <v>45090</v>
      </c>
      <c r="G388" s="2">
        <f>IFERROR(
    IF(
        IFERROR(DATEVALUE(Raw_Data!G388), Raw_Data!G388) &lt;
        IFERROR(DATEVALUE(Raw_Data!F388), Raw_Data!F388),
        IFERROR(DATEVALUE(Raw_Data!F388), Raw_Data!F388) + 30,
        IFERROR(DATEVALUE(Raw_Data!G388), Raw_Data!G388)
    ),
    ""
)</f>
        <v>45180</v>
      </c>
      <c r="H388">
        <f>IFERROR(VALUE(Raw_Data!H388), "")</f>
        <v>1000</v>
      </c>
      <c r="I388">
        <f ca="1">IFERROR(VALUE(Raw_Data!I388), "")</f>
        <v>9000</v>
      </c>
      <c r="J388">
        <f>IFERROR(
    VALUE(SUBSTITUTE(Raw_Data!J388," visits","")),
    ""
)</f>
        <v>22</v>
      </c>
      <c r="K388" t="str">
        <f ca="1">IF(TRIM(Raw_Data!K388)="","No",PROPER(TRIM(Raw_Data!K388)))</f>
        <v>No</v>
      </c>
      <c r="L388" t="str">
        <f ca="1">PROPER(TRIM(Raw_Data!L388))</f>
        <v>General Fitness</v>
      </c>
      <c r="M388" t="s">
        <v>151</v>
      </c>
      <c r="N388" s="2">
        <f>IFERROR(DATEVALUE(Raw_Data!N388), Raw_Data!N388)</f>
        <v>45167</v>
      </c>
      <c r="O388" s="2"/>
      <c r="P388" t="str">
        <f>IF(COUNTIF($A$2:A388,A388)&gt;1,"Duplicate","Unique")</f>
        <v>Unique</v>
      </c>
      <c r="Q388" t="str">
        <f t="shared" si="12"/>
        <v>OK</v>
      </c>
      <c r="R388" t="str">
        <f t="shared" si="13"/>
        <v>Available</v>
      </c>
    </row>
    <row r="389" spans="1:18">
      <c r="A389" t="str">
        <f>TRIM(CLEAN(Raw_Data!A389))</f>
        <v>MEM0388</v>
      </c>
      <c r="B389" t="str">
        <f ca="1">TRIM(Raw_Data!B389)</f>
        <v>Siddharth Patel</v>
      </c>
      <c r="C389" t="str">
        <f ca="1">_xlfn.XLOOKUP(D389, Branch_Master!A:A, Branch_Master!B:B)</f>
        <v>Bangalore</v>
      </c>
      <c r="D389" t="str">
        <f ca="1">TRIM(Raw_Data!D389)</f>
        <v>BR02</v>
      </c>
      <c r="E389" t="str">
        <f ca="1">PROPER(TRIM(Raw_Data!E389))</f>
        <v>Standard</v>
      </c>
      <c r="F389" s="2">
        <f>IFERROR(DATEVALUE(Raw_Data!F389), Raw_Data!F389)</f>
        <v>45847</v>
      </c>
      <c r="G389" s="2">
        <f>IFERROR(
    IF(
        IFERROR(DATEVALUE(Raw_Data!G389), Raw_Data!G389) &lt;
        IFERROR(DATEVALUE(Raw_Data!F389), Raw_Data!F389),
        IFERROR(DATEVALUE(Raw_Data!F389), Raw_Data!F389) + 30,
        IFERROR(DATEVALUE(Raw_Data!G389), Raw_Data!G389)
    ),
    ""
)</f>
        <v>45937</v>
      </c>
      <c r="H389">
        <f>IFERROR(VALUE(Raw_Data!H389), "")</f>
        <v>2000</v>
      </c>
      <c r="I389">
        <f ca="1">IFERROR(VALUE(Raw_Data!I389), "")</f>
        <v>20000</v>
      </c>
      <c r="J389">
        <f>IFERROR(
    VALUE(SUBSTITUTE(Raw_Data!J389," visits","")),
    ""
)</f>
        <v>6</v>
      </c>
      <c r="K389" t="str">
        <f ca="1">IF(TRIM(Raw_Data!K389)="","No",PROPER(TRIM(Raw_Data!K389)))</f>
        <v>Yes</v>
      </c>
      <c r="L389" t="str">
        <f ca="1">PROPER(TRIM(Raw_Data!L389))</f>
        <v>Weight Loss</v>
      </c>
      <c r="M389" t="s">
        <v>151</v>
      </c>
      <c r="N389" s="2">
        <f>IFERROR(DATEVALUE(Raw_Data!N389), Raw_Data!N389)</f>
        <v>45897</v>
      </c>
      <c r="O389" s="2"/>
      <c r="P389" t="str">
        <f>IF(COUNTIF($A$2:A389,A389)&gt;1,"Duplicate","Unique")</f>
        <v>Unique</v>
      </c>
      <c r="Q389" t="str">
        <f t="shared" si="12"/>
        <v>OK</v>
      </c>
      <c r="R389" t="str">
        <f t="shared" si="13"/>
        <v>Available</v>
      </c>
    </row>
    <row r="390" spans="1:18">
      <c r="A390" t="str">
        <f>TRIM(CLEAN(Raw_Data!A390))</f>
        <v>MEM0389</v>
      </c>
      <c r="B390" t="str">
        <f ca="1">TRIM(Raw_Data!B390)</f>
        <v>Karthik Banerjee</v>
      </c>
      <c r="C390" t="str">
        <f ca="1">_xlfn.XLOOKUP(D390, Branch_Master!A:A, Branch_Master!B:B)</f>
        <v>Hyderabad</v>
      </c>
      <c r="D390" t="str">
        <f ca="1">TRIM(Raw_Data!D390)</f>
        <v>BR04</v>
      </c>
      <c r="E390" t="str">
        <f ca="1">PROPER(TRIM(Raw_Data!E390))</f>
        <v>Premium</v>
      </c>
      <c r="F390" s="2">
        <f>IFERROR(DATEVALUE(Raw_Data!F390), Raw_Data!F390)</f>
        <v>45384</v>
      </c>
      <c r="G390" s="2">
        <f>IFERROR(
    IF(
        IFERROR(DATEVALUE(Raw_Data!G390), Raw_Data!G390) &lt;
        IFERROR(DATEVALUE(Raw_Data!F390), Raw_Data!F390),
        IFERROR(DATEVALUE(Raw_Data!F390), Raw_Data!F390) + 30,
        IFERROR(DATEVALUE(Raw_Data!G390), Raw_Data!G390)
    ),
    ""
)</f>
        <v>45474</v>
      </c>
      <c r="H390">
        <f>IFERROR(VALUE(Raw_Data!H390), "")</f>
        <v>1000</v>
      </c>
      <c r="I390">
        <f ca="1">IFERROR(VALUE(Raw_Data!I390), "")</f>
        <v>8000</v>
      </c>
      <c r="J390">
        <f>IFERROR(
    VALUE(SUBSTITUTE(Raw_Data!J390," visits","")),
    ""
)</f>
        <v>13</v>
      </c>
      <c r="K390" t="str">
        <f ca="1">IF(TRIM(Raw_Data!K390)="","No",PROPER(TRIM(Raw_Data!K390)))</f>
        <v>No</v>
      </c>
      <c r="L390" t="str">
        <f ca="1">PROPER(TRIM(Raw_Data!L390))</f>
        <v>General Fitness</v>
      </c>
      <c r="M390" t="s">
        <v>151</v>
      </c>
      <c r="N390" s="2">
        <f>IFERROR(DATEVALUE(Raw_Data!N390), Raw_Data!N390)</f>
        <v>45918</v>
      </c>
      <c r="O390" s="2"/>
      <c r="P390" t="str">
        <f>IF(COUNTIF($A$2:A390,A390)&gt;1,"Duplicate","Unique")</f>
        <v>Unique</v>
      </c>
      <c r="Q390" t="str">
        <f t="shared" si="12"/>
        <v>OK</v>
      </c>
      <c r="R390" t="str">
        <f t="shared" si="13"/>
        <v>Available</v>
      </c>
    </row>
    <row r="391" spans="1:18">
      <c r="A391" t="str">
        <f>TRIM(CLEAN(Raw_Data!A391))</f>
        <v>MEM0390</v>
      </c>
      <c r="B391" t="str">
        <f ca="1">TRIM(Raw_Data!B391)</f>
        <v>Ankit Pillai</v>
      </c>
      <c r="C391" t="str">
        <f ca="1">_xlfn.XLOOKUP(D391, Branch_Master!A:A, Branch_Master!B:B)</f>
        <v>Calicut</v>
      </c>
      <c r="D391" t="str">
        <f ca="1">TRIM(Raw_Data!D391)</f>
        <v>BR07</v>
      </c>
      <c r="E391" t="str">
        <f ca="1">PROPER(TRIM(Raw_Data!E391))</f>
        <v>Basic</v>
      </c>
      <c r="F391" s="2">
        <f>IFERROR(DATEVALUE(Raw_Data!F391), Raw_Data!F391)</f>
        <v>45762</v>
      </c>
      <c r="G391" s="2">
        <f>IFERROR(
    IF(
        IFERROR(DATEVALUE(Raw_Data!G391), Raw_Data!G391) &lt;
        IFERROR(DATEVALUE(Raw_Data!F391), Raw_Data!F391),
        IFERROR(DATEVALUE(Raw_Data!F391), Raw_Data!F391) + 30,
        IFERROR(DATEVALUE(Raw_Data!G391), Raw_Data!G391)
    ),
    ""
)</f>
        <v>45792</v>
      </c>
      <c r="H391">
        <f>IFERROR(VALUE(Raw_Data!H391), "")</f>
        <v>3500</v>
      </c>
      <c r="I391">
        <f ca="1">IFERROR(VALUE(Raw_Data!I391), "")</f>
        <v>14000</v>
      </c>
      <c r="J391">
        <f>IFERROR(
    VALUE(SUBSTITUTE(Raw_Data!J391," visits","")),
    ""
)</f>
        <v>24</v>
      </c>
      <c r="K391" t="str">
        <f ca="1">IF(TRIM(Raw_Data!K391)="","No",PROPER(TRIM(Raw_Data!K391)))</f>
        <v>Yes</v>
      </c>
      <c r="L391" t="str">
        <f ca="1">PROPER(TRIM(Raw_Data!L391))</f>
        <v>Muscle Gain</v>
      </c>
      <c r="M391" t="s">
        <v>151</v>
      </c>
      <c r="N391" s="2">
        <f>IFERROR(DATEVALUE(Raw_Data!N391), Raw_Data!N391)</f>
        <v>45944</v>
      </c>
      <c r="O391" s="2"/>
      <c r="P391" t="str">
        <f>IF(COUNTIF($A$2:A391,A391)&gt;1,"Duplicate","Unique")</f>
        <v>Unique</v>
      </c>
      <c r="Q391" t="str">
        <f t="shared" si="12"/>
        <v>OK</v>
      </c>
      <c r="R391" t="str">
        <f t="shared" si="13"/>
        <v>Available</v>
      </c>
    </row>
    <row r="392" spans="1:18">
      <c r="A392" t="str">
        <f>TRIM(CLEAN(Raw_Data!A392))</f>
        <v>MEM0391</v>
      </c>
      <c r="B392" t="str">
        <f ca="1">TRIM(Raw_Data!B392)</f>
        <v>Shreya Pillai</v>
      </c>
      <c r="C392" t="str">
        <f ca="1">_xlfn.XLOOKUP(D392, Branch_Master!A:A, Branch_Master!B:B)</f>
        <v>Chennai</v>
      </c>
      <c r="D392" t="str">
        <f ca="1">TRIM(Raw_Data!D392)</f>
        <v>BR03</v>
      </c>
      <c r="E392" t="str">
        <f ca="1">PROPER(TRIM(Raw_Data!E392))</f>
        <v>Premium</v>
      </c>
      <c r="F392" s="2">
        <f>IFERROR(DATEVALUE(Raw_Data!F392), Raw_Data!F392)</f>
        <v>45240</v>
      </c>
      <c r="G392" s="2">
        <f>IFERROR(
    IF(
        IFERROR(DATEVALUE(Raw_Data!G392), Raw_Data!G392) &lt;
        IFERROR(DATEVALUE(Raw_Data!F392), Raw_Data!F392),
        IFERROR(DATEVALUE(Raw_Data!F392), Raw_Data!F392) + 30,
        IFERROR(DATEVALUE(Raw_Data!G392), Raw_Data!G392)
    ),
    ""
)</f>
        <v>45605</v>
      </c>
      <c r="H392">
        <f>IFERROR(VALUE(Raw_Data!H392), "")</f>
        <v>1000</v>
      </c>
      <c r="I392">
        <f ca="1">IFERROR(VALUE(Raw_Data!I392), "")</f>
        <v>9000</v>
      </c>
      <c r="J392">
        <f>IFERROR(
    VALUE(SUBSTITUTE(Raw_Data!J392," visits","")),
    ""
)</f>
        <v>21</v>
      </c>
      <c r="K392" t="str">
        <f ca="1">IF(TRIM(Raw_Data!K392)="","No",PROPER(TRIM(Raw_Data!K392)))</f>
        <v>No</v>
      </c>
      <c r="L392" t="str">
        <f ca="1">PROPER(TRIM(Raw_Data!L392))</f>
        <v>General Fitness</v>
      </c>
      <c r="M392" t="s">
        <v>151</v>
      </c>
      <c r="N392" s="2">
        <f>IFERROR(DATEVALUE(Raw_Data!N392), Raw_Data!N392)</f>
        <v>45554</v>
      </c>
      <c r="O392" s="2"/>
      <c r="P392" t="str">
        <f>IF(COUNTIF($A$2:A392,A392)&gt;1,"Duplicate","Unique")</f>
        <v>Unique</v>
      </c>
      <c r="Q392" t="str">
        <f t="shared" si="12"/>
        <v>OK</v>
      </c>
      <c r="R392" t="str">
        <f t="shared" si="13"/>
        <v>Available</v>
      </c>
    </row>
    <row r="393" spans="1:18">
      <c r="A393" t="str">
        <f>TRIM(CLEAN(Raw_Data!A393))</f>
        <v>MEM0392</v>
      </c>
      <c r="B393" t="str">
        <f ca="1">TRIM(Raw_Data!B393)</f>
        <v>Ayesha Shaikh</v>
      </c>
      <c r="C393" t="str">
        <f ca="1">_xlfn.XLOOKUP(D393, Branch_Master!A:A, Branch_Master!B:B)</f>
        <v>Hyderabad</v>
      </c>
      <c r="D393" t="str">
        <f ca="1">TRIM(Raw_Data!D393)</f>
        <v>BR04</v>
      </c>
      <c r="E393" t="str">
        <f ca="1">PROPER(TRIM(Raw_Data!E393))</f>
        <v>Standard</v>
      </c>
      <c r="F393" s="2">
        <f>IFERROR(DATEVALUE(Raw_Data!F393), Raw_Data!F393)</f>
        <v>44946</v>
      </c>
      <c r="G393" s="2">
        <f>IFERROR(
    IF(
        IFERROR(DATEVALUE(Raw_Data!G393), Raw_Data!G393) &lt;
        IFERROR(DATEVALUE(Raw_Data!F393), Raw_Data!F393),
        IFERROR(DATEVALUE(Raw_Data!F393), Raw_Data!F393) + 30,
        IFERROR(DATEVALUE(Raw_Data!G393), Raw_Data!G393)
    ),
    ""
)</f>
        <v>44976</v>
      </c>
      <c r="H393">
        <f>IFERROR(VALUE(Raw_Data!H393), "")</f>
        <v>1000</v>
      </c>
      <c r="I393">
        <f ca="1">IFERROR(VALUE(Raw_Data!I393), "")</f>
        <v>11000</v>
      </c>
      <c r="J393">
        <f>IFERROR(
    VALUE(SUBSTITUTE(Raw_Data!J393," visits","")),
    ""
)</f>
        <v>25</v>
      </c>
      <c r="K393" t="str">
        <f ca="1">IF(TRIM(Raw_Data!K393)="","No",PROPER(TRIM(Raw_Data!K393)))</f>
        <v>No</v>
      </c>
      <c r="L393" t="str">
        <f ca="1">PROPER(TRIM(Raw_Data!L393))</f>
        <v>General Fitness</v>
      </c>
      <c r="M393" t="s">
        <v>151</v>
      </c>
      <c r="N393" s="2">
        <f>IFERROR(DATEVALUE(Raw_Data!N393), Raw_Data!N393)</f>
        <v>45395</v>
      </c>
      <c r="O393" s="2"/>
      <c r="P393" t="str">
        <f>IF(COUNTIF($A$2:A393,A393)&gt;1,"Duplicate","Unique")</f>
        <v>Unique</v>
      </c>
      <c r="Q393" t="str">
        <f t="shared" si="12"/>
        <v>OK</v>
      </c>
      <c r="R393" t="str">
        <f t="shared" si="13"/>
        <v>Available</v>
      </c>
    </row>
    <row r="394" spans="1:18">
      <c r="A394" t="str">
        <f>TRIM(CLEAN(Raw_Data!A394))</f>
        <v>MEM0393</v>
      </c>
      <c r="B394" t="str">
        <f ca="1">TRIM(Raw_Data!B394)</f>
        <v>Pooja Pillai</v>
      </c>
      <c r="C394" t="str">
        <f ca="1">_xlfn.XLOOKUP(D394, Branch_Master!A:A, Branch_Master!B:B)</f>
        <v>Mumbai</v>
      </c>
      <c r="D394" t="str">
        <f ca="1">TRIM(Raw_Data!D394)</f>
        <v>BR05</v>
      </c>
      <c r="E394" t="str">
        <f ca="1">PROPER(TRIM(Raw_Data!E394))</f>
        <v>Standard</v>
      </c>
      <c r="F394" s="2">
        <f>IFERROR(DATEVALUE(Raw_Data!F394), Raw_Data!F394)</f>
        <v>45804</v>
      </c>
      <c r="G394" s="2">
        <f>IFERROR(
    IF(
        IFERROR(DATEVALUE(Raw_Data!G394), Raw_Data!G394) &lt;
        IFERROR(DATEVALUE(Raw_Data!F394), Raw_Data!F394),
        IFERROR(DATEVALUE(Raw_Data!F394), Raw_Data!F394) + 30,
        IFERROR(DATEVALUE(Raw_Data!G394), Raw_Data!G394)
    ),
    ""
)</f>
        <v>46169</v>
      </c>
      <c r="H394">
        <f>IFERROR(VALUE(Raw_Data!H394), "")</f>
        <v>2000</v>
      </c>
      <c r="I394">
        <f ca="1">IFERROR(VALUE(Raw_Data!I394), "")</f>
        <v>4000</v>
      </c>
      <c r="J394">
        <f>IFERROR(
    VALUE(SUBSTITUTE(Raw_Data!J394," visits","")),
    ""
)</f>
        <v>12</v>
      </c>
      <c r="K394" t="str">
        <f ca="1">IF(TRIM(Raw_Data!K394)="","No",PROPER(TRIM(Raw_Data!K394)))</f>
        <v>No</v>
      </c>
      <c r="L394" t="str">
        <f ca="1">PROPER(TRIM(Raw_Data!L394))</f>
        <v>Muscle Gain</v>
      </c>
      <c r="M394" t="s">
        <v>151</v>
      </c>
      <c r="N394" s="2">
        <f>IFERROR(DATEVALUE(Raw_Data!N394), Raw_Data!N394)</f>
        <v>45835</v>
      </c>
      <c r="O394" s="2"/>
      <c r="P394" t="str">
        <f>IF(COUNTIF($A$2:A394,A394)&gt;1,"Duplicate","Unique")</f>
        <v>Unique</v>
      </c>
      <c r="Q394" t="str">
        <f t="shared" si="12"/>
        <v>OK</v>
      </c>
      <c r="R394" t="str">
        <f t="shared" si="13"/>
        <v>Available</v>
      </c>
    </row>
    <row r="395" spans="1:18">
      <c r="A395" t="str">
        <f>TRIM(CLEAN(Raw_Data!A395))</f>
        <v>MEM0394</v>
      </c>
      <c r="B395" t="str">
        <f ca="1">TRIM(Raw_Data!B395)</f>
        <v>Harish Banerjee</v>
      </c>
      <c r="C395" t="str">
        <f ca="1">_xlfn.XLOOKUP(D395, Branch_Master!A:A, Branch_Master!B:B)</f>
        <v>Hyderabad</v>
      </c>
      <c r="D395" t="str">
        <f ca="1">TRIM(Raw_Data!D395)</f>
        <v>BR04</v>
      </c>
      <c r="E395" t="str">
        <f ca="1">PROPER(TRIM(Raw_Data!E395))</f>
        <v>Standard</v>
      </c>
      <c r="F395" s="2">
        <f>IFERROR(DATEVALUE(Raw_Data!F395), Raw_Data!F395)</f>
        <v>45120</v>
      </c>
      <c r="G395" s="2">
        <f>IFERROR(
    IF(
        IFERROR(DATEVALUE(Raw_Data!G395), Raw_Data!G395) &lt;
        IFERROR(DATEVALUE(Raw_Data!F395), Raw_Data!F395),
        IFERROR(DATEVALUE(Raw_Data!F395), Raw_Data!F395) + 30,
        IFERROR(DATEVALUE(Raw_Data!G395), Raw_Data!G395)
    ),
    ""
)</f>
        <v>45485</v>
      </c>
      <c r="H395">
        <f>IFERROR(VALUE(Raw_Data!H395), "")</f>
        <v>2000</v>
      </c>
      <c r="I395">
        <f ca="1">IFERROR(VALUE(Raw_Data!I395), "")</f>
        <v>2000</v>
      </c>
      <c r="J395">
        <f>IFERROR(
    VALUE(SUBSTITUTE(Raw_Data!J395," visits","")),
    ""
)</f>
        <v>3</v>
      </c>
      <c r="K395" t="str">
        <f ca="1">IF(TRIM(Raw_Data!K395)="","No",PROPER(TRIM(Raw_Data!K395)))</f>
        <v>Yes</v>
      </c>
      <c r="L395" t="str">
        <f ca="1">PROPER(TRIM(Raw_Data!L395))</f>
        <v>General Fitness</v>
      </c>
      <c r="M395" t="s">
        <v>152</v>
      </c>
      <c r="N395" s="2">
        <f>IFERROR(DATEVALUE(Raw_Data!N395), Raw_Data!N395)</f>
        <v>45140</v>
      </c>
      <c r="O395" s="2"/>
      <c r="P395" t="str">
        <f>IF(COUNTIF($A$2:A395,A395)&gt;1,"Duplicate","Unique")</f>
        <v>Unique</v>
      </c>
      <c r="Q395" t="str">
        <f t="shared" si="12"/>
        <v>Cancelled but Active</v>
      </c>
      <c r="R395" t="str">
        <f t="shared" si="13"/>
        <v>Available</v>
      </c>
    </row>
    <row r="396" spans="1:18">
      <c r="A396" t="str">
        <f>TRIM(CLEAN(Raw_Data!A396))</f>
        <v>MEM0395</v>
      </c>
      <c r="B396" t="str">
        <f ca="1">TRIM(Raw_Data!B396)</f>
        <v>Sanjay Yadav</v>
      </c>
      <c r="C396" t="str">
        <f ca="1">_xlfn.XLOOKUP(D396, Branch_Master!A:A, Branch_Master!B:B)</f>
        <v>Kochi</v>
      </c>
      <c r="D396" t="str">
        <f ca="1">TRIM(Raw_Data!D396)</f>
        <v>BR01</v>
      </c>
      <c r="E396" t="str">
        <f ca="1">PROPER(TRIM(Raw_Data!E396))</f>
        <v>Standard</v>
      </c>
      <c r="F396" s="2">
        <f>IFERROR(DATEVALUE(Raw_Data!F396), Raw_Data!F396)</f>
        <v>45630</v>
      </c>
      <c r="G396" s="2">
        <f>IFERROR(
    IF(
        IFERROR(DATEVALUE(Raw_Data!G396), Raw_Data!G396) &lt;
        IFERROR(DATEVALUE(Raw_Data!F396), Raw_Data!F396),
        IFERROR(DATEVALUE(Raw_Data!F396), Raw_Data!F396) + 30,
        IFERROR(DATEVALUE(Raw_Data!G396), Raw_Data!G396)
    ),
    ""
)</f>
        <v>45995</v>
      </c>
      <c r="H396">
        <f>IFERROR(VALUE(Raw_Data!H396), "")</f>
        <v>3500</v>
      </c>
      <c r="I396">
        <f ca="1">IFERROR(VALUE(Raw_Data!I396), "")</f>
        <v>17500</v>
      </c>
      <c r="J396">
        <f>IFERROR(
    VALUE(SUBSTITUTE(Raw_Data!J396," visits","")),
    ""
)</f>
        <v>3</v>
      </c>
      <c r="K396" t="str">
        <f ca="1">IF(TRIM(Raw_Data!K396)="","No",PROPER(TRIM(Raw_Data!K396)))</f>
        <v>Yes</v>
      </c>
      <c r="L396" t="str">
        <f ca="1">PROPER(TRIM(Raw_Data!L396))</f>
        <v>Weight Loss</v>
      </c>
      <c r="M396" t="s">
        <v>151</v>
      </c>
      <c r="N396" s="2">
        <f>IFERROR(DATEVALUE(Raw_Data!N396), Raw_Data!N396)</f>
        <v>45697</v>
      </c>
      <c r="O396" s="2"/>
      <c r="P396" t="str">
        <f>IF(COUNTIF($A$2:A396,A396)&gt;1,"Duplicate","Unique")</f>
        <v>Unique</v>
      </c>
      <c r="Q396" t="str">
        <f t="shared" si="12"/>
        <v>OK</v>
      </c>
      <c r="R396" t="str">
        <f t="shared" si="13"/>
        <v>Available</v>
      </c>
    </row>
    <row r="397" spans="1:18">
      <c r="A397" t="str">
        <f>TRIM(CLEAN(Raw_Data!A397))</f>
        <v>MEM0396</v>
      </c>
      <c r="B397" t="str">
        <f ca="1">TRIM(Raw_Data!B397)</f>
        <v>Karthik Verma</v>
      </c>
      <c r="C397" t="str">
        <f ca="1">_xlfn.XLOOKUP(D397, Branch_Master!A:A, Branch_Master!B:B)</f>
        <v>Trivandrum</v>
      </c>
      <c r="D397" t="str">
        <f ca="1">TRIM(Raw_Data!D397)</f>
        <v>BR06</v>
      </c>
      <c r="E397" t="str">
        <f ca="1">PROPER(TRIM(Raw_Data!E397))</f>
        <v>Premium</v>
      </c>
      <c r="F397" s="2">
        <f>IFERROR(DATEVALUE(Raw_Data!F397), Raw_Data!F397)</f>
        <v>45483</v>
      </c>
      <c r="G397" s="2">
        <f>IFERROR(
    IF(
        IFERROR(DATEVALUE(Raw_Data!G397), Raw_Data!G397) &lt;
        IFERROR(DATEVALUE(Raw_Data!F397), Raw_Data!F397),
        IFERROR(DATEVALUE(Raw_Data!F397), Raw_Data!F397) + 30,
        IFERROR(DATEVALUE(Raw_Data!G397), Raw_Data!G397)
    ),
    ""
)</f>
        <v>45513</v>
      </c>
      <c r="H397">
        <f>IFERROR(VALUE(Raw_Data!H397), "")</f>
        <v>2000</v>
      </c>
      <c r="I397">
        <f ca="1">IFERROR(VALUE(Raw_Data!I397), "")</f>
        <v>22000</v>
      </c>
      <c r="J397">
        <f>IFERROR(
    VALUE(SUBSTITUTE(Raw_Data!J397," visits","")),
    ""
)</f>
        <v>22</v>
      </c>
      <c r="K397" t="str">
        <f ca="1">IF(TRIM(Raw_Data!K397)="","No",PROPER(TRIM(Raw_Data!K397)))</f>
        <v>No</v>
      </c>
      <c r="L397" t="str">
        <f ca="1">PROPER(TRIM(Raw_Data!L397))</f>
        <v>Weight Loss</v>
      </c>
      <c r="M397" t="s">
        <v>151</v>
      </c>
      <c r="N397" s="2">
        <f>IFERROR(DATEVALUE(Raw_Data!N397), Raw_Data!N397)</f>
        <v>45703</v>
      </c>
      <c r="O397" s="2"/>
      <c r="P397" t="str">
        <f>IF(COUNTIF($A$2:A397,A397)&gt;1,"Duplicate","Unique")</f>
        <v>Unique</v>
      </c>
      <c r="Q397" t="str">
        <f t="shared" si="12"/>
        <v>OK</v>
      </c>
      <c r="R397" t="str">
        <f t="shared" si="13"/>
        <v>Available</v>
      </c>
    </row>
    <row r="398" spans="1:18">
      <c r="A398" t="str">
        <f>TRIM(CLEAN(Raw_Data!A398))</f>
        <v>MEM0397</v>
      </c>
      <c r="B398" t="str">
        <f ca="1">TRIM(Raw_Data!B398)</f>
        <v>Meera Reddy</v>
      </c>
      <c r="C398" t="str">
        <f ca="1">_xlfn.XLOOKUP(D398, Branch_Master!A:A, Branch_Master!B:B)</f>
        <v>Kochi</v>
      </c>
      <c r="D398" t="str">
        <f ca="1">TRIM(Raw_Data!D398)</f>
        <v>BR01</v>
      </c>
      <c r="E398" t="str">
        <f ca="1">PROPER(TRIM(Raw_Data!E398))</f>
        <v>Premium</v>
      </c>
      <c r="F398" s="2">
        <f>IFERROR(DATEVALUE(Raw_Data!F398), Raw_Data!F398)</f>
        <v>46039</v>
      </c>
      <c r="G398" s="2">
        <f>IFERROR(
    IF(
        IFERROR(DATEVALUE(Raw_Data!G398), Raw_Data!G398) &lt;
        IFERROR(DATEVALUE(Raw_Data!F398), Raw_Data!F398),
        IFERROR(DATEVALUE(Raw_Data!F398), Raw_Data!F398) + 30,
        IFERROR(DATEVALUE(Raw_Data!G398), Raw_Data!G398)
    ),
    ""
)</f>
        <v>46069</v>
      </c>
      <c r="H398">
        <f>IFERROR(VALUE(Raw_Data!H398), "")</f>
        <v>2000</v>
      </c>
      <c r="I398">
        <f ca="1">IFERROR(VALUE(Raw_Data!I398), "")</f>
        <v>24000</v>
      </c>
      <c r="J398">
        <f>IFERROR(
    VALUE(SUBSTITUTE(Raw_Data!J398," visits","")),
    ""
)</f>
        <v>8</v>
      </c>
      <c r="K398" t="str">
        <f ca="1">IF(TRIM(Raw_Data!K398)="","No",PROPER(TRIM(Raw_Data!K398)))</f>
        <v>Yes</v>
      </c>
      <c r="L398" t="str">
        <f ca="1">PROPER(TRIM(Raw_Data!L398))</f>
        <v>General Fitness</v>
      </c>
      <c r="M398" t="s">
        <v>151</v>
      </c>
      <c r="N398" s="2">
        <f>IFERROR(DATEVALUE(Raw_Data!N398), Raw_Data!N398)</f>
        <v>46061</v>
      </c>
      <c r="O398" s="2"/>
      <c r="P398" t="str">
        <f>IF(COUNTIF($A$2:A398,A398)&gt;1,"Duplicate","Unique")</f>
        <v>Unique</v>
      </c>
      <c r="Q398" t="str">
        <f t="shared" si="12"/>
        <v>OK</v>
      </c>
      <c r="R398" t="str">
        <f t="shared" si="13"/>
        <v>Available</v>
      </c>
    </row>
    <row r="399" spans="1:18">
      <c r="A399" t="str">
        <f>TRIM(CLEAN(Raw_Data!A399))</f>
        <v>MEM0398</v>
      </c>
      <c r="B399" t="str">
        <f ca="1">TRIM(Raw_Data!B399)</f>
        <v>Akash Fernandes</v>
      </c>
      <c r="C399" t="str">
        <f ca="1">_xlfn.XLOOKUP(D399, Branch_Master!A:A, Branch_Master!B:B)</f>
        <v>Bangalore</v>
      </c>
      <c r="D399" t="str">
        <f ca="1">TRIM(Raw_Data!D399)</f>
        <v>BR02</v>
      </c>
      <c r="E399" t="str">
        <f ca="1">PROPER(TRIM(Raw_Data!E399))</f>
        <v>Standard</v>
      </c>
      <c r="F399" s="2">
        <f>IFERROR(DATEVALUE(Raw_Data!F399), Raw_Data!F399)</f>
        <v>45501</v>
      </c>
      <c r="G399" s="2">
        <f>IFERROR(
    IF(
        IFERROR(DATEVALUE(Raw_Data!G399), Raw_Data!G399) &lt;
        IFERROR(DATEVALUE(Raw_Data!F399), Raw_Data!F399),
        IFERROR(DATEVALUE(Raw_Data!F399), Raw_Data!F399) + 30,
        IFERROR(DATEVALUE(Raw_Data!G399), Raw_Data!G399)
    ),
    ""
)</f>
        <v>45591</v>
      </c>
      <c r="H399">
        <f>IFERROR(VALUE(Raw_Data!H399), "")</f>
        <v>2000</v>
      </c>
      <c r="I399">
        <f ca="1">IFERROR(VALUE(Raw_Data!I399), "")</f>
        <v>12000</v>
      </c>
      <c r="J399">
        <f>IFERROR(
    VALUE(SUBSTITUTE(Raw_Data!J399," visits","")),
    ""
)</f>
        <v>7</v>
      </c>
      <c r="K399" t="str">
        <f ca="1">IF(TRIM(Raw_Data!K399)="","No",PROPER(TRIM(Raw_Data!K399)))</f>
        <v>No</v>
      </c>
      <c r="L399" t="str">
        <f ca="1">PROPER(TRIM(Raw_Data!L399))</f>
        <v>General Fitness</v>
      </c>
      <c r="M399" t="s">
        <v>151</v>
      </c>
      <c r="N399" s="2">
        <f>IFERROR(DATEVALUE(Raw_Data!N399), Raw_Data!N399)</f>
        <v>45904</v>
      </c>
      <c r="O399" s="2"/>
      <c r="P399" t="str">
        <f>IF(COUNTIF($A$2:A399,A399)&gt;1,"Duplicate","Unique")</f>
        <v>Unique</v>
      </c>
      <c r="Q399" t="str">
        <f t="shared" si="12"/>
        <v>OK</v>
      </c>
      <c r="R399" t="str">
        <f t="shared" si="13"/>
        <v>Available</v>
      </c>
    </row>
    <row r="400" spans="1:18">
      <c r="A400" t="str">
        <f>TRIM(CLEAN(Raw_Data!A400))</f>
        <v>MEM0399</v>
      </c>
      <c r="B400" t="str">
        <f ca="1">TRIM(Raw_Data!B400)</f>
        <v>Pooja Malhotra</v>
      </c>
      <c r="C400" t="str">
        <f ca="1">_xlfn.XLOOKUP(D400, Branch_Master!A:A, Branch_Master!B:B)</f>
        <v>Mumbai</v>
      </c>
      <c r="D400" t="str">
        <f ca="1">TRIM(Raw_Data!D400)</f>
        <v>BR05</v>
      </c>
      <c r="E400" t="str">
        <f ca="1">PROPER(TRIM(Raw_Data!E400))</f>
        <v>Basic</v>
      </c>
      <c r="F400" s="2">
        <f>IFERROR(DATEVALUE(Raw_Data!F400), Raw_Data!F400)</f>
        <v>45500</v>
      </c>
      <c r="G400" s="2">
        <f>IFERROR(
    IF(
        IFERROR(DATEVALUE(Raw_Data!G400), Raw_Data!G400) &lt;
        IFERROR(DATEVALUE(Raw_Data!F400), Raw_Data!F400),
        IFERROR(DATEVALUE(Raw_Data!F400), Raw_Data!F400) + 30,
        IFERROR(DATEVALUE(Raw_Data!G400), Raw_Data!G400)
    ),
    ""
)</f>
        <v>45530</v>
      </c>
      <c r="H400">
        <f>IFERROR(VALUE(Raw_Data!H400), "")</f>
        <v>2000</v>
      </c>
      <c r="I400">
        <f ca="1">IFERROR(VALUE(Raw_Data!I400), "")</f>
        <v>22000</v>
      </c>
      <c r="J400">
        <f>IFERROR(
    VALUE(SUBSTITUTE(Raw_Data!J400," visits","")),
    ""
)</f>
        <v>20</v>
      </c>
      <c r="K400" t="str">
        <f ca="1">IF(TRIM(Raw_Data!K400)="","No",PROPER(TRIM(Raw_Data!K400)))</f>
        <v>No</v>
      </c>
      <c r="L400" t="str">
        <f ca="1">PROPER(TRIM(Raw_Data!L400))</f>
        <v>General Fitness</v>
      </c>
      <c r="M400" t="s">
        <v>151</v>
      </c>
      <c r="N400" s="2">
        <f>IFERROR(DATEVALUE(Raw_Data!N400), Raw_Data!N400)</f>
        <v>45643</v>
      </c>
      <c r="O400" s="2"/>
      <c r="P400" t="str">
        <f>IF(COUNTIF($A$2:A400,A400)&gt;1,"Duplicate","Unique")</f>
        <v>Unique</v>
      </c>
      <c r="Q400" t="str">
        <f t="shared" si="12"/>
        <v>OK</v>
      </c>
      <c r="R400" t="str">
        <f t="shared" si="13"/>
        <v>Available</v>
      </c>
    </row>
    <row r="401" spans="1:18">
      <c r="A401" t="str">
        <f>TRIM(CLEAN(Raw_Data!A401))</f>
        <v>MEM0400</v>
      </c>
      <c r="B401" t="str">
        <f ca="1">TRIM(Raw_Data!B401)</f>
        <v>Nisha Nair</v>
      </c>
      <c r="C401" t="str">
        <f ca="1">_xlfn.XLOOKUP(D401, Branch_Master!A:A, Branch_Master!B:B)</f>
        <v>Kochi</v>
      </c>
      <c r="D401" t="str">
        <f ca="1">TRIM(Raw_Data!D401)</f>
        <v>BR01</v>
      </c>
      <c r="E401" t="str">
        <f ca="1">PROPER(TRIM(Raw_Data!E401))</f>
        <v>Standard</v>
      </c>
      <c r="F401" s="2">
        <f>IFERROR(DATEVALUE(Raw_Data!F401), Raw_Data!F401)</f>
        <v>45728</v>
      </c>
      <c r="G401" s="2">
        <f>IFERROR(
    IF(
        IFERROR(DATEVALUE(Raw_Data!G401), Raw_Data!G401) &lt;
        IFERROR(DATEVALUE(Raw_Data!F401), Raw_Data!F401),
        IFERROR(DATEVALUE(Raw_Data!F401), Raw_Data!F401) + 30,
        IFERROR(DATEVALUE(Raw_Data!G401), Raw_Data!G401)
    ),
    ""
)</f>
        <v>45758</v>
      </c>
      <c r="H401">
        <f>IFERROR(VALUE(Raw_Data!H401), "")</f>
        <v>2000</v>
      </c>
      <c r="I401">
        <f ca="1">IFERROR(VALUE(Raw_Data!I401), "")</f>
        <v>14000</v>
      </c>
      <c r="J401">
        <f>IFERROR(
    VALUE(SUBSTITUTE(Raw_Data!J401," visits","")),
    ""
)</f>
        <v>7</v>
      </c>
      <c r="K401" t="str">
        <f ca="1">IF(TRIM(Raw_Data!K401)="","No",PROPER(TRIM(Raw_Data!K401)))</f>
        <v>No</v>
      </c>
      <c r="L401" t="str">
        <f ca="1">PROPER(TRIM(Raw_Data!L401))</f>
        <v>General Fitness</v>
      </c>
      <c r="M401" t="s">
        <v>151</v>
      </c>
      <c r="N401" s="2">
        <f>IFERROR(DATEVALUE(Raw_Data!N401), Raw_Data!N401)</f>
        <v>45873</v>
      </c>
      <c r="O401" s="2"/>
      <c r="P401" t="str">
        <f>IF(COUNTIF($A$2:A401,A401)&gt;1,"Duplicate","Unique")</f>
        <v>Unique</v>
      </c>
      <c r="Q401" t="str">
        <f t="shared" si="12"/>
        <v>OK</v>
      </c>
      <c r="R401" t="str">
        <f t="shared" si="13"/>
        <v>Available</v>
      </c>
    </row>
    <row r="402" spans="1:18">
      <c r="A402" t="str">
        <f>TRIM(CLEAN(Raw_Data!A402))</f>
        <v>MEM0401</v>
      </c>
      <c r="B402" t="str">
        <f ca="1">TRIM(Raw_Data!B402)</f>
        <v>Akash Fernandes</v>
      </c>
      <c r="C402" t="str">
        <f ca="1">_xlfn.XLOOKUP(D402, Branch_Master!A:A, Branch_Master!B:B)</f>
        <v>Kochi</v>
      </c>
      <c r="D402" t="str">
        <f ca="1">TRIM(Raw_Data!D402)</f>
        <v>BR01</v>
      </c>
      <c r="E402" t="str">
        <f ca="1">PROPER(TRIM(Raw_Data!E402))</f>
        <v>Standard</v>
      </c>
      <c r="F402" s="2">
        <f>IFERROR(DATEVALUE(Raw_Data!F402), Raw_Data!F402)</f>
        <v>45162</v>
      </c>
      <c r="G402" s="2">
        <f>IFERROR(
    IF(
        IFERROR(DATEVALUE(Raw_Data!G402), Raw_Data!G402) &lt;
        IFERROR(DATEVALUE(Raw_Data!F402), Raw_Data!F402),
        IFERROR(DATEVALUE(Raw_Data!F402), Raw_Data!F402) + 30,
        IFERROR(DATEVALUE(Raw_Data!G402), Raw_Data!G402)
    ),
    ""
)</f>
        <v>45192</v>
      </c>
      <c r="H402">
        <f>IFERROR(VALUE(Raw_Data!H402), "")</f>
        <v>3500</v>
      </c>
      <c r="I402">
        <f ca="1">IFERROR(VALUE(Raw_Data!I402), "")</f>
        <v>28000</v>
      </c>
      <c r="J402">
        <f>IFERROR(
    VALUE(SUBSTITUTE(Raw_Data!J402," visits","")),
    ""
)</f>
        <v>0</v>
      </c>
      <c r="K402" t="str">
        <f ca="1">IF(TRIM(Raw_Data!K402)="","No",PROPER(TRIM(Raw_Data!K402)))</f>
        <v>No</v>
      </c>
      <c r="L402" t="str">
        <f ca="1">PROPER(TRIM(Raw_Data!L402))</f>
        <v>Weight Loss</v>
      </c>
      <c r="M402" t="s">
        <v>151</v>
      </c>
      <c r="N402" s="2">
        <f>IFERROR(DATEVALUE(Raw_Data!N402), Raw_Data!N402)</f>
        <v>45393</v>
      </c>
      <c r="O402" s="2"/>
      <c r="P402" t="str">
        <f>IF(COUNTIF($A$2:A402,A402)&gt;1,"Duplicate","Unique")</f>
        <v>Unique</v>
      </c>
      <c r="Q402" t="str">
        <f t="shared" si="12"/>
        <v>OK</v>
      </c>
      <c r="R402" t="str">
        <f t="shared" si="13"/>
        <v>Available</v>
      </c>
    </row>
    <row r="403" spans="1:18">
      <c r="A403" t="str">
        <f>TRIM(CLEAN(Raw_Data!A403))</f>
        <v>MEM0402</v>
      </c>
      <c r="B403" t="str">
        <f ca="1">TRIM(Raw_Data!B403)</f>
        <v>Manoj Das</v>
      </c>
      <c r="C403" t="str">
        <f ca="1">_xlfn.XLOOKUP(D403, Branch_Master!A:A, Branch_Master!B:B)</f>
        <v>Calicut</v>
      </c>
      <c r="D403" t="str">
        <f ca="1">TRIM(Raw_Data!D403)</f>
        <v>BR07</v>
      </c>
      <c r="E403" t="str">
        <f ca="1">PROPER(TRIM(Raw_Data!E403))</f>
        <v>Premium</v>
      </c>
      <c r="F403" s="2">
        <f>IFERROR(DATEVALUE(Raw_Data!F403), Raw_Data!F403)</f>
        <v>45865</v>
      </c>
      <c r="G403" s="2">
        <f>IFERROR(
    IF(
        IFERROR(DATEVALUE(Raw_Data!G403), Raw_Data!G403) &lt;
        IFERROR(DATEVALUE(Raw_Data!F403), Raw_Data!F403),
        IFERROR(DATEVALUE(Raw_Data!F403), Raw_Data!F403) + 30,
        IFERROR(DATEVALUE(Raw_Data!G403), Raw_Data!G403)
    ),
    ""
)</f>
        <v>46230</v>
      </c>
      <c r="H403">
        <f>IFERROR(VALUE(Raw_Data!H403), "")</f>
        <v>3500</v>
      </c>
      <c r="I403">
        <f ca="1">IFERROR(VALUE(Raw_Data!I403), "")</f>
        <v>24500</v>
      </c>
      <c r="J403">
        <f>IFERROR(
    VALUE(SUBSTITUTE(Raw_Data!J403," visits","")),
    ""
)</f>
        <v>21</v>
      </c>
      <c r="K403" t="str">
        <f ca="1">IF(TRIM(Raw_Data!K403)="","No",PROPER(TRIM(Raw_Data!K403)))</f>
        <v>No</v>
      </c>
      <c r="L403" t="str">
        <f ca="1">PROPER(TRIM(Raw_Data!L403))</f>
        <v>Muscle Gain</v>
      </c>
      <c r="M403" t="s">
        <v>151</v>
      </c>
      <c r="N403" s="2">
        <f>IFERROR(DATEVALUE(Raw_Data!N403), Raw_Data!N403)</f>
        <v>46082</v>
      </c>
      <c r="O403" s="2"/>
      <c r="P403" t="str">
        <f>IF(COUNTIF($A$2:A403,A403)&gt;1,"Duplicate","Unique")</f>
        <v>Unique</v>
      </c>
      <c r="Q403" t="str">
        <f t="shared" si="12"/>
        <v>OK</v>
      </c>
      <c r="R403" t="str">
        <f t="shared" si="13"/>
        <v>Available</v>
      </c>
    </row>
    <row r="404" spans="1:18">
      <c r="A404" t="str">
        <f>TRIM(CLEAN(Raw_Data!A404))</f>
        <v>MEM0403</v>
      </c>
      <c r="B404" t="str">
        <f ca="1">TRIM(Raw_Data!B404)</f>
        <v>Varun Verma</v>
      </c>
      <c r="C404" t="str">
        <f ca="1">_xlfn.XLOOKUP(D404, Branch_Master!A:A, Branch_Master!B:B)</f>
        <v>Hyderabad</v>
      </c>
      <c r="D404" t="str">
        <f ca="1">TRIM(Raw_Data!D404)</f>
        <v>BR04</v>
      </c>
      <c r="E404" t="str">
        <f ca="1">PROPER(TRIM(Raw_Data!E404))</f>
        <v>Premium</v>
      </c>
      <c r="F404" s="2">
        <f>IFERROR(DATEVALUE(Raw_Data!F404), Raw_Data!F404)</f>
        <v>45971</v>
      </c>
      <c r="G404" s="2">
        <f>IFERROR(
    IF(
        IFERROR(DATEVALUE(Raw_Data!G404), Raw_Data!G404) &lt;
        IFERROR(DATEVALUE(Raw_Data!F404), Raw_Data!F404),
        IFERROR(DATEVALUE(Raw_Data!F404), Raw_Data!F404) + 30,
        IFERROR(DATEVALUE(Raw_Data!G404), Raw_Data!G404)
    ),
    ""
)</f>
        <v>46336</v>
      </c>
      <c r="H404">
        <f>IFERROR(VALUE(Raw_Data!H404), "")</f>
        <v>1000</v>
      </c>
      <c r="I404">
        <f ca="1">IFERROR(VALUE(Raw_Data!I404), "")</f>
        <v>2000</v>
      </c>
      <c r="J404">
        <f>IFERROR(
    VALUE(SUBSTITUTE(Raw_Data!J404," visits","")),
    ""
)</f>
        <v>9</v>
      </c>
      <c r="K404" t="str">
        <f ca="1">IF(TRIM(Raw_Data!K404)="","No",PROPER(TRIM(Raw_Data!K404)))</f>
        <v>Yes</v>
      </c>
      <c r="L404" t="str">
        <f ca="1">PROPER(TRIM(Raw_Data!L404))</f>
        <v>Weight Loss</v>
      </c>
      <c r="M404" t="s">
        <v>151</v>
      </c>
      <c r="N404" s="2">
        <f>IFERROR(DATEVALUE(Raw_Data!N404), Raw_Data!N404)</f>
        <v>46030</v>
      </c>
      <c r="O404" s="2"/>
      <c r="P404" t="str">
        <f>IF(COUNTIF($A$2:A404,A404)&gt;1,"Duplicate","Unique")</f>
        <v>Unique</v>
      </c>
      <c r="Q404" t="str">
        <f t="shared" si="12"/>
        <v>OK</v>
      </c>
      <c r="R404" t="str">
        <f t="shared" si="13"/>
        <v>Available</v>
      </c>
    </row>
    <row r="405" spans="1:18">
      <c r="A405" t="str">
        <f>TRIM(CLEAN(Raw_Data!A405))</f>
        <v>MEM0404</v>
      </c>
      <c r="B405" t="str">
        <f ca="1">TRIM(Raw_Data!B405)</f>
        <v>Shreya Yadav</v>
      </c>
      <c r="C405" t="str">
        <f ca="1">_xlfn.XLOOKUP(D405, Branch_Master!A:A, Branch_Master!B:B)</f>
        <v>Bangalore</v>
      </c>
      <c r="D405" t="str">
        <f ca="1">TRIM(Raw_Data!D405)</f>
        <v>BR02</v>
      </c>
      <c r="E405" t="str">
        <f ca="1">PROPER(TRIM(Raw_Data!E405))</f>
        <v>Premium</v>
      </c>
      <c r="F405" s="2">
        <f>IFERROR(DATEVALUE(Raw_Data!F405), Raw_Data!F405)</f>
        <v>45494</v>
      </c>
      <c r="G405" s="2">
        <f>IFERROR(
    IF(
        IFERROR(DATEVALUE(Raw_Data!G405), Raw_Data!G405) &lt;
        IFERROR(DATEVALUE(Raw_Data!F405), Raw_Data!F405),
        IFERROR(DATEVALUE(Raw_Data!F405), Raw_Data!F405) + 30,
        IFERROR(DATEVALUE(Raw_Data!G405), Raw_Data!G405)
    ),
    ""
)</f>
        <v>45524</v>
      </c>
      <c r="H405">
        <f>IFERROR(VALUE(Raw_Data!H405), "")</f>
        <v>3500</v>
      </c>
      <c r="I405">
        <f ca="1">IFERROR(VALUE(Raw_Data!I405), "")</f>
        <v>38500</v>
      </c>
      <c r="J405">
        <f>IFERROR(
    VALUE(SUBSTITUTE(Raw_Data!J405," visits","")),
    ""
)</f>
        <v>17</v>
      </c>
      <c r="K405" t="str">
        <f ca="1">IF(TRIM(Raw_Data!K405)="","No",PROPER(TRIM(Raw_Data!K405)))</f>
        <v>Yes</v>
      </c>
      <c r="L405" t="str">
        <f ca="1">PROPER(TRIM(Raw_Data!L405))</f>
        <v>Muscle Gain</v>
      </c>
      <c r="M405" t="s">
        <v>151</v>
      </c>
      <c r="N405" s="2">
        <f>IFERROR(DATEVALUE(Raw_Data!N405), Raw_Data!N405)</f>
        <v>45832</v>
      </c>
      <c r="O405" s="2"/>
      <c r="P405" t="str">
        <f>IF(COUNTIF($A$2:A405,A405)&gt;1,"Duplicate","Unique")</f>
        <v>Unique</v>
      </c>
      <c r="Q405" t="str">
        <f t="shared" si="12"/>
        <v>OK</v>
      </c>
      <c r="R405" t="str">
        <f t="shared" si="13"/>
        <v>Available</v>
      </c>
    </row>
    <row r="406" spans="1:18">
      <c r="A406" t="str">
        <f>TRIM(CLEAN(Raw_Data!A406))</f>
        <v>MEM0405</v>
      </c>
      <c r="B406" t="str">
        <f ca="1">TRIM(Raw_Data!B406)</f>
        <v>Kavya Mathew</v>
      </c>
      <c r="C406" t="str">
        <f ca="1">_xlfn.XLOOKUP(D406, Branch_Master!A:A, Branch_Master!B:B)</f>
        <v>Bangalore</v>
      </c>
      <c r="D406" t="str">
        <f ca="1">TRIM(Raw_Data!D406)</f>
        <v>BR02</v>
      </c>
      <c r="E406" t="str">
        <f ca="1">PROPER(TRIM(Raw_Data!E406))</f>
        <v>Standard</v>
      </c>
      <c r="F406" s="2">
        <f>IFERROR(DATEVALUE(Raw_Data!F406), Raw_Data!F406)</f>
        <v>45457</v>
      </c>
      <c r="G406" s="2">
        <f>IFERROR(
    IF(
        IFERROR(DATEVALUE(Raw_Data!G406), Raw_Data!G406) &lt;
        IFERROR(DATEVALUE(Raw_Data!F406), Raw_Data!F406),
        IFERROR(DATEVALUE(Raw_Data!F406), Raw_Data!F406) + 30,
        IFERROR(DATEVALUE(Raw_Data!G406), Raw_Data!G406)
    ),
    ""
)</f>
        <v>45487</v>
      </c>
      <c r="H406">
        <f>IFERROR(VALUE(Raw_Data!H406), "")</f>
        <v>3500</v>
      </c>
      <c r="I406">
        <f ca="1">IFERROR(VALUE(Raw_Data!I406), "")</f>
        <v>7000</v>
      </c>
      <c r="J406">
        <f>IFERROR(
    VALUE(SUBSTITUTE(Raw_Data!J406," visits","")),
    ""
)</f>
        <v>7</v>
      </c>
      <c r="K406" t="str">
        <f ca="1">IF(TRIM(Raw_Data!K406)="","No",PROPER(TRIM(Raw_Data!K406)))</f>
        <v>No</v>
      </c>
      <c r="L406" t="str">
        <f ca="1">PROPER(TRIM(Raw_Data!L406))</f>
        <v>Muscle Gain</v>
      </c>
      <c r="M406" t="s">
        <v>151</v>
      </c>
      <c r="N406" s="2">
        <f>IFERROR(DATEVALUE(Raw_Data!N406), Raw_Data!N406)</f>
        <v>45725</v>
      </c>
      <c r="O406" s="2"/>
      <c r="P406" t="str">
        <f>IF(COUNTIF($A$2:A406,A406)&gt;1,"Duplicate","Unique")</f>
        <v>Unique</v>
      </c>
      <c r="Q406" t="str">
        <f t="shared" si="12"/>
        <v>OK</v>
      </c>
      <c r="R406" t="str">
        <f t="shared" si="13"/>
        <v>Available</v>
      </c>
    </row>
    <row r="407" spans="1:18">
      <c r="A407" t="str">
        <f>TRIM(CLEAN(Raw_Data!A407))</f>
        <v>MEM0406</v>
      </c>
      <c r="B407" t="str">
        <f ca="1">TRIM(Raw_Data!B407)</f>
        <v>Anu Thomas</v>
      </c>
      <c r="C407" t="str">
        <f ca="1">_xlfn.XLOOKUP(D407, Branch_Master!A:A, Branch_Master!B:B)</f>
        <v>Kochi</v>
      </c>
      <c r="D407" t="str">
        <f ca="1">TRIM(Raw_Data!D407)</f>
        <v>BR01</v>
      </c>
      <c r="E407" t="str">
        <f ca="1">PROPER(TRIM(Raw_Data!E407))</f>
        <v>Premium</v>
      </c>
      <c r="F407" s="2">
        <f>IFERROR(DATEVALUE(Raw_Data!F407), Raw_Data!F407)</f>
        <v>45758</v>
      </c>
      <c r="G407" s="2">
        <f>IFERROR(
    IF(
        IFERROR(DATEVALUE(Raw_Data!G407), Raw_Data!G407) &lt;
        IFERROR(DATEVALUE(Raw_Data!F407), Raw_Data!F407),
        IFERROR(DATEVALUE(Raw_Data!F407), Raw_Data!F407) + 30,
        IFERROR(DATEVALUE(Raw_Data!G407), Raw_Data!G407)
    ),
    ""
)</f>
        <v>45788</v>
      </c>
      <c r="H407">
        <f>IFERROR(VALUE(Raw_Data!H407), "")</f>
        <v>3500</v>
      </c>
      <c r="I407">
        <f ca="1">IFERROR(VALUE(Raw_Data!I407), "")</f>
        <v>10500</v>
      </c>
      <c r="J407">
        <f>IFERROR(
    VALUE(SUBSTITUTE(Raw_Data!J407," visits","")),
    ""
)</f>
        <v>25</v>
      </c>
      <c r="K407" t="str">
        <f ca="1">IF(TRIM(Raw_Data!K407)="","No",PROPER(TRIM(Raw_Data!K407)))</f>
        <v>Yes</v>
      </c>
      <c r="L407" t="str">
        <f ca="1">PROPER(TRIM(Raw_Data!L407))</f>
        <v>Muscle Gain</v>
      </c>
      <c r="M407" t="s">
        <v>151</v>
      </c>
      <c r="N407" s="2">
        <f>IFERROR(DATEVALUE(Raw_Data!N407), Raw_Data!N407)</f>
        <v>45930</v>
      </c>
      <c r="O407" s="2"/>
      <c r="P407" t="str">
        <f>IF(COUNTIF($A$2:A407,A407)&gt;1,"Duplicate","Unique")</f>
        <v>Unique</v>
      </c>
      <c r="Q407" t="str">
        <f t="shared" si="12"/>
        <v>OK</v>
      </c>
      <c r="R407" t="str">
        <f t="shared" si="13"/>
        <v>Available</v>
      </c>
    </row>
    <row r="408" spans="1:18">
      <c r="A408" t="str">
        <f>TRIM(CLEAN(Raw_Data!A408))</f>
        <v>MEM0407</v>
      </c>
      <c r="B408" t="str">
        <f ca="1">TRIM(Raw_Data!B408)</f>
        <v>Rohit Fernandes</v>
      </c>
      <c r="C408" t="str">
        <f ca="1">_xlfn.XLOOKUP(D408, Branch_Master!A:A, Branch_Master!B:B)</f>
        <v>Bangalore</v>
      </c>
      <c r="D408" t="str">
        <f ca="1">TRIM(Raw_Data!D408)</f>
        <v>BR02</v>
      </c>
      <c r="E408" t="str">
        <f ca="1">PROPER(TRIM(Raw_Data!E408))</f>
        <v>Premium</v>
      </c>
      <c r="F408" s="2">
        <f>IFERROR(DATEVALUE(Raw_Data!F408), Raw_Data!F408)</f>
        <v>45774</v>
      </c>
      <c r="G408" s="2">
        <f>IFERROR(
    IF(
        IFERROR(DATEVALUE(Raw_Data!G408), Raw_Data!G408) &lt;
        IFERROR(DATEVALUE(Raw_Data!F408), Raw_Data!F408),
        IFERROR(DATEVALUE(Raw_Data!F408), Raw_Data!F408) + 30,
        IFERROR(DATEVALUE(Raw_Data!G408), Raw_Data!G408)
    ),
    ""
)</f>
        <v>45804</v>
      </c>
      <c r="H408">
        <f>IFERROR(VALUE(Raw_Data!H408), "")</f>
        <v>2000</v>
      </c>
      <c r="I408">
        <f ca="1">IFERROR(VALUE(Raw_Data!I408), "")</f>
        <v>2000</v>
      </c>
      <c r="J408">
        <f>IFERROR(
    VALUE(SUBSTITUTE(Raw_Data!J408," visits","")),
    ""
)</f>
        <v>3</v>
      </c>
      <c r="K408" t="str">
        <f ca="1">IF(TRIM(Raw_Data!K408)="","No",PROPER(TRIM(Raw_Data!K408)))</f>
        <v>No</v>
      </c>
      <c r="L408" t="str">
        <f ca="1">PROPER(TRIM(Raw_Data!L408))</f>
        <v>Muscle Gain</v>
      </c>
      <c r="M408" t="s">
        <v>151</v>
      </c>
      <c r="N408" s="2">
        <f>IFERROR(DATEVALUE(Raw_Data!N408), Raw_Data!N408)</f>
        <v>45793</v>
      </c>
      <c r="O408" s="2"/>
      <c r="P408" t="str">
        <f>IF(COUNTIF($A$2:A408,A408)&gt;1,"Duplicate","Unique")</f>
        <v>Unique</v>
      </c>
      <c r="Q408" t="str">
        <f t="shared" si="12"/>
        <v>OK</v>
      </c>
      <c r="R408" t="str">
        <f t="shared" si="13"/>
        <v>Available</v>
      </c>
    </row>
    <row r="409" spans="1:18">
      <c r="A409" t="str">
        <f>TRIM(CLEAN(Raw_Data!A409))</f>
        <v>MEM0408</v>
      </c>
      <c r="B409" t="str">
        <f ca="1">TRIM(Raw_Data!B409)</f>
        <v>Neha Iyer</v>
      </c>
      <c r="C409" t="str">
        <f ca="1">_xlfn.XLOOKUP(D409, Branch_Master!A:A, Branch_Master!B:B)</f>
        <v>Chennai</v>
      </c>
      <c r="D409" t="str">
        <f ca="1">TRIM(Raw_Data!D409)</f>
        <v>BR03</v>
      </c>
      <c r="E409" t="str">
        <f ca="1">PROPER(TRIM(Raw_Data!E409))</f>
        <v>Standard</v>
      </c>
      <c r="F409" s="2">
        <f>IFERROR(DATEVALUE(Raw_Data!F409), Raw_Data!F409)</f>
        <v>45669</v>
      </c>
      <c r="G409" s="2">
        <f>IFERROR(
    IF(
        IFERROR(DATEVALUE(Raw_Data!G409), Raw_Data!G409) &lt;
        IFERROR(DATEVALUE(Raw_Data!F409), Raw_Data!F409),
        IFERROR(DATEVALUE(Raw_Data!F409), Raw_Data!F409) + 30,
        IFERROR(DATEVALUE(Raw_Data!G409), Raw_Data!G409)
    ),
    ""
)</f>
        <v>46034</v>
      </c>
      <c r="H409">
        <f>IFERROR(VALUE(Raw_Data!H409), "")</f>
        <v>2000</v>
      </c>
      <c r="I409">
        <f ca="1">IFERROR(VALUE(Raw_Data!I409), "")</f>
        <v>24000</v>
      </c>
      <c r="J409">
        <f>IFERROR(
    VALUE(SUBSTITUTE(Raw_Data!J409," visits","")),
    ""
)</f>
        <v>16</v>
      </c>
      <c r="K409" t="str">
        <f ca="1">IF(TRIM(Raw_Data!K409)="","No",PROPER(TRIM(Raw_Data!K409)))</f>
        <v>No</v>
      </c>
      <c r="L409" t="str">
        <f ca="1">PROPER(TRIM(Raw_Data!L409))</f>
        <v>Muscle Gain</v>
      </c>
      <c r="M409" t="s">
        <v>152</v>
      </c>
      <c r="N409" s="2">
        <f>IFERROR(DATEVALUE(Raw_Data!N409), Raw_Data!N409)</f>
        <v>45791</v>
      </c>
      <c r="O409" s="2"/>
      <c r="P409" t="str">
        <f>IF(COUNTIF($A$2:A409,A409)&gt;1,"Duplicate","Unique")</f>
        <v>Unique</v>
      </c>
      <c r="Q409" t="str">
        <f t="shared" si="12"/>
        <v>Cancelled but Active</v>
      </c>
      <c r="R409" t="str">
        <f t="shared" si="13"/>
        <v>Available</v>
      </c>
    </row>
    <row r="410" spans="1:18">
      <c r="A410" t="str">
        <f>TRIM(CLEAN(Raw_Data!A410))</f>
        <v>MEM0409</v>
      </c>
      <c r="B410" t="str">
        <f ca="1">TRIM(Raw_Data!B410)</f>
        <v>Swathi Nair</v>
      </c>
      <c r="C410" t="str">
        <f ca="1">_xlfn.XLOOKUP(D410, Branch_Master!A:A, Branch_Master!B:B)</f>
        <v>Kochi</v>
      </c>
      <c r="D410" t="str">
        <f ca="1">TRIM(Raw_Data!D410)</f>
        <v>BR01</v>
      </c>
      <c r="E410" t="str">
        <f ca="1">PROPER(TRIM(Raw_Data!E410))</f>
        <v>Standard</v>
      </c>
      <c r="F410" s="2">
        <f>IFERROR(DATEVALUE(Raw_Data!F410), Raw_Data!F410)</f>
        <v>45194</v>
      </c>
      <c r="G410" s="2">
        <f>IFERROR(
    IF(
        IFERROR(DATEVALUE(Raw_Data!G410), Raw_Data!G410) &lt;
        IFERROR(DATEVALUE(Raw_Data!F410), Raw_Data!F410),
        IFERROR(DATEVALUE(Raw_Data!F410), Raw_Data!F410) + 30,
        IFERROR(DATEVALUE(Raw_Data!G410), Raw_Data!G410)
    ),
    ""
)</f>
        <v>45559</v>
      </c>
      <c r="H410">
        <f>IFERROR(VALUE(Raw_Data!H410), "")</f>
        <v>2000</v>
      </c>
      <c r="I410">
        <f ca="1">IFERROR(VALUE(Raw_Data!I410), "")</f>
        <v>10000</v>
      </c>
      <c r="J410">
        <f>IFERROR(
    VALUE(SUBSTITUTE(Raw_Data!J410," visits","")),
    ""
)</f>
        <v>9</v>
      </c>
      <c r="K410" t="str">
        <f ca="1">IF(TRIM(Raw_Data!K410)="","No",PROPER(TRIM(Raw_Data!K410)))</f>
        <v>Yes</v>
      </c>
      <c r="L410" t="str">
        <f ca="1">PROPER(TRIM(Raw_Data!L410))</f>
        <v>Weight Loss</v>
      </c>
      <c r="M410" t="s">
        <v>151</v>
      </c>
      <c r="N410" s="2">
        <f>IFERROR(DATEVALUE(Raw_Data!N410), Raw_Data!N410)</f>
        <v>45316</v>
      </c>
      <c r="O410" s="2"/>
      <c r="P410" t="str">
        <f>IF(COUNTIF($A$2:A410,A410)&gt;1,"Duplicate","Unique")</f>
        <v>Unique</v>
      </c>
      <c r="Q410" t="str">
        <f t="shared" si="12"/>
        <v>OK</v>
      </c>
      <c r="R410" t="str">
        <f t="shared" si="13"/>
        <v>Available</v>
      </c>
    </row>
    <row r="411" spans="1:18">
      <c r="A411" t="str">
        <f>TRIM(CLEAN(Raw_Data!A411))</f>
        <v>MEM0410</v>
      </c>
      <c r="B411" t="str">
        <f ca="1">TRIM(Raw_Data!B411)</f>
        <v>Kavya Fernandes</v>
      </c>
      <c r="C411" t="str">
        <f ca="1">_xlfn.XLOOKUP(D411, Branch_Master!A:A, Branch_Master!B:B)</f>
        <v>Trivandrum</v>
      </c>
      <c r="D411" t="str">
        <f ca="1">TRIM(Raw_Data!D411)</f>
        <v>BR06</v>
      </c>
      <c r="E411" t="str">
        <f ca="1">PROPER(TRIM(Raw_Data!E411))</f>
        <v>Premium</v>
      </c>
      <c r="F411" s="2">
        <f>IFERROR(DATEVALUE(Raw_Data!F411), Raw_Data!F411)</f>
        <v>45127</v>
      </c>
      <c r="G411" s="2">
        <f>IFERROR(
    IF(
        IFERROR(DATEVALUE(Raw_Data!G411), Raw_Data!G411) &lt;
        IFERROR(DATEVALUE(Raw_Data!F411), Raw_Data!F411),
        IFERROR(DATEVALUE(Raw_Data!F411), Raw_Data!F411) + 30,
        IFERROR(DATEVALUE(Raw_Data!G411), Raw_Data!G411)
    ),
    ""
)</f>
        <v>45492</v>
      </c>
      <c r="H411">
        <f>IFERROR(VALUE(Raw_Data!H411), "")</f>
        <v>2000</v>
      </c>
      <c r="I411">
        <f ca="1">IFERROR(VALUE(Raw_Data!I411), "")</f>
        <v>24000</v>
      </c>
      <c r="J411">
        <f>IFERROR(
    VALUE(SUBSTITUTE(Raw_Data!J411," visits","")),
    ""
)</f>
        <v>12</v>
      </c>
      <c r="K411" t="str">
        <f ca="1">IF(TRIM(Raw_Data!K411)="","No",PROPER(TRIM(Raw_Data!K411)))</f>
        <v>No</v>
      </c>
      <c r="L411" t="str">
        <f ca="1">PROPER(TRIM(Raw_Data!L411))</f>
        <v>Weight Loss</v>
      </c>
      <c r="M411" t="s">
        <v>151</v>
      </c>
      <c r="N411" s="2">
        <f>IFERROR(DATEVALUE(Raw_Data!N411), Raw_Data!N411)</f>
        <v>45746</v>
      </c>
      <c r="O411" s="2"/>
      <c r="P411" t="str">
        <f>IF(COUNTIF($A$2:A411,A411)&gt;1,"Duplicate","Unique")</f>
        <v>Unique</v>
      </c>
      <c r="Q411" t="str">
        <f t="shared" si="12"/>
        <v>OK</v>
      </c>
      <c r="R411" t="str">
        <f t="shared" si="13"/>
        <v>Available</v>
      </c>
    </row>
    <row r="412" spans="1:18">
      <c r="A412" t="str">
        <f>TRIM(CLEAN(Raw_Data!A412))</f>
        <v>MEM0411</v>
      </c>
      <c r="B412" t="str">
        <f ca="1">TRIM(Raw_Data!B412)</f>
        <v>Nisha Bhat</v>
      </c>
      <c r="C412" t="str">
        <f ca="1">_xlfn.XLOOKUP(D412, Branch_Master!A:A, Branch_Master!B:B)</f>
        <v>Calicut</v>
      </c>
      <c r="D412" t="str">
        <f ca="1">TRIM(Raw_Data!D412)</f>
        <v>BR07</v>
      </c>
      <c r="E412" t="str">
        <f ca="1">PROPER(TRIM(Raw_Data!E412))</f>
        <v>Premium</v>
      </c>
      <c r="F412" s="2">
        <f>IFERROR(DATEVALUE(Raw_Data!F412), Raw_Data!F412)</f>
        <v>45416</v>
      </c>
      <c r="G412" s="2">
        <f>IFERROR(
    IF(
        IFERROR(DATEVALUE(Raw_Data!G412), Raw_Data!G412) &lt;
        IFERROR(DATEVALUE(Raw_Data!F412), Raw_Data!F412),
        IFERROR(DATEVALUE(Raw_Data!F412), Raw_Data!F412) + 30,
        IFERROR(DATEVALUE(Raw_Data!G412), Raw_Data!G412)
    ),
    ""
)</f>
        <v>45446</v>
      </c>
      <c r="H412">
        <f>IFERROR(VALUE(Raw_Data!H412), "")</f>
        <v>2000</v>
      </c>
      <c r="I412">
        <f ca="1">IFERROR(VALUE(Raw_Data!I412), "")</f>
        <v>24000</v>
      </c>
      <c r="J412">
        <f>IFERROR(
    VALUE(SUBSTITUTE(Raw_Data!J412," visits","")),
    ""
)</f>
        <v>21</v>
      </c>
      <c r="K412" t="str">
        <f ca="1">IF(TRIM(Raw_Data!K412)="","No",PROPER(TRIM(Raw_Data!K412)))</f>
        <v>No</v>
      </c>
      <c r="L412" t="str">
        <f ca="1">PROPER(TRIM(Raw_Data!L412))</f>
        <v>Muscle Gain</v>
      </c>
      <c r="M412" t="s">
        <v>151</v>
      </c>
      <c r="N412" s="2">
        <f>IFERROR(DATEVALUE(Raw_Data!N412), Raw_Data!N412)</f>
        <v>45968</v>
      </c>
      <c r="O412" s="2"/>
      <c r="P412" t="str">
        <f>IF(COUNTIF($A$2:A412,A412)&gt;1,"Duplicate","Unique")</f>
        <v>Unique</v>
      </c>
      <c r="Q412" t="str">
        <f t="shared" si="12"/>
        <v>OK</v>
      </c>
      <c r="R412" t="str">
        <f t="shared" si="13"/>
        <v>Available</v>
      </c>
    </row>
    <row r="413" spans="1:18">
      <c r="A413" t="str">
        <f>TRIM(CLEAN(Raw_Data!A413))</f>
        <v>MEM0412</v>
      </c>
      <c r="B413" t="str">
        <f ca="1">TRIM(Raw_Data!B413)</f>
        <v>Sneha Shetty</v>
      </c>
      <c r="C413" t="str">
        <f ca="1">_xlfn.XLOOKUP(D413, Branch_Master!A:A, Branch_Master!B:B)</f>
        <v>Trivandrum</v>
      </c>
      <c r="D413" t="str">
        <f ca="1">TRIM(Raw_Data!D413)</f>
        <v>BR06</v>
      </c>
      <c r="E413" t="str">
        <f ca="1">PROPER(TRIM(Raw_Data!E413))</f>
        <v>Basic</v>
      </c>
      <c r="F413" s="2">
        <f>IFERROR(DATEVALUE(Raw_Data!F413), Raw_Data!F413)</f>
        <v>45403</v>
      </c>
      <c r="G413" s="2">
        <f>IFERROR(
    IF(
        IFERROR(DATEVALUE(Raw_Data!G413), Raw_Data!G413) &lt;
        IFERROR(DATEVALUE(Raw_Data!F413), Raw_Data!F413),
        IFERROR(DATEVALUE(Raw_Data!F413), Raw_Data!F413) + 30,
        IFERROR(DATEVALUE(Raw_Data!G413), Raw_Data!G413)
    ),
    ""
)</f>
        <v>45433</v>
      </c>
      <c r="H413">
        <f>IFERROR(VALUE(Raw_Data!H413), "")</f>
        <v>3500</v>
      </c>
      <c r="I413">
        <f ca="1">IFERROR(VALUE(Raw_Data!I413), "")</f>
        <v>14000</v>
      </c>
      <c r="J413">
        <f>IFERROR(
    VALUE(SUBSTITUTE(Raw_Data!J413," visits","")),
    ""
)</f>
        <v>0</v>
      </c>
      <c r="K413" t="str">
        <f ca="1">IF(TRIM(Raw_Data!K413)="","No",PROPER(TRIM(Raw_Data!K413)))</f>
        <v>No</v>
      </c>
      <c r="L413" t="str">
        <f ca="1">PROPER(TRIM(Raw_Data!L413))</f>
        <v>General Fitness</v>
      </c>
      <c r="M413" t="s">
        <v>151</v>
      </c>
      <c r="N413" s="2">
        <f>IFERROR(DATEVALUE(Raw_Data!N413), Raw_Data!N413)</f>
        <v>45519</v>
      </c>
      <c r="O413" s="2"/>
      <c r="P413" t="str">
        <f>IF(COUNTIF($A$2:A413,A413)&gt;1,"Duplicate","Unique")</f>
        <v>Unique</v>
      </c>
      <c r="Q413" t="str">
        <f t="shared" si="12"/>
        <v>OK</v>
      </c>
      <c r="R413" t="str">
        <f t="shared" si="13"/>
        <v>Available</v>
      </c>
    </row>
    <row r="414" spans="1:18">
      <c r="A414" t="str">
        <f>TRIM(CLEAN(Raw_Data!A414))</f>
        <v>MEM0413</v>
      </c>
      <c r="B414" t="str">
        <f ca="1">TRIM(Raw_Data!B414)</f>
        <v>Ayesha Mathew</v>
      </c>
      <c r="C414" t="str">
        <f ca="1">_xlfn.XLOOKUP(D414, Branch_Master!A:A, Branch_Master!B:B)</f>
        <v>Mumbai</v>
      </c>
      <c r="D414" t="str">
        <f ca="1">TRIM(Raw_Data!D414)</f>
        <v>BR05</v>
      </c>
      <c r="E414" t="str">
        <f ca="1">PROPER(TRIM(Raw_Data!E414))</f>
        <v>Basic</v>
      </c>
      <c r="F414" s="2">
        <f>IFERROR(DATEVALUE(Raw_Data!F414), Raw_Data!F414)</f>
        <v>45704</v>
      </c>
      <c r="G414" s="2">
        <f>IFERROR(
    IF(
        IFERROR(DATEVALUE(Raw_Data!G414), Raw_Data!G414) &lt;
        IFERROR(DATEVALUE(Raw_Data!F414), Raw_Data!F414),
        IFERROR(DATEVALUE(Raw_Data!F414), Raw_Data!F414) + 30,
        IFERROR(DATEVALUE(Raw_Data!G414), Raw_Data!G414)
    ),
    ""
)</f>
        <v>46069</v>
      </c>
      <c r="H414">
        <f>IFERROR(VALUE(Raw_Data!H414), "")</f>
        <v>1000</v>
      </c>
      <c r="I414">
        <f ca="1">IFERROR(VALUE(Raw_Data!I414), "")</f>
        <v>1000</v>
      </c>
      <c r="J414">
        <f>IFERROR(
    VALUE(SUBSTITUTE(Raw_Data!J414," visits","")),
    ""
)</f>
        <v>10</v>
      </c>
      <c r="K414" t="str">
        <f ca="1">IF(TRIM(Raw_Data!K414)="","No",PROPER(TRIM(Raw_Data!K414)))</f>
        <v>No</v>
      </c>
      <c r="L414" t="str">
        <f ca="1">PROPER(TRIM(Raw_Data!L414))</f>
        <v>Muscle Gain</v>
      </c>
      <c r="M414" t="s">
        <v>151</v>
      </c>
      <c r="N414" s="2">
        <f>IFERROR(DATEVALUE(Raw_Data!N414), Raw_Data!N414)</f>
        <v>45909</v>
      </c>
      <c r="O414" s="2"/>
      <c r="P414" t="str">
        <f>IF(COUNTIF($A$2:A414,A414)&gt;1,"Duplicate","Unique")</f>
        <v>Unique</v>
      </c>
      <c r="Q414" t="str">
        <f t="shared" si="12"/>
        <v>OK</v>
      </c>
      <c r="R414" t="str">
        <f t="shared" si="13"/>
        <v>Available</v>
      </c>
    </row>
    <row r="415" spans="1:18">
      <c r="A415" t="str">
        <f>TRIM(CLEAN(Raw_Data!A415))</f>
        <v>MEM0414</v>
      </c>
      <c r="B415" t="str">
        <f ca="1">TRIM(Raw_Data!B415)</f>
        <v>Ayesha Iyer</v>
      </c>
      <c r="C415" t="str">
        <f ca="1">_xlfn.XLOOKUP(D415, Branch_Master!A:A, Branch_Master!B:B)</f>
        <v>Hyderabad</v>
      </c>
      <c r="D415" t="str">
        <f ca="1">TRIM(Raw_Data!D415)</f>
        <v>BR04</v>
      </c>
      <c r="E415" t="str">
        <f ca="1">PROPER(TRIM(Raw_Data!E415))</f>
        <v>Premium</v>
      </c>
      <c r="F415" s="2">
        <f>IFERROR(DATEVALUE(Raw_Data!F415), Raw_Data!F415)</f>
        <v>45867</v>
      </c>
      <c r="G415" s="2">
        <f>IFERROR(
    IF(
        IFERROR(DATEVALUE(Raw_Data!G415), Raw_Data!G415) &lt;
        IFERROR(DATEVALUE(Raw_Data!F415), Raw_Data!F415),
        IFERROR(DATEVALUE(Raw_Data!F415), Raw_Data!F415) + 30,
        IFERROR(DATEVALUE(Raw_Data!G415), Raw_Data!G415)
    ),
    ""
)</f>
        <v>45897</v>
      </c>
      <c r="H415">
        <f>IFERROR(VALUE(Raw_Data!H415), "")</f>
        <v>2000</v>
      </c>
      <c r="I415">
        <f ca="1">IFERROR(VALUE(Raw_Data!I415), "")</f>
        <v>8000</v>
      </c>
      <c r="J415">
        <f>IFERROR(
    VALUE(SUBSTITUTE(Raw_Data!J415," visits","")),
    ""
)</f>
        <v>11</v>
      </c>
      <c r="K415" t="str">
        <f ca="1">IF(TRIM(Raw_Data!K415)="","No",PROPER(TRIM(Raw_Data!K415)))</f>
        <v>Yes</v>
      </c>
      <c r="L415" t="str">
        <f ca="1">PROPER(TRIM(Raw_Data!L415))</f>
        <v>Weight Loss</v>
      </c>
      <c r="M415" t="s">
        <v>151</v>
      </c>
      <c r="N415" s="2">
        <f>IFERROR(DATEVALUE(Raw_Data!N415), Raw_Data!N415)</f>
        <v>45887</v>
      </c>
      <c r="O415" s="2"/>
      <c r="P415" t="str">
        <f>IF(COUNTIF($A$2:A415,A415)&gt;1,"Duplicate","Unique")</f>
        <v>Unique</v>
      </c>
      <c r="Q415" t="str">
        <f t="shared" si="12"/>
        <v>OK</v>
      </c>
      <c r="R415" t="str">
        <f t="shared" si="13"/>
        <v>Available</v>
      </c>
    </row>
    <row r="416" spans="1:18">
      <c r="A416" t="str">
        <f>TRIM(CLEAN(Raw_Data!A416))</f>
        <v>MEM0415</v>
      </c>
      <c r="B416" t="str">
        <f ca="1">TRIM(Raw_Data!B416)</f>
        <v>Rohit Nambiar</v>
      </c>
      <c r="C416" t="str">
        <f ca="1">_xlfn.XLOOKUP(D416, Branch_Master!A:A, Branch_Master!B:B)</f>
        <v>Mumbai</v>
      </c>
      <c r="D416" t="str">
        <f ca="1">TRIM(Raw_Data!D416)</f>
        <v>BR05</v>
      </c>
      <c r="E416" t="str">
        <f ca="1">PROPER(TRIM(Raw_Data!E416))</f>
        <v>Basic</v>
      </c>
      <c r="F416" s="2">
        <f>IFERROR(DATEVALUE(Raw_Data!F416), Raw_Data!F416)</f>
        <v>45626</v>
      </c>
      <c r="G416" s="2">
        <f>IFERROR(
    IF(
        IFERROR(DATEVALUE(Raw_Data!G416), Raw_Data!G416) &lt;
        IFERROR(DATEVALUE(Raw_Data!F416), Raw_Data!F416),
        IFERROR(DATEVALUE(Raw_Data!F416), Raw_Data!F416) + 30,
        IFERROR(DATEVALUE(Raw_Data!G416), Raw_Data!G416)
    ),
    ""
)</f>
        <v>45716</v>
      </c>
      <c r="H416">
        <f>IFERROR(VALUE(Raw_Data!H416), "")</f>
        <v>2000</v>
      </c>
      <c r="I416">
        <f ca="1">IFERROR(VALUE(Raw_Data!I416), "")</f>
        <v>6000</v>
      </c>
      <c r="J416">
        <f>IFERROR(
    VALUE(SUBSTITUTE(Raw_Data!J416," visits","")),
    ""
)</f>
        <v>20</v>
      </c>
      <c r="K416" t="str">
        <f ca="1">IF(TRIM(Raw_Data!K416)="","No",PROPER(TRIM(Raw_Data!K416)))</f>
        <v>No</v>
      </c>
      <c r="L416" t="str">
        <f ca="1">PROPER(TRIM(Raw_Data!L416))</f>
        <v>Muscle Gain</v>
      </c>
      <c r="M416" t="s">
        <v>151</v>
      </c>
      <c r="N416" s="2">
        <f>IFERROR(DATEVALUE(Raw_Data!N416), Raw_Data!N416)</f>
        <v>45975</v>
      </c>
      <c r="O416" s="2"/>
      <c r="P416" t="str">
        <f>IF(COUNTIF($A$2:A416,A416)&gt;1,"Duplicate","Unique")</f>
        <v>Unique</v>
      </c>
      <c r="Q416" t="str">
        <f t="shared" si="12"/>
        <v>OK</v>
      </c>
      <c r="R416" t="str">
        <f t="shared" si="13"/>
        <v>Available</v>
      </c>
    </row>
    <row r="417" spans="1:18">
      <c r="A417" t="str">
        <f>TRIM(CLEAN(Raw_Data!A417))</f>
        <v>MEM0416</v>
      </c>
      <c r="B417" t="str">
        <f ca="1">TRIM(Raw_Data!B417)</f>
        <v>Ishita Bhat</v>
      </c>
      <c r="C417" t="str">
        <f ca="1">_xlfn.XLOOKUP(D417, Branch_Master!A:A, Branch_Master!B:B)</f>
        <v>Kochi</v>
      </c>
      <c r="D417" t="str">
        <f ca="1">TRIM(Raw_Data!D417)</f>
        <v>BR01</v>
      </c>
      <c r="E417" t="str">
        <f ca="1">PROPER(TRIM(Raw_Data!E417))</f>
        <v>Standard</v>
      </c>
      <c r="F417" s="2">
        <f>IFERROR(DATEVALUE(Raw_Data!F417), Raw_Data!F417)</f>
        <v>46052</v>
      </c>
      <c r="G417" s="2">
        <f>IFERROR(
    IF(
        IFERROR(DATEVALUE(Raw_Data!G417), Raw_Data!G417) &lt;
        IFERROR(DATEVALUE(Raw_Data!F417), Raw_Data!F417),
        IFERROR(DATEVALUE(Raw_Data!F417), Raw_Data!F417) + 30,
        IFERROR(DATEVALUE(Raw_Data!G417), Raw_Data!G417)
    ),
    ""
)</f>
        <v>46082</v>
      </c>
      <c r="H417">
        <f>IFERROR(VALUE(Raw_Data!H417), "")</f>
        <v>3500</v>
      </c>
      <c r="I417">
        <f ca="1">IFERROR(VALUE(Raw_Data!I417), "")</f>
        <v>3500</v>
      </c>
      <c r="J417">
        <f>IFERROR(
    VALUE(SUBSTITUTE(Raw_Data!J417," visits","")),
    ""
)</f>
        <v>12</v>
      </c>
      <c r="K417" t="str">
        <f ca="1">IF(TRIM(Raw_Data!K417)="","No",PROPER(TRIM(Raw_Data!K417)))</f>
        <v>No</v>
      </c>
      <c r="L417" t="str">
        <f ca="1">PROPER(TRIM(Raw_Data!L417))</f>
        <v>General Fitness</v>
      </c>
      <c r="M417" t="s">
        <v>151</v>
      </c>
      <c r="N417" s="2">
        <f>IFERROR(DATEVALUE(Raw_Data!N417), Raw_Data!N417)</f>
        <v>46073</v>
      </c>
      <c r="O417" s="2"/>
      <c r="P417" t="str">
        <f>IF(COUNTIF($A$2:A417,A417)&gt;1,"Duplicate","Unique")</f>
        <v>Unique</v>
      </c>
      <c r="Q417" t="str">
        <f t="shared" si="12"/>
        <v>OK</v>
      </c>
      <c r="R417" t="str">
        <f t="shared" si="13"/>
        <v>Available</v>
      </c>
    </row>
    <row r="418" spans="1:18">
      <c r="A418" t="str">
        <f>TRIM(CLEAN(Raw_Data!A418))</f>
        <v>MEM0417</v>
      </c>
      <c r="B418" t="str">
        <f ca="1">TRIM(Raw_Data!B418)</f>
        <v>Riya Sharma</v>
      </c>
      <c r="C418" t="str">
        <f ca="1">_xlfn.XLOOKUP(D418, Branch_Master!A:A, Branch_Master!B:B)</f>
        <v>Mumbai</v>
      </c>
      <c r="D418" t="str">
        <f ca="1">TRIM(Raw_Data!D418)</f>
        <v>BR05</v>
      </c>
      <c r="E418" t="str">
        <f ca="1">PROPER(TRIM(Raw_Data!E418))</f>
        <v>Basic</v>
      </c>
      <c r="F418" s="2">
        <f>IFERROR(DATEVALUE(Raw_Data!F418), Raw_Data!F418)</f>
        <v>46021</v>
      </c>
      <c r="G418" s="2">
        <f>IFERROR(
    IF(
        IFERROR(DATEVALUE(Raw_Data!G418), Raw_Data!G418) &lt;
        IFERROR(DATEVALUE(Raw_Data!F418), Raw_Data!F418),
        IFERROR(DATEVALUE(Raw_Data!F418), Raw_Data!F418) + 30,
        IFERROR(DATEVALUE(Raw_Data!G418), Raw_Data!G418)
    ),
    ""
)</f>
        <v>46111</v>
      </c>
      <c r="H418">
        <f>IFERROR(VALUE(Raw_Data!H418), "")</f>
        <v>3500</v>
      </c>
      <c r="I418">
        <f ca="1">IFERROR(VALUE(Raw_Data!I418), "")</f>
        <v>10500</v>
      </c>
      <c r="J418">
        <f>IFERROR(
    VALUE(SUBSTITUTE(Raw_Data!J418," visits","")),
    ""
)</f>
        <v>16</v>
      </c>
      <c r="K418" t="str">
        <f ca="1">IF(TRIM(Raw_Data!K418)="","No",PROPER(TRIM(Raw_Data!K418)))</f>
        <v>Yes</v>
      </c>
      <c r="L418" t="str">
        <f ca="1">PROPER(TRIM(Raw_Data!L418))</f>
        <v>Weight Loss</v>
      </c>
      <c r="M418" t="s">
        <v>152</v>
      </c>
      <c r="N418" s="2">
        <f>IFERROR(DATEVALUE(Raw_Data!N418), Raw_Data!N418)</f>
        <v>46036</v>
      </c>
      <c r="O418" s="2"/>
      <c r="P418" t="str">
        <f>IF(COUNTIF($A$2:A418,A418)&gt;1,"Duplicate","Unique")</f>
        <v>Unique</v>
      </c>
      <c r="Q418" t="str">
        <f t="shared" si="12"/>
        <v>Cancelled but Active</v>
      </c>
      <c r="R418" t="str">
        <f t="shared" si="13"/>
        <v>Available</v>
      </c>
    </row>
    <row r="419" spans="1:18">
      <c r="A419" t="str">
        <f>TRIM(CLEAN(Raw_Data!A419))</f>
        <v>MEM0418</v>
      </c>
      <c r="B419" t="str">
        <f ca="1">TRIM(Raw_Data!B419)</f>
        <v>Nisha Khan</v>
      </c>
      <c r="C419" t="str">
        <f ca="1">_xlfn.XLOOKUP(D419, Branch_Master!A:A, Branch_Master!B:B)</f>
        <v>Mumbai</v>
      </c>
      <c r="D419" t="str">
        <f ca="1">TRIM(Raw_Data!D419)</f>
        <v>BR05</v>
      </c>
      <c r="E419" t="str">
        <f ca="1">PROPER(TRIM(Raw_Data!E419))</f>
        <v>Standard</v>
      </c>
      <c r="F419" s="2">
        <f>IFERROR(DATEVALUE(Raw_Data!F419), Raw_Data!F419)</f>
        <v>45495</v>
      </c>
      <c r="G419" s="2">
        <f>IFERROR(
    IF(
        IFERROR(DATEVALUE(Raw_Data!G419), Raw_Data!G419) &lt;
        IFERROR(DATEVALUE(Raw_Data!F419), Raw_Data!F419),
        IFERROR(DATEVALUE(Raw_Data!F419), Raw_Data!F419) + 30,
        IFERROR(DATEVALUE(Raw_Data!G419), Raw_Data!G419)
    ),
    ""
)</f>
        <v>45585</v>
      </c>
      <c r="H419">
        <f>IFERROR(VALUE(Raw_Data!H419), "")</f>
        <v>2000</v>
      </c>
      <c r="I419">
        <f ca="1">IFERROR(VALUE(Raw_Data!I419), "")</f>
        <v>4000</v>
      </c>
      <c r="J419">
        <f>IFERROR(
    VALUE(SUBSTITUTE(Raw_Data!J419," visits","")),
    ""
)</f>
        <v>18</v>
      </c>
      <c r="K419" t="str">
        <f ca="1">IF(TRIM(Raw_Data!K419)="","No",PROPER(TRIM(Raw_Data!K419)))</f>
        <v>Yes</v>
      </c>
      <c r="L419" t="str">
        <f ca="1">PROPER(TRIM(Raw_Data!L419))</f>
        <v>General Fitness</v>
      </c>
      <c r="M419" t="s">
        <v>151</v>
      </c>
      <c r="N419" s="2">
        <f>IFERROR(DATEVALUE(Raw_Data!N419), Raw_Data!N419)</f>
        <v>45566</v>
      </c>
      <c r="O419" s="2"/>
      <c r="P419" t="str">
        <f>IF(COUNTIF($A$2:A419,A419)&gt;1,"Duplicate","Unique")</f>
        <v>Unique</v>
      </c>
      <c r="Q419" t="str">
        <f t="shared" si="12"/>
        <v>OK</v>
      </c>
      <c r="R419" t="str">
        <f t="shared" si="13"/>
        <v>Available</v>
      </c>
    </row>
    <row r="420" spans="1:18">
      <c r="A420" t="str">
        <f>TRIM(CLEAN(Raw_Data!A420))</f>
        <v>MEM0419</v>
      </c>
      <c r="B420" t="str">
        <f ca="1">TRIM(Raw_Data!B420)</f>
        <v>Priya Gupta</v>
      </c>
      <c r="C420" t="str">
        <f ca="1">_xlfn.XLOOKUP(D420, Branch_Master!A:A, Branch_Master!B:B)</f>
        <v>Calicut</v>
      </c>
      <c r="D420" t="str">
        <f ca="1">TRIM(Raw_Data!D420)</f>
        <v>BR07</v>
      </c>
      <c r="E420" t="str">
        <f ca="1">PROPER(TRIM(Raw_Data!E420))</f>
        <v>Premium</v>
      </c>
      <c r="F420" s="2">
        <f>IFERROR(DATEVALUE(Raw_Data!F420), Raw_Data!F420)</f>
        <v>45503</v>
      </c>
      <c r="G420" s="2">
        <f>IFERROR(
    IF(
        IFERROR(DATEVALUE(Raw_Data!G420), Raw_Data!G420) &lt;
        IFERROR(DATEVALUE(Raw_Data!F420), Raw_Data!F420),
        IFERROR(DATEVALUE(Raw_Data!F420), Raw_Data!F420) + 30,
        IFERROR(DATEVALUE(Raw_Data!G420), Raw_Data!G420)
    ),
    ""
)</f>
        <v>45868</v>
      </c>
      <c r="H420">
        <f>IFERROR(VALUE(Raw_Data!H420), "")</f>
        <v>2000</v>
      </c>
      <c r="I420">
        <f ca="1">IFERROR(VALUE(Raw_Data!I420), "")</f>
        <v>18000</v>
      </c>
      <c r="J420">
        <f>IFERROR(
    VALUE(SUBSTITUTE(Raw_Data!J420," visits","")),
    ""
)</f>
        <v>17</v>
      </c>
      <c r="K420" t="str">
        <f ca="1">IF(TRIM(Raw_Data!K420)="","No",PROPER(TRIM(Raw_Data!K420)))</f>
        <v>No</v>
      </c>
      <c r="L420" t="str">
        <f ca="1">PROPER(TRIM(Raw_Data!L420))</f>
        <v>Weight Loss</v>
      </c>
      <c r="M420" t="s">
        <v>151</v>
      </c>
      <c r="N420" s="2">
        <f>IFERROR(DATEVALUE(Raw_Data!N420), Raw_Data!N420)</f>
        <v>45870</v>
      </c>
      <c r="O420" s="2"/>
      <c r="P420" t="str">
        <f>IF(COUNTIF($A$2:A420,A420)&gt;1,"Duplicate","Unique")</f>
        <v>Unique</v>
      </c>
      <c r="Q420" t="str">
        <f t="shared" si="12"/>
        <v>OK</v>
      </c>
      <c r="R420" t="str">
        <f t="shared" si="13"/>
        <v>Available</v>
      </c>
    </row>
    <row r="421" spans="1:18">
      <c r="A421" t="str">
        <f>TRIM(CLEAN(Raw_Data!A421))</f>
        <v>MEM0420</v>
      </c>
      <c r="B421" t="str">
        <f ca="1">TRIM(Raw_Data!B421)</f>
        <v>Kavya Shetty</v>
      </c>
      <c r="C421" t="str">
        <f ca="1">_xlfn.XLOOKUP(D421, Branch_Master!A:A, Branch_Master!B:B)</f>
        <v>Calicut</v>
      </c>
      <c r="D421" t="str">
        <f ca="1">TRIM(Raw_Data!D421)</f>
        <v>BR07</v>
      </c>
      <c r="E421" t="str">
        <f ca="1">PROPER(TRIM(Raw_Data!E421))</f>
        <v>Premium</v>
      </c>
      <c r="F421" s="2">
        <f>IFERROR(DATEVALUE(Raw_Data!F421), Raw_Data!F421)</f>
        <v>45622</v>
      </c>
      <c r="G421" s="2">
        <f>IFERROR(
    IF(
        IFERROR(DATEVALUE(Raw_Data!G421), Raw_Data!G421) &lt;
        IFERROR(DATEVALUE(Raw_Data!F421), Raw_Data!F421),
        IFERROR(DATEVALUE(Raw_Data!F421), Raw_Data!F421) + 30,
        IFERROR(DATEVALUE(Raw_Data!G421), Raw_Data!G421)
    ),
    ""
)</f>
        <v>45652</v>
      </c>
      <c r="H421">
        <f>IFERROR(VALUE(Raw_Data!H421), "")</f>
        <v>3500</v>
      </c>
      <c r="I421">
        <f ca="1">IFERROR(VALUE(Raw_Data!I421), "")</f>
        <v>28000</v>
      </c>
      <c r="J421">
        <f>IFERROR(
    VALUE(SUBSTITUTE(Raw_Data!J421," visits","")),
    ""
)</f>
        <v>25</v>
      </c>
      <c r="K421" t="str">
        <f ca="1">IF(TRIM(Raw_Data!K421)="","No",PROPER(TRIM(Raw_Data!K421)))</f>
        <v>No</v>
      </c>
      <c r="L421" t="str">
        <f ca="1">PROPER(TRIM(Raw_Data!L421))</f>
        <v>General Fitness</v>
      </c>
      <c r="M421" t="s">
        <v>152</v>
      </c>
      <c r="N421" s="2">
        <f>IFERROR(DATEVALUE(Raw_Data!N421), Raw_Data!N421)</f>
        <v>46111</v>
      </c>
      <c r="O421" s="2"/>
      <c r="P421" t="str">
        <f>IF(COUNTIF($A$2:A421,A421)&gt;1,"Duplicate","Unique")</f>
        <v>Unique</v>
      </c>
      <c r="Q421" t="str">
        <f t="shared" si="12"/>
        <v>Cancelled but Active</v>
      </c>
      <c r="R421" t="str">
        <f t="shared" si="13"/>
        <v>Available</v>
      </c>
    </row>
    <row r="422" spans="1:18">
      <c r="A422" t="str">
        <f>TRIM(CLEAN(Raw_Data!A422))</f>
        <v>MEM0421</v>
      </c>
      <c r="B422" t="str">
        <f ca="1">TRIM(Raw_Data!B422)</f>
        <v>Divya Pillai</v>
      </c>
      <c r="C422" t="str">
        <f ca="1">_xlfn.XLOOKUP(D422, Branch_Master!A:A, Branch_Master!B:B)</f>
        <v>Calicut</v>
      </c>
      <c r="D422" t="str">
        <f ca="1">TRIM(Raw_Data!D422)</f>
        <v>BR07</v>
      </c>
      <c r="E422" t="str">
        <f ca="1">PROPER(TRIM(Raw_Data!E422))</f>
        <v>Standard</v>
      </c>
      <c r="F422" s="2">
        <f>IFERROR(DATEVALUE(Raw_Data!F422), Raw_Data!F422)</f>
        <v>45439</v>
      </c>
      <c r="G422" s="2">
        <f>IFERROR(
    IF(
        IFERROR(DATEVALUE(Raw_Data!G422), Raw_Data!G422) &lt;
        IFERROR(DATEVALUE(Raw_Data!F422), Raw_Data!F422),
        IFERROR(DATEVALUE(Raw_Data!F422), Raw_Data!F422) + 30,
        IFERROR(DATEVALUE(Raw_Data!G422), Raw_Data!G422)
    ),
    ""
)</f>
        <v>45804</v>
      </c>
      <c r="H422">
        <f>IFERROR(VALUE(Raw_Data!H422), "")</f>
        <v>1000</v>
      </c>
      <c r="I422">
        <f ca="1">IFERROR(VALUE(Raw_Data!I422), "")</f>
        <v>10000</v>
      </c>
      <c r="J422">
        <f>IFERROR(
    VALUE(SUBSTITUTE(Raw_Data!J422," visits","")),
    ""
)</f>
        <v>10</v>
      </c>
      <c r="K422" t="str">
        <f ca="1">IF(TRIM(Raw_Data!K422)="","No",PROPER(TRIM(Raw_Data!K422)))</f>
        <v>Yes</v>
      </c>
      <c r="L422" t="str">
        <f ca="1">PROPER(TRIM(Raw_Data!L422))</f>
        <v>Weight Loss</v>
      </c>
      <c r="M422" t="s">
        <v>151</v>
      </c>
      <c r="N422" s="2">
        <f>IFERROR(DATEVALUE(Raw_Data!N422), Raw_Data!N422)</f>
        <v>46032</v>
      </c>
      <c r="O422" s="2"/>
      <c r="P422" t="str">
        <f>IF(COUNTIF($A$2:A422,A422)&gt;1,"Duplicate","Unique")</f>
        <v>Unique</v>
      </c>
      <c r="Q422" t="str">
        <f t="shared" si="12"/>
        <v>OK</v>
      </c>
      <c r="R422" t="str">
        <f t="shared" si="13"/>
        <v>Available</v>
      </c>
    </row>
    <row r="423" spans="1:18">
      <c r="A423" t="str">
        <f>TRIM(CLEAN(Raw_Data!A423))</f>
        <v>MEM0422</v>
      </c>
      <c r="B423" t="str">
        <f ca="1">TRIM(Raw_Data!B423)</f>
        <v>Varun Patel</v>
      </c>
      <c r="C423" t="str">
        <f ca="1">_xlfn.XLOOKUP(D423, Branch_Master!A:A, Branch_Master!B:B)</f>
        <v>Calicut</v>
      </c>
      <c r="D423" t="str">
        <f ca="1">TRIM(Raw_Data!D423)</f>
        <v>BR07</v>
      </c>
      <c r="E423" t="str">
        <f ca="1">PROPER(TRIM(Raw_Data!E423))</f>
        <v>Standard</v>
      </c>
      <c r="F423" s="2">
        <f>IFERROR(DATEVALUE(Raw_Data!F423), Raw_Data!F423)</f>
        <v>45478</v>
      </c>
      <c r="G423" s="2">
        <f>IFERROR(
    IF(
        IFERROR(DATEVALUE(Raw_Data!G423), Raw_Data!G423) &lt;
        IFERROR(DATEVALUE(Raw_Data!F423), Raw_Data!F423),
        IFERROR(DATEVALUE(Raw_Data!F423), Raw_Data!F423) + 30,
        IFERROR(DATEVALUE(Raw_Data!G423), Raw_Data!G423)
    ),
    ""
)</f>
        <v>45568</v>
      </c>
      <c r="H423">
        <f>IFERROR(VALUE(Raw_Data!H423), "")</f>
        <v>2000</v>
      </c>
      <c r="I423">
        <f ca="1">IFERROR(VALUE(Raw_Data!I423), "")</f>
        <v>6000</v>
      </c>
      <c r="J423">
        <f>IFERROR(
    VALUE(SUBSTITUTE(Raw_Data!J423," visits","")),
    ""
)</f>
        <v>12</v>
      </c>
      <c r="K423" t="str">
        <f ca="1">IF(TRIM(Raw_Data!K423)="","No",PROPER(TRIM(Raw_Data!K423)))</f>
        <v>No</v>
      </c>
      <c r="L423" t="str">
        <f ca="1">PROPER(TRIM(Raw_Data!L423))</f>
        <v>General Fitness</v>
      </c>
      <c r="M423" t="s">
        <v>151</v>
      </c>
      <c r="N423" s="2">
        <f>IFERROR(DATEVALUE(Raw_Data!N423), Raw_Data!N423)</f>
        <v>45909</v>
      </c>
      <c r="O423" s="2"/>
      <c r="P423" t="str">
        <f>IF(COUNTIF($A$2:A423,A423)&gt;1,"Duplicate","Unique")</f>
        <v>Unique</v>
      </c>
      <c r="Q423" t="str">
        <f t="shared" si="12"/>
        <v>OK</v>
      </c>
      <c r="R423" t="str">
        <f t="shared" si="13"/>
        <v>Available</v>
      </c>
    </row>
    <row r="424" spans="1:18">
      <c r="A424" t="str">
        <f>TRIM(CLEAN(Raw_Data!A424))</f>
        <v>MEM0423</v>
      </c>
      <c r="B424" t="str">
        <f ca="1">TRIM(Raw_Data!B424)</f>
        <v>Deepak Naidu</v>
      </c>
      <c r="C424" t="str">
        <f ca="1">_xlfn.XLOOKUP(D424, Branch_Master!A:A, Branch_Master!B:B)</f>
        <v>Bangalore</v>
      </c>
      <c r="D424" t="str">
        <f ca="1">TRIM(Raw_Data!D424)</f>
        <v>BR02</v>
      </c>
      <c r="E424" t="str">
        <f ca="1">PROPER(TRIM(Raw_Data!E424))</f>
        <v>Standard</v>
      </c>
      <c r="F424" s="2">
        <f>IFERROR(DATEVALUE(Raw_Data!F424), Raw_Data!F424)</f>
        <v>45176</v>
      </c>
      <c r="G424" s="2">
        <f>IFERROR(
    IF(
        IFERROR(DATEVALUE(Raw_Data!G424), Raw_Data!G424) &lt;
        IFERROR(DATEVALUE(Raw_Data!F424), Raw_Data!F424),
        IFERROR(DATEVALUE(Raw_Data!F424), Raw_Data!F424) + 30,
        IFERROR(DATEVALUE(Raw_Data!G424), Raw_Data!G424)
    ),
    ""
)</f>
        <v>45541</v>
      </c>
      <c r="H424">
        <f>IFERROR(VALUE(Raw_Data!H424), "")</f>
        <v>2000</v>
      </c>
      <c r="I424">
        <f ca="1">IFERROR(VALUE(Raw_Data!I424), "")</f>
        <v>12000</v>
      </c>
      <c r="J424">
        <f>IFERROR(
    VALUE(SUBSTITUTE(Raw_Data!J424," visits","")),
    ""
)</f>
        <v>23</v>
      </c>
      <c r="K424" t="str">
        <f ca="1">IF(TRIM(Raw_Data!K424)="","No",PROPER(TRIM(Raw_Data!K424)))</f>
        <v>No</v>
      </c>
      <c r="L424" t="str">
        <f ca="1">PROPER(TRIM(Raw_Data!L424))</f>
        <v>Weight Loss</v>
      </c>
      <c r="M424" t="s">
        <v>151</v>
      </c>
      <c r="N424" s="2">
        <f>IFERROR(DATEVALUE(Raw_Data!N424), Raw_Data!N424)</f>
        <v>45473</v>
      </c>
      <c r="O424" s="2"/>
      <c r="P424" t="str">
        <f>IF(COUNTIF($A$2:A424,A424)&gt;1,"Duplicate","Unique")</f>
        <v>Unique</v>
      </c>
      <c r="Q424" t="str">
        <f t="shared" si="12"/>
        <v>OK</v>
      </c>
      <c r="R424" t="str">
        <f t="shared" si="13"/>
        <v>Available</v>
      </c>
    </row>
    <row r="425" spans="1:18">
      <c r="A425" t="str">
        <f>TRIM(CLEAN(Raw_Data!A425))</f>
        <v>MEM0424</v>
      </c>
      <c r="B425" t="str">
        <f ca="1">TRIM(Raw_Data!B425)</f>
        <v>Deepak Chatterjee</v>
      </c>
      <c r="C425" t="str">
        <f ca="1">_xlfn.XLOOKUP(D425, Branch_Master!A:A, Branch_Master!B:B)</f>
        <v>Hyderabad</v>
      </c>
      <c r="D425" t="str">
        <f ca="1">TRIM(Raw_Data!D425)</f>
        <v>BR04</v>
      </c>
      <c r="E425" t="str">
        <f ca="1">PROPER(TRIM(Raw_Data!E425))</f>
        <v>Standard</v>
      </c>
      <c r="F425" s="2">
        <f>IFERROR(DATEVALUE(Raw_Data!F425), Raw_Data!F425)</f>
        <v>45183</v>
      </c>
      <c r="G425" s="2">
        <f>IFERROR(
    IF(
        IFERROR(DATEVALUE(Raw_Data!G425), Raw_Data!G425) &lt;
        IFERROR(DATEVALUE(Raw_Data!F425), Raw_Data!F425),
        IFERROR(DATEVALUE(Raw_Data!F425), Raw_Data!F425) + 30,
        IFERROR(DATEVALUE(Raw_Data!G425), Raw_Data!G425)
    ),
    ""
)</f>
        <v>45213</v>
      </c>
      <c r="H425">
        <f>IFERROR(VALUE(Raw_Data!H425), "")</f>
        <v>1000</v>
      </c>
      <c r="I425">
        <f ca="1">IFERROR(VALUE(Raw_Data!I425), "")</f>
        <v>11000</v>
      </c>
      <c r="J425">
        <f>IFERROR(
    VALUE(SUBSTITUTE(Raw_Data!J425," visits","")),
    ""
)</f>
        <v>1</v>
      </c>
      <c r="K425" t="str">
        <f ca="1">IF(TRIM(Raw_Data!K425)="","No",PROPER(TRIM(Raw_Data!K425)))</f>
        <v>No</v>
      </c>
      <c r="L425" t="str">
        <f ca="1">PROPER(TRIM(Raw_Data!L425))</f>
        <v>General Fitness</v>
      </c>
      <c r="M425" t="s">
        <v>152</v>
      </c>
      <c r="N425" s="2">
        <f>IFERROR(DATEVALUE(Raw_Data!N425), Raw_Data!N425)</f>
        <v>45216</v>
      </c>
      <c r="O425" s="2"/>
      <c r="P425" t="str">
        <f>IF(COUNTIF($A$2:A425,A425)&gt;1,"Duplicate","Unique")</f>
        <v>Unique</v>
      </c>
      <c r="Q425" t="str">
        <f t="shared" si="12"/>
        <v>Cancelled but Active</v>
      </c>
      <c r="R425" t="str">
        <f t="shared" si="13"/>
        <v>Available</v>
      </c>
    </row>
    <row r="426" spans="1:18">
      <c r="A426" t="str">
        <f>TRIM(CLEAN(Raw_Data!A426))</f>
        <v>MEM0425</v>
      </c>
      <c r="B426" t="str">
        <f ca="1">TRIM(Raw_Data!B426)</f>
        <v>Divya Khan</v>
      </c>
      <c r="C426" t="str">
        <f ca="1">_xlfn.XLOOKUP(D426, Branch_Master!A:A, Branch_Master!B:B)</f>
        <v>Kochi</v>
      </c>
      <c r="D426" t="str">
        <f ca="1">TRIM(Raw_Data!D426)</f>
        <v>BR01</v>
      </c>
      <c r="E426" t="str">
        <f ca="1">PROPER(TRIM(Raw_Data!E426))</f>
        <v>Standard</v>
      </c>
      <c r="F426" s="2">
        <f>IFERROR(DATEVALUE(Raw_Data!F426), Raw_Data!F426)</f>
        <v>45500</v>
      </c>
      <c r="G426" s="2">
        <f>IFERROR(
    IF(
        IFERROR(DATEVALUE(Raw_Data!G426), Raw_Data!G426) &lt;
        IFERROR(DATEVALUE(Raw_Data!F426), Raw_Data!F426),
        IFERROR(DATEVALUE(Raw_Data!F426), Raw_Data!F426) + 30,
        IFERROR(DATEVALUE(Raw_Data!G426), Raw_Data!G426)
    ),
    ""
)</f>
        <v>45530</v>
      </c>
      <c r="H426">
        <f>IFERROR(VALUE(Raw_Data!H426), "")</f>
        <v>3500</v>
      </c>
      <c r="I426">
        <f ca="1">IFERROR(VALUE(Raw_Data!I426), "")</f>
        <v>7000</v>
      </c>
      <c r="J426">
        <f>IFERROR(
    VALUE(SUBSTITUTE(Raw_Data!J426," visits","")),
    ""
)</f>
        <v>5</v>
      </c>
      <c r="K426" t="str">
        <f ca="1">IF(TRIM(Raw_Data!K426)="","No",PROPER(TRIM(Raw_Data!K426)))</f>
        <v>Yes</v>
      </c>
      <c r="L426" t="str">
        <f ca="1">PROPER(TRIM(Raw_Data!L426))</f>
        <v>General Fitness</v>
      </c>
      <c r="M426" t="s">
        <v>151</v>
      </c>
      <c r="N426" s="2">
        <f>IFERROR(DATEVALUE(Raw_Data!N426), Raw_Data!N426)</f>
        <v>45750</v>
      </c>
      <c r="O426" s="2"/>
      <c r="P426" t="str">
        <f>IF(COUNTIF($A$2:A426,A426)&gt;1,"Duplicate","Unique")</f>
        <v>Unique</v>
      </c>
      <c r="Q426" t="str">
        <f t="shared" si="12"/>
        <v>OK</v>
      </c>
      <c r="R426" t="str">
        <f t="shared" si="13"/>
        <v>Available</v>
      </c>
    </row>
    <row r="427" spans="1:18">
      <c r="A427" t="str">
        <f>TRIM(CLEAN(Raw_Data!A427))</f>
        <v>MEM0426</v>
      </c>
      <c r="B427" t="str">
        <f ca="1">TRIM(Raw_Data!B427)</f>
        <v>Zara Nambiar</v>
      </c>
      <c r="C427" t="str">
        <f ca="1">_xlfn.XLOOKUP(D427, Branch_Master!A:A, Branch_Master!B:B)</f>
        <v>Mumbai</v>
      </c>
      <c r="D427" t="str">
        <f ca="1">TRIM(Raw_Data!D427)</f>
        <v>BR05</v>
      </c>
      <c r="E427" t="str">
        <f ca="1">PROPER(TRIM(Raw_Data!E427))</f>
        <v>Basic</v>
      </c>
      <c r="F427" s="2">
        <f>IFERROR(DATEVALUE(Raw_Data!F427), Raw_Data!F427)</f>
        <v>45758</v>
      </c>
      <c r="G427" s="2">
        <f>IFERROR(
    IF(
        IFERROR(DATEVALUE(Raw_Data!G427), Raw_Data!G427) &lt;
        IFERROR(DATEVALUE(Raw_Data!F427), Raw_Data!F427),
        IFERROR(DATEVALUE(Raw_Data!F427), Raw_Data!F427) + 30,
        IFERROR(DATEVALUE(Raw_Data!G427), Raw_Data!G427)
    ),
    ""
)</f>
        <v>46123</v>
      </c>
      <c r="H427">
        <f>IFERROR(VALUE(Raw_Data!H427), "")</f>
        <v>3500</v>
      </c>
      <c r="I427">
        <f ca="1">IFERROR(VALUE(Raw_Data!I427), "")</f>
        <v>21000</v>
      </c>
      <c r="J427">
        <f>IFERROR(
    VALUE(SUBSTITUTE(Raw_Data!J427," visits","")),
    ""
)</f>
        <v>13</v>
      </c>
      <c r="K427" t="str">
        <f ca="1">IF(TRIM(Raw_Data!K427)="","No",PROPER(TRIM(Raw_Data!K427)))</f>
        <v>Yes</v>
      </c>
      <c r="L427" t="str">
        <f ca="1">PROPER(TRIM(Raw_Data!L427))</f>
        <v>Weight Loss</v>
      </c>
      <c r="M427" t="s">
        <v>151</v>
      </c>
      <c r="N427" s="2">
        <f>IFERROR(DATEVALUE(Raw_Data!N427), Raw_Data!N427)</f>
        <v>46042</v>
      </c>
      <c r="O427" s="2"/>
      <c r="P427" t="str">
        <f>IF(COUNTIF($A$2:A427,A427)&gt;1,"Duplicate","Unique")</f>
        <v>Unique</v>
      </c>
      <c r="Q427" t="str">
        <f t="shared" si="12"/>
        <v>OK</v>
      </c>
      <c r="R427" t="str">
        <f t="shared" si="13"/>
        <v>Available</v>
      </c>
    </row>
    <row r="428" spans="1:18">
      <c r="A428" t="str">
        <f>TRIM(CLEAN(Raw_Data!A428))</f>
        <v>MEM0427</v>
      </c>
      <c r="B428" t="str">
        <f ca="1">TRIM(Raw_Data!B428)</f>
        <v>Nikhil Naidu</v>
      </c>
      <c r="C428" t="str">
        <f ca="1">_xlfn.XLOOKUP(D428, Branch_Master!A:A, Branch_Master!B:B)</f>
        <v>Chennai</v>
      </c>
      <c r="D428" t="str">
        <f ca="1">TRIM(Raw_Data!D428)</f>
        <v>BR03</v>
      </c>
      <c r="E428" t="str">
        <f ca="1">PROPER(TRIM(Raw_Data!E428))</f>
        <v>Premium</v>
      </c>
      <c r="F428" s="2">
        <f>IFERROR(DATEVALUE(Raw_Data!F428), Raw_Data!F428)</f>
        <v>44948</v>
      </c>
      <c r="G428" s="2">
        <f>IFERROR(
    IF(
        IFERROR(DATEVALUE(Raw_Data!G428), Raw_Data!G428) &lt;
        IFERROR(DATEVALUE(Raw_Data!F428), Raw_Data!F428),
        IFERROR(DATEVALUE(Raw_Data!F428), Raw_Data!F428) + 30,
        IFERROR(DATEVALUE(Raw_Data!G428), Raw_Data!G428)
    ),
    ""
)</f>
        <v>44978</v>
      </c>
      <c r="H428">
        <f>IFERROR(VALUE(Raw_Data!H428), "")</f>
        <v>2000</v>
      </c>
      <c r="I428">
        <f ca="1">IFERROR(VALUE(Raw_Data!I428), "")</f>
        <v>18000</v>
      </c>
      <c r="J428">
        <f>IFERROR(
    VALUE(SUBSTITUTE(Raw_Data!J428," visits","")),
    ""
)</f>
        <v>17</v>
      </c>
      <c r="K428" t="str">
        <f ca="1">IF(TRIM(Raw_Data!K428)="","No",PROPER(TRIM(Raw_Data!K428)))</f>
        <v>Yes</v>
      </c>
      <c r="L428" t="str">
        <f ca="1">PROPER(TRIM(Raw_Data!L428))</f>
        <v>Muscle Gain</v>
      </c>
      <c r="M428" t="s">
        <v>151</v>
      </c>
      <c r="N428" s="2">
        <f>IFERROR(DATEVALUE(Raw_Data!N428), Raw_Data!N428)</f>
        <v>45810</v>
      </c>
      <c r="O428" s="2"/>
      <c r="P428" t="str">
        <f>IF(COUNTIF($A$2:A428,A428)&gt;1,"Duplicate","Unique")</f>
        <v>Unique</v>
      </c>
      <c r="Q428" t="str">
        <f t="shared" si="12"/>
        <v>OK</v>
      </c>
      <c r="R428" t="str">
        <f t="shared" si="13"/>
        <v>Available</v>
      </c>
    </row>
    <row r="429" spans="1:18">
      <c r="A429" t="str">
        <f>TRIM(CLEAN(Raw_Data!A429))</f>
        <v>MEM0428</v>
      </c>
      <c r="B429" t="str">
        <f ca="1">TRIM(Raw_Data!B429)</f>
        <v>Anjali Chatterjee</v>
      </c>
      <c r="C429" t="str">
        <f ca="1">_xlfn.XLOOKUP(D429, Branch_Master!A:A, Branch_Master!B:B)</f>
        <v>Calicut</v>
      </c>
      <c r="D429" t="str">
        <f ca="1">TRIM(Raw_Data!D429)</f>
        <v>BR07</v>
      </c>
      <c r="E429" t="str">
        <f ca="1">PROPER(TRIM(Raw_Data!E429))</f>
        <v>Premium</v>
      </c>
      <c r="F429" s="2">
        <f>IFERROR(DATEVALUE(Raw_Data!F429), Raw_Data!F429)</f>
        <v>45923</v>
      </c>
      <c r="G429" s="2">
        <f>IFERROR(
    IF(
        IFERROR(DATEVALUE(Raw_Data!G429), Raw_Data!G429) &lt;
        IFERROR(DATEVALUE(Raw_Data!F429), Raw_Data!F429),
        IFERROR(DATEVALUE(Raw_Data!F429), Raw_Data!F429) + 30,
        IFERROR(DATEVALUE(Raw_Data!G429), Raw_Data!G429)
    ),
    ""
)</f>
        <v>45953</v>
      </c>
      <c r="H429">
        <f>IFERROR(VALUE(Raw_Data!H429), "")</f>
        <v>2000</v>
      </c>
      <c r="I429">
        <f ca="1">IFERROR(VALUE(Raw_Data!I429), "")</f>
        <v>14000</v>
      </c>
      <c r="J429">
        <f>IFERROR(
    VALUE(SUBSTITUTE(Raw_Data!J429," visits","")),
    ""
)</f>
        <v>9</v>
      </c>
      <c r="K429" t="str">
        <f ca="1">IF(TRIM(Raw_Data!K429)="","No",PROPER(TRIM(Raw_Data!K429)))</f>
        <v>Yes</v>
      </c>
      <c r="L429" t="str">
        <f ca="1">PROPER(TRIM(Raw_Data!L429))</f>
        <v>Muscle Gain</v>
      </c>
      <c r="M429" t="s">
        <v>151</v>
      </c>
      <c r="N429" s="2">
        <f>IFERROR(DATEVALUE(Raw_Data!N429), Raw_Data!N429)</f>
        <v>45961</v>
      </c>
      <c r="O429" s="2"/>
      <c r="P429" t="str">
        <f>IF(COUNTIF($A$2:A429,A429)&gt;1,"Duplicate","Unique")</f>
        <v>Unique</v>
      </c>
      <c r="Q429" t="str">
        <f t="shared" si="12"/>
        <v>OK</v>
      </c>
      <c r="R429" t="str">
        <f t="shared" si="13"/>
        <v>Available</v>
      </c>
    </row>
    <row r="430" spans="1:18">
      <c r="A430" t="str">
        <f>TRIM(CLEAN(Raw_Data!A430))</f>
        <v>MEM0429</v>
      </c>
      <c r="B430" t="str">
        <f ca="1">TRIM(Raw_Data!B430)</f>
        <v>Anjali Banerjee</v>
      </c>
      <c r="C430" t="str">
        <f ca="1">_xlfn.XLOOKUP(D430, Branch_Master!A:A, Branch_Master!B:B)</f>
        <v>Kochi</v>
      </c>
      <c r="D430" t="str">
        <f ca="1">TRIM(Raw_Data!D430)</f>
        <v>BR01</v>
      </c>
      <c r="E430" t="str">
        <f ca="1">PROPER(TRIM(Raw_Data!E430))</f>
        <v>Basic</v>
      </c>
      <c r="F430" s="2">
        <f>IFERROR(DATEVALUE(Raw_Data!F430), Raw_Data!F430)</f>
        <v>45438</v>
      </c>
      <c r="G430" s="2">
        <f>IFERROR(
    IF(
        IFERROR(DATEVALUE(Raw_Data!G430), Raw_Data!G430) &lt;
        IFERROR(DATEVALUE(Raw_Data!F430), Raw_Data!F430),
        IFERROR(DATEVALUE(Raw_Data!F430), Raw_Data!F430) + 30,
        IFERROR(DATEVALUE(Raw_Data!G430), Raw_Data!G430)
    ),
    ""
)</f>
        <v>45468</v>
      </c>
      <c r="H430">
        <f>IFERROR(VALUE(Raw_Data!H430), "")</f>
        <v>2000</v>
      </c>
      <c r="I430">
        <f ca="1">IFERROR(VALUE(Raw_Data!I430), "")</f>
        <v>6000</v>
      </c>
      <c r="J430">
        <f>IFERROR(
    VALUE(SUBSTITUTE(Raw_Data!J430," visits","")),
    ""
)</f>
        <v>12</v>
      </c>
      <c r="K430" t="str">
        <f ca="1">IF(TRIM(Raw_Data!K430)="","No",PROPER(TRIM(Raw_Data!K430)))</f>
        <v>Yes</v>
      </c>
      <c r="L430" t="str">
        <f ca="1">PROPER(TRIM(Raw_Data!L430))</f>
        <v>General Fitness</v>
      </c>
      <c r="M430" t="s">
        <v>151</v>
      </c>
      <c r="N430" s="2">
        <f>IFERROR(DATEVALUE(Raw_Data!N430), Raw_Data!N430)</f>
        <v>45865</v>
      </c>
      <c r="O430" s="2"/>
      <c r="P430" t="str">
        <f>IF(COUNTIF($A$2:A430,A430)&gt;1,"Duplicate","Unique")</f>
        <v>Unique</v>
      </c>
      <c r="Q430" t="str">
        <f t="shared" si="12"/>
        <v>OK</v>
      </c>
      <c r="R430" t="str">
        <f t="shared" si="13"/>
        <v>Available</v>
      </c>
    </row>
    <row r="431" spans="1:18">
      <c r="A431" t="str">
        <f>TRIM(CLEAN(Raw_Data!A431))</f>
        <v>MEM0430</v>
      </c>
      <c r="B431" t="str">
        <f ca="1">TRIM(Raw_Data!B431)</f>
        <v>Rahul Varghese</v>
      </c>
      <c r="C431" t="str">
        <f ca="1">_xlfn.XLOOKUP(D431, Branch_Master!A:A, Branch_Master!B:B)</f>
        <v>Calicut</v>
      </c>
      <c r="D431" t="str">
        <f ca="1">TRIM(Raw_Data!D431)</f>
        <v>BR07</v>
      </c>
      <c r="E431" t="str">
        <f ca="1">PROPER(TRIM(Raw_Data!E431))</f>
        <v>Basic</v>
      </c>
      <c r="F431" s="2">
        <f>IFERROR(DATEVALUE(Raw_Data!F431), Raw_Data!F431)</f>
        <v>45231</v>
      </c>
      <c r="G431" s="2">
        <f>IFERROR(
    IF(
        IFERROR(DATEVALUE(Raw_Data!G431), Raw_Data!G431) &lt;
        IFERROR(DATEVALUE(Raw_Data!F431), Raw_Data!F431),
        IFERROR(DATEVALUE(Raw_Data!F431), Raw_Data!F431) + 30,
        IFERROR(DATEVALUE(Raw_Data!G431), Raw_Data!G431)
    ),
    ""
)</f>
        <v>45261</v>
      </c>
      <c r="H431">
        <f>IFERROR(VALUE(Raw_Data!H431), "")</f>
        <v>2000</v>
      </c>
      <c r="I431">
        <f ca="1">IFERROR(VALUE(Raw_Data!I431), "")</f>
        <v>12000</v>
      </c>
      <c r="J431">
        <f>IFERROR(
    VALUE(SUBSTITUTE(Raw_Data!J431," visits","")),
    ""
)</f>
        <v>16</v>
      </c>
      <c r="K431" t="str">
        <f ca="1">IF(TRIM(Raw_Data!K431)="","No",PROPER(TRIM(Raw_Data!K431)))</f>
        <v>No</v>
      </c>
      <c r="L431" t="str">
        <f ca="1">PROPER(TRIM(Raw_Data!L431))</f>
        <v>Weight Loss</v>
      </c>
      <c r="M431" t="s">
        <v>151</v>
      </c>
      <c r="N431" s="2">
        <f>IFERROR(DATEVALUE(Raw_Data!N431), Raw_Data!N431)</f>
        <v>46115</v>
      </c>
      <c r="O431" s="2"/>
      <c r="P431" t="str">
        <f>IF(COUNTIF($A$2:A431,A431)&gt;1,"Duplicate","Unique")</f>
        <v>Unique</v>
      </c>
      <c r="Q431" t="str">
        <f t="shared" si="12"/>
        <v>OK</v>
      </c>
      <c r="R431" t="str">
        <f t="shared" si="13"/>
        <v>Available</v>
      </c>
    </row>
    <row r="432" spans="1:18">
      <c r="A432" t="str">
        <f>TRIM(CLEAN(Raw_Data!A432))</f>
        <v>MEM0431</v>
      </c>
      <c r="B432" t="str">
        <f ca="1">TRIM(Raw_Data!B432)</f>
        <v>Harish Joshi</v>
      </c>
      <c r="C432" t="str">
        <f ca="1">_xlfn.XLOOKUP(D432, Branch_Master!A:A, Branch_Master!B:B)</f>
        <v>Mumbai</v>
      </c>
      <c r="D432" t="str">
        <f ca="1">TRIM(Raw_Data!D432)</f>
        <v>BR05</v>
      </c>
      <c r="E432" t="str">
        <f ca="1">PROPER(TRIM(Raw_Data!E432))</f>
        <v>Standard</v>
      </c>
      <c r="F432" s="2">
        <f>IFERROR(DATEVALUE(Raw_Data!F432), Raw_Data!F432)</f>
        <v>45506</v>
      </c>
      <c r="G432" s="2">
        <f>IFERROR(
    IF(
        IFERROR(DATEVALUE(Raw_Data!G432), Raw_Data!G432) &lt;
        IFERROR(DATEVALUE(Raw_Data!F432), Raw_Data!F432),
        IFERROR(DATEVALUE(Raw_Data!F432), Raw_Data!F432) + 30,
        IFERROR(DATEVALUE(Raw_Data!G432), Raw_Data!G432)
    ),
    ""
)</f>
        <v>45871</v>
      </c>
      <c r="H432">
        <f>IFERROR(VALUE(Raw_Data!H432), "")</f>
        <v>3500</v>
      </c>
      <c r="I432">
        <f ca="1">IFERROR(VALUE(Raw_Data!I432), "")</f>
        <v>38500</v>
      </c>
      <c r="J432">
        <f>IFERROR(
    VALUE(SUBSTITUTE(Raw_Data!J432," visits","")),
    ""
)</f>
        <v>24</v>
      </c>
      <c r="K432" t="str">
        <f ca="1">IF(TRIM(Raw_Data!K432)="","No",PROPER(TRIM(Raw_Data!K432)))</f>
        <v>Yes</v>
      </c>
      <c r="L432" t="str">
        <f ca="1">PROPER(TRIM(Raw_Data!L432))</f>
        <v>Muscle Gain</v>
      </c>
      <c r="M432" t="s">
        <v>151</v>
      </c>
      <c r="N432" s="2">
        <f>IFERROR(DATEVALUE(Raw_Data!N432), Raw_Data!N432)</f>
        <v>45530</v>
      </c>
      <c r="O432" s="2"/>
      <c r="P432" t="str">
        <f>IF(COUNTIF($A$2:A432,A432)&gt;1,"Duplicate","Unique")</f>
        <v>Unique</v>
      </c>
      <c r="Q432" t="str">
        <f t="shared" si="12"/>
        <v>OK</v>
      </c>
      <c r="R432" t="str">
        <f t="shared" si="13"/>
        <v>Available</v>
      </c>
    </row>
    <row r="433" spans="1:18">
      <c r="A433" t="str">
        <f>TRIM(CLEAN(Raw_Data!A433))</f>
        <v>MEM0432</v>
      </c>
      <c r="B433" t="str">
        <f ca="1">TRIM(Raw_Data!B433)</f>
        <v>Ayesha Joshi</v>
      </c>
      <c r="C433" t="str">
        <f ca="1">_xlfn.XLOOKUP(D433, Branch_Master!A:A, Branch_Master!B:B)</f>
        <v>Kochi</v>
      </c>
      <c r="D433" t="str">
        <f ca="1">TRIM(Raw_Data!D433)</f>
        <v>BR01</v>
      </c>
      <c r="E433" t="str">
        <f ca="1">PROPER(TRIM(Raw_Data!E433))</f>
        <v>Premium</v>
      </c>
      <c r="F433" s="2">
        <f>IFERROR(DATEVALUE(Raw_Data!F433), Raw_Data!F433)</f>
        <v>45346</v>
      </c>
      <c r="G433" s="2">
        <f>IFERROR(
    IF(
        IFERROR(DATEVALUE(Raw_Data!G433), Raw_Data!G433) &lt;
        IFERROR(DATEVALUE(Raw_Data!F433), Raw_Data!F433),
        IFERROR(DATEVALUE(Raw_Data!F433), Raw_Data!F433) + 30,
        IFERROR(DATEVALUE(Raw_Data!G433), Raw_Data!G433)
    ),
    ""
)</f>
        <v>45376</v>
      </c>
      <c r="H433">
        <f>IFERROR(VALUE(Raw_Data!H433), "")</f>
        <v>3500</v>
      </c>
      <c r="I433">
        <f ca="1">IFERROR(VALUE(Raw_Data!I433), "")</f>
        <v>24500</v>
      </c>
      <c r="J433">
        <f>IFERROR(
    VALUE(SUBSTITUTE(Raw_Data!J433," visits","")),
    ""
)</f>
        <v>13</v>
      </c>
      <c r="K433" t="str">
        <f ca="1">IF(TRIM(Raw_Data!K433)="","No",PROPER(TRIM(Raw_Data!K433)))</f>
        <v>No</v>
      </c>
      <c r="L433" t="str">
        <f ca="1">PROPER(TRIM(Raw_Data!L433))</f>
        <v>Muscle Gain</v>
      </c>
      <c r="M433" t="s">
        <v>151</v>
      </c>
      <c r="N433" s="2">
        <f>IFERROR(DATEVALUE(Raw_Data!N433), Raw_Data!N433)</f>
        <v>45520</v>
      </c>
      <c r="O433" s="2"/>
      <c r="P433" t="str">
        <f>IF(COUNTIF($A$2:A433,A433)&gt;1,"Duplicate","Unique")</f>
        <v>Unique</v>
      </c>
      <c r="Q433" t="str">
        <f t="shared" si="12"/>
        <v>OK</v>
      </c>
      <c r="R433" t="str">
        <f t="shared" si="13"/>
        <v>Available</v>
      </c>
    </row>
    <row r="434" spans="1:18">
      <c r="A434" t="str">
        <f>TRIM(CLEAN(Raw_Data!A434))</f>
        <v>MEM0433</v>
      </c>
      <c r="B434" t="str">
        <f ca="1">TRIM(Raw_Data!B434)</f>
        <v>Siddharth Kapoor</v>
      </c>
      <c r="C434" t="str">
        <f ca="1">_xlfn.XLOOKUP(D434, Branch_Master!A:A, Branch_Master!B:B)</f>
        <v>Calicut</v>
      </c>
      <c r="D434" t="str">
        <f ca="1">TRIM(Raw_Data!D434)</f>
        <v>BR07</v>
      </c>
      <c r="E434" t="str">
        <f ca="1">PROPER(TRIM(Raw_Data!E434))</f>
        <v>Basic</v>
      </c>
      <c r="F434" s="2">
        <f>IFERROR(DATEVALUE(Raw_Data!F434), Raw_Data!F434)</f>
        <v>45873</v>
      </c>
      <c r="G434" s="2">
        <f>IFERROR(
    IF(
        IFERROR(DATEVALUE(Raw_Data!G434), Raw_Data!G434) &lt;
        IFERROR(DATEVALUE(Raw_Data!F434), Raw_Data!F434),
        IFERROR(DATEVALUE(Raw_Data!F434), Raw_Data!F434) + 30,
        IFERROR(DATEVALUE(Raw_Data!G434), Raw_Data!G434)
    ),
    ""
)</f>
        <v>45963</v>
      </c>
      <c r="H434">
        <f>IFERROR(VALUE(Raw_Data!H434), "")</f>
        <v>2000</v>
      </c>
      <c r="I434">
        <f ca="1">IFERROR(VALUE(Raw_Data!I434), "")</f>
        <v>20000</v>
      </c>
      <c r="J434">
        <f>IFERROR(
    VALUE(SUBSTITUTE(Raw_Data!J434," visits","")),
    ""
)</f>
        <v>17</v>
      </c>
      <c r="K434" t="str">
        <f ca="1">IF(TRIM(Raw_Data!K434)="","No",PROPER(TRIM(Raw_Data!K434)))</f>
        <v>Yes</v>
      </c>
      <c r="L434" t="str">
        <f ca="1">PROPER(TRIM(Raw_Data!L434))</f>
        <v>General Fitness</v>
      </c>
      <c r="M434" t="s">
        <v>152</v>
      </c>
      <c r="N434" s="2">
        <f>IFERROR(DATEVALUE(Raw_Data!N434), Raw_Data!N434)</f>
        <v>45949</v>
      </c>
      <c r="O434" s="2"/>
      <c r="P434" t="str">
        <f>IF(COUNTIF($A$2:A434,A434)&gt;1,"Duplicate","Unique")</f>
        <v>Unique</v>
      </c>
      <c r="Q434" t="str">
        <f t="shared" si="12"/>
        <v>Cancelled but Active</v>
      </c>
      <c r="R434" t="str">
        <f t="shared" si="13"/>
        <v>Available</v>
      </c>
    </row>
    <row r="435" spans="1:18">
      <c r="A435" t="str">
        <f>TRIM(CLEAN(Raw_Data!A435))</f>
        <v>MEM0434</v>
      </c>
      <c r="B435" t="str">
        <f ca="1">TRIM(Raw_Data!B435)</f>
        <v>Divya Khan</v>
      </c>
      <c r="C435" t="str">
        <f ca="1">_xlfn.XLOOKUP(D435, Branch_Master!A:A, Branch_Master!B:B)</f>
        <v>Bangalore</v>
      </c>
      <c r="D435" t="str">
        <f ca="1">TRIM(Raw_Data!D435)</f>
        <v>BR02</v>
      </c>
      <c r="E435" t="str">
        <f ca="1">PROPER(TRIM(Raw_Data!E435))</f>
        <v>Basic</v>
      </c>
      <c r="F435" s="2">
        <f>IFERROR(DATEVALUE(Raw_Data!F435), Raw_Data!F435)</f>
        <v>45043</v>
      </c>
      <c r="G435" s="2">
        <f>IFERROR(
    IF(
        IFERROR(DATEVALUE(Raw_Data!G435), Raw_Data!G435) &lt;
        IFERROR(DATEVALUE(Raw_Data!F435), Raw_Data!F435),
        IFERROR(DATEVALUE(Raw_Data!F435), Raw_Data!F435) + 30,
        IFERROR(DATEVALUE(Raw_Data!G435), Raw_Data!G435)
    ),
    ""
)</f>
        <v>45073</v>
      </c>
      <c r="H435">
        <f>IFERROR(VALUE(Raw_Data!H435), "")</f>
        <v>1000</v>
      </c>
      <c r="I435">
        <f ca="1">IFERROR(VALUE(Raw_Data!I435), "")</f>
        <v>1000</v>
      </c>
      <c r="J435">
        <f>IFERROR(
    VALUE(SUBSTITUTE(Raw_Data!J435," visits","")),
    ""
)</f>
        <v>15</v>
      </c>
      <c r="K435" t="str">
        <f ca="1">IF(TRIM(Raw_Data!K435)="","No",PROPER(TRIM(Raw_Data!K435)))</f>
        <v>Yes</v>
      </c>
      <c r="L435" t="str">
        <f ca="1">PROPER(TRIM(Raw_Data!L435))</f>
        <v>General Fitness</v>
      </c>
      <c r="M435" t="s">
        <v>151</v>
      </c>
      <c r="N435" s="2">
        <f>IFERROR(DATEVALUE(Raw_Data!N435), Raw_Data!N435)</f>
        <v>45618</v>
      </c>
      <c r="O435" s="2"/>
      <c r="P435" t="str">
        <f>IF(COUNTIF($A$2:A435,A435)&gt;1,"Duplicate","Unique")</f>
        <v>Unique</v>
      </c>
      <c r="Q435" t="str">
        <f t="shared" si="12"/>
        <v>OK</v>
      </c>
      <c r="R435" t="str">
        <f t="shared" si="13"/>
        <v>Available</v>
      </c>
    </row>
    <row r="436" spans="1:18">
      <c r="A436" t="str">
        <f>TRIM(CLEAN(Raw_Data!A436))</f>
        <v>MEM0435</v>
      </c>
      <c r="B436" t="str">
        <f ca="1">TRIM(Raw_Data!B436)</f>
        <v>Shreya Yadav</v>
      </c>
      <c r="C436" t="str">
        <f ca="1">_xlfn.XLOOKUP(D436, Branch_Master!A:A, Branch_Master!B:B)</f>
        <v>Kochi</v>
      </c>
      <c r="D436" t="str">
        <f ca="1">TRIM(Raw_Data!D436)</f>
        <v>BR01</v>
      </c>
      <c r="E436" t="str">
        <f ca="1">PROPER(TRIM(Raw_Data!E436))</f>
        <v>Basic</v>
      </c>
      <c r="F436" s="2">
        <f>IFERROR(DATEVALUE(Raw_Data!F436), Raw_Data!F436)</f>
        <v>45981</v>
      </c>
      <c r="G436" s="2">
        <f>IFERROR(
    IF(
        IFERROR(DATEVALUE(Raw_Data!G436), Raw_Data!G436) &lt;
        IFERROR(DATEVALUE(Raw_Data!F436), Raw_Data!F436),
        IFERROR(DATEVALUE(Raw_Data!F436), Raw_Data!F436) + 30,
        IFERROR(DATEVALUE(Raw_Data!G436), Raw_Data!G436)
    ),
    ""
)</f>
        <v>46011</v>
      </c>
      <c r="H436">
        <f>IFERROR(VALUE(Raw_Data!H436), "")</f>
        <v>3500</v>
      </c>
      <c r="I436">
        <f ca="1">IFERROR(VALUE(Raw_Data!I436), "")</f>
        <v>7000</v>
      </c>
      <c r="J436">
        <f>IFERROR(
    VALUE(SUBSTITUTE(Raw_Data!J436," visits","")),
    ""
)</f>
        <v>17</v>
      </c>
      <c r="K436" t="str">
        <f ca="1">IF(TRIM(Raw_Data!K436)="","No",PROPER(TRIM(Raw_Data!K436)))</f>
        <v>Yes</v>
      </c>
      <c r="L436" t="str">
        <f ca="1">PROPER(TRIM(Raw_Data!L436))</f>
        <v>General Fitness</v>
      </c>
      <c r="M436" t="s">
        <v>152</v>
      </c>
      <c r="N436" s="2">
        <f>IFERROR(DATEVALUE(Raw_Data!N436), Raw_Data!N436)</f>
        <v>46117</v>
      </c>
      <c r="O436" s="2"/>
      <c r="P436" t="str">
        <f>IF(COUNTIF($A$2:A436,A436)&gt;1,"Duplicate","Unique")</f>
        <v>Unique</v>
      </c>
      <c r="Q436" t="str">
        <f t="shared" si="12"/>
        <v>Cancelled but Active</v>
      </c>
      <c r="R436" t="str">
        <f t="shared" si="13"/>
        <v>Available</v>
      </c>
    </row>
    <row r="437" spans="1:18">
      <c r="A437" t="str">
        <f>TRIM(CLEAN(Raw_Data!A437))</f>
        <v>MEM0436</v>
      </c>
      <c r="B437" t="str">
        <f ca="1">TRIM(Raw_Data!B437)</f>
        <v>Sneha Naidu</v>
      </c>
      <c r="C437" t="str">
        <f ca="1">_xlfn.XLOOKUP(D437, Branch_Master!A:A, Branch_Master!B:B)</f>
        <v>Trivandrum</v>
      </c>
      <c r="D437" t="str">
        <f ca="1">TRIM(Raw_Data!D437)</f>
        <v>BR06</v>
      </c>
      <c r="E437" t="str">
        <f ca="1">PROPER(TRIM(Raw_Data!E437))</f>
        <v>Standard</v>
      </c>
      <c r="F437" s="2">
        <f>IFERROR(DATEVALUE(Raw_Data!F437), Raw_Data!F437)</f>
        <v>45282</v>
      </c>
      <c r="G437" s="2">
        <f>IFERROR(
    IF(
        IFERROR(DATEVALUE(Raw_Data!G437), Raw_Data!G437) &lt;
        IFERROR(DATEVALUE(Raw_Data!F437), Raw_Data!F437),
        IFERROR(DATEVALUE(Raw_Data!F437), Raw_Data!F437) + 30,
        IFERROR(DATEVALUE(Raw_Data!G437), Raw_Data!G437)
    ),
    ""
)</f>
        <v>45312</v>
      </c>
      <c r="H437">
        <f>IFERROR(VALUE(Raw_Data!H437), "")</f>
        <v>2000</v>
      </c>
      <c r="I437">
        <f ca="1">IFERROR(VALUE(Raw_Data!I437), "")</f>
        <v>20000</v>
      </c>
      <c r="J437">
        <f>IFERROR(
    VALUE(SUBSTITUTE(Raw_Data!J437," visits","")),
    ""
)</f>
        <v>15</v>
      </c>
      <c r="K437" t="str">
        <f ca="1">IF(TRIM(Raw_Data!K437)="","No",PROPER(TRIM(Raw_Data!K437)))</f>
        <v>Yes</v>
      </c>
      <c r="L437" t="str">
        <f ca="1">PROPER(TRIM(Raw_Data!L437))</f>
        <v>Muscle Gain</v>
      </c>
      <c r="M437" t="s">
        <v>151</v>
      </c>
      <c r="N437" s="2">
        <f>IFERROR(DATEVALUE(Raw_Data!N437), Raw_Data!N437)</f>
        <v>45442</v>
      </c>
      <c r="O437" s="2"/>
      <c r="P437" t="str">
        <f>IF(COUNTIF($A$2:A437,A437)&gt;1,"Duplicate","Unique")</f>
        <v>Unique</v>
      </c>
      <c r="Q437" t="str">
        <f t="shared" si="12"/>
        <v>OK</v>
      </c>
      <c r="R437" t="str">
        <f t="shared" si="13"/>
        <v>Available</v>
      </c>
    </row>
    <row r="438" spans="1:18">
      <c r="A438" t="str">
        <f>TRIM(CLEAN(Raw_Data!A438))</f>
        <v>MEM0437</v>
      </c>
      <c r="B438" t="str">
        <f ca="1">TRIM(Raw_Data!B438)</f>
        <v>Zara Patel</v>
      </c>
      <c r="C438" t="str">
        <f ca="1">_xlfn.XLOOKUP(D438, Branch_Master!A:A, Branch_Master!B:B)</f>
        <v>Chennai</v>
      </c>
      <c r="D438" t="str">
        <f ca="1">TRIM(Raw_Data!D438)</f>
        <v>BR03</v>
      </c>
      <c r="E438" t="str">
        <f ca="1">PROPER(TRIM(Raw_Data!E438))</f>
        <v>Premium</v>
      </c>
      <c r="F438" s="2">
        <f>IFERROR(DATEVALUE(Raw_Data!F438), Raw_Data!F438)</f>
        <v>45347</v>
      </c>
      <c r="G438" s="2">
        <f>IFERROR(
    IF(
        IFERROR(DATEVALUE(Raw_Data!G438), Raw_Data!G438) &lt;
        IFERROR(DATEVALUE(Raw_Data!F438), Raw_Data!F438),
        IFERROR(DATEVALUE(Raw_Data!F438), Raw_Data!F438) + 30,
        IFERROR(DATEVALUE(Raw_Data!G438), Raw_Data!G438)
    ),
    ""
)</f>
        <v>45437</v>
      </c>
      <c r="H438">
        <f>IFERROR(VALUE(Raw_Data!H438), "")</f>
        <v>1000</v>
      </c>
      <c r="I438">
        <f ca="1">IFERROR(VALUE(Raw_Data!I438), "")</f>
        <v>4000</v>
      </c>
      <c r="J438">
        <f>IFERROR(
    VALUE(SUBSTITUTE(Raw_Data!J438," visits","")),
    ""
)</f>
        <v>24</v>
      </c>
      <c r="K438" t="str">
        <f ca="1">IF(TRIM(Raw_Data!K438)="","No",PROPER(TRIM(Raw_Data!K438)))</f>
        <v>No</v>
      </c>
      <c r="L438" t="str">
        <f ca="1">PROPER(TRIM(Raw_Data!L438))</f>
        <v>General Fitness</v>
      </c>
      <c r="M438" t="s">
        <v>151</v>
      </c>
      <c r="N438" s="2">
        <f>IFERROR(DATEVALUE(Raw_Data!N438), Raw_Data!N438)</f>
        <v>45956</v>
      </c>
      <c r="O438" s="2"/>
      <c r="P438" t="str">
        <f>IF(COUNTIF($A$2:A438,A438)&gt;1,"Duplicate","Unique")</f>
        <v>Unique</v>
      </c>
      <c r="Q438" t="str">
        <f t="shared" si="12"/>
        <v>OK</v>
      </c>
      <c r="R438" t="str">
        <f t="shared" si="13"/>
        <v>Available</v>
      </c>
    </row>
    <row r="439" spans="1:18">
      <c r="A439" t="str">
        <f>TRIM(CLEAN(Raw_Data!A439))</f>
        <v>MEM0438</v>
      </c>
      <c r="B439" t="str">
        <f ca="1">TRIM(Raw_Data!B439)</f>
        <v>Riya Joshi</v>
      </c>
      <c r="C439" t="str">
        <f ca="1">_xlfn.XLOOKUP(D439, Branch_Master!A:A, Branch_Master!B:B)</f>
        <v>Chennai</v>
      </c>
      <c r="D439" t="str">
        <f ca="1">TRIM(Raw_Data!D439)</f>
        <v>BR03</v>
      </c>
      <c r="E439" t="str">
        <f ca="1">PROPER(TRIM(Raw_Data!E439))</f>
        <v>Basic</v>
      </c>
      <c r="F439" s="2">
        <f>IFERROR(DATEVALUE(Raw_Data!F439), Raw_Data!F439)</f>
        <v>45457</v>
      </c>
      <c r="G439" s="2">
        <f>IFERROR(
    IF(
        IFERROR(DATEVALUE(Raw_Data!G439), Raw_Data!G439) &lt;
        IFERROR(DATEVALUE(Raw_Data!F439), Raw_Data!F439),
        IFERROR(DATEVALUE(Raw_Data!F439), Raw_Data!F439) + 30,
        IFERROR(DATEVALUE(Raw_Data!G439), Raw_Data!G439)
    ),
    ""
)</f>
        <v>45822</v>
      </c>
      <c r="H439">
        <f>IFERROR(VALUE(Raw_Data!H439), "")</f>
        <v>2000</v>
      </c>
      <c r="I439">
        <f ca="1">IFERROR(VALUE(Raw_Data!I439), "")</f>
        <v>4000</v>
      </c>
      <c r="J439">
        <f>IFERROR(
    VALUE(SUBSTITUTE(Raw_Data!J439," visits","")),
    ""
)</f>
        <v>23</v>
      </c>
      <c r="K439" t="str">
        <f ca="1">IF(TRIM(Raw_Data!K439)="","No",PROPER(TRIM(Raw_Data!K439)))</f>
        <v>No</v>
      </c>
      <c r="L439" t="str">
        <f ca="1">PROPER(TRIM(Raw_Data!L439))</f>
        <v>Weight Loss</v>
      </c>
      <c r="M439" t="s">
        <v>151</v>
      </c>
      <c r="N439" s="2">
        <f>IFERROR(DATEVALUE(Raw_Data!N439), Raw_Data!N439)</f>
        <v>45850</v>
      </c>
      <c r="O439" s="2"/>
      <c r="P439" t="str">
        <f>IF(COUNTIF($A$2:A439,A439)&gt;1,"Duplicate","Unique")</f>
        <v>Unique</v>
      </c>
      <c r="Q439" t="str">
        <f t="shared" si="12"/>
        <v>OK</v>
      </c>
      <c r="R439" t="str">
        <f t="shared" si="13"/>
        <v>Available</v>
      </c>
    </row>
    <row r="440" spans="1:18">
      <c r="A440" t="str">
        <f>TRIM(CLEAN(Raw_Data!A440))</f>
        <v>MEM0439</v>
      </c>
      <c r="B440" t="str">
        <f ca="1">TRIM(Raw_Data!B440)</f>
        <v>Vivek Joshi</v>
      </c>
      <c r="C440" t="str">
        <f ca="1">_xlfn.XLOOKUP(D440, Branch_Master!A:A, Branch_Master!B:B)</f>
        <v>Hyderabad</v>
      </c>
      <c r="D440" t="str">
        <f ca="1">TRIM(Raw_Data!D440)</f>
        <v>BR04</v>
      </c>
      <c r="E440" t="str">
        <f ca="1">PROPER(TRIM(Raw_Data!E440))</f>
        <v>Basic</v>
      </c>
      <c r="F440" s="2">
        <f>IFERROR(DATEVALUE(Raw_Data!F440), Raw_Data!F440)</f>
        <v>45443</v>
      </c>
      <c r="G440" s="2">
        <f>IFERROR(
    IF(
        IFERROR(DATEVALUE(Raw_Data!G440), Raw_Data!G440) &lt;
        IFERROR(DATEVALUE(Raw_Data!F440), Raw_Data!F440),
        IFERROR(DATEVALUE(Raw_Data!F440), Raw_Data!F440) + 30,
        IFERROR(DATEVALUE(Raw_Data!G440), Raw_Data!G440)
    ),
    ""
)</f>
        <v>45533</v>
      </c>
      <c r="H440">
        <f>IFERROR(VALUE(Raw_Data!H440), "")</f>
        <v>3500</v>
      </c>
      <c r="I440">
        <f ca="1">IFERROR(VALUE(Raw_Data!I440), "")</f>
        <v>17500</v>
      </c>
      <c r="J440">
        <f>IFERROR(
    VALUE(SUBSTITUTE(Raw_Data!J440," visits","")),
    ""
)</f>
        <v>5</v>
      </c>
      <c r="K440" t="str">
        <f ca="1">IF(TRIM(Raw_Data!K440)="","No",PROPER(TRIM(Raw_Data!K440)))</f>
        <v>No</v>
      </c>
      <c r="L440" t="str">
        <f ca="1">PROPER(TRIM(Raw_Data!L440))</f>
        <v>General Fitness</v>
      </c>
      <c r="M440" t="s">
        <v>151</v>
      </c>
      <c r="N440" s="2">
        <f>IFERROR(DATEVALUE(Raw_Data!N440), Raw_Data!N440)</f>
        <v>45938</v>
      </c>
      <c r="O440" s="2"/>
      <c r="P440" t="str">
        <f>IF(COUNTIF($A$2:A440,A440)&gt;1,"Duplicate","Unique")</f>
        <v>Unique</v>
      </c>
      <c r="Q440" t="str">
        <f t="shared" si="12"/>
        <v>OK</v>
      </c>
      <c r="R440" t="str">
        <f t="shared" si="13"/>
        <v>Available</v>
      </c>
    </row>
    <row r="441" spans="1:18">
      <c r="A441" t="str">
        <f>TRIM(CLEAN(Raw_Data!A441))</f>
        <v>MEM0440</v>
      </c>
      <c r="B441" t="str">
        <f ca="1">TRIM(Raw_Data!B441)</f>
        <v>Divya Menon</v>
      </c>
      <c r="C441" t="str">
        <f ca="1">_xlfn.XLOOKUP(D441, Branch_Master!A:A, Branch_Master!B:B)</f>
        <v>Kochi</v>
      </c>
      <c r="D441" t="str">
        <f ca="1">TRIM(Raw_Data!D441)</f>
        <v>BR01</v>
      </c>
      <c r="E441" t="str">
        <f ca="1">PROPER(TRIM(Raw_Data!E441))</f>
        <v>Premium</v>
      </c>
      <c r="F441" s="2">
        <f>IFERROR(DATEVALUE(Raw_Data!F441), Raw_Data!F441)</f>
        <v>45601</v>
      </c>
      <c r="G441" s="2">
        <f>IFERROR(
    IF(
        IFERROR(DATEVALUE(Raw_Data!G441), Raw_Data!G441) &lt;
        IFERROR(DATEVALUE(Raw_Data!F441), Raw_Data!F441),
        IFERROR(DATEVALUE(Raw_Data!F441), Raw_Data!F441) + 30,
        IFERROR(DATEVALUE(Raw_Data!G441), Raw_Data!G441)
    ),
    ""
)</f>
        <v>45691</v>
      </c>
      <c r="H441">
        <f>IFERROR(VALUE(Raw_Data!H441), "")</f>
        <v>2000</v>
      </c>
      <c r="I441">
        <f ca="1">IFERROR(VALUE(Raw_Data!I441), "")</f>
        <v>12000</v>
      </c>
      <c r="J441">
        <f>IFERROR(
    VALUE(SUBSTITUTE(Raw_Data!J441," visits","")),
    ""
)</f>
        <v>18</v>
      </c>
      <c r="K441" t="str">
        <f ca="1">IF(TRIM(Raw_Data!K441)="","No",PROPER(TRIM(Raw_Data!K441)))</f>
        <v>Yes</v>
      </c>
      <c r="L441" t="str">
        <f ca="1">PROPER(TRIM(Raw_Data!L441))</f>
        <v>General Fitness</v>
      </c>
      <c r="M441" t="s">
        <v>151</v>
      </c>
      <c r="N441" s="2">
        <f>IFERROR(DATEVALUE(Raw_Data!N441), Raw_Data!N441)</f>
        <v>46086</v>
      </c>
      <c r="O441" s="2"/>
      <c r="P441" t="str">
        <f>IF(COUNTIF($A$2:A441,A441)&gt;1,"Duplicate","Unique")</f>
        <v>Unique</v>
      </c>
      <c r="Q441" t="str">
        <f t="shared" si="12"/>
        <v>OK</v>
      </c>
      <c r="R441" t="str">
        <f t="shared" si="13"/>
        <v>Available</v>
      </c>
    </row>
    <row r="442" spans="1:18">
      <c r="A442" t="str">
        <f>TRIM(CLEAN(Raw_Data!A442))</f>
        <v>MEM0441</v>
      </c>
      <c r="B442" t="str">
        <f ca="1">TRIM(Raw_Data!B442)</f>
        <v>Rohit Nair</v>
      </c>
      <c r="C442" t="str">
        <f ca="1">_xlfn.XLOOKUP(D442, Branch_Master!A:A, Branch_Master!B:B)</f>
        <v>Bangalore</v>
      </c>
      <c r="D442" t="str">
        <f ca="1">TRIM(Raw_Data!D442)</f>
        <v>BR02</v>
      </c>
      <c r="E442" t="str">
        <f ca="1">PROPER(TRIM(Raw_Data!E442))</f>
        <v>Premium</v>
      </c>
      <c r="F442" s="2">
        <f>IFERROR(DATEVALUE(Raw_Data!F442), Raw_Data!F442)</f>
        <v>45798</v>
      </c>
      <c r="G442" s="2">
        <f>IFERROR(
    IF(
        IFERROR(DATEVALUE(Raw_Data!G442), Raw_Data!G442) &lt;
        IFERROR(DATEVALUE(Raw_Data!F442), Raw_Data!F442),
        IFERROR(DATEVALUE(Raw_Data!F442), Raw_Data!F442) + 30,
        IFERROR(DATEVALUE(Raw_Data!G442), Raw_Data!G442)
    ),
    ""
)</f>
        <v>45828</v>
      </c>
      <c r="H442">
        <f>IFERROR(VALUE(Raw_Data!H442), "")</f>
        <v>1000</v>
      </c>
      <c r="I442">
        <f ca="1">IFERROR(VALUE(Raw_Data!I442), "")</f>
        <v>10000</v>
      </c>
      <c r="J442">
        <f>IFERROR(
    VALUE(SUBSTITUTE(Raw_Data!J442," visits","")),
    ""
)</f>
        <v>11</v>
      </c>
      <c r="K442" t="str">
        <f ca="1">IF(TRIM(Raw_Data!K442)="","No",PROPER(TRIM(Raw_Data!K442)))</f>
        <v>No</v>
      </c>
      <c r="L442" t="str">
        <f ca="1">PROPER(TRIM(Raw_Data!L442))</f>
        <v>Weight Loss</v>
      </c>
      <c r="M442" t="s">
        <v>151</v>
      </c>
      <c r="N442" s="2">
        <f>IFERROR(DATEVALUE(Raw_Data!N442), Raw_Data!N442)</f>
        <v>45993</v>
      </c>
      <c r="O442" s="2"/>
      <c r="P442" t="str">
        <f>IF(COUNTIF($A$2:A442,A442)&gt;1,"Duplicate","Unique")</f>
        <v>Unique</v>
      </c>
      <c r="Q442" t="str">
        <f t="shared" si="12"/>
        <v>OK</v>
      </c>
      <c r="R442" t="str">
        <f t="shared" si="13"/>
        <v>Available</v>
      </c>
    </row>
    <row r="443" spans="1:18">
      <c r="A443" t="str">
        <f>TRIM(CLEAN(Raw_Data!A443))</f>
        <v>MEM0442</v>
      </c>
      <c r="B443" t="str">
        <f ca="1">TRIM(Raw_Data!B443)</f>
        <v>Divya Varghese</v>
      </c>
      <c r="C443" t="str">
        <f ca="1">_xlfn.XLOOKUP(D443, Branch_Master!A:A, Branch_Master!B:B)</f>
        <v>Chennai</v>
      </c>
      <c r="D443" t="str">
        <f ca="1">TRIM(Raw_Data!D443)</f>
        <v>BR03</v>
      </c>
      <c r="E443" t="str">
        <f ca="1">PROPER(TRIM(Raw_Data!E443))</f>
        <v>Standard</v>
      </c>
      <c r="F443" s="2">
        <f>IFERROR(DATEVALUE(Raw_Data!F443), Raw_Data!F443)</f>
        <v>45623</v>
      </c>
      <c r="G443" s="2">
        <f>IFERROR(
    IF(
        IFERROR(DATEVALUE(Raw_Data!G443), Raw_Data!G443) &lt;
        IFERROR(DATEVALUE(Raw_Data!F443), Raw_Data!F443),
        IFERROR(DATEVALUE(Raw_Data!F443), Raw_Data!F443) + 30,
        IFERROR(DATEVALUE(Raw_Data!G443), Raw_Data!G443)
    ),
    ""
)</f>
        <v>45653</v>
      </c>
      <c r="H443">
        <f>IFERROR(VALUE(Raw_Data!H443), "")</f>
        <v>3500</v>
      </c>
      <c r="I443">
        <f ca="1">IFERROR(VALUE(Raw_Data!I443), "")</f>
        <v>7000</v>
      </c>
      <c r="J443">
        <f>IFERROR(
    VALUE(SUBSTITUTE(Raw_Data!J443," visits","")),
    ""
)</f>
        <v>11</v>
      </c>
      <c r="K443" t="str">
        <f ca="1">IF(TRIM(Raw_Data!K443)="","No",PROPER(TRIM(Raw_Data!K443)))</f>
        <v>Yes</v>
      </c>
      <c r="L443" t="str">
        <f ca="1">PROPER(TRIM(Raw_Data!L443))</f>
        <v>Weight Loss</v>
      </c>
      <c r="M443" t="s">
        <v>151</v>
      </c>
      <c r="N443" s="2">
        <f>IFERROR(DATEVALUE(Raw_Data!N443), Raw_Data!N443)</f>
        <v>45897</v>
      </c>
      <c r="O443" s="2"/>
      <c r="P443" t="str">
        <f>IF(COUNTIF($A$2:A443,A443)&gt;1,"Duplicate","Unique")</f>
        <v>Unique</v>
      </c>
      <c r="Q443" t="str">
        <f t="shared" si="12"/>
        <v>OK</v>
      </c>
      <c r="R443" t="str">
        <f t="shared" si="13"/>
        <v>Available</v>
      </c>
    </row>
    <row r="444" spans="1:18">
      <c r="A444" t="str">
        <f>TRIM(CLEAN(Raw_Data!A444))</f>
        <v>MEM0443</v>
      </c>
      <c r="B444" t="str">
        <f ca="1">TRIM(Raw_Data!B444)</f>
        <v>Anu Lewis</v>
      </c>
      <c r="C444" t="str">
        <f ca="1">_xlfn.XLOOKUP(D444, Branch_Master!A:A, Branch_Master!B:B)</f>
        <v>Kochi</v>
      </c>
      <c r="D444" t="str">
        <f ca="1">TRIM(Raw_Data!D444)</f>
        <v>BR01</v>
      </c>
      <c r="E444" t="str">
        <f ca="1">PROPER(TRIM(Raw_Data!E444))</f>
        <v>Standard</v>
      </c>
      <c r="F444" s="2">
        <f>IFERROR(DATEVALUE(Raw_Data!F444), Raw_Data!F444)</f>
        <v>45456</v>
      </c>
      <c r="G444" s="2">
        <f>IFERROR(
    IF(
        IFERROR(DATEVALUE(Raw_Data!G444), Raw_Data!G444) &lt;
        IFERROR(DATEVALUE(Raw_Data!F444), Raw_Data!F444),
        IFERROR(DATEVALUE(Raw_Data!F444), Raw_Data!F444) + 30,
        IFERROR(DATEVALUE(Raw_Data!G444), Raw_Data!G444)
    ),
    ""
)</f>
        <v>45486</v>
      </c>
      <c r="H444">
        <f>IFERROR(VALUE(Raw_Data!H444), "")</f>
        <v>1000</v>
      </c>
      <c r="I444">
        <f ca="1">IFERROR(VALUE(Raw_Data!I444), "")</f>
        <v>4000</v>
      </c>
      <c r="J444">
        <f>IFERROR(
    VALUE(SUBSTITUTE(Raw_Data!J444," visits","")),
    ""
)</f>
        <v>16</v>
      </c>
      <c r="K444" t="str">
        <f ca="1">IF(TRIM(Raw_Data!K444)="","No",PROPER(TRIM(Raw_Data!K444)))</f>
        <v>No</v>
      </c>
      <c r="L444" t="str">
        <f ca="1">PROPER(TRIM(Raw_Data!L444))</f>
        <v>General Fitness</v>
      </c>
      <c r="M444" t="s">
        <v>151</v>
      </c>
      <c r="N444" s="2">
        <f>IFERROR(DATEVALUE(Raw_Data!N444), Raw_Data!N444)</f>
        <v>45937</v>
      </c>
      <c r="O444" s="2"/>
      <c r="P444" t="str">
        <f>IF(COUNTIF($A$2:A444,A444)&gt;1,"Duplicate","Unique")</f>
        <v>Unique</v>
      </c>
      <c r="Q444" t="str">
        <f t="shared" si="12"/>
        <v>OK</v>
      </c>
      <c r="R444" t="str">
        <f t="shared" si="13"/>
        <v>Available</v>
      </c>
    </row>
    <row r="445" spans="1:18">
      <c r="A445" t="str">
        <f>TRIM(CLEAN(Raw_Data!A445))</f>
        <v>MEM0444</v>
      </c>
      <c r="B445" t="str">
        <f ca="1">TRIM(Raw_Data!B445)</f>
        <v>Rohit Khan</v>
      </c>
      <c r="C445" t="str">
        <f ca="1">_xlfn.XLOOKUP(D445, Branch_Master!A:A, Branch_Master!B:B)</f>
        <v>Bangalore</v>
      </c>
      <c r="D445" t="str">
        <f ca="1">TRIM(Raw_Data!D445)</f>
        <v>BR02</v>
      </c>
      <c r="E445" t="str">
        <f ca="1">PROPER(TRIM(Raw_Data!E445))</f>
        <v>Basic</v>
      </c>
      <c r="F445" s="2">
        <f>IFERROR(DATEVALUE(Raw_Data!F445), Raw_Data!F445)</f>
        <v>44972</v>
      </c>
      <c r="G445" s="2">
        <f>IFERROR(
    IF(
        IFERROR(DATEVALUE(Raw_Data!G445), Raw_Data!G445) &lt;
        IFERROR(DATEVALUE(Raw_Data!F445), Raw_Data!F445),
        IFERROR(DATEVALUE(Raw_Data!F445), Raw_Data!F445) + 30,
        IFERROR(DATEVALUE(Raw_Data!G445), Raw_Data!G445)
    ),
    ""
)</f>
        <v>45337</v>
      </c>
      <c r="H445">
        <f>IFERROR(VALUE(Raw_Data!H445), "")</f>
        <v>3500</v>
      </c>
      <c r="I445">
        <f ca="1">IFERROR(VALUE(Raw_Data!I445), "")</f>
        <v>38500</v>
      </c>
      <c r="J445">
        <f>IFERROR(
    VALUE(SUBSTITUTE(Raw_Data!J445," visits","")),
    ""
)</f>
        <v>19</v>
      </c>
      <c r="K445" t="str">
        <f ca="1">IF(TRIM(Raw_Data!K445)="","No",PROPER(TRIM(Raw_Data!K445)))</f>
        <v>Yes</v>
      </c>
      <c r="L445" t="str">
        <f ca="1">PROPER(TRIM(Raw_Data!L445))</f>
        <v>General Fitness</v>
      </c>
      <c r="M445" t="s">
        <v>151</v>
      </c>
      <c r="N445" s="2">
        <f>IFERROR(DATEVALUE(Raw_Data!N445), Raw_Data!N445)</f>
        <v>45026</v>
      </c>
      <c r="O445" s="2"/>
      <c r="P445" t="str">
        <f>IF(COUNTIF($A$2:A445,A445)&gt;1,"Duplicate","Unique")</f>
        <v>Unique</v>
      </c>
      <c r="Q445" t="str">
        <f t="shared" si="12"/>
        <v>OK</v>
      </c>
      <c r="R445" t="str">
        <f t="shared" si="13"/>
        <v>Available</v>
      </c>
    </row>
    <row r="446" spans="1:18">
      <c r="A446" t="str">
        <f>TRIM(CLEAN(Raw_Data!A446))</f>
        <v>MEM0445</v>
      </c>
      <c r="B446" t="str">
        <f ca="1">TRIM(Raw_Data!B446)</f>
        <v>Ankit Nair</v>
      </c>
      <c r="C446" t="str">
        <f ca="1">_xlfn.XLOOKUP(D446, Branch_Master!A:A, Branch_Master!B:B)</f>
        <v>Kochi</v>
      </c>
      <c r="D446" t="str">
        <f ca="1">TRIM(Raw_Data!D446)</f>
        <v>BR01</v>
      </c>
      <c r="E446" t="str">
        <f ca="1">PROPER(TRIM(Raw_Data!E446))</f>
        <v>Standard</v>
      </c>
      <c r="F446" s="2">
        <f>IFERROR(DATEVALUE(Raw_Data!F446), Raw_Data!F446)</f>
        <v>45171</v>
      </c>
      <c r="G446" s="2">
        <f>IFERROR(
    IF(
        IFERROR(DATEVALUE(Raw_Data!G446), Raw_Data!G446) &lt;
        IFERROR(DATEVALUE(Raw_Data!F446), Raw_Data!F446),
        IFERROR(DATEVALUE(Raw_Data!F446), Raw_Data!F446) + 30,
        IFERROR(DATEVALUE(Raw_Data!G446), Raw_Data!G446)
    ),
    ""
)</f>
        <v>45536</v>
      </c>
      <c r="H446">
        <f>IFERROR(VALUE(Raw_Data!H446), "")</f>
        <v>2000</v>
      </c>
      <c r="I446">
        <f ca="1">IFERROR(VALUE(Raw_Data!I446), "")</f>
        <v>20000</v>
      </c>
      <c r="J446">
        <f>IFERROR(
    VALUE(SUBSTITUTE(Raw_Data!J446," visits","")),
    ""
)</f>
        <v>1</v>
      </c>
      <c r="K446" t="str">
        <f ca="1">IF(TRIM(Raw_Data!K446)="","No",PROPER(TRIM(Raw_Data!K446)))</f>
        <v>Yes</v>
      </c>
      <c r="L446" t="str">
        <f ca="1">PROPER(TRIM(Raw_Data!L446))</f>
        <v>Muscle Gain</v>
      </c>
      <c r="M446" t="s">
        <v>151</v>
      </c>
      <c r="N446" s="2">
        <f>IFERROR(DATEVALUE(Raw_Data!N446), Raw_Data!N446)</f>
        <v>45729</v>
      </c>
      <c r="O446" s="2"/>
      <c r="P446" t="str">
        <f>IF(COUNTIF($A$2:A446,A446)&gt;1,"Duplicate","Unique")</f>
        <v>Unique</v>
      </c>
      <c r="Q446" t="str">
        <f t="shared" si="12"/>
        <v>OK</v>
      </c>
      <c r="R446" t="str">
        <f t="shared" si="13"/>
        <v>Available</v>
      </c>
    </row>
    <row r="447" spans="1:18">
      <c r="A447" t="str">
        <f>TRIM(CLEAN(Raw_Data!A447))</f>
        <v>MEM0446</v>
      </c>
      <c r="B447" t="str">
        <f ca="1">TRIM(Raw_Data!B447)</f>
        <v>Akash Malhotra</v>
      </c>
      <c r="C447" t="str">
        <f ca="1">_xlfn.XLOOKUP(D447, Branch_Master!A:A, Branch_Master!B:B)</f>
        <v>Kochi</v>
      </c>
      <c r="D447" t="str">
        <f ca="1">TRIM(Raw_Data!D447)</f>
        <v>BR01</v>
      </c>
      <c r="E447" t="str">
        <f ca="1">PROPER(TRIM(Raw_Data!E447))</f>
        <v>Standard</v>
      </c>
      <c r="F447" s="2">
        <f>IFERROR(DATEVALUE(Raw_Data!F447), Raw_Data!F447)</f>
        <v>45381</v>
      </c>
      <c r="G447" s="2">
        <f>IFERROR(
    IF(
        IFERROR(DATEVALUE(Raw_Data!G447), Raw_Data!G447) &lt;
        IFERROR(DATEVALUE(Raw_Data!F447), Raw_Data!F447),
        IFERROR(DATEVALUE(Raw_Data!F447), Raw_Data!F447) + 30,
        IFERROR(DATEVALUE(Raw_Data!G447), Raw_Data!G447)
    ),
    ""
)</f>
        <v>45471</v>
      </c>
      <c r="H447">
        <f>IFERROR(VALUE(Raw_Data!H447), "")</f>
        <v>2000</v>
      </c>
      <c r="I447">
        <f ca="1">IFERROR(VALUE(Raw_Data!I447), "")</f>
        <v>24000</v>
      </c>
      <c r="J447">
        <f>IFERROR(
    VALUE(SUBSTITUTE(Raw_Data!J447," visits","")),
    ""
)</f>
        <v>6</v>
      </c>
      <c r="K447" t="str">
        <f ca="1">IF(TRIM(Raw_Data!K447)="","No",PROPER(TRIM(Raw_Data!K447)))</f>
        <v>No</v>
      </c>
      <c r="L447" t="str">
        <f ca="1">PROPER(TRIM(Raw_Data!L447))</f>
        <v>Muscle Gain</v>
      </c>
      <c r="M447" t="s">
        <v>151</v>
      </c>
      <c r="N447" s="2">
        <f>IFERROR(DATEVALUE(Raw_Data!N447), Raw_Data!N447)</f>
        <v>45430</v>
      </c>
      <c r="O447" s="2"/>
      <c r="P447" t="str">
        <f>IF(COUNTIF($A$2:A447,A447)&gt;1,"Duplicate","Unique")</f>
        <v>Unique</v>
      </c>
      <c r="Q447" t="str">
        <f t="shared" si="12"/>
        <v>OK</v>
      </c>
      <c r="R447" t="str">
        <f t="shared" si="13"/>
        <v>Available</v>
      </c>
    </row>
    <row r="448" spans="1:18">
      <c r="A448" t="str">
        <f>TRIM(CLEAN(Raw_Data!A448))</f>
        <v>MEM0447</v>
      </c>
      <c r="B448" t="str">
        <f ca="1">TRIM(Raw_Data!B448)</f>
        <v>Harish Singh</v>
      </c>
      <c r="C448" t="str">
        <f ca="1">_xlfn.XLOOKUP(D448, Branch_Master!A:A, Branch_Master!B:B)</f>
        <v>Kochi</v>
      </c>
      <c r="D448" t="str">
        <f ca="1">TRIM(Raw_Data!D448)</f>
        <v>BR01</v>
      </c>
      <c r="E448" t="str">
        <f ca="1">PROPER(TRIM(Raw_Data!E448))</f>
        <v>Standard</v>
      </c>
      <c r="F448" s="2">
        <f>IFERROR(DATEVALUE(Raw_Data!F448), Raw_Data!F448)</f>
        <v>45062</v>
      </c>
      <c r="G448" s="2">
        <f>IFERROR(
    IF(
        IFERROR(DATEVALUE(Raw_Data!G448), Raw_Data!G448) &lt;
        IFERROR(DATEVALUE(Raw_Data!F448), Raw_Data!F448),
        IFERROR(DATEVALUE(Raw_Data!F448), Raw_Data!F448) + 30,
        IFERROR(DATEVALUE(Raw_Data!G448), Raw_Data!G448)
    ),
    ""
)</f>
        <v>45092</v>
      </c>
      <c r="H448">
        <f>IFERROR(VALUE(Raw_Data!H448), "")</f>
        <v>2000</v>
      </c>
      <c r="I448">
        <f ca="1">IFERROR(VALUE(Raw_Data!I448), "")</f>
        <v>4000</v>
      </c>
      <c r="J448">
        <f>IFERROR(
    VALUE(SUBSTITUTE(Raw_Data!J448," visits","")),
    ""
)</f>
        <v>14</v>
      </c>
      <c r="K448" t="str">
        <f ca="1">IF(TRIM(Raw_Data!K448)="","No",PROPER(TRIM(Raw_Data!K448)))</f>
        <v>Yes</v>
      </c>
      <c r="L448" t="str">
        <f ca="1">PROPER(TRIM(Raw_Data!L448))</f>
        <v>Weight Loss</v>
      </c>
      <c r="M448" t="s">
        <v>151</v>
      </c>
      <c r="N448" s="2">
        <f>IFERROR(DATEVALUE(Raw_Data!N448), Raw_Data!N448)</f>
        <v>45151</v>
      </c>
      <c r="O448" s="2"/>
      <c r="P448" t="str">
        <f>IF(COUNTIF($A$2:A448,A448)&gt;1,"Duplicate","Unique")</f>
        <v>Unique</v>
      </c>
      <c r="Q448" t="str">
        <f t="shared" si="12"/>
        <v>OK</v>
      </c>
      <c r="R448" t="str">
        <f t="shared" si="13"/>
        <v>Available</v>
      </c>
    </row>
    <row r="449" spans="1:18">
      <c r="A449" t="str">
        <f>TRIM(CLEAN(Raw_Data!A449))</f>
        <v>MEM0448</v>
      </c>
      <c r="B449" t="str">
        <f ca="1">TRIM(Raw_Data!B449)</f>
        <v>Zara Reddy</v>
      </c>
      <c r="C449" t="str">
        <f ca="1">_xlfn.XLOOKUP(D449, Branch_Master!A:A, Branch_Master!B:B)</f>
        <v>Mumbai</v>
      </c>
      <c r="D449" t="str">
        <f ca="1">TRIM(Raw_Data!D449)</f>
        <v>BR05</v>
      </c>
      <c r="E449" t="str">
        <f ca="1">PROPER(TRIM(Raw_Data!E449))</f>
        <v>Premium</v>
      </c>
      <c r="F449" s="2">
        <f>IFERROR(DATEVALUE(Raw_Data!F449), Raw_Data!F449)</f>
        <v>46029</v>
      </c>
      <c r="G449" s="2">
        <f>IFERROR(
    IF(
        IFERROR(DATEVALUE(Raw_Data!G449), Raw_Data!G449) &lt;
        IFERROR(DATEVALUE(Raw_Data!F449), Raw_Data!F449),
        IFERROR(DATEVALUE(Raw_Data!F449), Raw_Data!F449) + 30,
        IFERROR(DATEVALUE(Raw_Data!G449), Raw_Data!G449)
    ),
    ""
)</f>
        <v>46119</v>
      </c>
      <c r="H449">
        <f>IFERROR(VALUE(Raw_Data!H449), "")</f>
        <v>1000</v>
      </c>
      <c r="I449">
        <f ca="1">IFERROR(VALUE(Raw_Data!I449), "")</f>
        <v>12000</v>
      </c>
      <c r="J449">
        <f>IFERROR(
    VALUE(SUBSTITUTE(Raw_Data!J449," visits","")),
    ""
)</f>
        <v>15</v>
      </c>
      <c r="K449" t="str">
        <f ca="1">IF(TRIM(Raw_Data!K449)="","No",PROPER(TRIM(Raw_Data!K449)))</f>
        <v>Yes</v>
      </c>
      <c r="L449" t="str">
        <f ca="1">PROPER(TRIM(Raw_Data!L449))</f>
        <v>General Fitness</v>
      </c>
      <c r="M449" t="s">
        <v>151</v>
      </c>
      <c r="N449" s="2">
        <f>IFERROR(DATEVALUE(Raw_Data!N449), Raw_Data!N449)</f>
        <v>46052</v>
      </c>
      <c r="O449" s="2"/>
      <c r="P449" t="str">
        <f>IF(COUNTIF($A$2:A449,A449)&gt;1,"Duplicate","Unique")</f>
        <v>Unique</v>
      </c>
      <c r="Q449" t="str">
        <f t="shared" si="12"/>
        <v>OK</v>
      </c>
      <c r="R449" t="str">
        <f t="shared" si="13"/>
        <v>Available</v>
      </c>
    </row>
    <row r="450" spans="1:18">
      <c r="A450" t="str">
        <f>TRIM(CLEAN(Raw_Data!A450))</f>
        <v>MEM0449</v>
      </c>
      <c r="B450" t="str">
        <f ca="1">TRIM(Raw_Data!B450)</f>
        <v>Harish Joseph</v>
      </c>
      <c r="C450" t="str">
        <f ca="1">_xlfn.XLOOKUP(D450, Branch_Master!A:A, Branch_Master!B:B)</f>
        <v>Mumbai</v>
      </c>
      <c r="D450" t="str">
        <f ca="1">TRIM(Raw_Data!D450)</f>
        <v>BR05</v>
      </c>
      <c r="E450" t="str">
        <f ca="1">PROPER(TRIM(Raw_Data!E450))</f>
        <v>Basic</v>
      </c>
      <c r="F450" s="2">
        <f>IFERROR(DATEVALUE(Raw_Data!F450), Raw_Data!F450)</f>
        <v>45608</v>
      </c>
      <c r="G450" s="2">
        <f>IFERROR(
    IF(
        IFERROR(DATEVALUE(Raw_Data!G450), Raw_Data!G450) &lt;
        IFERROR(DATEVALUE(Raw_Data!F450), Raw_Data!F450),
        IFERROR(DATEVALUE(Raw_Data!F450), Raw_Data!F450) + 30,
        IFERROR(DATEVALUE(Raw_Data!G450), Raw_Data!G450)
    ),
    ""
)</f>
        <v>45638</v>
      </c>
      <c r="H450">
        <f>IFERROR(VALUE(Raw_Data!H450), "")</f>
        <v>3500</v>
      </c>
      <c r="I450">
        <f ca="1">IFERROR(VALUE(Raw_Data!I450), "")</f>
        <v>3500</v>
      </c>
      <c r="J450">
        <f>IFERROR(
    VALUE(SUBSTITUTE(Raw_Data!J450," visits","")),
    ""
)</f>
        <v>4</v>
      </c>
      <c r="K450" t="str">
        <f ca="1">IF(TRIM(Raw_Data!K450)="","No",PROPER(TRIM(Raw_Data!K450)))</f>
        <v>Yes</v>
      </c>
      <c r="L450" t="str">
        <f ca="1">PROPER(TRIM(Raw_Data!L450))</f>
        <v>General Fitness</v>
      </c>
      <c r="M450" t="s">
        <v>152</v>
      </c>
      <c r="N450" s="2">
        <f>IFERROR(DATEVALUE(Raw_Data!N450), Raw_Data!N450)</f>
        <v>45804</v>
      </c>
      <c r="O450" s="2"/>
      <c r="P450" t="str">
        <f>IF(COUNTIF($A$2:A450,A450)&gt;1,"Duplicate","Unique")</f>
        <v>Unique</v>
      </c>
      <c r="Q450" t="str">
        <f t="shared" si="12"/>
        <v>Cancelled but Active</v>
      </c>
      <c r="R450" t="str">
        <f t="shared" si="13"/>
        <v>Available</v>
      </c>
    </row>
    <row r="451" spans="1:18">
      <c r="A451" t="str">
        <f>TRIM(CLEAN(Raw_Data!A451))</f>
        <v>MEM0450</v>
      </c>
      <c r="B451" t="str">
        <f ca="1">TRIM(Raw_Data!B451)</f>
        <v>Swathi Malhotra</v>
      </c>
      <c r="C451" t="str">
        <f ca="1">_xlfn.XLOOKUP(D451, Branch_Master!A:A, Branch_Master!B:B)</f>
        <v>Calicut</v>
      </c>
      <c r="D451" t="str">
        <f ca="1">TRIM(Raw_Data!D451)</f>
        <v>BR07</v>
      </c>
      <c r="E451" t="str">
        <f ca="1">PROPER(TRIM(Raw_Data!E451))</f>
        <v>Premium</v>
      </c>
      <c r="F451" s="2">
        <f>IFERROR(DATEVALUE(Raw_Data!F451), Raw_Data!F451)</f>
        <v>45635</v>
      </c>
      <c r="G451" s="2">
        <f>IFERROR(
    IF(
        IFERROR(DATEVALUE(Raw_Data!G451), Raw_Data!G451) &lt;
        IFERROR(DATEVALUE(Raw_Data!F451), Raw_Data!F451),
        IFERROR(DATEVALUE(Raw_Data!F451), Raw_Data!F451) + 30,
        IFERROR(DATEVALUE(Raw_Data!G451), Raw_Data!G451)
    ),
    ""
)</f>
        <v>45725</v>
      </c>
      <c r="H451">
        <f>IFERROR(VALUE(Raw_Data!H451), "")</f>
        <v>3500</v>
      </c>
      <c r="I451">
        <f ca="1">IFERROR(VALUE(Raw_Data!I451), "")</f>
        <v>3500</v>
      </c>
      <c r="J451">
        <f>IFERROR(
    VALUE(SUBSTITUTE(Raw_Data!J451," visits","")),
    ""
)</f>
        <v>7</v>
      </c>
      <c r="K451" t="str">
        <f ca="1">IF(TRIM(Raw_Data!K451)="","No",PROPER(TRIM(Raw_Data!K451)))</f>
        <v>No</v>
      </c>
      <c r="L451" t="str">
        <f ca="1">PROPER(TRIM(Raw_Data!L451))</f>
        <v>General Fitness</v>
      </c>
      <c r="M451" t="s">
        <v>151</v>
      </c>
      <c r="N451" s="2">
        <f>IFERROR(DATEVALUE(Raw_Data!N451), Raw_Data!N451)</f>
        <v>45964</v>
      </c>
      <c r="O451" s="2"/>
      <c r="P451" t="str">
        <f>IF(COUNTIF($A$2:A451,A451)&gt;1,"Duplicate","Unique")</f>
        <v>Unique</v>
      </c>
      <c r="Q451" t="str">
        <f t="shared" ref="Q451:Q514" si="14">IF(G451&lt;F451,"Expiry Error",
IF(AND(M451="Cancelled",N451&lt;&gt;""),"Cancelled but Active",
IF(J451&gt;30,"Invalid Attendance","OK")))</f>
        <v>OK</v>
      </c>
      <c r="R451" t="str">
        <f t="shared" ref="R451:R514" si="15">IF(N451="","Missing","Available")</f>
        <v>Available</v>
      </c>
    </row>
    <row r="452" spans="1:18">
      <c r="A452" t="str">
        <f>TRIM(CLEAN(Raw_Data!A452))</f>
        <v>MEM0451</v>
      </c>
      <c r="B452" t="str">
        <f ca="1">TRIM(Raw_Data!B452)</f>
        <v>Priya D’Souza</v>
      </c>
      <c r="C452" t="str">
        <f ca="1">_xlfn.XLOOKUP(D452, Branch_Master!A:A, Branch_Master!B:B)</f>
        <v>Kochi</v>
      </c>
      <c r="D452" t="str">
        <f ca="1">TRIM(Raw_Data!D452)</f>
        <v>BR01</v>
      </c>
      <c r="E452" t="str">
        <f ca="1">PROPER(TRIM(Raw_Data!E452))</f>
        <v>Standard</v>
      </c>
      <c r="F452" s="2">
        <f>IFERROR(DATEVALUE(Raw_Data!F452), Raw_Data!F452)</f>
        <v>44985</v>
      </c>
      <c r="G452" s="2">
        <f>IFERROR(
    IF(
        IFERROR(DATEVALUE(Raw_Data!G452), Raw_Data!G452) &lt;
        IFERROR(DATEVALUE(Raw_Data!F452), Raw_Data!F452),
        IFERROR(DATEVALUE(Raw_Data!F452), Raw_Data!F452) + 30,
        IFERROR(DATEVALUE(Raw_Data!G452), Raw_Data!G452)
    ),
    ""
)</f>
        <v>45075</v>
      </c>
      <c r="H452">
        <f>IFERROR(VALUE(Raw_Data!H452), "")</f>
        <v>2000</v>
      </c>
      <c r="I452">
        <f ca="1">IFERROR(VALUE(Raw_Data!I452), "")</f>
        <v>14000</v>
      </c>
      <c r="J452">
        <f>IFERROR(
    VALUE(SUBSTITUTE(Raw_Data!J452," visits","")),
    ""
)</f>
        <v>16</v>
      </c>
      <c r="K452" t="str">
        <f ca="1">IF(TRIM(Raw_Data!K452)="","No",PROPER(TRIM(Raw_Data!K452)))</f>
        <v>No</v>
      </c>
      <c r="L452" t="str">
        <f ca="1">PROPER(TRIM(Raw_Data!L452))</f>
        <v>Weight Loss</v>
      </c>
      <c r="M452" t="s">
        <v>151</v>
      </c>
      <c r="N452" s="2">
        <f>IFERROR(DATEVALUE(Raw_Data!N452), Raw_Data!N452)</f>
        <v>45647</v>
      </c>
      <c r="O452" s="2"/>
      <c r="P452" t="str">
        <f>IF(COUNTIF($A$2:A452,A452)&gt;1,"Duplicate","Unique")</f>
        <v>Unique</v>
      </c>
      <c r="Q452" t="str">
        <f t="shared" si="14"/>
        <v>OK</v>
      </c>
      <c r="R452" t="str">
        <f t="shared" si="15"/>
        <v>Available</v>
      </c>
    </row>
    <row r="453" spans="1:18">
      <c r="A453" t="str">
        <f>TRIM(CLEAN(Raw_Data!A453))</f>
        <v>MEM0452</v>
      </c>
      <c r="B453" t="str">
        <f ca="1">TRIM(Raw_Data!B453)</f>
        <v>Vivek Khan</v>
      </c>
      <c r="C453" t="str">
        <f ca="1">_xlfn.XLOOKUP(D453, Branch_Master!A:A, Branch_Master!B:B)</f>
        <v>Hyderabad</v>
      </c>
      <c r="D453" t="str">
        <f ca="1">TRIM(Raw_Data!D453)</f>
        <v>BR04</v>
      </c>
      <c r="E453" t="str">
        <f ca="1">PROPER(TRIM(Raw_Data!E453))</f>
        <v>Basic</v>
      </c>
      <c r="F453" s="2">
        <f>IFERROR(DATEVALUE(Raw_Data!F453), Raw_Data!F453)</f>
        <v>45278</v>
      </c>
      <c r="G453" s="2">
        <f>IFERROR(
    IF(
        IFERROR(DATEVALUE(Raw_Data!G453), Raw_Data!G453) &lt;
        IFERROR(DATEVALUE(Raw_Data!F453), Raw_Data!F453),
        IFERROR(DATEVALUE(Raw_Data!F453), Raw_Data!F453) + 30,
        IFERROR(DATEVALUE(Raw_Data!G453), Raw_Data!G453)
    ),
    ""
)</f>
        <v>45308</v>
      </c>
      <c r="H453">
        <f>IFERROR(VALUE(Raw_Data!H453), "")</f>
        <v>1000</v>
      </c>
      <c r="I453">
        <f ca="1">IFERROR(VALUE(Raw_Data!I453), "")</f>
        <v>9000</v>
      </c>
      <c r="J453">
        <f>IFERROR(
    VALUE(SUBSTITUTE(Raw_Data!J453," visits","")),
    ""
)</f>
        <v>12</v>
      </c>
      <c r="K453" t="str">
        <f ca="1">IF(TRIM(Raw_Data!K453)="","No",PROPER(TRIM(Raw_Data!K453)))</f>
        <v>No</v>
      </c>
      <c r="L453" t="str">
        <f ca="1">PROPER(TRIM(Raw_Data!L453))</f>
        <v>General Fitness</v>
      </c>
      <c r="M453" t="s">
        <v>151</v>
      </c>
      <c r="N453" s="2">
        <f>IFERROR(DATEVALUE(Raw_Data!N453), Raw_Data!N453)</f>
        <v>45430</v>
      </c>
      <c r="O453" s="2"/>
      <c r="P453" t="str">
        <f>IF(COUNTIF($A$2:A453,A453)&gt;1,"Duplicate","Unique")</f>
        <v>Unique</v>
      </c>
      <c r="Q453" t="str">
        <f t="shared" si="14"/>
        <v>OK</v>
      </c>
      <c r="R453" t="str">
        <f t="shared" si="15"/>
        <v>Available</v>
      </c>
    </row>
    <row r="454" spans="1:18">
      <c r="A454" t="str">
        <f>TRIM(CLEAN(Raw_Data!A454))</f>
        <v>MEM0453</v>
      </c>
      <c r="B454" t="str">
        <f ca="1">TRIM(Raw_Data!B454)</f>
        <v>Riya Gupta</v>
      </c>
      <c r="C454" t="str">
        <f ca="1">_xlfn.XLOOKUP(D454, Branch_Master!A:A, Branch_Master!B:B)</f>
        <v>Kochi</v>
      </c>
      <c r="D454" t="str">
        <f ca="1">TRIM(Raw_Data!D454)</f>
        <v>BR01</v>
      </c>
      <c r="E454" t="str">
        <f ca="1">PROPER(TRIM(Raw_Data!E454))</f>
        <v>Premium</v>
      </c>
      <c r="F454" s="2">
        <f>IFERROR(DATEVALUE(Raw_Data!F454), Raw_Data!F454)</f>
        <v>45702</v>
      </c>
      <c r="G454" s="2">
        <f>IFERROR(
    IF(
        IFERROR(DATEVALUE(Raw_Data!G454), Raw_Data!G454) &lt;
        IFERROR(DATEVALUE(Raw_Data!F454), Raw_Data!F454),
        IFERROR(DATEVALUE(Raw_Data!F454), Raw_Data!F454) + 30,
        IFERROR(DATEVALUE(Raw_Data!G454), Raw_Data!G454)
    ),
    ""
)</f>
        <v>45732</v>
      </c>
      <c r="H454">
        <f>IFERROR(VALUE(Raw_Data!H454), "")</f>
        <v>3500</v>
      </c>
      <c r="I454">
        <f ca="1">IFERROR(VALUE(Raw_Data!I454), "")</f>
        <v>7000</v>
      </c>
      <c r="J454">
        <f>IFERROR(
    VALUE(SUBSTITUTE(Raw_Data!J454," visits","")),
    ""
)</f>
        <v>21</v>
      </c>
      <c r="K454" t="str">
        <f ca="1">IF(TRIM(Raw_Data!K454)="","No",PROPER(TRIM(Raw_Data!K454)))</f>
        <v>No</v>
      </c>
      <c r="L454" t="str">
        <f ca="1">PROPER(TRIM(Raw_Data!L454))</f>
        <v>Weight Loss</v>
      </c>
      <c r="M454" t="s">
        <v>151</v>
      </c>
      <c r="N454" s="2">
        <f>IFERROR(DATEVALUE(Raw_Data!N454), Raw_Data!N454)</f>
        <v>45825</v>
      </c>
      <c r="O454" s="2"/>
      <c r="P454" t="str">
        <f>IF(COUNTIF($A$2:A454,A454)&gt;1,"Duplicate","Unique")</f>
        <v>Unique</v>
      </c>
      <c r="Q454" t="str">
        <f t="shared" si="14"/>
        <v>OK</v>
      </c>
      <c r="R454" t="str">
        <f t="shared" si="15"/>
        <v>Available</v>
      </c>
    </row>
    <row r="455" spans="1:18">
      <c r="A455" t="str">
        <f>TRIM(CLEAN(Raw_Data!A455))</f>
        <v>MEM0454</v>
      </c>
      <c r="B455" t="str">
        <f ca="1">TRIM(Raw_Data!B455)</f>
        <v>Vivek Malhotra</v>
      </c>
      <c r="C455" t="str">
        <f ca="1">_xlfn.XLOOKUP(D455, Branch_Master!A:A, Branch_Master!B:B)</f>
        <v>Trivandrum</v>
      </c>
      <c r="D455" t="str">
        <f ca="1">TRIM(Raw_Data!D455)</f>
        <v>BR06</v>
      </c>
      <c r="E455" t="str">
        <f ca="1">PROPER(TRIM(Raw_Data!E455))</f>
        <v>Standard</v>
      </c>
      <c r="F455" s="2">
        <f>IFERROR(DATEVALUE(Raw_Data!F455), Raw_Data!F455)</f>
        <v>45575</v>
      </c>
      <c r="G455" s="2">
        <f>IFERROR(
    IF(
        IFERROR(DATEVALUE(Raw_Data!G455), Raw_Data!G455) &lt;
        IFERROR(DATEVALUE(Raw_Data!F455), Raw_Data!F455),
        IFERROR(DATEVALUE(Raw_Data!F455), Raw_Data!F455) + 30,
        IFERROR(DATEVALUE(Raw_Data!G455), Raw_Data!G455)
    ),
    ""
)</f>
        <v>45605</v>
      </c>
      <c r="H455">
        <f>IFERROR(VALUE(Raw_Data!H455), "")</f>
        <v>1000</v>
      </c>
      <c r="I455">
        <f ca="1">IFERROR(VALUE(Raw_Data!I455), "")</f>
        <v>10000</v>
      </c>
      <c r="J455">
        <f>IFERROR(
    VALUE(SUBSTITUTE(Raw_Data!J455," visits","")),
    ""
)</f>
        <v>18</v>
      </c>
      <c r="K455" t="str">
        <f ca="1">IF(TRIM(Raw_Data!K455)="","No",PROPER(TRIM(Raw_Data!K455)))</f>
        <v>No</v>
      </c>
      <c r="L455" t="str">
        <f ca="1">PROPER(TRIM(Raw_Data!L455))</f>
        <v>General Fitness</v>
      </c>
      <c r="M455" t="s">
        <v>152</v>
      </c>
      <c r="N455" s="2">
        <f>IFERROR(DATEVALUE(Raw_Data!N455), Raw_Data!N455)</f>
        <v>45721</v>
      </c>
      <c r="O455" s="2"/>
      <c r="P455" t="str">
        <f>IF(COUNTIF($A$2:A455,A455)&gt;1,"Duplicate","Unique")</f>
        <v>Unique</v>
      </c>
      <c r="Q455" t="str">
        <f t="shared" si="14"/>
        <v>Cancelled but Active</v>
      </c>
      <c r="R455" t="str">
        <f t="shared" si="15"/>
        <v>Available</v>
      </c>
    </row>
    <row r="456" spans="1:18">
      <c r="A456" t="str">
        <f>TRIM(CLEAN(Raw_Data!A456))</f>
        <v>MEM0455</v>
      </c>
      <c r="B456" t="str">
        <f ca="1">TRIM(Raw_Data!B456)</f>
        <v>Anu Banerjee</v>
      </c>
      <c r="C456" t="str">
        <f ca="1">_xlfn.XLOOKUP(D456, Branch_Master!A:A, Branch_Master!B:B)</f>
        <v>Kochi</v>
      </c>
      <c r="D456" t="str">
        <f ca="1">TRIM(Raw_Data!D456)</f>
        <v>BR01</v>
      </c>
      <c r="E456" t="str">
        <f ca="1">PROPER(TRIM(Raw_Data!E456))</f>
        <v>Basic</v>
      </c>
      <c r="F456" s="2">
        <f>IFERROR(DATEVALUE(Raw_Data!F456), Raw_Data!F456)</f>
        <v>45233</v>
      </c>
      <c r="G456" s="2">
        <f>IFERROR(
    IF(
        IFERROR(DATEVALUE(Raw_Data!G456), Raw_Data!G456) &lt;
        IFERROR(DATEVALUE(Raw_Data!F456), Raw_Data!F456),
        IFERROR(DATEVALUE(Raw_Data!F456), Raw_Data!F456) + 30,
        IFERROR(DATEVALUE(Raw_Data!G456), Raw_Data!G456)
    ),
    ""
)</f>
        <v>45263</v>
      </c>
      <c r="H456">
        <f>IFERROR(VALUE(Raw_Data!H456), "")</f>
        <v>2000</v>
      </c>
      <c r="I456">
        <f ca="1">IFERROR(VALUE(Raw_Data!I456), "")</f>
        <v>20000</v>
      </c>
      <c r="J456">
        <f>IFERROR(
    VALUE(SUBSTITUTE(Raw_Data!J456," visits","")),
    ""
)</f>
        <v>3</v>
      </c>
      <c r="K456" t="str">
        <f ca="1">IF(TRIM(Raw_Data!K456)="","No",PROPER(TRIM(Raw_Data!K456)))</f>
        <v>Yes</v>
      </c>
      <c r="L456" t="str">
        <f ca="1">PROPER(TRIM(Raw_Data!L456))</f>
        <v>Weight Loss</v>
      </c>
      <c r="M456" t="s">
        <v>151</v>
      </c>
      <c r="N456" s="2">
        <f>IFERROR(DATEVALUE(Raw_Data!N456), Raw_Data!N456)</f>
        <v>45270</v>
      </c>
      <c r="O456" s="2"/>
      <c r="P456" t="str">
        <f>IF(COUNTIF($A$2:A456,A456)&gt;1,"Duplicate","Unique")</f>
        <v>Unique</v>
      </c>
      <c r="Q456" t="str">
        <f t="shared" si="14"/>
        <v>OK</v>
      </c>
      <c r="R456" t="str">
        <f t="shared" si="15"/>
        <v>Available</v>
      </c>
    </row>
    <row r="457" spans="1:18">
      <c r="A457" t="str">
        <f>TRIM(CLEAN(Raw_Data!A457))</f>
        <v>MEM0456</v>
      </c>
      <c r="B457" t="str">
        <f ca="1">TRIM(Raw_Data!B457)</f>
        <v>Ishita Nair</v>
      </c>
      <c r="C457" t="str">
        <f ca="1">_xlfn.XLOOKUP(D457, Branch_Master!A:A, Branch_Master!B:B)</f>
        <v>Chennai</v>
      </c>
      <c r="D457" t="str">
        <f ca="1">TRIM(Raw_Data!D457)</f>
        <v>BR03</v>
      </c>
      <c r="E457" t="str">
        <f ca="1">PROPER(TRIM(Raw_Data!E457))</f>
        <v>Standard</v>
      </c>
      <c r="F457" s="2">
        <f>IFERROR(DATEVALUE(Raw_Data!F457), Raw_Data!F457)</f>
        <v>45045</v>
      </c>
      <c r="G457" s="2">
        <f>IFERROR(
    IF(
        IFERROR(DATEVALUE(Raw_Data!G457), Raw_Data!G457) &lt;
        IFERROR(DATEVALUE(Raw_Data!F457), Raw_Data!F457),
        IFERROR(DATEVALUE(Raw_Data!F457), Raw_Data!F457) + 30,
        IFERROR(DATEVALUE(Raw_Data!G457), Raw_Data!G457)
    ),
    ""
)</f>
        <v>45135</v>
      </c>
      <c r="H457">
        <f>IFERROR(VALUE(Raw_Data!H457), "")</f>
        <v>1000</v>
      </c>
      <c r="I457">
        <f ca="1">IFERROR(VALUE(Raw_Data!I457), "")</f>
        <v>6000</v>
      </c>
      <c r="J457">
        <f>IFERROR(
    VALUE(SUBSTITUTE(Raw_Data!J457," visits","")),
    ""
)</f>
        <v>19</v>
      </c>
      <c r="K457" t="str">
        <f ca="1">IF(TRIM(Raw_Data!K457)="","No",PROPER(TRIM(Raw_Data!K457)))</f>
        <v>No</v>
      </c>
      <c r="L457" t="str">
        <f ca="1">PROPER(TRIM(Raw_Data!L457))</f>
        <v>Weight Loss</v>
      </c>
      <c r="M457" t="s">
        <v>151</v>
      </c>
      <c r="N457" s="2">
        <f>IFERROR(DATEVALUE(Raw_Data!N457), Raw_Data!N457)</f>
        <v>45549</v>
      </c>
      <c r="O457" s="2"/>
      <c r="P457" t="str">
        <f>IF(COUNTIF($A$2:A457,A457)&gt;1,"Duplicate","Unique")</f>
        <v>Unique</v>
      </c>
      <c r="Q457" t="str">
        <f t="shared" si="14"/>
        <v>OK</v>
      </c>
      <c r="R457" t="str">
        <f t="shared" si="15"/>
        <v>Available</v>
      </c>
    </row>
    <row r="458" spans="1:18">
      <c r="A458" t="str">
        <f>TRIM(CLEAN(Raw_Data!A458))</f>
        <v>MEM0457</v>
      </c>
      <c r="B458" t="str">
        <f ca="1">TRIM(Raw_Data!B458)</f>
        <v>Siddharth Agarwal</v>
      </c>
      <c r="C458" t="str">
        <f ca="1">_xlfn.XLOOKUP(D458, Branch_Master!A:A, Branch_Master!B:B)</f>
        <v>Chennai</v>
      </c>
      <c r="D458" t="str">
        <f ca="1">TRIM(Raw_Data!D458)</f>
        <v>BR03</v>
      </c>
      <c r="E458" t="str">
        <f ca="1">PROPER(TRIM(Raw_Data!E458))</f>
        <v>Premium</v>
      </c>
      <c r="F458" s="2">
        <f>IFERROR(DATEVALUE(Raw_Data!F458), Raw_Data!F458)</f>
        <v>45740</v>
      </c>
      <c r="G458" s="2">
        <f>IFERROR(
    IF(
        IFERROR(DATEVALUE(Raw_Data!G458), Raw_Data!G458) &lt;
        IFERROR(DATEVALUE(Raw_Data!F458), Raw_Data!F458),
        IFERROR(DATEVALUE(Raw_Data!F458), Raw_Data!F458) + 30,
        IFERROR(DATEVALUE(Raw_Data!G458), Raw_Data!G458)
    ),
    ""
)</f>
        <v>45830</v>
      </c>
      <c r="H458">
        <f>IFERROR(VALUE(Raw_Data!H458), "")</f>
        <v>2000</v>
      </c>
      <c r="I458">
        <f ca="1">IFERROR(VALUE(Raw_Data!I458), "")</f>
        <v>16000</v>
      </c>
      <c r="J458">
        <f>IFERROR(
    VALUE(SUBSTITUTE(Raw_Data!J458," visits","")),
    ""
)</f>
        <v>16</v>
      </c>
      <c r="K458" t="str">
        <f ca="1">IF(TRIM(Raw_Data!K458)="","No",PROPER(TRIM(Raw_Data!K458)))</f>
        <v>Yes</v>
      </c>
      <c r="L458" t="str">
        <f ca="1">PROPER(TRIM(Raw_Data!L458))</f>
        <v>Muscle Gain</v>
      </c>
      <c r="M458" t="s">
        <v>152</v>
      </c>
      <c r="N458" s="2">
        <f>IFERROR(DATEVALUE(Raw_Data!N458), Raw_Data!N458)</f>
        <v>45774</v>
      </c>
      <c r="O458" s="2"/>
      <c r="P458" t="str">
        <f>IF(COUNTIF($A$2:A458,A458)&gt;1,"Duplicate","Unique")</f>
        <v>Unique</v>
      </c>
      <c r="Q458" t="str">
        <f t="shared" si="14"/>
        <v>Cancelled but Active</v>
      </c>
      <c r="R458" t="str">
        <f t="shared" si="15"/>
        <v>Available</v>
      </c>
    </row>
    <row r="459" spans="1:18">
      <c r="A459" t="str">
        <f>TRIM(CLEAN(Raw_Data!A459))</f>
        <v>MEM0458</v>
      </c>
      <c r="B459" t="str">
        <f ca="1">TRIM(Raw_Data!B459)</f>
        <v>Rahul Chatterjee</v>
      </c>
      <c r="C459" t="str">
        <f ca="1">_xlfn.XLOOKUP(D459, Branch_Master!A:A, Branch_Master!B:B)</f>
        <v>Calicut</v>
      </c>
      <c r="D459" t="str">
        <f ca="1">TRIM(Raw_Data!D459)</f>
        <v>BR07</v>
      </c>
      <c r="E459" t="str">
        <f ca="1">PROPER(TRIM(Raw_Data!E459))</f>
        <v>Standard</v>
      </c>
      <c r="F459" s="2">
        <f>IFERROR(DATEVALUE(Raw_Data!F459), Raw_Data!F459)</f>
        <v>45560</v>
      </c>
      <c r="G459" s="2">
        <f>IFERROR(
    IF(
        IFERROR(DATEVALUE(Raw_Data!G459), Raw_Data!G459) &lt;
        IFERROR(DATEVALUE(Raw_Data!F459), Raw_Data!F459),
        IFERROR(DATEVALUE(Raw_Data!F459), Raw_Data!F459) + 30,
        IFERROR(DATEVALUE(Raw_Data!G459), Raw_Data!G459)
    ),
    ""
)</f>
        <v>45650</v>
      </c>
      <c r="H459">
        <f>IFERROR(VALUE(Raw_Data!H459), "")</f>
        <v>3500</v>
      </c>
      <c r="I459">
        <f ca="1">IFERROR(VALUE(Raw_Data!I459), "")</f>
        <v>17500</v>
      </c>
      <c r="J459">
        <f>IFERROR(
    VALUE(SUBSTITUTE(Raw_Data!J459," visits","")),
    ""
)</f>
        <v>18</v>
      </c>
      <c r="K459" t="str">
        <f ca="1">IF(TRIM(Raw_Data!K459)="","No",PROPER(TRIM(Raw_Data!K459)))</f>
        <v>Yes</v>
      </c>
      <c r="L459" t="str">
        <f ca="1">PROPER(TRIM(Raw_Data!L459))</f>
        <v>Weight Loss</v>
      </c>
      <c r="M459" t="s">
        <v>151</v>
      </c>
      <c r="N459" s="2">
        <f>IFERROR(DATEVALUE(Raw_Data!N459), Raw_Data!N459)</f>
        <v>45677</v>
      </c>
      <c r="O459" s="2"/>
      <c r="P459" t="str">
        <f>IF(COUNTIF($A$2:A459,A459)&gt;1,"Duplicate","Unique")</f>
        <v>Unique</v>
      </c>
      <c r="Q459" t="str">
        <f t="shared" si="14"/>
        <v>OK</v>
      </c>
      <c r="R459" t="str">
        <f t="shared" si="15"/>
        <v>Available</v>
      </c>
    </row>
    <row r="460" spans="1:18">
      <c r="A460" t="str">
        <f>TRIM(CLEAN(Raw_Data!A460))</f>
        <v>MEM0459</v>
      </c>
      <c r="B460" t="str">
        <f ca="1">TRIM(Raw_Data!B460)</f>
        <v>Sneha Das</v>
      </c>
      <c r="C460" t="str">
        <f ca="1">_xlfn.XLOOKUP(D460, Branch_Master!A:A, Branch_Master!B:B)</f>
        <v>Trivandrum</v>
      </c>
      <c r="D460" t="str">
        <f ca="1">TRIM(Raw_Data!D460)</f>
        <v>BR06</v>
      </c>
      <c r="E460" t="str">
        <f ca="1">PROPER(TRIM(Raw_Data!E460))</f>
        <v>Standard</v>
      </c>
      <c r="F460" s="2">
        <f>IFERROR(DATEVALUE(Raw_Data!F460), Raw_Data!F460)</f>
        <v>45854</v>
      </c>
      <c r="G460" s="2">
        <f>IFERROR(
    IF(
        IFERROR(DATEVALUE(Raw_Data!G460), Raw_Data!G460) &lt;
        IFERROR(DATEVALUE(Raw_Data!F460), Raw_Data!F460),
        IFERROR(DATEVALUE(Raw_Data!F460), Raw_Data!F460) + 30,
        IFERROR(DATEVALUE(Raw_Data!G460), Raw_Data!G460)
    ),
    ""
)</f>
        <v>45944</v>
      </c>
      <c r="H460">
        <f>IFERROR(VALUE(Raw_Data!H460), "")</f>
        <v>3500</v>
      </c>
      <c r="I460">
        <f ca="1">IFERROR(VALUE(Raw_Data!I460), "")</f>
        <v>14000</v>
      </c>
      <c r="J460">
        <f>IFERROR(
    VALUE(SUBSTITUTE(Raw_Data!J460," visits","")),
    ""
)</f>
        <v>8</v>
      </c>
      <c r="K460" t="str">
        <f ca="1">IF(TRIM(Raw_Data!K460)="","No",PROPER(TRIM(Raw_Data!K460)))</f>
        <v>No</v>
      </c>
      <c r="L460" t="str">
        <f ca="1">PROPER(TRIM(Raw_Data!L460))</f>
        <v>Weight Loss</v>
      </c>
      <c r="M460" t="s">
        <v>151</v>
      </c>
      <c r="N460" s="2">
        <f>IFERROR(DATEVALUE(Raw_Data!N460), Raw_Data!N460)</f>
        <v>46075</v>
      </c>
      <c r="O460" s="2"/>
      <c r="P460" t="str">
        <f>IF(COUNTIF($A$2:A460,A460)&gt;1,"Duplicate","Unique")</f>
        <v>Unique</v>
      </c>
      <c r="Q460" t="str">
        <f t="shared" si="14"/>
        <v>OK</v>
      </c>
      <c r="R460" t="str">
        <f t="shared" si="15"/>
        <v>Available</v>
      </c>
    </row>
    <row r="461" spans="1:18">
      <c r="A461" t="str">
        <f>TRIM(CLEAN(Raw_Data!A461))</f>
        <v>MEM0460</v>
      </c>
      <c r="B461" t="str">
        <f ca="1">TRIM(Raw_Data!B461)</f>
        <v>Kavya Menon</v>
      </c>
      <c r="C461" t="str">
        <f ca="1">_xlfn.XLOOKUP(D461, Branch_Master!A:A, Branch_Master!B:B)</f>
        <v>Kochi</v>
      </c>
      <c r="D461" t="str">
        <f ca="1">TRIM(Raw_Data!D461)</f>
        <v>BR01</v>
      </c>
      <c r="E461" t="str">
        <f ca="1">PROPER(TRIM(Raw_Data!E461))</f>
        <v>Basic</v>
      </c>
      <c r="F461" s="2">
        <f>IFERROR(DATEVALUE(Raw_Data!F461), Raw_Data!F461)</f>
        <v>45834</v>
      </c>
      <c r="G461" s="2">
        <f>IFERROR(
    IF(
        IFERROR(DATEVALUE(Raw_Data!G461), Raw_Data!G461) &lt;
        IFERROR(DATEVALUE(Raw_Data!F461), Raw_Data!F461),
        IFERROR(DATEVALUE(Raw_Data!F461), Raw_Data!F461) + 30,
        IFERROR(DATEVALUE(Raw_Data!G461), Raw_Data!G461)
    ),
    ""
)</f>
        <v>46199</v>
      </c>
      <c r="H461">
        <f>IFERROR(VALUE(Raw_Data!H461), "")</f>
        <v>2000</v>
      </c>
      <c r="I461">
        <f ca="1">IFERROR(VALUE(Raw_Data!I461), "")</f>
        <v>22000</v>
      </c>
      <c r="J461">
        <f>IFERROR(
    VALUE(SUBSTITUTE(Raw_Data!J461," visits","")),
    ""
)</f>
        <v>23</v>
      </c>
      <c r="K461" t="str">
        <f ca="1">IF(TRIM(Raw_Data!K461)="","No",PROPER(TRIM(Raw_Data!K461)))</f>
        <v>No</v>
      </c>
      <c r="L461" t="str">
        <f ca="1">PROPER(TRIM(Raw_Data!L461))</f>
        <v>Weight Loss</v>
      </c>
      <c r="M461" t="s">
        <v>151</v>
      </c>
      <c r="N461" s="2">
        <f>IFERROR(DATEVALUE(Raw_Data!N461), Raw_Data!N461)</f>
        <v>45994</v>
      </c>
      <c r="O461" s="2"/>
      <c r="P461" t="str">
        <f>IF(COUNTIF($A$2:A461,A461)&gt;1,"Duplicate","Unique")</f>
        <v>Unique</v>
      </c>
      <c r="Q461" t="str">
        <f t="shared" si="14"/>
        <v>OK</v>
      </c>
      <c r="R461" t="str">
        <f t="shared" si="15"/>
        <v>Available</v>
      </c>
    </row>
    <row r="462" spans="1:18">
      <c r="A462" t="str">
        <f>TRIM(CLEAN(Raw_Data!A462))</f>
        <v>MEM0461</v>
      </c>
      <c r="B462" t="str">
        <f ca="1">TRIM(Raw_Data!B462)</f>
        <v>Varun Das</v>
      </c>
      <c r="C462" t="str">
        <f ca="1">_xlfn.XLOOKUP(D462, Branch_Master!A:A, Branch_Master!B:B)</f>
        <v>Trivandrum</v>
      </c>
      <c r="D462" t="str">
        <f ca="1">TRIM(Raw_Data!D462)</f>
        <v>BR06</v>
      </c>
      <c r="E462" t="str">
        <f ca="1">PROPER(TRIM(Raw_Data!E462))</f>
        <v>Premium</v>
      </c>
      <c r="F462" s="2">
        <f>IFERROR(DATEVALUE(Raw_Data!F462), Raw_Data!F462)</f>
        <v>45985</v>
      </c>
      <c r="G462" s="2">
        <f>IFERROR(
    IF(
        IFERROR(DATEVALUE(Raw_Data!G462), Raw_Data!G462) &lt;
        IFERROR(DATEVALUE(Raw_Data!F462), Raw_Data!F462),
        IFERROR(DATEVALUE(Raw_Data!F462), Raw_Data!F462) + 30,
        IFERROR(DATEVALUE(Raw_Data!G462), Raw_Data!G462)
    ),
    ""
)</f>
        <v>46075</v>
      </c>
      <c r="H462">
        <f>IFERROR(VALUE(Raw_Data!H462), "")</f>
        <v>1000</v>
      </c>
      <c r="I462">
        <f ca="1">IFERROR(VALUE(Raw_Data!I462), "")</f>
        <v>2000</v>
      </c>
      <c r="J462">
        <f>IFERROR(
    VALUE(SUBSTITUTE(Raw_Data!J462," visits","")),
    ""
)</f>
        <v>3</v>
      </c>
      <c r="K462" t="str">
        <f ca="1">IF(TRIM(Raw_Data!K462)="","No",PROPER(TRIM(Raw_Data!K462)))</f>
        <v>No</v>
      </c>
      <c r="L462" t="str">
        <f ca="1">PROPER(TRIM(Raw_Data!L462))</f>
        <v>Muscle Gain</v>
      </c>
      <c r="M462" t="s">
        <v>151</v>
      </c>
      <c r="N462" s="2">
        <f>IFERROR(DATEVALUE(Raw_Data!N462), Raw_Data!N462)</f>
        <v>46088</v>
      </c>
      <c r="O462" s="2"/>
      <c r="P462" t="str">
        <f>IF(COUNTIF($A$2:A462,A462)&gt;1,"Duplicate","Unique")</f>
        <v>Unique</v>
      </c>
      <c r="Q462" t="str">
        <f t="shared" si="14"/>
        <v>OK</v>
      </c>
      <c r="R462" t="str">
        <f t="shared" si="15"/>
        <v>Available</v>
      </c>
    </row>
    <row r="463" spans="1:18">
      <c r="A463" t="str">
        <f>TRIM(CLEAN(Raw_Data!A463))</f>
        <v>MEM0462</v>
      </c>
      <c r="B463" t="str">
        <f ca="1">TRIM(Raw_Data!B463)</f>
        <v>Rahul Varghese</v>
      </c>
      <c r="C463" t="str">
        <f ca="1">_xlfn.XLOOKUP(D463, Branch_Master!A:A, Branch_Master!B:B)</f>
        <v>Kochi</v>
      </c>
      <c r="D463" t="str">
        <f ca="1">TRIM(Raw_Data!D463)</f>
        <v>BR01</v>
      </c>
      <c r="E463" t="str">
        <f ca="1">PROPER(TRIM(Raw_Data!E463))</f>
        <v>Basic</v>
      </c>
      <c r="F463" s="2">
        <f>IFERROR(DATEVALUE(Raw_Data!F463), Raw_Data!F463)</f>
        <v>46029</v>
      </c>
      <c r="G463" s="2">
        <f>IFERROR(
    IF(
        IFERROR(DATEVALUE(Raw_Data!G463), Raw_Data!G463) &lt;
        IFERROR(DATEVALUE(Raw_Data!F463), Raw_Data!F463),
        IFERROR(DATEVALUE(Raw_Data!F463), Raw_Data!F463) + 30,
        IFERROR(DATEVALUE(Raw_Data!G463), Raw_Data!G463)
    ),
    ""
)</f>
        <v>46394</v>
      </c>
      <c r="H463">
        <f>IFERROR(VALUE(Raw_Data!H463), "")</f>
        <v>2000</v>
      </c>
      <c r="I463">
        <f ca="1">IFERROR(VALUE(Raw_Data!I463), "")</f>
        <v>14000</v>
      </c>
      <c r="J463">
        <f>IFERROR(
    VALUE(SUBSTITUTE(Raw_Data!J463," visits","")),
    ""
)</f>
        <v>11</v>
      </c>
      <c r="K463" t="str">
        <f ca="1">IF(TRIM(Raw_Data!K463)="","No",PROPER(TRIM(Raw_Data!K463)))</f>
        <v>Yes</v>
      </c>
      <c r="L463" t="str">
        <f ca="1">PROPER(TRIM(Raw_Data!L463))</f>
        <v>Muscle Gain</v>
      </c>
      <c r="M463" t="s">
        <v>151</v>
      </c>
      <c r="N463" s="2">
        <f>IFERROR(DATEVALUE(Raw_Data!N463), Raw_Data!N463)</f>
        <v>46042</v>
      </c>
      <c r="O463" s="2"/>
      <c r="P463" t="str">
        <f>IF(COUNTIF($A$2:A463,A463)&gt;1,"Duplicate","Unique")</f>
        <v>Unique</v>
      </c>
      <c r="Q463" t="str">
        <f t="shared" si="14"/>
        <v>OK</v>
      </c>
      <c r="R463" t="str">
        <f t="shared" si="15"/>
        <v>Available</v>
      </c>
    </row>
    <row r="464" spans="1:18">
      <c r="A464" t="str">
        <f>TRIM(CLEAN(Raw_Data!A464))</f>
        <v>MEM0463</v>
      </c>
      <c r="B464" t="str">
        <f ca="1">TRIM(Raw_Data!B464)</f>
        <v>Manoj D’Souza</v>
      </c>
      <c r="C464" t="str">
        <f ca="1">_xlfn.XLOOKUP(D464, Branch_Master!A:A, Branch_Master!B:B)</f>
        <v>Bangalore</v>
      </c>
      <c r="D464" t="str">
        <f ca="1">TRIM(Raw_Data!D464)</f>
        <v>BR02</v>
      </c>
      <c r="E464" t="str">
        <f ca="1">PROPER(TRIM(Raw_Data!E464))</f>
        <v>Basic</v>
      </c>
      <c r="F464" s="2">
        <f>IFERROR(DATEVALUE(Raw_Data!F464), Raw_Data!F464)</f>
        <v>45079</v>
      </c>
      <c r="G464" s="2">
        <f>IFERROR(
    IF(
        IFERROR(DATEVALUE(Raw_Data!G464), Raw_Data!G464) &lt;
        IFERROR(DATEVALUE(Raw_Data!F464), Raw_Data!F464),
        IFERROR(DATEVALUE(Raw_Data!F464), Raw_Data!F464) + 30,
        IFERROR(DATEVALUE(Raw_Data!G464), Raw_Data!G464)
    ),
    ""
)</f>
        <v>45444</v>
      </c>
      <c r="H464">
        <f>IFERROR(VALUE(Raw_Data!H464), "")</f>
        <v>2000</v>
      </c>
      <c r="I464">
        <f ca="1">IFERROR(VALUE(Raw_Data!I464), "")</f>
        <v>8000</v>
      </c>
      <c r="J464">
        <f>IFERROR(
    VALUE(SUBSTITUTE(Raw_Data!J464," visits","")),
    ""
)</f>
        <v>20</v>
      </c>
      <c r="K464" t="str">
        <f ca="1">IF(TRIM(Raw_Data!K464)="","No",PROPER(TRIM(Raw_Data!K464)))</f>
        <v>Yes</v>
      </c>
      <c r="L464" t="str">
        <f ca="1">PROPER(TRIM(Raw_Data!L464))</f>
        <v>Muscle Gain</v>
      </c>
      <c r="M464" t="s">
        <v>151</v>
      </c>
      <c r="N464" s="2">
        <f>IFERROR(DATEVALUE(Raw_Data!N464), Raw_Data!N464)</f>
        <v>45268</v>
      </c>
      <c r="O464" s="2"/>
      <c r="P464" t="str">
        <f>IF(COUNTIF($A$2:A464,A464)&gt;1,"Duplicate","Unique")</f>
        <v>Unique</v>
      </c>
      <c r="Q464" t="str">
        <f t="shared" si="14"/>
        <v>OK</v>
      </c>
      <c r="R464" t="str">
        <f t="shared" si="15"/>
        <v>Available</v>
      </c>
    </row>
    <row r="465" spans="1:18">
      <c r="A465" t="str">
        <f>TRIM(CLEAN(Raw_Data!A465))</f>
        <v>MEM0464</v>
      </c>
      <c r="B465" t="str">
        <f ca="1">TRIM(Raw_Data!B465)</f>
        <v>Vivek Pillai</v>
      </c>
      <c r="C465" t="str">
        <f ca="1">_xlfn.XLOOKUP(D465, Branch_Master!A:A, Branch_Master!B:B)</f>
        <v>Hyderabad</v>
      </c>
      <c r="D465" t="str">
        <f ca="1">TRIM(Raw_Data!D465)</f>
        <v>BR04</v>
      </c>
      <c r="E465" t="str">
        <f ca="1">PROPER(TRIM(Raw_Data!E465))</f>
        <v>Standard</v>
      </c>
      <c r="F465" s="2">
        <f>IFERROR(DATEVALUE(Raw_Data!F465), Raw_Data!F465)</f>
        <v>45933</v>
      </c>
      <c r="G465" s="2">
        <f>IFERROR(
    IF(
        IFERROR(DATEVALUE(Raw_Data!G465), Raw_Data!G465) &lt;
        IFERROR(DATEVALUE(Raw_Data!F465), Raw_Data!F465),
        IFERROR(DATEVALUE(Raw_Data!F465), Raw_Data!F465) + 30,
        IFERROR(DATEVALUE(Raw_Data!G465), Raw_Data!G465)
    ),
    ""
)</f>
        <v>45963</v>
      </c>
      <c r="H465">
        <f>IFERROR(VALUE(Raw_Data!H465), "")</f>
        <v>1000</v>
      </c>
      <c r="I465">
        <f ca="1">IFERROR(VALUE(Raw_Data!I465), "")</f>
        <v>11000</v>
      </c>
      <c r="J465">
        <f>IFERROR(
    VALUE(SUBSTITUTE(Raw_Data!J465," visits","")),
    ""
)</f>
        <v>16</v>
      </c>
      <c r="K465" t="str">
        <f ca="1">IF(TRIM(Raw_Data!K465)="","No",PROPER(TRIM(Raw_Data!K465)))</f>
        <v>Yes</v>
      </c>
      <c r="L465" t="str">
        <f ca="1">PROPER(TRIM(Raw_Data!L465))</f>
        <v>Weight Loss</v>
      </c>
      <c r="M465" t="s">
        <v>151</v>
      </c>
      <c r="N465" s="2">
        <f>IFERROR(DATEVALUE(Raw_Data!N465), Raw_Data!N465)</f>
        <v>46044</v>
      </c>
      <c r="O465" s="2"/>
      <c r="P465" t="str">
        <f>IF(COUNTIF($A$2:A465,A465)&gt;1,"Duplicate","Unique")</f>
        <v>Unique</v>
      </c>
      <c r="Q465" t="str">
        <f t="shared" si="14"/>
        <v>OK</v>
      </c>
      <c r="R465" t="str">
        <f t="shared" si="15"/>
        <v>Available</v>
      </c>
    </row>
    <row r="466" spans="1:18">
      <c r="A466" t="str">
        <f>TRIM(CLEAN(Raw_Data!A466))</f>
        <v>MEM0465</v>
      </c>
      <c r="B466" t="str">
        <f ca="1">TRIM(Raw_Data!B466)</f>
        <v>Vivek Shetty</v>
      </c>
      <c r="C466" t="str">
        <f ca="1">_xlfn.XLOOKUP(D466, Branch_Master!A:A, Branch_Master!B:B)</f>
        <v>Calicut</v>
      </c>
      <c r="D466" t="str">
        <f ca="1">TRIM(Raw_Data!D466)</f>
        <v>BR07</v>
      </c>
      <c r="E466" t="str">
        <f ca="1">PROPER(TRIM(Raw_Data!E466))</f>
        <v>Premium</v>
      </c>
      <c r="F466" s="2">
        <f>IFERROR(DATEVALUE(Raw_Data!F466), Raw_Data!F466)</f>
        <v>45973</v>
      </c>
      <c r="G466" s="2">
        <f>IFERROR(
    IF(
        IFERROR(DATEVALUE(Raw_Data!G466), Raw_Data!G466) &lt;
        IFERROR(DATEVALUE(Raw_Data!F466), Raw_Data!F466),
        IFERROR(DATEVALUE(Raw_Data!F466), Raw_Data!F466) + 30,
        IFERROR(DATEVALUE(Raw_Data!G466), Raw_Data!G466)
    ),
    ""
)</f>
        <v>46063</v>
      </c>
      <c r="H466">
        <f>IFERROR(VALUE(Raw_Data!H466), "")</f>
        <v>2000</v>
      </c>
      <c r="I466">
        <f ca="1">IFERROR(VALUE(Raw_Data!I466), "")</f>
        <v>8000</v>
      </c>
      <c r="J466">
        <f>IFERROR(
    VALUE(SUBSTITUTE(Raw_Data!J466," visits","")),
    ""
)</f>
        <v>14</v>
      </c>
      <c r="K466" t="str">
        <f ca="1">IF(TRIM(Raw_Data!K466)="","No",PROPER(TRIM(Raw_Data!K466)))</f>
        <v>No</v>
      </c>
      <c r="L466" t="str">
        <f ca="1">PROPER(TRIM(Raw_Data!L466))</f>
        <v>General Fitness</v>
      </c>
      <c r="M466" t="s">
        <v>151</v>
      </c>
      <c r="N466" s="2">
        <f>IFERROR(DATEVALUE(Raw_Data!N466), Raw_Data!N466)</f>
        <v>45994</v>
      </c>
      <c r="O466" s="2"/>
      <c r="P466" t="str">
        <f>IF(COUNTIF($A$2:A466,A466)&gt;1,"Duplicate","Unique")</f>
        <v>Unique</v>
      </c>
      <c r="Q466" t="str">
        <f t="shared" si="14"/>
        <v>OK</v>
      </c>
      <c r="R466" t="str">
        <f t="shared" si="15"/>
        <v>Available</v>
      </c>
    </row>
    <row r="467" spans="1:18">
      <c r="A467" t="str">
        <f>TRIM(CLEAN(Raw_Data!A467))</f>
        <v>MEM0466</v>
      </c>
      <c r="B467" t="str">
        <f ca="1">TRIM(Raw_Data!B467)</f>
        <v>Kavya Agarwal</v>
      </c>
      <c r="C467" t="str">
        <f ca="1">_xlfn.XLOOKUP(D467, Branch_Master!A:A, Branch_Master!B:B)</f>
        <v>Hyderabad</v>
      </c>
      <c r="D467" t="str">
        <f ca="1">TRIM(Raw_Data!D467)</f>
        <v>BR04</v>
      </c>
      <c r="E467" t="str">
        <f ca="1">PROPER(TRIM(Raw_Data!E467))</f>
        <v>Premium</v>
      </c>
      <c r="F467" s="2">
        <f>IFERROR(DATEVALUE(Raw_Data!F467), Raw_Data!F467)</f>
        <v>45530</v>
      </c>
      <c r="G467" s="2">
        <f>IFERROR(
    IF(
        IFERROR(DATEVALUE(Raw_Data!G467), Raw_Data!G467) &lt;
        IFERROR(DATEVALUE(Raw_Data!F467), Raw_Data!F467),
        IFERROR(DATEVALUE(Raw_Data!F467), Raw_Data!F467) + 30,
        IFERROR(DATEVALUE(Raw_Data!G467), Raw_Data!G467)
    ),
    ""
)</f>
        <v>45620</v>
      </c>
      <c r="H467">
        <f>IFERROR(VALUE(Raw_Data!H467), "")</f>
        <v>1000</v>
      </c>
      <c r="I467">
        <f ca="1">IFERROR(VALUE(Raw_Data!I467), "")</f>
        <v>5000</v>
      </c>
      <c r="J467">
        <f>IFERROR(
    VALUE(SUBSTITUTE(Raw_Data!J467," visits","")),
    ""
)</f>
        <v>0</v>
      </c>
      <c r="K467" t="str">
        <f ca="1">IF(TRIM(Raw_Data!K467)="","No",PROPER(TRIM(Raw_Data!K467)))</f>
        <v>Yes</v>
      </c>
      <c r="L467" t="str">
        <f ca="1">PROPER(TRIM(Raw_Data!L467))</f>
        <v>Muscle Gain</v>
      </c>
      <c r="M467" t="s">
        <v>152</v>
      </c>
      <c r="N467" s="2">
        <f>IFERROR(DATEVALUE(Raw_Data!N467), Raw_Data!N467)</f>
        <v>45875</v>
      </c>
      <c r="O467" s="2"/>
      <c r="P467" t="str">
        <f>IF(COUNTIF($A$2:A467,A467)&gt;1,"Duplicate","Unique")</f>
        <v>Unique</v>
      </c>
      <c r="Q467" t="str">
        <f t="shared" si="14"/>
        <v>Cancelled but Active</v>
      </c>
      <c r="R467" t="str">
        <f t="shared" si="15"/>
        <v>Available</v>
      </c>
    </row>
    <row r="468" spans="1:18">
      <c r="A468" t="str">
        <f>TRIM(CLEAN(Raw_Data!A468))</f>
        <v>MEM0467</v>
      </c>
      <c r="B468" t="str">
        <f ca="1">TRIM(Raw_Data!B468)</f>
        <v>Manoj Desai</v>
      </c>
      <c r="C468" t="str">
        <f ca="1">_xlfn.XLOOKUP(D468, Branch_Master!A:A, Branch_Master!B:B)</f>
        <v>Chennai</v>
      </c>
      <c r="D468" t="str">
        <f ca="1">TRIM(Raw_Data!D468)</f>
        <v>BR03</v>
      </c>
      <c r="E468" t="str">
        <f ca="1">PROPER(TRIM(Raw_Data!E468))</f>
        <v>Standard</v>
      </c>
      <c r="F468" s="2">
        <f>IFERROR(DATEVALUE(Raw_Data!F468), Raw_Data!F468)</f>
        <v>45236</v>
      </c>
      <c r="G468" s="2">
        <f>IFERROR(
    IF(
        IFERROR(DATEVALUE(Raw_Data!G468), Raw_Data!G468) &lt;
        IFERROR(DATEVALUE(Raw_Data!F468), Raw_Data!F468),
        IFERROR(DATEVALUE(Raw_Data!F468), Raw_Data!F468) + 30,
        IFERROR(DATEVALUE(Raw_Data!G468), Raw_Data!G468)
    ),
    ""
)</f>
        <v>45266</v>
      </c>
      <c r="H468">
        <f>IFERROR(VALUE(Raw_Data!H468), "")</f>
        <v>2000</v>
      </c>
      <c r="I468">
        <f ca="1">IFERROR(VALUE(Raw_Data!I468), "")</f>
        <v>20000</v>
      </c>
      <c r="J468">
        <f>IFERROR(
    VALUE(SUBSTITUTE(Raw_Data!J468," visits","")),
    ""
)</f>
        <v>4</v>
      </c>
      <c r="K468" t="str">
        <f ca="1">IF(TRIM(Raw_Data!K468)="","No",PROPER(TRIM(Raw_Data!K468)))</f>
        <v>No</v>
      </c>
      <c r="L468" t="str">
        <f ca="1">PROPER(TRIM(Raw_Data!L468))</f>
        <v>Muscle Gain</v>
      </c>
      <c r="M468" t="s">
        <v>152</v>
      </c>
      <c r="N468" s="2">
        <f>IFERROR(DATEVALUE(Raw_Data!N468), Raw_Data!N468)</f>
        <v>45546</v>
      </c>
      <c r="O468" s="2"/>
      <c r="P468" t="str">
        <f>IF(COUNTIF($A$2:A468,A468)&gt;1,"Duplicate","Unique")</f>
        <v>Unique</v>
      </c>
      <c r="Q468" t="str">
        <f t="shared" si="14"/>
        <v>Cancelled but Active</v>
      </c>
      <c r="R468" t="str">
        <f t="shared" si="15"/>
        <v>Available</v>
      </c>
    </row>
    <row r="469" spans="1:18">
      <c r="A469" t="str">
        <f>TRIM(CLEAN(Raw_Data!A469))</f>
        <v>MEM0468</v>
      </c>
      <c r="B469" t="str">
        <f ca="1">TRIM(Raw_Data!B469)</f>
        <v>Deepak Shaikh</v>
      </c>
      <c r="C469" t="str">
        <f ca="1">_xlfn.XLOOKUP(D469, Branch_Master!A:A, Branch_Master!B:B)</f>
        <v>Mumbai</v>
      </c>
      <c r="D469" t="str">
        <f ca="1">TRIM(Raw_Data!D469)</f>
        <v>BR05</v>
      </c>
      <c r="E469" t="str">
        <f ca="1">PROPER(TRIM(Raw_Data!E469))</f>
        <v>Premium</v>
      </c>
      <c r="F469" s="2">
        <f>IFERROR(DATEVALUE(Raw_Data!F469), Raw_Data!F469)</f>
        <v>46034</v>
      </c>
      <c r="G469" s="2">
        <f>IFERROR(
    IF(
        IFERROR(DATEVALUE(Raw_Data!G469), Raw_Data!G469) &lt;
        IFERROR(DATEVALUE(Raw_Data!F469), Raw_Data!F469),
        IFERROR(DATEVALUE(Raw_Data!F469), Raw_Data!F469) + 30,
        IFERROR(DATEVALUE(Raw_Data!G469), Raw_Data!G469)
    ),
    ""
)</f>
        <v>46124</v>
      </c>
      <c r="H469">
        <f>IFERROR(VALUE(Raw_Data!H469), "")</f>
        <v>3500</v>
      </c>
      <c r="I469">
        <f ca="1">IFERROR(VALUE(Raw_Data!I469), "")</f>
        <v>14000</v>
      </c>
      <c r="J469">
        <f>IFERROR(
    VALUE(SUBSTITUTE(Raw_Data!J469," visits","")),
    ""
)</f>
        <v>20</v>
      </c>
      <c r="K469" t="str">
        <f ca="1">IF(TRIM(Raw_Data!K469)="","No",PROPER(TRIM(Raw_Data!K469)))</f>
        <v>No</v>
      </c>
      <c r="L469" t="str">
        <f ca="1">PROPER(TRIM(Raw_Data!L469))</f>
        <v>General Fitness</v>
      </c>
      <c r="M469" t="s">
        <v>151</v>
      </c>
      <c r="N469" s="2">
        <f>IFERROR(DATEVALUE(Raw_Data!N469), Raw_Data!N469)</f>
        <v>46085</v>
      </c>
      <c r="O469" s="2"/>
      <c r="P469" t="str">
        <f>IF(COUNTIF($A$2:A469,A469)&gt;1,"Duplicate","Unique")</f>
        <v>Unique</v>
      </c>
      <c r="Q469" t="str">
        <f t="shared" si="14"/>
        <v>OK</v>
      </c>
      <c r="R469" t="str">
        <f t="shared" si="15"/>
        <v>Available</v>
      </c>
    </row>
    <row r="470" spans="1:18">
      <c r="A470" t="str">
        <f>TRIM(CLEAN(Raw_Data!A470))</f>
        <v>MEM0469</v>
      </c>
      <c r="B470" t="str">
        <f ca="1">TRIM(Raw_Data!B470)</f>
        <v>Riya Nair</v>
      </c>
      <c r="C470" t="str">
        <f ca="1">_xlfn.XLOOKUP(D470, Branch_Master!A:A, Branch_Master!B:B)</f>
        <v>Mumbai</v>
      </c>
      <c r="D470" t="str">
        <f ca="1">TRIM(Raw_Data!D470)</f>
        <v>BR05</v>
      </c>
      <c r="E470" t="str">
        <f ca="1">PROPER(TRIM(Raw_Data!E470))</f>
        <v>Premium</v>
      </c>
      <c r="F470" s="2">
        <f>IFERROR(DATEVALUE(Raw_Data!F470), Raw_Data!F470)</f>
        <v>45742</v>
      </c>
      <c r="G470" s="2">
        <f>IFERROR(
    IF(
        IFERROR(DATEVALUE(Raw_Data!G470), Raw_Data!G470) &lt;
        IFERROR(DATEVALUE(Raw_Data!F470), Raw_Data!F470),
        IFERROR(DATEVALUE(Raw_Data!F470), Raw_Data!F470) + 30,
        IFERROR(DATEVALUE(Raw_Data!G470), Raw_Data!G470)
    ),
    ""
)</f>
        <v>46107</v>
      </c>
      <c r="H470">
        <f>IFERROR(VALUE(Raw_Data!H470), "")</f>
        <v>1000</v>
      </c>
      <c r="I470">
        <f ca="1">IFERROR(VALUE(Raw_Data!I470), "")</f>
        <v>4000</v>
      </c>
      <c r="J470">
        <f>IFERROR(
    VALUE(SUBSTITUTE(Raw_Data!J470," visits","")),
    ""
)</f>
        <v>10</v>
      </c>
      <c r="K470" t="str">
        <f ca="1">IF(TRIM(Raw_Data!K470)="","No",PROPER(TRIM(Raw_Data!K470)))</f>
        <v>Yes</v>
      </c>
      <c r="L470" t="str">
        <f ca="1">PROPER(TRIM(Raw_Data!L470))</f>
        <v>Muscle Gain</v>
      </c>
      <c r="M470" t="s">
        <v>151</v>
      </c>
      <c r="N470" s="2">
        <f>IFERROR(DATEVALUE(Raw_Data!N470), Raw_Data!N470)</f>
        <v>45760</v>
      </c>
      <c r="O470" s="2"/>
      <c r="P470" t="str">
        <f>IF(COUNTIF($A$2:A470,A470)&gt;1,"Duplicate","Unique")</f>
        <v>Unique</v>
      </c>
      <c r="Q470" t="str">
        <f t="shared" si="14"/>
        <v>OK</v>
      </c>
      <c r="R470" t="str">
        <f t="shared" si="15"/>
        <v>Available</v>
      </c>
    </row>
    <row r="471" spans="1:18">
      <c r="A471" t="str">
        <f>TRIM(CLEAN(Raw_Data!A471))</f>
        <v>MEM0470</v>
      </c>
      <c r="B471" t="str">
        <f ca="1">TRIM(Raw_Data!B471)</f>
        <v>Siddharth Varghese</v>
      </c>
      <c r="C471" t="str">
        <f ca="1">_xlfn.XLOOKUP(D471, Branch_Master!A:A, Branch_Master!B:B)</f>
        <v>Chennai</v>
      </c>
      <c r="D471" t="str">
        <f ca="1">TRIM(Raw_Data!D471)</f>
        <v>BR03</v>
      </c>
      <c r="E471" t="str">
        <f ca="1">PROPER(TRIM(Raw_Data!E471))</f>
        <v>Premium</v>
      </c>
      <c r="F471" s="2">
        <f>IFERROR(DATEVALUE(Raw_Data!F471), Raw_Data!F471)</f>
        <v>45647</v>
      </c>
      <c r="G471" s="2">
        <f>IFERROR(
    IF(
        IFERROR(DATEVALUE(Raw_Data!G471), Raw_Data!G471) &lt;
        IFERROR(DATEVALUE(Raw_Data!F471), Raw_Data!F471),
        IFERROR(DATEVALUE(Raw_Data!F471), Raw_Data!F471) + 30,
        IFERROR(DATEVALUE(Raw_Data!G471), Raw_Data!G471)
    ),
    ""
)</f>
        <v>46012</v>
      </c>
      <c r="H471">
        <f>IFERROR(VALUE(Raw_Data!H471), "")</f>
        <v>1000</v>
      </c>
      <c r="I471">
        <f ca="1">IFERROR(VALUE(Raw_Data!I471), "")</f>
        <v>10000</v>
      </c>
      <c r="J471">
        <f>IFERROR(
    VALUE(SUBSTITUTE(Raw_Data!J471," visits","")),
    ""
)</f>
        <v>0</v>
      </c>
      <c r="K471" t="str">
        <f ca="1">IF(TRIM(Raw_Data!K471)="","No",PROPER(TRIM(Raw_Data!K471)))</f>
        <v>Yes</v>
      </c>
      <c r="L471" t="str">
        <f ca="1">PROPER(TRIM(Raw_Data!L471))</f>
        <v>Weight Loss</v>
      </c>
      <c r="M471" t="s">
        <v>151</v>
      </c>
      <c r="N471" s="2">
        <f>IFERROR(DATEVALUE(Raw_Data!N471), Raw_Data!N471)</f>
        <v>45666</v>
      </c>
      <c r="O471" s="2"/>
      <c r="P471" t="str">
        <f>IF(COUNTIF($A$2:A471,A471)&gt;1,"Duplicate","Unique")</f>
        <v>Unique</v>
      </c>
      <c r="Q471" t="str">
        <f t="shared" si="14"/>
        <v>OK</v>
      </c>
      <c r="R471" t="str">
        <f t="shared" si="15"/>
        <v>Available</v>
      </c>
    </row>
    <row r="472" spans="1:18">
      <c r="A472" t="str">
        <f>TRIM(CLEAN(Raw_Data!A472))</f>
        <v>MEM0471</v>
      </c>
      <c r="B472" t="str">
        <f ca="1">TRIM(Raw_Data!B472)</f>
        <v>Harish Shetty</v>
      </c>
      <c r="C472" t="str">
        <f ca="1">_xlfn.XLOOKUP(D472, Branch_Master!A:A, Branch_Master!B:B)</f>
        <v>Bangalore</v>
      </c>
      <c r="D472" t="str">
        <f ca="1">TRIM(Raw_Data!D472)</f>
        <v>BR02</v>
      </c>
      <c r="E472" t="str">
        <f ca="1">PROPER(TRIM(Raw_Data!E472))</f>
        <v>Standard</v>
      </c>
      <c r="F472" s="2">
        <f>IFERROR(DATEVALUE(Raw_Data!F472), Raw_Data!F472)</f>
        <v>45435</v>
      </c>
      <c r="G472" s="2">
        <f>IFERROR(
    IF(
        IFERROR(DATEVALUE(Raw_Data!G472), Raw_Data!G472) &lt;
        IFERROR(DATEVALUE(Raw_Data!F472), Raw_Data!F472),
        IFERROR(DATEVALUE(Raw_Data!F472), Raw_Data!F472) + 30,
        IFERROR(DATEVALUE(Raw_Data!G472), Raw_Data!G472)
    ),
    ""
)</f>
        <v>45525</v>
      </c>
      <c r="H472">
        <f>IFERROR(VALUE(Raw_Data!H472), "")</f>
        <v>2000</v>
      </c>
      <c r="I472">
        <f ca="1">IFERROR(VALUE(Raw_Data!I472), "")</f>
        <v>8000</v>
      </c>
      <c r="J472">
        <f>IFERROR(
    VALUE(SUBSTITUTE(Raw_Data!J472," visits","")),
    ""
)</f>
        <v>24</v>
      </c>
      <c r="K472" t="str">
        <f ca="1">IF(TRIM(Raw_Data!K472)="","No",PROPER(TRIM(Raw_Data!K472)))</f>
        <v>Yes</v>
      </c>
      <c r="L472" t="str">
        <f ca="1">PROPER(TRIM(Raw_Data!L472))</f>
        <v>Muscle Gain</v>
      </c>
      <c r="M472" t="s">
        <v>151</v>
      </c>
      <c r="N472" s="2">
        <f>IFERROR(DATEVALUE(Raw_Data!N472), Raw_Data!N472)</f>
        <v>46044</v>
      </c>
      <c r="O472" s="2"/>
      <c r="P472" t="str">
        <f>IF(COUNTIF($A$2:A472,A472)&gt;1,"Duplicate","Unique")</f>
        <v>Unique</v>
      </c>
      <c r="Q472" t="str">
        <f t="shared" si="14"/>
        <v>OK</v>
      </c>
      <c r="R472" t="str">
        <f t="shared" si="15"/>
        <v>Available</v>
      </c>
    </row>
    <row r="473" spans="1:18">
      <c r="A473" t="str">
        <f>TRIM(CLEAN(Raw_Data!A473))</f>
        <v>MEM0472</v>
      </c>
      <c r="B473" t="str">
        <f ca="1">TRIM(Raw_Data!B473)</f>
        <v>Zara Lewis</v>
      </c>
      <c r="C473" t="str">
        <f ca="1">_xlfn.XLOOKUP(D473, Branch_Master!A:A, Branch_Master!B:B)</f>
        <v>Chennai</v>
      </c>
      <c r="D473" t="str">
        <f ca="1">TRIM(Raw_Data!D473)</f>
        <v>BR03</v>
      </c>
      <c r="E473" t="str">
        <f ca="1">PROPER(TRIM(Raw_Data!E473))</f>
        <v>Standard</v>
      </c>
      <c r="F473" s="2">
        <f>IFERROR(DATEVALUE(Raw_Data!F473), Raw_Data!F473)</f>
        <v>45291</v>
      </c>
      <c r="G473" s="2">
        <f>IFERROR(
    IF(
        IFERROR(DATEVALUE(Raw_Data!G473), Raw_Data!G473) &lt;
        IFERROR(DATEVALUE(Raw_Data!F473), Raw_Data!F473),
        IFERROR(DATEVALUE(Raw_Data!F473), Raw_Data!F473) + 30,
        IFERROR(DATEVALUE(Raw_Data!G473), Raw_Data!G473)
    ),
    ""
)</f>
        <v>45321</v>
      </c>
      <c r="H473">
        <f>IFERROR(VALUE(Raw_Data!H473), "")</f>
        <v>1000</v>
      </c>
      <c r="I473">
        <f ca="1">IFERROR(VALUE(Raw_Data!I473), "")</f>
        <v>10000</v>
      </c>
      <c r="J473">
        <f>IFERROR(
    VALUE(SUBSTITUTE(Raw_Data!J473," visits","")),
    ""
)</f>
        <v>14</v>
      </c>
      <c r="K473" t="str">
        <f ca="1">IF(TRIM(Raw_Data!K473)="","No",PROPER(TRIM(Raw_Data!K473)))</f>
        <v>No</v>
      </c>
      <c r="L473" t="str">
        <f ca="1">PROPER(TRIM(Raw_Data!L473))</f>
        <v>General Fitness</v>
      </c>
      <c r="M473" t="s">
        <v>151</v>
      </c>
      <c r="N473" s="2">
        <f>IFERROR(DATEVALUE(Raw_Data!N473), Raw_Data!N473)</f>
        <v>45715</v>
      </c>
      <c r="O473" s="2"/>
      <c r="P473" t="str">
        <f>IF(COUNTIF($A$2:A473,A473)&gt;1,"Duplicate","Unique")</f>
        <v>Unique</v>
      </c>
      <c r="Q473" t="str">
        <f t="shared" si="14"/>
        <v>OK</v>
      </c>
      <c r="R473" t="str">
        <f t="shared" si="15"/>
        <v>Available</v>
      </c>
    </row>
    <row r="474" spans="1:18">
      <c r="A474" t="str">
        <f>TRIM(CLEAN(Raw_Data!A474))</f>
        <v>MEM0473</v>
      </c>
      <c r="B474" t="str">
        <f ca="1">TRIM(Raw_Data!B474)</f>
        <v>Priya Khan</v>
      </c>
      <c r="C474" t="str">
        <f ca="1">_xlfn.XLOOKUP(D474, Branch_Master!A:A, Branch_Master!B:B)</f>
        <v>Bangalore</v>
      </c>
      <c r="D474" t="str">
        <f ca="1">TRIM(Raw_Data!D474)</f>
        <v>BR02</v>
      </c>
      <c r="E474" t="str">
        <f ca="1">PROPER(TRIM(Raw_Data!E474))</f>
        <v>Premium</v>
      </c>
      <c r="F474" s="2">
        <f>IFERROR(DATEVALUE(Raw_Data!F474), Raw_Data!F474)</f>
        <v>45863</v>
      </c>
      <c r="G474" s="2">
        <f>IFERROR(
    IF(
        IFERROR(DATEVALUE(Raw_Data!G474), Raw_Data!G474) &lt;
        IFERROR(DATEVALUE(Raw_Data!F474), Raw_Data!F474),
        IFERROR(DATEVALUE(Raw_Data!F474), Raw_Data!F474) + 30,
        IFERROR(DATEVALUE(Raw_Data!G474), Raw_Data!G474)
    ),
    ""
)</f>
        <v>46228</v>
      </c>
      <c r="H474">
        <f>IFERROR(VALUE(Raw_Data!H474), "")</f>
        <v>3500</v>
      </c>
      <c r="I474">
        <f ca="1">IFERROR(VALUE(Raw_Data!I474), "")</f>
        <v>42000</v>
      </c>
      <c r="J474">
        <f>IFERROR(
    VALUE(SUBSTITUTE(Raw_Data!J474," visits","")),
    ""
)</f>
        <v>20</v>
      </c>
      <c r="K474" t="str">
        <f ca="1">IF(TRIM(Raw_Data!K474)="","No",PROPER(TRIM(Raw_Data!K474)))</f>
        <v>Yes</v>
      </c>
      <c r="L474" t="str">
        <f ca="1">PROPER(TRIM(Raw_Data!L474))</f>
        <v>Weight Loss</v>
      </c>
      <c r="M474" t="s">
        <v>151</v>
      </c>
      <c r="N474" s="2">
        <f>IFERROR(DATEVALUE(Raw_Data!N474), Raw_Data!N474)</f>
        <v>46051</v>
      </c>
      <c r="O474" s="2"/>
      <c r="P474" t="str">
        <f>IF(COUNTIF($A$2:A474,A474)&gt;1,"Duplicate","Unique")</f>
        <v>Unique</v>
      </c>
      <c r="Q474" t="str">
        <f t="shared" si="14"/>
        <v>OK</v>
      </c>
      <c r="R474" t="str">
        <f t="shared" si="15"/>
        <v>Available</v>
      </c>
    </row>
    <row r="475" spans="1:18">
      <c r="A475" t="str">
        <f>TRIM(CLEAN(Raw_Data!A475))</f>
        <v>MEM0474</v>
      </c>
      <c r="B475" t="str">
        <f ca="1">TRIM(Raw_Data!B475)</f>
        <v>Fatima Chatterjee</v>
      </c>
      <c r="C475" t="str">
        <f ca="1">_xlfn.XLOOKUP(D475, Branch_Master!A:A, Branch_Master!B:B)</f>
        <v>Chennai</v>
      </c>
      <c r="D475" t="str">
        <f ca="1">TRIM(Raw_Data!D475)</f>
        <v>BR03</v>
      </c>
      <c r="E475" t="str">
        <f ca="1">PROPER(TRIM(Raw_Data!E475))</f>
        <v>Basic</v>
      </c>
      <c r="F475" s="2">
        <f>IFERROR(DATEVALUE(Raw_Data!F475), Raw_Data!F475)</f>
        <v>45217</v>
      </c>
      <c r="G475" s="2">
        <f>IFERROR(
    IF(
        IFERROR(DATEVALUE(Raw_Data!G475), Raw_Data!G475) &lt;
        IFERROR(DATEVALUE(Raw_Data!F475), Raw_Data!F475),
        IFERROR(DATEVALUE(Raw_Data!F475), Raw_Data!F475) + 30,
        IFERROR(DATEVALUE(Raw_Data!G475), Raw_Data!G475)
    ),
    ""
)</f>
        <v>45582</v>
      </c>
      <c r="H475">
        <f>IFERROR(VALUE(Raw_Data!H475), "")</f>
        <v>1000</v>
      </c>
      <c r="I475">
        <f ca="1">IFERROR(VALUE(Raw_Data!I475), "")</f>
        <v>8000</v>
      </c>
      <c r="J475">
        <f>IFERROR(
    VALUE(SUBSTITUTE(Raw_Data!J475," visits","")),
    ""
)</f>
        <v>4</v>
      </c>
      <c r="K475" t="str">
        <f ca="1">IF(TRIM(Raw_Data!K475)="","No",PROPER(TRIM(Raw_Data!K475)))</f>
        <v>Yes</v>
      </c>
      <c r="L475" t="str">
        <f ca="1">PROPER(TRIM(Raw_Data!L475))</f>
        <v>Weight Loss</v>
      </c>
      <c r="M475" t="s">
        <v>151</v>
      </c>
      <c r="N475" s="2">
        <f>IFERROR(DATEVALUE(Raw_Data!N475), Raw_Data!N475)</f>
        <v>45643</v>
      </c>
      <c r="O475" s="2"/>
      <c r="P475" t="str">
        <f>IF(COUNTIF($A$2:A475,A475)&gt;1,"Duplicate","Unique")</f>
        <v>Unique</v>
      </c>
      <c r="Q475" t="str">
        <f t="shared" si="14"/>
        <v>OK</v>
      </c>
      <c r="R475" t="str">
        <f t="shared" si="15"/>
        <v>Available</v>
      </c>
    </row>
    <row r="476" spans="1:18">
      <c r="A476" t="str">
        <f>TRIM(CLEAN(Raw_Data!A476))</f>
        <v>MEM0475</v>
      </c>
      <c r="B476" t="str">
        <f ca="1">TRIM(Raw_Data!B476)</f>
        <v>Sanjay Nair</v>
      </c>
      <c r="C476" t="str">
        <f ca="1">_xlfn.XLOOKUP(D476, Branch_Master!A:A, Branch_Master!B:B)</f>
        <v>Kochi</v>
      </c>
      <c r="D476" t="str">
        <f ca="1">TRIM(Raw_Data!D476)</f>
        <v>BR01</v>
      </c>
      <c r="E476" t="str">
        <f ca="1">PROPER(TRIM(Raw_Data!E476))</f>
        <v>Premium</v>
      </c>
      <c r="F476" s="2">
        <f>IFERROR(DATEVALUE(Raw_Data!F476), Raw_Data!F476)</f>
        <v>45600</v>
      </c>
      <c r="G476" s="2">
        <f>IFERROR(
    IF(
        IFERROR(DATEVALUE(Raw_Data!G476), Raw_Data!G476) &lt;
        IFERROR(DATEVALUE(Raw_Data!F476), Raw_Data!F476),
        IFERROR(DATEVALUE(Raw_Data!F476), Raw_Data!F476) + 30,
        IFERROR(DATEVALUE(Raw_Data!G476), Raw_Data!G476)
    ),
    ""
)</f>
        <v>45690</v>
      </c>
      <c r="H476">
        <f>IFERROR(VALUE(Raw_Data!H476), "")</f>
        <v>3500</v>
      </c>
      <c r="I476">
        <f ca="1">IFERROR(VALUE(Raw_Data!I476), "")</f>
        <v>17500</v>
      </c>
      <c r="J476">
        <f>IFERROR(
    VALUE(SUBSTITUTE(Raw_Data!J476," visits","")),
    ""
)</f>
        <v>25</v>
      </c>
      <c r="K476" t="str">
        <f ca="1">IF(TRIM(Raw_Data!K476)="","No",PROPER(TRIM(Raw_Data!K476)))</f>
        <v>No</v>
      </c>
      <c r="L476" t="str">
        <f ca="1">PROPER(TRIM(Raw_Data!L476))</f>
        <v>General Fitness</v>
      </c>
      <c r="M476" t="s">
        <v>151</v>
      </c>
      <c r="N476" s="2">
        <f>IFERROR(DATEVALUE(Raw_Data!N476), Raw_Data!N476)</f>
        <v>45919</v>
      </c>
      <c r="O476" s="2"/>
      <c r="P476" t="str">
        <f>IF(COUNTIF($A$2:A476,A476)&gt;1,"Duplicate","Unique")</f>
        <v>Unique</v>
      </c>
      <c r="Q476" t="str">
        <f t="shared" si="14"/>
        <v>OK</v>
      </c>
      <c r="R476" t="str">
        <f t="shared" si="15"/>
        <v>Available</v>
      </c>
    </row>
    <row r="477" spans="1:18">
      <c r="A477" t="str">
        <f>TRIM(CLEAN(Raw_Data!A477))</f>
        <v>MEM0476</v>
      </c>
      <c r="B477" t="str">
        <f ca="1">TRIM(Raw_Data!B477)</f>
        <v>Anjali Naidu</v>
      </c>
      <c r="C477" t="str">
        <f ca="1">_xlfn.XLOOKUP(D477, Branch_Master!A:A, Branch_Master!B:B)</f>
        <v>Trivandrum</v>
      </c>
      <c r="D477" t="str">
        <f ca="1">TRIM(Raw_Data!D477)</f>
        <v>BR06</v>
      </c>
      <c r="E477" t="str">
        <f ca="1">PROPER(TRIM(Raw_Data!E477))</f>
        <v>Premium</v>
      </c>
      <c r="F477" s="2">
        <f>IFERROR(DATEVALUE(Raw_Data!F477), Raw_Data!F477)</f>
        <v>44991</v>
      </c>
      <c r="G477" s="2">
        <f>IFERROR(
    IF(
        IFERROR(DATEVALUE(Raw_Data!G477), Raw_Data!G477) &lt;
        IFERROR(DATEVALUE(Raw_Data!F477), Raw_Data!F477),
        IFERROR(DATEVALUE(Raw_Data!F477), Raw_Data!F477) + 30,
        IFERROR(DATEVALUE(Raw_Data!G477), Raw_Data!G477)
    ),
    ""
)</f>
        <v>45081</v>
      </c>
      <c r="H477">
        <f>IFERROR(VALUE(Raw_Data!H477), "")</f>
        <v>1000</v>
      </c>
      <c r="I477">
        <f ca="1">IFERROR(VALUE(Raw_Data!I477), "")</f>
        <v>3000</v>
      </c>
      <c r="J477">
        <f>IFERROR(
    VALUE(SUBSTITUTE(Raw_Data!J477," visits","")),
    ""
)</f>
        <v>6</v>
      </c>
      <c r="K477" t="str">
        <f ca="1">IF(TRIM(Raw_Data!K477)="","No",PROPER(TRIM(Raw_Data!K477)))</f>
        <v>No</v>
      </c>
      <c r="L477" t="str">
        <f ca="1">PROPER(TRIM(Raw_Data!L477))</f>
        <v>Weight Loss</v>
      </c>
      <c r="M477" t="s">
        <v>151</v>
      </c>
      <c r="N477" s="2">
        <f>IFERROR(DATEVALUE(Raw_Data!N477), Raw_Data!N477)</f>
        <v>46121</v>
      </c>
      <c r="O477" s="2"/>
      <c r="P477" t="str">
        <f>IF(COUNTIF($A$2:A477,A477)&gt;1,"Duplicate","Unique")</f>
        <v>Unique</v>
      </c>
      <c r="Q477" t="str">
        <f t="shared" si="14"/>
        <v>OK</v>
      </c>
      <c r="R477" t="str">
        <f t="shared" si="15"/>
        <v>Available</v>
      </c>
    </row>
    <row r="478" spans="1:18">
      <c r="A478" t="str">
        <f>TRIM(CLEAN(Raw_Data!A478))</f>
        <v>MEM0477</v>
      </c>
      <c r="B478" t="str">
        <f ca="1">TRIM(Raw_Data!B478)</f>
        <v>Swathi Kapoor</v>
      </c>
      <c r="C478" t="str">
        <f ca="1">_xlfn.XLOOKUP(D478, Branch_Master!A:A, Branch_Master!B:B)</f>
        <v>Mumbai</v>
      </c>
      <c r="D478" t="str">
        <f ca="1">TRIM(Raw_Data!D478)</f>
        <v>BR05</v>
      </c>
      <c r="E478" t="str">
        <f ca="1">PROPER(TRIM(Raw_Data!E478))</f>
        <v>Basic</v>
      </c>
      <c r="F478" s="2">
        <f>IFERROR(DATEVALUE(Raw_Data!F478), Raw_Data!F478)</f>
        <v>45379</v>
      </c>
      <c r="G478" s="2">
        <f>IFERROR(
    IF(
        IFERROR(DATEVALUE(Raw_Data!G478), Raw_Data!G478) &lt;
        IFERROR(DATEVALUE(Raw_Data!F478), Raw_Data!F478),
        IFERROR(DATEVALUE(Raw_Data!F478), Raw_Data!F478) + 30,
        IFERROR(DATEVALUE(Raw_Data!G478), Raw_Data!G478)
    ),
    ""
)</f>
        <v>45744</v>
      </c>
      <c r="H478">
        <f>IFERROR(VALUE(Raw_Data!H478), "")</f>
        <v>1000</v>
      </c>
      <c r="I478">
        <f ca="1">IFERROR(VALUE(Raw_Data!I478), "")</f>
        <v>5000</v>
      </c>
      <c r="J478">
        <f>IFERROR(
    VALUE(SUBSTITUTE(Raw_Data!J478," visits","")),
    ""
)</f>
        <v>24</v>
      </c>
      <c r="K478" t="str">
        <f ca="1">IF(TRIM(Raw_Data!K478)="","No",PROPER(TRIM(Raw_Data!K478)))</f>
        <v>Yes</v>
      </c>
      <c r="L478" t="str">
        <f ca="1">PROPER(TRIM(Raw_Data!L478))</f>
        <v>General Fitness</v>
      </c>
      <c r="M478" t="s">
        <v>151</v>
      </c>
      <c r="N478" s="2">
        <f>IFERROR(DATEVALUE(Raw_Data!N478), Raw_Data!N478)</f>
        <v>45783</v>
      </c>
      <c r="O478" s="2"/>
      <c r="P478" t="str">
        <f>IF(COUNTIF($A$2:A478,A478)&gt;1,"Duplicate","Unique")</f>
        <v>Unique</v>
      </c>
      <c r="Q478" t="str">
        <f t="shared" si="14"/>
        <v>OK</v>
      </c>
      <c r="R478" t="str">
        <f t="shared" si="15"/>
        <v>Available</v>
      </c>
    </row>
    <row r="479" spans="1:18">
      <c r="A479" t="str">
        <f>TRIM(CLEAN(Raw_Data!A479))</f>
        <v>MEM0478</v>
      </c>
      <c r="B479" t="str">
        <f ca="1">TRIM(Raw_Data!B479)</f>
        <v>Meera George</v>
      </c>
      <c r="C479" t="str">
        <f ca="1">_xlfn.XLOOKUP(D479, Branch_Master!A:A, Branch_Master!B:B)</f>
        <v>Mumbai</v>
      </c>
      <c r="D479" t="str">
        <f ca="1">TRIM(Raw_Data!D479)</f>
        <v>BR05</v>
      </c>
      <c r="E479" t="str">
        <f ca="1">PROPER(TRIM(Raw_Data!E479))</f>
        <v>Basic</v>
      </c>
      <c r="F479" s="2">
        <f>IFERROR(DATEVALUE(Raw_Data!F479), Raw_Data!F479)</f>
        <v>45524</v>
      </c>
      <c r="G479" s="2">
        <f>IFERROR(
    IF(
        IFERROR(DATEVALUE(Raw_Data!G479), Raw_Data!G479) &lt;
        IFERROR(DATEVALUE(Raw_Data!F479), Raw_Data!F479),
        IFERROR(DATEVALUE(Raw_Data!F479), Raw_Data!F479) + 30,
        IFERROR(DATEVALUE(Raw_Data!G479), Raw_Data!G479)
    ),
    ""
)</f>
        <v>45614</v>
      </c>
      <c r="H479">
        <f>IFERROR(VALUE(Raw_Data!H479), "")</f>
        <v>1000</v>
      </c>
      <c r="I479">
        <f ca="1">IFERROR(VALUE(Raw_Data!I479), "")</f>
        <v>2000</v>
      </c>
      <c r="J479">
        <f>IFERROR(
    VALUE(SUBSTITUTE(Raw_Data!J479," visits","")),
    ""
)</f>
        <v>25</v>
      </c>
      <c r="K479" t="str">
        <f ca="1">IF(TRIM(Raw_Data!K479)="","No",PROPER(TRIM(Raw_Data!K479)))</f>
        <v>Yes</v>
      </c>
      <c r="L479" t="str">
        <f ca="1">PROPER(TRIM(Raw_Data!L479))</f>
        <v>Muscle Gain</v>
      </c>
      <c r="M479" t="s">
        <v>151</v>
      </c>
      <c r="N479" s="2">
        <f>IFERROR(DATEVALUE(Raw_Data!N479), Raw_Data!N479)</f>
        <v>45959</v>
      </c>
      <c r="O479" s="2"/>
      <c r="P479" t="str">
        <f>IF(COUNTIF($A$2:A479,A479)&gt;1,"Duplicate","Unique")</f>
        <v>Unique</v>
      </c>
      <c r="Q479" t="str">
        <f t="shared" si="14"/>
        <v>OK</v>
      </c>
      <c r="R479" t="str">
        <f t="shared" si="15"/>
        <v>Available</v>
      </c>
    </row>
    <row r="480" spans="1:18">
      <c r="A480" t="str">
        <f>TRIM(CLEAN(Raw_Data!A480))</f>
        <v>MEM0479</v>
      </c>
      <c r="B480" t="str">
        <f ca="1">TRIM(Raw_Data!B480)</f>
        <v>Zara Joseph</v>
      </c>
      <c r="C480" t="str">
        <f ca="1">_xlfn.XLOOKUP(D480, Branch_Master!A:A, Branch_Master!B:B)</f>
        <v>Bangalore</v>
      </c>
      <c r="D480" t="str">
        <f ca="1">TRIM(Raw_Data!D480)</f>
        <v>BR02</v>
      </c>
      <c r="E480" t="str">
        <f ca="1">PROPER(TRIM(Raw_Data!E480))</f>
        <v>Premium</v>
      </c>
      <c r="F480" s="2">
        <f>IFERROR(DATEVALUE(Raw_Data!F480), Raw_Data!F480)</f>
        <v>45143</v>
      </c>
      <c r="G480" s="2">
        <f>IFERROR(
    IF(
        IFERROR(DATEVALUE(Raw_Data!G480), Raw_Data!G480) &lt;
        IFERROR(DATEVALUE(Raw_Data!F480), Raw_Data!F480),
        IFERROR(DATEVALUE(Raw_Data!F480), Raw_Data!F480) + 30,
        IFERROR(DATEVALUE(Raw_Data!G480), Raw_Data!G480)
    ),
    ""
)</f>
        <v>45173</v>
      </c>
      <c r="H480">
        <f>IFERROR(VALUE(Raw_Data!H480), "")</f>
        <v>2000</v>
      </c>
      <c r="I480">
        <f ca="1">IFERROR(VALUE(Raw_Data!I480), "")</f>
        <v>18000</v>
      </c>
      <c r="J480">
        <f>IFERROR(
    VALUE(SUBSTITUTE(Raw_Data!J480," visits","")),
    ""
)</f>
        <v>21</v>
      </c>
      <c r="K480" t="str">
        <f ca="1">IF(TRIM(Raw_Data!K480)="","No",PROPER(TRIM(Raw_Data!K480)))</f>
        <v>Yes</v>
      </c>
      <c r="L480" t="str">
        <f ca="1">PROPER(TRIM(Raw_Data!L480))</f>
        <v>General Fitness</v>
      </c>
      <c r="M480" t="s">
        <v>151</v>
      </c>
      <c r="N480" s="2">
        <f>IFERROR(DATEVALUE(Raw_Data!N480), Raw_Data!N480)</f>
        <v>46085</v>
      </c>
      <c r="O480" s="2"/>
      <c r="P480" t="str">
        <f>IF(COUNTIF($A$2:A480,A480)&gt;1,"Duplicate","Unique")</f>
        <v>Unique</v>
      </c>
      <c r="Q480" t="str">
        <f t="shared" si="14"/>
        <v>OK</v>
      </c>
      <c r="R480" t="str">
        <f t="shared" si="15"/>
        <v>Available</v>
      </c>
    </row>
    <row r="481" spans="1:18">
      <c r="A481" t="str">
        <f>TRIM(CLEAN(Raw_Data!A481))</f>
        <v>MEM0480</v>
      </c>
      <c r="B481" t="str">
        <f ca="1">TRIM(Raw_Data!B481)</f>
        <v>Anjali Kulkarni</v>
      </c>
      <c r="C481" t="str">
        <f ca="1">_xlfn.XLOOKUP(D481, Branch_Master!A:A, Branch_Master!B:B)</f>
        <v>Kochi</v>
      </c>
      <c r="D481" t="str">
        <f ca="1">TRIM(Raw_Data!D481)</f>
        <v>BR01</v>
      </c>
      <c r="E481" t="str">
        <f ca="1">PROPER(TRIM(Raw_Data!E481))</f>
        <v>Standard</v>
      </c>
      <c r="F481" s="2">
        <f>IFERROR(DATEVALUE(Raw_Data!F481), Raw_Data!F481)</f>
        <v>45424</v>
      </c>
      <c r="G481" s="2">
        <f>IFERROR(
    IF(
        IFERROR(DATEVALUE(Raw_Data!G481), Raw_Data!G481) &lt;
        IFERROR(DATEVALUE(Raw_Data!F481), Raw_Data!F481),
        IFERROR(DATEVALUE(Raw_Data!F481), Raw_Data!F481) + 30,
        IFERROR(DATEVALUE(Raw_Data!G481), Raw_Data!G481)
    ),
    ""
)</f>
        <v>45789</v>
      </c>
      <c r="H481">
        <f>IFERROR(VALUE(Raw_Data!H481), "")</f>
        <v>3500</v>
      </c>
      <c r="I481">
        <f ca="1">IFERROR(VALUE(Raw_Data!I481), "")</f>
        <v>31500</v>
      </c>
      <c r="J481">
        <f>IFERROR(
    VALUE(SUBSTITUTE(Raw_Data!J481," visits","")),
    ""
)</f>
        <v>8</v>
      </c>
      <c r="K481" t="str">
        <f ca="1">IF(TRIM(Raw_Data!K481)="","No",PROPER(TRIM(Raw_Data!K481)))</f>
        <v>No</v>
      </c>
      <c r="L481" t="str">
        <f ca="1">PROPER(TRIM(Raw_Data!L481))</f>
        <v>Weight Loss</v>
      </c>
      <c r="M481" t="s">
        <v>151</v>
      </c>
      <c r="N481" s="2">
        <f>IFERROR(DATEVALUE(Raw_Data!N481), Raw_Data!N481)</f>
        <v>46070</v>
      </c>
      <c r="O481" s="2"/>
      <c r="P481" t="str">
        <f>IF(COUNTIF($A$2:A481,A481)&gt;1,"Duplicate","Unique")</f>
        <v>Unique</v>
      </c>
      <c r="Q481" t="str">
        <f t="shared" si="14"/>
        <v>OK</v>
      </c>
      <c r="R481" t="str">
        <f t="shared" si="15"/>
        <v>Available</v>
      </c>
    </row>
    <row r="482" spans="1:18">
      <c r="A482" t="str">
        <f>TRIM(CLEAN(Raw_Data!A482))</f>
        <v>MEM0481</v>
      </c>
      <c r="B482" t="str">
        <f ca="1">TRIM(Raw_Data!B482)</f>
        <v>Kavya Das</v>
      </c>
      <c r="C482" t="str">
        <f ca="1">_xlfn.XLOOKUP(D482, Branch_Master!A:A, Branch_Master!B:B)</f>
        <v>Mumbai</v>
      </c>
      <c r="D482" t="str">
        <f ca="1">TRIM(Raw_Data!D482)</f>
        <v>BR05</v>
      </c>
      <c r="E482" t="str">
        <f ca="1">PROPER(TRIM(Raw_Data!E482))</f>
        <v>Premium</v>
      </c>
      <c r="F482" s="2">
        <f>IFERROR(DATEVALUE(Raw_Data!F482), Raw_Data!F482)</f>
        <v>45781</v>
      </c>
      <c r="G482" s="2">
        <f>IFERROR(
    IF(
        IFERROR(DATEVALUE(Raw_Data!G482), Raw_Data!G482) &lt;
        IFERROR(DATEVALUE(Raw_Data!F482), Raw_Data!F482),
        IFERROR(DATEVALUE(Raw_Data!F482), Raw_Data!F482) + 30,
        IFERROR(DATEVALUE(Raw_Data!G482), Raw_Data!G482)
    ),
    ""
)</f>
        <v>46146</v>
      </c>
      <c r="H482">
        <f>IFERROR(VALUE(Raw_Data!H482), "")</f>
        <v>3500</v>
      </c>
      <c r="I482">
        <f ca="1">IFERROR(VALUE(Raw_Data!I482), "")</f>
        <v>17500</v>
      </c>
      <c r="J482">
        <f>IFERROR(
    VALUE(SUBSTITUTE(Raw_Data!J482," visits","")),
    ""
)</f>
        <v>17</v>
      </c>
      <c r="K482" t="str">
        <f ca="1">IF(TRIM(Raw_Data!K482)="","No",PROPER(TRIM(Raw_Data!K482)))</f>
        <v>No</v>
      </c>
      <c r="L482" t="str">
        <f ca="1">PROPER(TRIM(Raw_Data!L482))</f>
        <v>General Fitness</v>
      </c>
      <c r="M482" t="s">
        <v>151</v>
      </c>
      <c r="N482" s="2">
        <f>IFERROR(DATEVALUE(Raw_Data!N482), Raw_Data!N482)</f>
        <v>46073</v>
      </c>
      <c r="O482" s="2"/>
      <c r="P482" t="str">
        <f>IF(COUNTIF($A$2:A482,A482)&gt;1,"Duplicate","Unique")</f>
        <v>Unique</v>
      </c>
      <c r="Q482" t="str">
        <f t="shared" si="14"/>
        <v>OK</v>
      </c>
      <c r="R482" t="str">
        <f t="shared" si="15"/>
        <v>Available</v>
      </c>
    </row>
    <row r="483" spans="1:18">
      <c r="A483" t="str">
        <f>TRIM(CLEAN(Raw_Data!A483))</f>
        <v>MEM0482</v>
      </c>
      <c r="B483" t="str">
        <f ca="1">TRIM(Raw_Data!B483)</f>
        <v>Ankit Verma</v>
      </c>
      <c r="C483" t="str">
        <f ca="1">_xlfn.XLOOKUP(D483, Branch_Master!A:A, Branch_Master!B:B)</f>
        <v>Kochi</v>
      </c>
      <c r="D483" t="str">
        <f ca="1">TRIM(Raw_Data!D483)</f>
        <v>BR01</v>
      </c>
      <c r="E483" t="str">
        <f ca="1">PROPER(TRIM(Raw_Data!E483))</f>
        <v>Basic</v>
      </c>
      <c r="F483" s="2">
        <f>IFERROR(DATEVALUE(Raw_Data!F483), Raw_Data!F483)</f>
        <v>44994</v>
      </c>
      <c r="G483" s="2">
        <f>IFERROR(
    IF(
        IFERROR(DATEVALUE(Raw_Data!G483), Raw_Data!G483) &lt;
        IFERROR(DATEVALUE(Raw_Data!F483), Raw_Data!F483),
        IFERROR(DATEVALUE(Raw_Data!F483), Raw_Data!F483) + 30,
        IFERROR(DATEVALUE(Raw_Data!G483), Raw_Data!G483)
    ),
    ""
)</f>
        <v>45024</v>
      </c>
      <c r="H483">
        <f>IFERROR(VALUE(Raw_Data!H483), "")</f>
        <v>3500</v>
      </c>
      <c r="I483">
        <f ca="1">IFERROR(VALUE(Raw_Data!I483), "")</f>
        <v>28000</v>
      </c>
      <c r="J483">
        <f>IFERROR(
    VALUE(SUBSTITUTE(Raw_Data!J483," visits","")),
    ""
)</f>
        <v>6</v>
      </c>
      <c r="K483" t="str">
        <f ca="1">IF(TRIM(Raw_Data!K483)="","No",PROPER(TRIM(Raw_Data!K483)))</f>
        <v>Yes</v>
      </c>
      <c r="L483" t="str">
        <f ca="1">PROPER(TRIM(Raw_Data!L483))</f>
        <v>General Fitness</v>
      </c>
      <c r="M483" t="s">
        <v>151</v>
      </c>
      <c r="N483" s="2">
        <f>IFERROR(DATEVALUE(Raw_Data!N483), Raw_Data!N483)</f>
        <v>45103</v>
      </c>
      <c r="O483" s="2"/>
      <c r="P483" t="str">
        <f>IF(COUNTIF($A$2:A483,A483)&gt;1,"Duplicate","Unique")</f>
        <v>Unique</v>
      </c>
      <c r="Q483" t="str">
        <f t="shared" si="14"/>
        <v>OK</v>
      </c>
      <c r="R483" t="str">
        <f t="shared" si="15"/>
        <v>Available</v>
      </c>
    </row>
    <row r="484" spans="1:18">
      <c r="A484" t="str">
        <f>TRIM(CLEAN(Raw_Data!A484))</f>
        <v>MEM0483</v>
      </c>
      <c r="B484" t="str">
        <f ca="1">TRIM(Raw_Data!B484)</f>
        <v>Aditya Kulkarni</v>
      </c>
      <c r="C484" t="str">
        <f ca="1">_xlfn.XLOOKUP(D484, Branch_Master!A:A, Branch_Master!B:B)</f>
        <v>Bangalore</v>
      </c>
      <c r="D484" t="str">
        <f ca="1">TRIM(Raw_Data!D484)</f>
        <v>BR02</v>
      </c>
      <c r="E484" t="str">
        <f ca="1">PROPER(TRIM(Raw_Data!E484))</f>
        <v>Basic</v>
      </c>
      <c r="F484" s="2">
        <f>IFERROR(DATEVALUE(Raw_Data!F484), Raw_Data!F484)</f>
        <v>45754</v>
      </c>
      <c r="G484" s="2">
        <f>IFERROR(
    IF(
        IFERROR(DATEVALUE(Raw_Data!G484), Raw_Data!G484) &lt;
        IFERROR(DATEVALUE(Raw_Data!F484), Raw_Data!F484),
        IFERROR(DATEVALUE(Raw_Data!F484), Raw_Data!F484) + 30,
        IFERROR(DATEVALUE(Raw_Data!G484), Raw_Data!G484)
    ),
    ""
)</f>
        <v>45784</v>
      </c>
      <c r="H484">
        <f>IFERROR(VALUE(Raw_Data!H484), "")</f>
        <v>2000</v>
      </c>
      <c r="I484">
        <f ca="1">IFERROR(VALUE(Raw_Data!I484), "")</f>
        <v>6000</v>
      </c>
      <c r="J484">
        <f>IFERROR(
    VALUE(SUBSTITUTE(Raw_Data!J484," visits","")),
    ""
)</f>
        <v>15</v>
      </c>
      <c r="K484" t="str">
        <f ca="1">IF(TRIM(Raw_Data!K484)="","No",PROPER(TRIM(Raw_Data!K484)))</f>
        <v>Yes</v>
      </c>
      <c r="L484" t="str">
        <f ca="1">PROPER(TRIM(Raw_Data!L484))</f>
        <v>Muscle Gain</v>
      </c>
      <c r="M484" t="s">
        <v>151</v>
      </c>
      <c r="N484" s="2">
        <f>IFERROR(DATEVALUE(Raw_Data!N484), Raw_Data!N484)</f>
        <v>45802</v>
      </c>
      <c r="O484" s="2"/>
      <c r="P484" t="str">
        <f>IF(COUNTIF($A$2:A484,A484)&gt;1,"Duplicate","Unique")</f>
        <v>Unique</v>
      </c>
      <c r="Q484" t="str">
        <f t="shared" si="14"/>
        <v>OK</v>
      </c>
      <c r="R484" t="str">
        <f t="shared" si="15"/>
        <v>Available</v>
      </c>
    </row>
    <row r="485" spans="1:18">
      <c r="A485" t="str">
        <f>TRIM(CLEAN(Raw_Data!A485))</f>
        <v>MEM0484</v>
      </c>
      <c r="B485" t="str">
        <f ca="1">TRIM(Raw_Data!B485)</f>
        <v>Varun Lewis</v>
      </c>
      <c r="C485" t="str">
        <f ca="1">_xlfn.XLOOKUP(D485, Branch_Master!A:A, Branch_Master!B:B)</f>
        <v>Chennai</v>
      </c>
      <c r="D485" t="str">
        <f ca="1">TRIM(Raw_Data!D485)</f>
        <v>BR03</v>
      </c>
      <c r="E485" t="str">
        <f ca="1">PROPER(TRIM(Raw_Data!E485))</f>
        <v>Basic</v>
      </c>
      <c r="F485" s="2">
        <f>IFERROR(DATEVALUE(Raw_Data!F485), Raw_Data!F485)</f>
        <v>45255</v>
      </c>
      <c r="G485" s="2">
        <f>IFERROR(
    IF(
        IFERROR(DATEVALUE(Raw_Data!G485), Raw_Data!G485) &lt;
        IFERROR(DATEVALUE(Raw_Data!F485), Raw_Data!F485),
        IFERROR(DATEVALUE(Raw_Data!F485), Raw_Data!F485) + 30,
        IFERROR(DATEVALUE(Raw_Data!G485), Raw_Data!G485)
    ),
    ""
)</f>
        <v>45285</v>
      </c>
      <c r="H485">
        <f>IFERROR(VALUE(Raw_Data!H485), "")</f>
        <v>2000</v>
      </c>
      <c r="I485">
        <f ca="1">IFERROR(VALUE(Raw_Data!I485), "")</f>
        <v>16000</v>
      </c>
      <c r="J485">
        <f>IFERROR(
    VALUE(SUBSTITUTE(Raw_Data!J485," visits","")),
    ""
)</f>
        <v>8</v>
      </c>
      <c r="K485" t="str">
        <f ca="1">IF(TRIM(Raw_Data!K485)="","No",PROPER(TRIM(Raw_Data!K485)))</f>
        <v>No</v>
      </c>
      <c r="L485" t="str">
        <f ca="1">PROPER(TRIM(Raw_Data!L485))</f>
        <v>Muscle Gain</v>
      </c>
      <c r="M485" t="s">
        <v>151</v>
      </c>
      <c r="N485" s="2">
        <f>IFERROR(DATEVALUE(Raw_Data!N485), Raw_Data!N485)</f>
        <v>46055</v>
      </c>
      <c r="O485" s="2"/>
      <c r="P485" t="str">
        <f>IF(COUNTIF($A$2:A485,A485)&gt;1,"Duplicate","Unique")</f>
        <v>Unique</v>
      </c>
      <c r="Q485" t="str">
        <f t="shared" si="14"/>
        <v>OK</v>
      </c>
      <c r="R485" t="str">
        <f t="shared" si="15"/>
        <v>Available</v>
      </c>
    </row>
    <row r="486" spans="1:18">
      <c r="A486" t="str">
        <f>TRIM(CLEAN(Raw_Data!A486))</f>
        <v>MEM0485</v>
      </c>
      <c r="B486" t="str">
        <f ca="1">TRIM(Raw_Data!B486)</f>
        <v>Zara Shaikh</v>
      </c>
      <c r="C486" t="str">
        <f ca="1">_xlfn.XLOOKUP(D486, Branch_Master!A:A, Branch_Master!B:B)</f>
        <v>Mumbai</v>
      </c>
      <c r="D486" t="str">
        <f ca="1">TRIM(Raw_Data!D486)</f>
        <v>BR05</v>
      </c>
      <c r="E486" t="str">
        <f ca="1">PROPER(TRIM(Raw_Data!E486))</f>
        <v>Standard</v>
      </c>
      <c r="F486" s="2">
        <f>IFERROR(DATEVALUE(Raw_Data!F486), Raw_Data!F486)</f>
        <v>45223</v>
      </c>
      <c r="G486" s="2">
        <f>IFERROR(
    IF(
        IFERROR(DATEVALUE(Raw_Data!G486), Raw_Data!G486) &lt;
        IFERROR(DATEVALUE(Raw_Data!F486), Raw_Data!F486),
        IFERROR(DATEVALUE(Raw_Data!F486), Raw_Data!F486) + 30,
        IFERROR(DATEVALUE(Raw_Data!G486), Raw_Data!G486)
    ),
    ""
)</f>
        <v>45588</v>
      </c>
      <c r="H486">
        <f>IFERROR(VALUE(Raw_Data!H486), "")</f>
        <v>2000</v>
      </c>
      <c r="I486">
        <f ca="1">IFERROR(VALUE(Raw_Data!I486), "")</f>
        <v>18000</v>
      </c>
      <c r="J486">
        <f>IFERROR(
    VALUE(SUBSTITUTE(Raw_Data!J486," visits","")),
    ""
)</f>
        <v>5</v>
      </c>
      <c r="K486" t="str">
        <f ca="1">IF(TRIM(Raw_Data!K486)="","No",PROPER(TRIM(Raw_Data!K486)))</f>
        <v>No</v>
      </c>
      <c r="L486" t="str">
        <f ca="1">PROPER(TRIM(Raw_Data!L486))</f>
        <v>Weight Loss</v>
      </c>
      <c r="M486" t="s">
        <v>151</v>
      </c>
      <c r="N486" s="2">
        <f>IFERROR(DATEVALUE(Raw_Data!N486), Raw_Data!N486)</f>
        <v>45458</v>
      </c>
      <c r="O486" s="2"/>
      <c r="P486" t="str">
        <f>IF(COUNTIF($A$2:A486,A486)&gt;1,"Duplicate","Unique")</f>
        <v>Unique</v>
      </c>
      <c r="Q486" t="str">
        <f t="shared" si="14"/>
        <v>OK</v>
      </c>
      <c r="R486" t="str">
        <f t="shared" si="15"/>
        <v>Available</v>
      </c>
    </row>
    <row r="487" spans="1:18">
      <c r="A487" t="str">
        <f>TRIM(CLEAN(Raw_Data!A487))</f>
        <v>MEM0486</v>
      </c>
      <c r="B487" t="str">
        <f ca="1">TRIM(Raw_Data!B487)</f>
        <v>Arjun George</v>
      </c>
      <c r="C487" t="str">
        <f ca="1">_xlfn.XLOOKUP(D487, Branch_Master!A:A, Branch_Master!B:B)</f>
        <v>Mumbai</v>
      </c>
      <c r="D487" t="str">
        <f ca="1">TRIM(Raw_Data!D487)</f>
        <v>BR05</v>
      </c>
      <c r="E487" t="str">
        <f ca="1">PROPER(TRIM(Raw_Data!E487))</f>
        <v>Premium</v>
      </c>
      <c r="F487" s="2">
        <f>IFERROR(DATEVALUE(Raw_Data!F487), Raw_Data!F487)</f>
        <v>45911</v>
      </c>
      <c r="G487" s="2">
        <f>IFERROR(
    IF(
        IFERROR(DATEVALUE(Raw_Data!G487), Raw_Data!G487) &lt;
        IFERROR(DATEVALUE(Raw_Data!F487), Raw_Data!F487),
        IFERROR(DATEVALUE(Raw_Data!F487), Raw_Data!F487) + 30,
        IFERROR(DATEVALUE(Raw_Data!G487), Raw_Data!G487)
    ),
    ""
)</f>
        <v>46001</v>
      </c>
      <c r="H487">
        <f>IFERROR(VALUE(Raw_Data!H487), "")</f>
        <v>3500</v>
      </c>
      <c r="I487">
        <f ca="1">IFERROR(VALUE(Raw_Data!I487), "")</f>
        <v>7000</v>
      </c>
      <c r="J487">
        <f>IFERROR(
    VALUE(SUBSTITUTE(Raw_Data!J487," visits","")),
    ""
)</f>
        <v>10</v>
      </c>
      <c r="K487" t="str">
        <f ca="1">IF(TRIM(Raw_Data!K487)="","No",PROPER(TRIM(Raw_Data!K487)))</f>
        <v>Yes</v>
      </c>
      <c r="L487" t="str">
        <f ca="1">PROPER(TRIM(Raw_Data!L487))</f>
        <v>Weight Loss</v>
      </c>
      <c r="M487" t="s">
        <v>151</v>
      </c>
      <c r="N487" s="2">
        <f>IFERROR(DATEVALUE(Raw_Data!N487), Raw_Data!N487)</f>
        <v>45930</v>
      </c>
      <c r="O487" s="2"/>
      <c r="P487" t="str">
        <f>IF(COUNTIF($A$2:A487,A487)&gt;1,"Duplicate","Unique")</f>
        <v>Unique</v>
      </c>
      <c r="Q487" t="str">
        <f t="shared" si="14"/>
        <v>OK</v>
      </c>
      <c r="R487" t="str">
        <f t="shared" si="15"/>
        <v>Available</v>
      </c>
    </row>
    <row r="488" spans="1:18">
      <c r="A488" t="str">
        <f>TRIM(CLEAN(Raw_Data!A488))</f>
        <v>MEM0487</v>
      </c>
      <c r="B488" t="str">
        <f ca="1">TRIM(Raw_Data!B488)</f>
        <v>Anu Joshi</v>
      </c>
      <c r="C488" t="str">
        <f ca="1">_xlfn.XLOOKUP(D488, Branch_Master!A:A, Branch_Master!B:B)</f>
        <v>Mumbai</v>
      </c>
      <c r="D488" t="str">
        <f ca="1">TRIM(Raw_Data!D488)</f>
        <v>BR05</v>
      </c>
      <c r="E488" t="str">
        <f ca="1">PROPER(TRIM(Raw_Data!E488))</f>
        <v>Premium</v>
      </c>
      <c r="F488" s="2">
        <f>IFERROR(DATEVALUE(Raw_Data!F488), Raw_Data!F488)</f>
        <v>45128</v>
      </c>
      <c r="G488" s="2">
        <f>IFERROR(
    IF(
        IFERROR(DATEVALUE(Raw_Data!G488), Raw_Data!G488) &lt;
        IFERROR(DATEVALUE(Raw_Data!F488), Raw_Data!F488),
        IFERROR(DATEVALUE(Raw_Data!F488), Raw_Data!F488) + 30,
        IFERROR(DATEVALUE(Raw_Data!G488), Raw_Data!G488)
    ),
    ""
)</f>
        <v>45493</v>
      </c>
      <c r="H488">
        <f>IFERROR(VALUE(Raw_Data!H488), "")</f>
        <v>1000</v>
      </c>
      <c r="I488">
        <f ca="1">IFERROR(VALUE(Raw_Data!I488), "")</f>
        <v>10000</v>
      </c>
      <c r="J488">
        <f>IFERROR(
    VALUE(SUBSTITUTE(Raw_Data!J488," visits","")),
    ""
)</f>
        <v>13</v>
      </c>
      <c r="K488" t="str">
        <f ca="1">IF(TRIM(Raw_Data!K488)="","No",PROPER(TRIM(Raw_Data!K488)))</f>
        <v>No</v>
      </c>
      <c r="L488" t="str">
        <f ca="1">PROPER(TRIM(Raw_Data!L488))</f>
        <v>Weight Loss</v>
      </c>
      <c r="M488" t="s">
        <v>152</v>
      </c>
      <c r="N488" s="2">
        <f>IFERROR(DATEVALUE(Raw_Data!N488), Raw_Data!N488)</f>
        <v>45298</v>
      </c>
      <c r="O488" s="2"/>
      <c r="P488" t="str">
        <f>IF(COUNTIF($A$2:A488,A488)&gt;1,"Duplicate","Unique")</f>
        <v>Unique</v>
      </c>
      <c r="Q488" t="str">
        <f t="shared" si="14"/>
        <v>Cancelled but Active</v>
      </c>
      <c r="R488" t="str">
        <f t="shared" si="15"/>
        <v>Available</v>
      </c>
    </row>
    <row r="489" spans="1:18">
      <c r="A489" t="str">
        <f>TRIM(CLEAN(Raw_Data!A489))</f>
        <v>MEM0488</v>
      </c>
      <c r="B489" t="str">
        <f ca="1">TRIM(Raw_Data!B489)</f>
        <v>Harish Joseph</v>
      </c>
      <c r="C489" t="str">
        <f ca="1">_xlfn.XLOOKUP(D489, Branch_Master!A:A, Branch_Master!B:B)</f>
        <v>Bangalore</v>
      </c>
      <c r="D489" t="str">
        <f ca="1">TRIM(Raw_Data!D489)</f>
        <v>BR02</v>
      </c>
      <c r="E489" t="str">
        <f ca="1">PROPER(TRIM(Raw_Data!E489))</f>
        <v>Premium</v>
      </c>
      <c r="F489" s="2">
        <f>IFERROR(DATEVALUE(Raw_Data!F489), Raw_Data!F489)</f>
        <v>45590</v>
      </c>
      <c r="G489" s="2">
        <f>IFERROR(
    IF(
        IFERROR(DATEVALUE(Raw_Data!G489), Raw_Data!G489) &lt;
        IFERROR(DATEVALUE(Raw_Data!F489), Raw_Data!F489),
        IFERROR(DATEVALUE(Raw_Data!F489), Raw_Data!F489) + 30,
        IFERROR(DATEVALUE(Raw_Data!G489), Raw_Data!G489)
    ),
    ""
)</f>
        <v>45620</v>
      </c>
      <c r="H489">
        <f>IFERROR(VALUE(Raw_Data!H489), "")</f>
        <v>1000</v>
      </c>
      <c r="I489">
        <f ca="1">IFERROR(VALUE(Raw_Data!I489), "")</f>
        <v>2000</v>
      </c>
      <c r="J489">
        <f>IFERROR(
    VALUE(SUBSTITUTE(Raw_Data!J489," visits","")),
    ""
)</f>
        <v>7</v>
      </c>
      <c r="K489" t="str">
        <f ca="1">IF(TRIM(Raw_Data!K489)="","No",PROPER(TRIM(Raw_Data!K489)))</f>
        <v>No</v>
      </c>
      <c r="L489" t="str">
        <f ca="1">PROPER(TRIM(Raw_Data!L489))</f>
        <v>Muscle Gain</v>
      </c>
      <c r="M489" t="s">
        <v>151</v>
      </c>
      <c r="N489" s="2">
        <f>IFERROR(DATEVALUE(Raw_Data!N489), Raw_Data!N489)</f>
        <v>45935</v>
      </c>
      <c r="O489" s="2"/>
      <c r="P489" t="str">
        <f>IF(COUNTIF($A$2:A489,A489)&gt;1,"Duplicate","Unique")</f>
        <v>Unique</v>
      </c>
      <c r="Q489" t="str">
        <f t="shared" si="14"/>
        <v>OK</v>
      </c>
      <c r="R489" t="str">
        <f t="shared" si="15"/>
        <v>Available</v>
      </c>
    </row>
    <row r="490" spans="1:18">
      <c r="A490" t="str">
        <f>TRIM(CLEAN(Raw_Data!A490))</f>
        <v>MEM0489</v>
      </c>
      <c r="B490" t="str">
        <f ca="1">TRIM(Raw_Data!B490)</f>
        <v>Tanvi Joshi</v>
      </c>
      <c r="C490" t="str">
        <f ca="1">_xlfn.XLOOKUP(D490, Branch_Master!A:A, Branch_Master!B:B)</f>
        <v>Kochi</v>
      </c>
      <c r="D490" t="str">
        <f ca="1">TRIM(Raw_Data!D490)</f>
        <v>BR01</v>
      </c>
      <c r="E490" t="str">
        <f ca="1">PROPER(TRIM(Raw_Data!E490))</f>
        <v>Standard</v>
      </c>
      <c r="F490" s="2">
        <f>IFERROR(DATEVALUE(Raw_Data!F490), Raw_Data!F490)</f>
        <v>45422</v>
      </c>
      <c r="G490" s="2">
        <f>IFERROR(
    IF(
        IFERROR(DATEVALUE(Raw_Data!G490), Raw_Data!G490) &lt;
        IFERROR(DATEVALUE(Raw_Data!F490), Raw_Data!F490),
        IFERROR(DATEVALUE(Raw_Data!F490), Raw_Data!F490) + 30,
        IFERROR(DATEVALUE(Raw_Data!G490), Raw_Data!G490)
    ),
    ""
)</f>
        <v>45512</v>
      </c>
      <c r="H490">
        <f>IFERROR(VALUE(Raw_Data!H490), "")</f>
        <v>2000</v>
      </c>
      <c r="I490">
        <f ca="1">IFERROR(VALUE(Raw_Data!I490), "")</f>
        <v>16000</v>
      </c>
      <c r="J490">
        <f>IFERROR(
    VALUE(SUBSTITUTE(Raw_Data!J490," visits","")),
    ""
)</f>
        <v>18</v>
      </c>
      <c r="K490" t="str">
        <f ca="1">IF(TRIM(Raw_Data!K490)="","No",PROPER(TRIM(Raw_Data!K490)))</f>
        <v>Yes</v>
      </c>
      <c r="L490" t="str">
        <f ca="1">PROPER(TRIM(Raw_Data!L490))</f>
        <v>Weight Loss</v>
      </c>
      <c r="M490" t="s">
        <v>151</v>
      </c>
      <c r="N490" s="2">
        <f>IFERROR(DATEVALUE(Raw_Data!N490), Raw_Data!N490)</f>
        <v>45444</v>
      </c>
      <c r="O490" s="2"/>
      <c r="P490" t="str">
        <f>IF(COUNTIF($A$2:A490,A490)&gt;1,"Duplicate","Unique")</f>
        <v>Unique</v>
      </c>
      <c r="Q490" t="str">
        <f t="shared" si="14"/>
        <v>OK</v>
      </c>
      <c r="R490" t="str">
        <f t="shared" si="15"/>
        <v>Available</v>
      </c>
    </row>
    <row r="491" spans="1:18">
      <c r="A491" t="str">
        <f>TRIM(CLEAN(Raw_Data!A491))</f>
        <v>MEM0490</v>
      </c>
      <c r="B491" t="str">
        <f ca="1">TRIM(Raw_Data!B491)</f>
        <v>Lakshmi Kapoor</v>
      </c>
      <c r="C491" t="str">
        <f ca="1">_xlfn.XLOOKUP(D491, Branch_Master!A:A, Branch_Master!B:B)</f>
        <v>Calicut</v>
      </c>
      <c r="D491" t="str">
        <f ca="1">TRIM(Raw_Data!D491)</f>
        <v>BR07</v>
      </c>
      <c r="E491" t="str">
        <f ca="1">PROPER(TRIM(Raw_Data!E491))</f>
        <v>Premium</v>
      </c>
      <c r="F491" s="2">
        <f>IFERROR(DATEVALUE(Raw_Data!F491), Raw_Data!F491)</f>
        <v>45767</v>
      </c>
      <c r="G491" s="2">
        <f>IFERROR(
    IF(
        IFERROR(DATEVALUE(Raw_Data!G491), Raw_Data!G491) &lt;
        IFERROR(DATEVALUE(Raw_Data!F491), Raw_Data!F491),
        IFERROR(DATEVALUE(Raw_Data!F491), Raw_Data!F491) + 30,
        IFERROR(DATEVALUE(Raw_Data!G491), Raw_Data!G491)
    ),
    ""
)</f>
        <v>45857</v>
      </c>
      <c r="H491">
        <f>IFERROR(VALUE(Raw_Data!H491), "")</f>
        <v>2000</v>
      </c>
      <c r="I491">
        <f ca="1">IFERROR(VALUE(Raw_Data!I491), "")</f>
        <v>16000</v>
      </c>
      <c r="J491">
        <f>IFERROR(
    VALUE(SUBSTITUTE(Raw_Data!J491," visits","")),
    ""
)</f>
        <v>24</v>
      </c>
      <c r="K491" t="str">
        <f ca="1">IF(TRIM(Raw_Data!K491)="","No",PROPER(TRIM(Raw_Data!K491)))</f>
        <v>No</v>
      </c>
      <c r="L491" t="str">
        <f ca="1">PROPER(TRIM(Raw_Data!L491))</f>
        <v>General Fitness</v>
      </c>
      <c r="M491" t="s">
        <v>151</v>
      </c>
      <c r="N491" s="2">
        <f>IFERROR(DATEVALUE(Raw_Data!N491), Raw_Data!N491)</f>
        <v>45923</v>
      </c>
      <c r="O491" s="2"/>
      <c r="P491" t="str">
        <f>IF(COUNTIF($A$2:A491,A491)&gt;1,"Duplicate","Unique")</f>
        <v>Unique</v>
      </c>
      <c r="Q491" t="str">
        <f t="shared" si="14"/>
        <v>OK</v>
      </c>
      <c r="R491" t="str">
        <f t="shared" si="15"/>
        <v>Available</v>
      </c>
    </row>
    <row r="492" spans="1:18">
      <c r="A492" t="str">
        <f>TRIM(CLEAN(Raw_Data!A492))</f>
        <v>MEM0491</v>
      </c>
      <c r="B492" t="str">
        <f ca="1">TRIM(Raw_Data!B492)</f>
        <v>Aditya Singh</v>
      </c>
      <c r="C492" t="str">
        <f ca="1">_xlfn.XLOOKUP(D492, Branch_Master!A:A, Branch_Master!B:B)</f>
        <v>Trivandrum</v>
      </c>
      <c r="D492" t="str">
        <f ca="1">TRIM(Raw_Data!D492)</f>
        <v>BR06</v>
      </c>
      <c r="E492" t="str">
        <f ca="1">PROPER(TRIM(Raw_Data!E492))</f>
        <v>Standard</v>
      </c>
      <c r="F492" s="2">
        <f>IFERROR(DATEVALUE(Raw_Data!F492), Raw_Data!F492)</f>
        <v>46031</v>
      </c>
      <c r="G492" s="2">
        <f>IFERROR(
    IF(
        IFERROR(DATEVALUE(Raw_Data!G492), Raw_Data!G492) &lt;
        IFERROR(DATEVALUE(Raw_Data!F492), Raw_Data!F492),
        IFERROR(DATEVALUE(Raw_Data!F492), Raw_Data!F492) + 30,
        IFERROR(DATEVALUE(Raw_Data!G492), Raw_Data!G492)
    ),
    ""
)</f>
        <v>46061</v>
      </c>
      <c r="H492">
        <f>IFERROR(VALUE(Raw_Data!H492), "")</f>
        <v>2000</v>
      </c>
      <c r="I492">
        <f ca="1">IFERROR(VALUE(Raw_Data!I492), "")</f>
        <v>24000</v>
      </c>
      <c r="J492">
        <f>IFERROR(
    VALUE(SUBSTITUTE(Raw_Data!J492," visits","")),
    ""
)</f>
        <v>8</v>
      </c>
      <c r="K492" t="str">
        <f ca="1">IF(TRIM(Raw_Data!K492)="","No",PROPER(TRIM(Raw_Data!K492)))</f>
        <v>Yes</v>
      </c>
      <c r="L492" t="str">
        <f ca="1">PROPER(TRIM(Raw_Data!L492))</f>
        <v>Muscle Gain</v>
      </c>
      <c r="M492" t="s">
        <v>151</v>
      </c>
      <c r="N492" s="2">
        <f>IFERROR(DATEVALUE(Raw_Data!N492), Raw_Data!N492)</f>
        <v>46100</v>
      </c>
      <c r="O492" s="2"/>
      <c r="P492" t="str">
        <f>IF(COUNTIF($A$2:A492,A492)&gt;1,"Duplicate","Unique")</f>
        <v>Unique</v>
      </c>
      <c r="Q492" t="str">
        <f t="shared" si="14"/>
        <v>OK</v>
      </c>
      <c r="R492" t="str">
        <f t="shared" si="15"/>
        <v>Available</v>
      </c>
    </row>
    <row r="493" spans="1:18">
      <c r="A493" t="str">
        <f>TRIM(CLEAN(Raw_Data!A493))</f>
        <v>MEM0492</v>
      </c>
      <c r="B493" t="str">
        <f ca="1">TRIM(Raw_Data!B493)</f>
        <v>Fatima Desai</v>
      </c>
      <c r="C493" t="str">
        <f ca="1">_xlfn.XLOOKUP(D493, Branch_Master!A:A, Branch_Master!B:B)</f>
        <v>Chennai</v>
      </c>
      <c r="D493" t="str">
        <f ca="1">TRIM(Raw_Data!D493)</f>
        <v>BR03</v>
      </c>
      <c r="E493" t="str">
        <f ca="1">PROPER(TRIM(Raw_Data!E493))</f>
        <v>Standard</v>
      </c>
      <c r="F493" s="2">
        <f>IFERROR(DATEVALUE(Raw_Data!F493), Raw_Data!F493)</f>
        <v>45446</v>
      </c>
      <c r="G493" s="2">
        <f>IFERROR(
    IF(
        IFERROR(DATEVALUE(Raw_Data!G493), Raw_Data!G493) &lt;
        IFERROR(DATEVALUE(Raw_Data!F493), Raw_Data!F493),
        IFERROR(DATEVALUE(Raw_Data!F493), Raw_Data!F493) + 30,
        IFERROR(DATEVALUE(Raw_Data!G493), Raw_Data!G493)
    ),
    ""
)</f>
        <v>45536</v>
      </c>
      <c r="H493">
        <f>IFERROR(VALUE(Raw_Data!H493), "")</f>
        <v>1000</v>
      </c>
      <c r="I493">
        <f ca="1">IFERROR(VALUE(Raw_Data!I493), "")</f>
        <v>12000</v>
      </c>
      <c r="J493">
        <f>IFERROR(
    VALUE(SUBSTITUTE(Raw_Data!J493," visits","")),
    ""
)</f>
        <v>13</v>
      </c>
      <c r="K493" t="str">
        <f ca="1">IF(TRIM(Raw_Data!K493)="","No",PROPER(TRIM(Raw_Data!K493)))</f>
        <v>No</v>
      </c>
      <c r="L493" t="str">
        <f ca="1">PROPER(TRIM(Raw_Data!L493))</f>
        <v>Weight Loss</v>
      </c>
      <c r="M493" t="s">
        <v>151</v>
      </c>
      <c r="N493" s="2">
        <f>IFERROR(DATEVALUE(Raw_Data!N493), Raw_Data!N493)</f>
        <v>45735</v>
      </c>
      <c r="O493" s="2"/>
      <c r="P493" t="str">
        <f>IF(COUNTIF($A$2:A493,A493)&gt;1,"Duplicate","Unique")</f>
        <v>Unique</v>
      </c>
      <c r="Q493" t="str">
        <f t="shared" si="14"/>
        <v>OK</v>
      </c>
      <c r="R493" t="str">
        <f t="shared" si="15"/>
        <v>Available</v>
      </c>
    </row>
    <row r="494" spans="1:18">
      <c r="A494" t="str">
        <f>TRIM(CLEAN(Raw_Data!A494))</f>
        <v>MEM0493</v>
      </c>
      <c r="B494" t="str">
        <f ca="1">TRIM(Raw_Data!B494)</f>
        <v>Ankit Pillai</v>
      </c>
      <c r="C494" t="str">
        <f ca="1">_xlfn.XLOOKUP(D494, Branch_Master!A:A, Branch_Master!B:B)</f>
        <v>Trivandrum</v>
      </c>
      <c r="D494" t="str">
        <f ca="1">TRIM(Raw_Data!D494)</f>
        <v>BR06</v>
      </c>
      <c r="E494" t="str">
        <f ca="1">PROPER(TRIM(Raw_Data!E494))</f>
        <v>Basic</v>
      </c>
      <c r="F494" s="2">
        <f>IFERROR(DATEVALUE(Raw_Data!F494), Raw_Data!F494)</f>
        <v>46031</v>
      </c>
      <c r="G494" s="2">
        <f>IFERROR(
    IF(
        IFERROR(DATEVALUE(Raw_Data!G494), Raw_Data!G494) &lt;
        IFERROR(DATEVALUE(Raw_Data!F494), Raw_Data!F494),
        IFERROR(DATEVALUE(Raw_Data!F494), Raw_Data!F494) + 30,
        IFERROR(DATEVALUE(Raw_Data!G494), Raw_Data!G494)
    ),
    ""
)</f>
        <v>46396</v>
      </c>
      <c r="H494">
        <f>IFERROR(VALUE(Raw_Data!H494), "")</f>
        <v>3500</v>
      </c>
      <c r="I494">
        <f ca="1">IFERROR(VALUE(Raw_Data!I494), "")</f>
        <v>21000</v>
      </c>
      <c r="J494">
        <f>IFERROR(
    VALUE(SUBSTITUTE(Raw_Data!J494," visits","")),
    ""
)</f>
        <v>7</v>
      </c>
      <c r="K494" t="str">
        <f ca="1">IF(TRIM(Raw_Data!K494)="","No",PROPER(TRIM(Raw_Data!K494)))</f>
        <v>Yes</v>
      </c>
      <c r="L494" t="str">
        <f ca="1">PROPER(TRIM(Raw_Data!L494))</f>
        <v>Muscle Gain</v>
      </c>
      <c r="M494" t="s">
        <v>151</v>
      </c>
      <c r="N494" s="2">
        <f>IFERROR(DATEVALUE(Raw_Data!N494), Raw_Data!N494)</f>
        <v>46036</v>
      </c>
      <c r="O494" s="2"/>
      <c r="P494" t="str">
        <f>IF(COUNTIF($A$2:A494,A494)&gt;1,"Duplicate","Unique")</f>
        <v>Unique</v>
      </c>
      <c r="Q494" t="str">
        <f t="shared" si="14"/>
        <v>OK</v>
      </c>
      <c r="R494" t="str">
        <f t="shared" si="15"/>
        <v>Available</v>
      </c>
    </row>
    <row r="495" spans="1:18">
      <c r="A495" t="str">
        <f>TRIM(CLEAN(Raw_Data!A495))</f>
        <v>MEM0494</v>
      </c>
      <c r="B495" t="str">
        <f ca="1">TRIM(Raw_Data!B495)</f>
        <v>Siddharth George</v>
      </c>
      <c r="C495" t="str">
        <f ca="1">_xlfn.XLOOKUP(D495, Branch_Master!A:A, Branch_Master!B:B)</f>
        <v>Kochi</v>
      </c>
      <c r="D495" t="str">
        <f ca="1">TRIM(Raw_Data!D495)</f>
        <v>BR01</v>
      </c>
      <c r="E495" t="str">
        <f ca="1">PROPER(TRIM(Raw_Data!E495))</f>
        <v>Basic</v>
      </c>
      <c r="F495" s="2">
        <f>IFERROR(DATEVALUE(Raw_Data!F495), Raw_Data!F495)</f>
        <v>45474</v>
      </c>
      <c r="G495" s="2">
        <f>IFERROR(
    IF(
        IFERROR(DATEVALUE(Raw_Data!G495), Raw_Data!G495) &lt;
        IFERROR(DATEVALUE(Raw_Data!F495), Raw_Data!F495),
        IFERROR(DATEVALUE(Raw_Data!F495), Raw_Data!F495) + 30,
        IFERROR(DATEVALUE(Raw_Data!G495), Raw_Data!G495)
    ),
    ""
)</f>
        <v>45504</v>
      </c>
      <c r="H495">
        <f>IFERROR(VALUE(Raw_Data!H495), "")</f>
        <v>2000</v>
      </c>
      <c r="I495">
        <f ca="1">IFERROR(VALUE(Raw_Data!I495), "")</f>
        <v>2000</v>
      </c>
      <c r="J495">
        <f>IFERROR(
    VALUE(SUBSTITUTE(Raw_Data!J495," visits","")),
    ""
)</f>
        <v>16</v>
      </c>
      <c r="K495" t="str">
        <f ca="1">IF(TRIM(Raw_Data!K495)="","No",PROPER(TRIM(Raw_Data!K495)))</f>
        <v>Yes</v>
      </c>
      <c r="L495" t="str">
        <f ca="1">PROPER(TRIM(Raw_Data!L495))</f>
        <v>Weight Loss</v>
      </c>
      <c r="M495" t="s">
        <v>151</v>
      </c>
      <c r="N495" s="2">
        <f>IFERROR(DATEVALUE(Raw_Data!N495), Raw_Data!N495)</f>
        <v>46021</v>
      </c>
      <c r="O495" s="2"/>
      <c r="P495" t="str">
        <f>IF(COUNTIF($A$2:A495,A495)&gt;1,"Duplicate","Unique")</f>
        <v>Unique</v>
      </c>
      <c r="Q495" t="str">
        <f t="shared" si="14"/>
        <v>OK</v>
      </c>
      <c r="R495" t="str">
        <f t="shared" si="15"/>
        <v>Available</v>
      </c>
    </row>
    <row r="496" spans="1:18">
      <c r="A496" t="str">
        <f>TRIM(CLEAN(Raw_Data!A496))</f>
        <v>MEM0495</v>
      </c>
      <c r="B496" t="str">
        <f ca="1">TRIM(Raw_Data!B496)</f>
        <v>Meera Menon</v>
      </c>
      <c r="C496" t="str">
        <f ca="1">_xlfn.XLOOKUP(D496, Branch_Master!A:A, Branch_Master!B:B)</f>
        <v>Trivandrum</v>
      </c>
      <c r="D496" t="str">
        <f ca="1">TRIM(Raw_Data!D496)</f>
        <v>BR06</v>
      </c>
      <c r="E496" t="str">
        <f ca="1">PROPER(TRIM(Raw_Data!E496))</f>
        <v>Basic</v>
      </c>
      <c r="F496" s="2">
        <f>IFERROR(DATEVALUE(Raw_Data!F496), Raw_Data!F496)</f>
        <v>45632</v>
      </c>
      <c r="G496" s="2">
        <f>IFERROR(
    IF(
        IFERROR(DATEVALUE(Raw_Data!G496), Raw_Data!G496) &lt;
        IFERROR(DATEVALUE(Raw_Data!F496), Raw_Data!F496),
        IFERROR(DATEVALUE(Raw_Data!F496), Raw_Data!F496) + 30,
        IFERROR(DATEVALUE(Raw_Data!G496), Raw_Data!G496)
    ),
    ""
)</f>
        <v>45997</v>
      </c>
      <c r="H496">
        <f>IFERROR(VALUE(Raw_Data!H496), "")</f>
        <v>1000</v>
      </c>
      <c r="I496">
        <f ca="1">IFERROR(VALUE(Raw_Data!I496), "")</f>
        <v>5000</v>
      </c>
      <c r="J496">
        <f>IFERROR(
    VALUE(SUBSTITUTE(Raw_Data!J496," visits","")),
    ""
)</f>
        <v>17</v>
      </c>
      <c r="K496" t="str">
        <f ca="1">IF(TRIM(Raw_Data!K496)="","No",PROPER(TRIM(Raw_Data!K496)))</f>
        <v>Yes</v>
      </c>
      <c r="L496" t="str">
        <f ca="1">PROPER(TRIM(Raw_Data!L496))</f>
        <v>Weight Loss</v>
      </c>
      <c r="M496" t="s">
        <v>151</v>
      </c>
      <c r="N496" s="2">
        <f>IFERROR(DATEVALUE(Raw_Data!N496), Raw_Data!N496)</f>
        <v>45834</v>
      </c>
      <c r="O496" s="2"/>
      <c r="P496" t="str">
        <f>IF(COUNTIF($A$2:A496,A496)&gt;1,"Duplicate","Unique")</f>
        <v>Unique</v>
      </c>
      <c r="Q496" t="str">
        <f t="shared" si="14"/>
        <v>OK</v>
      </c>
      <c r="R496" t="str">
        <f t="shared" si="15"/>
        <v>Available</v>
      </c>
    </row>
    <row r="497" spans="1:18">
      <c r="A497" t="str">
        <f>TRIM(CLEAN(Raw_Data!A497))</f>
        <v>MEM0496</v>
      </c>
      <c r="B497" t="str">
        <f ca="1">TRIM(Raw_Data!B497)</f>
        <v>Deepak Varghese</v>
      </c>
      <c r="C497" t="str">
        <f ca="1">_xlfn.XLOOKUP(D497, Branch_Master!A:A, Branch_Master!B:B)</f>
        <v>Bangalore</v>
      </c>
      <c r="D497" t="str">
        <f ca="1">TRIM(Raw_Data!D497)</f>
        <v>BR02</v>
      </c>
      <c r="E497" t="str">
        <f ca="1">PROPER(TRIM(Raw_Data!E497))</f>
        <v>Premium</v>
      </c>
      <c r="F497" s="2">
        <f>IFERROR(DATEVALUE(Raw_Data!F497), Raw_Data!F497)</f>
        <v>44995</v>
      </c>
      <c r="G497" s="2">
        <f>IFERROR(
    IF(
        IFERROR(DATEVALUE(Raw_Data!G497), Raw_Data!G497) &lt;
        IFERROR(DATEVALUE(Raw_Data!F497), Raw_Data!F497),
        IFERROR(DATEVALUE(Raw_Data!F497), Raw_Data!F497) + 30,
        IFERROR(DATEVALUE(Raw_Data!G497), Raw_Data!G497)
    ),
    ""
)</f>
        <v>45085</v>
      </c>
      <c r="H497">
        <f>IFERROR(VALUE(Raw_Data!H497), "")</f>
        <v>1000</v>
      </c>
      <c r="I497">
        <f ca="1">IFERROR(VALUE(Raw_Data!I497), "")</f>
        <v>10000</v>
      </c>
      <c r="J497">
        <f>IFERROR(
    VALUE(SUBSTITUTE(Raw_Data!J497," visits","")),
    ""
)</f>
        <v>18</v>
      </c>
      <c r="K497" t="str">
        <f ca="1">IF(TRIM(Raw_Data!K497)="","No",PROPER(TRIM(Raw_Data!K497)))</f>
        <v>Yes</v>
      </c>
      <c r="L497" t="str">
        <f ca="1">PROPER(TRIM(Raw_Data!L497))</f>
        <v>General Fitness</v>
      </c>
      <c r="M497" t="s">
        <v>151</v>
      </c>
      <c r="N497" s="2">
        <f>IFERROR(DATEVALUE(Raw_Data!N497), Raw_Data!N497)</f>
        <v>45929</v>
      </c>
      <c r="O497" s="2"/>
      <c r="P497" t="str">
        <f>IF(COUNTIF($A$2:A497,A497)&gt;1,"Duplicate","Unique")</f>
        <v>Unique</v>
      </c>
      <c r="Q497" t="str">
        <f t="shared" si="14"/>
        <v>OK</v>
      </c>
      <c r="R497" t="str">
        <f t="shared" si="15"/>
        <v>Available</v>
      </c>
    </row>
    <row r="498" spans="1:18">
      <c r="A498" t="str">
        <f>TRIM(CLEAN(Raw_Data!A498))</f>
        <v>MEM0497</v>
      </c>
      <c r="B498" t="str">
        <f ca="1">TRIM(Raw_Data!B498)</f>
        <v>Swathi Kulkarni</v>
      </c>
      <c r="C498" t="str">
        <f ca="1">_xlfn.XLOOKUP(D498, Branch_Master!A:A, Branch_Master!B:B)</f>
        <v>Chennai</v>
      </c>
      <c r="D498" t="str">
        <f ca="1">TRIM(Raw_Data!D498)</f>
        <v>BR03</v>
      </c>
      <c r="E498" t="str">
        <f ca="1">PROPER(TRIM(Raw_Data!E498))</f>
        <v>Premium</v>
      </c>
      <c r="F498" s="2">
        <f>IFERROR(DATEVALUE(Raw_Data!F498), Raw_Data!F498)</f>
        <v>45461</v>
      </c>
      <c r="G498" s="2">
        <f>IFERROR(
    IF(
        IFERROR(DATEVALUE(Raw_Data!G498), Raw_Data!G498) &lt;
        IFERROR(DATEVALUE(Raw_Data!F498), Raw_Data!F498),
        IFERROR(DATEVALUE(Raw_Data!F498), Raw_Data!F498) + 30,
        IFERROR(DATEVALUE(Raw_Data!G498), Raw_Data!G498)
    ),
    ""
)</f>
        <v>45826</v>
      </c>
      <c r="H498">
        <f>IFERROR(VALUE(Raw_Data!H498), "")</f>
        <v>2000</v>
      </c>
      <c r="I498">
        <f ca="1">IFERROR(VALUE(Raw_Data!I498), "")</f>
        <v>18000</v>
      </c>
      <c r="J498">
        <f>IFERROR(
    VALUE(SUBSTITUTE(Raw_Data!J498," visits","")),
    ""
)</f>
        <v>5</v>
      </c>
      <c r="K498" t="str">
        <f ca="1">IF(TRIM(Raw_Data!K498)="","No",PROPER(TRIM(Raw_Data!K498)))</f>
        <v>Yes</v>
      </c>
      <c r="L498" t="str">
        <f ca="1">PROPER(TRIM(Raw_Data!L498))</f>
        <v>General Fitness</v>
      </c>
      <c r="M498" t="s">
        <v>151</v>
      </c>
      <c r="N498" s="2">
        <f>IFERROR(DATEVALUE(Raw_Data!N498), Raw_Data!N498)</f>
        <v>45776</v>
      </c>
      <c r="O498" s="2"/>
      <c r="P498" t="str">
        <f>IF(COUNTIF($A$2:A498,A498)&gt;1,"Duplicate","Unique")</f>
        <v>Unique</v>
      </c>
      <c r="Q498" t="str">
        <f t="shared" si="14"/>
        <v>OK</v>
      </c>
      <c r="R498" t="str">
        <f t="shared" si="15"/>
        <v>Available</v>
      </c>
    </row>
    <row r="499" spans="1:18">
      <c r="A499" t="str">
        <f>TRIM(CLEAN(Raw_Data!A499))</f>
        <v>MEM0498</v>
      </c>
      <c r="B499" t="str">
        <f ca="1">TRIM(Raw_Data!B499)</f>
        <v>Meera Menon</v>
      </c>
      <c r="C499" t="str">
        <f ca="1">_xlfn.XLOOKUP(D499, Branch_Master!A:A, Branch_Master!B:B)</f>
        <v>Hyderabad</v>
      </c>
      <c r="D499" t="str">
        <f ca="1">TRIM(Raw_Data!D499)</f>
        <v>BR04</v>
      </c>
      <c r="E499" t="str">
        <f ca="1">PROPER(TRIM(Raw_Data!E499))</f>
        <v>Standard</v>
      </c>
      <c r="F499" s="2">
        <f>IFERROR(DATEVALUE(Raw_Data!F499), Raw_Data!F499)</f>
        <v>45140</v>
      </c>
      <c r="G499" s="2">
        <f>IFERROR(
    IF(
        IFERROR(DATEVALUE(Raw_Data!G499), Raw_Data!G499) &lt;
        IFERROR(DATEVALUE(Raw_Data!F499), Raw_Data!F499),
        IFERROR(DATEVALUE(Raw_Data!F499), Raw_Data!F499) + 30,
        IFERROR(DATEVALUE(Raw_Data!G499), Raw_Data!G499)
    ),
    ""
)</f>
        <v>45505</v>
      </c>
      <c r="H499">
        <f>IFERROR(VALUE(Raw_Data!H499), "")</f>
        <v>3500</v>
      </c>
      <c r="I499">
        <f ca="1">IFERROR(VALUE(Raw_Data!I499), "")</f>
        <v>31500</v>
      </c>
      <c r="J499">
        <f>IFERROR(
    VALUE(SUBSTITUTE(Raw_Data!J499," visits","")),
    ""
)</f>
        <v>14</v>
      </c>
      <c r="K499" t="str">
        <f ca="1">IF(TRIM(Raw_Data!K499)="","No",PROPER(TRIM(Raw_Data!K499)))</f>
        <v>Yes</v>
      </c>
      <c r="L499" t="str">
        <f ca="1">PROPER(TRIM(Raw_Data!L499))</f>
        <v>Weight Loss</v>
      </c>
      <c r="M499" t="s">
        <v>151</v>
      </c>
      <c r="N499" s="2">
        <f>IFERROR(DATEVALUE(Raw_Data!N499), Raw_Data!N499)</f>
        <v>45745</v>
      </c>
      <c r="O499" s="2"/>
      <c r="P499" t="str">
        <f>IF(COUNTIF($A$2:A499,A499)&gt;1,"Duplicate","Unique")</f>
        <v>Unique</v>
      </c>
      <c r="Q499" t="str">
        <f t="shared" si="14"/>
        <v>OK</v>
      </c>
      <c r="R499" t="str">
        <f t="shared" si="15"/>
        <v>Available</v>
      </c>
    </row>
    <row r="500" spans="1:18">
      <c r="A500" t="str">
        <f>TRIM(CLEAN(Raw_Data!A500))</f>
        <v>MEM0499</v>
      </c>
      <c r="B500" t="str">
        <f ca="1">TRIM(Raw_Data!B500)</f>
        <v>Arjun Singh</v>
      </c>
      <c r="C500" t="str">
        <f ca="1">_xlfn.XLOOKUP(D500, Branch_Master!A:A, Branch_Master!B:B)</f>
        <v>Mumbai</v>
      </c>
      <c r="D500" t="str">
        <f ca="1">TRIM(Raw_Data!D500)</f>
        <v>BR05</v>
      </c>
      <c r="E500" t="str">
        <f ca="1">PROPER(TRIM(Raw_Data!E500))</f>
        <v>Basic</v>
      </c>
      <c r="F500" s="2">
        <f>IFERROR(DATEVALUE(Raw_Data!F500), Raw_Data!F500)</f>
        <v>45159</v>
      </c>
      <c r="G500" s="2">
        <f>IFERROR(
    IF(
        IFERROR(DATEVALUE(Raw_Data!G500), Raw_Data!G500) &lt;
        IFERROR(DATEVALUE(Raw_Data!F500), Raw_Data!F500),
        IFERROR(DATEVALUE(Raw_Data!F500), Raw_Data!F500) + 30,
        IFERROR(DATEVALUE(Raw_Data!G500), Raw_Data!G500)
    ),
    ""
)</f>
        <v>45524</v>
      </c>
      <c r="H500">
        <f>IFERROR(VALUE(Raw_Data!H500), "")</f>
        <v>1000</v>
      </c>
      <c r="I500">
        <f ca="1">IFERROR(VALUE(Raw_Data!I500), "")</f>
        <v>12000</v>
      </c>
      <c r="J500">
        <f>IFERROR(
    VALUE(SUBSTITUTE(Raw_Data!J500," visits","")),
    ""
)</f>
        <v>6</v>
      </c>
      <c r="K500" t="str">
        <f ca="1">IF(TRIM(Raw_Data!K500)="","No",PROPER(TRIM(Raw_Data!K500)))</f>
        <v>No</v>
      </c>
      <c r="L500" t="str">
        <f ca="1">PROPER(TRIM(Raw_Data!L500))</f>
        <v>Weight Loss</v>
      </c>
      <c r="M500" t="s">
        <v>151</v>
      </c>
      <c r="N500" s="2">
        <f>IFERROR(DATEVALUE(Raw_Data!N500), Raw_Data!N500)</f>
        <v>45485</v>
      </c>
      <c r="O500" s="2"/>
      <c r="P500" t="str">
        <f>IF(COUNTIF($A$2:A500,A500)&gt;1,"Duplicate","Unique")</f>
        <v>Unique</v>
      </c>
      <c r="Q500" t="str">
        <f t="shared" si="14"/>
        <v>OK</v>
      </c>
      <c r="R500" t="str">
        <f t="shared" si="15"/>
        <v>Available</v>
      </c>
    </row>
    <row r="501" spans="1:18">
      <c r="A501" t="str">
        <f>TRIM(CLEAN(Raw_Data!A501))</f>
        <v>MEM0500</v>
      </c>
      <c r="B501" t="str">
        <f ca="1">TRIM(Raw_Data!B501)</f>
        <v>Harish Nair</v>
      </c>
      <c r="C501" t="str">
        <f ca="1">_xlfn.XLOOKUP(D501, Branch_Master!A:A, Branch_Master!B:B)</f>
        <v>Chennai</v>
      </c>
      <c r="D501" t="str">
        <f ca="1">TRIM(Raw_Data!D501)</f>
        <v>BR03</v>
      </c>
      <c r="E501" t="str">
        <f ca="1">PROPER(TRIM(Raw_Data!E501))</f>
        <v>Premium</v>
      </c>
      <c r="F501" s="2">
        <f>IFERROR(DATEVALUE(Raw_Data!F501), Raw_Data!F501)</f>
        <v>45417</v>
      </c>
      <c r="G501" s="2">
        <f>IFERROR(
    IF(
        IFERROR(DATEVALUE(Raw_Data!G501), Raw_Data!G501) &lt;
        IFERROR(DATEVALUE(Raw_Data!F501), Raw_Data!F501),
        IFERROR(DATEVALUE(Raw_Data!F501), Raw_Data!F501) + 30,
        IFERROR(DATEVALUE(Raw_Data!G501), Raw_Data!G501)
    ),
    ""
)</f>
        <v>45447</v>
      </c>
      <c r="H501">
        <f>IFERROR(VALUE(Raw_Data!H501), "")</f>
        <v>3500</v>
      </c>
      <c r="I501">
        <f ca="1">IFERROR(VALUE(Raw_Data!I501), "")</f>
        <v>38500</v>
      </c>
      <c r="J501">
        <f>IFERROR(
    VALUE(SUBSTITUTE(Raw_Data!J501," visits","")),
    ""
)</f>
        <v>4</v>
      </c>
      <c r="K501" t="str">
        <f ca="1">IF(TRIM(Raw_Data!K501)="","No",PROPER(TRIM(Raw_Data!K501)))</f>
        <v>Yes</v>
      </c>
      <c r="L501" t="str">
        <f ca="1">PROPER(TRIM(Raw_Data!L501))</f>
        <v>Muscle Gain</v>
      </c>
      <c r="M501" t="s">
        <v>151</v>
      </c>
      <c r="N501" s="2">
        <f>IFERROR(DATEVALUE(Raw_Data!N501), Raw_Data!N501)</f>
        <v>45434</v>
      </c>
      <c r="O501" s="2"/>
      <c r="P501" t="str">
        <f>IF(COUNTIF($A$2:A501,A501)&gt;1,"Duplicate","Unique")</f>
        <v>Unique</v>
      </c>
      <c r="Q501" t="str">
        <f t="shared" si="14"/>
        <v>OK</v>
      </c>
      <c r="R501" t="str">
        <f t="shared" si="15"/>
        <v>Available</v>
      </c>
    </row>
    <row r="502" spans="1:18">
      <c r="A502" t="str">
        <f>TRIM(CLEAN(Raw_Data!A502))</f>
        <v>MEM0501</v>
      </c>
      <c r="B502" t="str">
        <f ca="1">TRIM(Raw_Data!B502)</f>
        <v>Akash Shetty</v>
      </c>
      <c r="C502" t="str">
        <f ca="1">_xlfn.XLOOKUP(D502, Branch_Master!A:A, Branch_Master!B:B)</f>
        <v>Calicut</v>
      </c>
      <c r="D502" t="str">
        <f ca="1">TRIM(Raw_Data!D502)</f>
        <v>BR07</v>
      </c>
      <c r="E502" t="str">
        <f ca="1">PROPER(TRIM(Raw_Data!E502))</f>
        <v>Standard</v>
      </c>
      <c r="F502" s="2">
        <f>IFERROR(DATEVALUE(Raw_Data!F502), Raw_Data!F502)</f>
        <v>45297</v>
      </c>
      <c r="G502" s="2">
        <f>IFERROR(
    IF(
        IFERROR(DATEVALUE(Raw_Data!G502), Raw_Data!G502) &lt;
        IFERROR(DATEVALUE(Raw_Data!F502), Raw_Data!F502),
        IFERROR(DATEVALUE(Raw_Data!F502), Raw_Data!F502) + 30,
        IFERROR(DATEVALUE(Raw_Data!G502), Raw_Data!G502)
    ),
    ""
)</f>
        <v>45327</v>
      </c>
      <c r="H502">
        <f>IFERROR(VALUE(Raw_Data!H502), "")</f>
        <v>1000</v>
      </c>
      <c r="I502">
        <f ca="1">IFERROR(VALUE(Raw_Data!I502), "")</f>
        <v>8000</v>
      </c>
      <c r="J502">
        <f>IFERROR(
    VALUE(SUBSTITUTE(Raw_Data!J502," visits","")),
    ""
)</f>
        <v>6</v>
      </c>
      <c r="K502" t="str">
        <f ca="1">IF(TRIM(Raw_Data!K502)="","No",PROPER(TRIM(Raw_Data!K502)))</f>
        <v>Yes</v>
      </c>
      <c r="L502" t="str">
        <f ca="1">PROPER(TRIM(Raw_Data!L502))</f>
        <v>General Fitness</v>
      </c>
      <c r="M502" t="s">
        <v>151</v>
      </c>
      <c r="N502" s="2">
        <f>IFERROR(DATEVALUE(Raw_Data!N502), Raw_Data!N502)</f>
        <v>45857</v>
      </c>
      <c r="O502" s="2"/>
      <c r="P502" t="str">
        <f>IF(COUNTIF($A$2:A502,A502)&gt;1,"Duplicate","Unique")</f>
        <v>Unique</v>
      </c>
      <c r="Q502" t="str">
        <f t="shared" si="14"/>
        <v>OK</v>
      </c>
      <c r="R502" t="str">
        <f t="shared" si="15"/>
        <v>Available</v>
      </c>
    </row>
    <row r="503" spans="1:18">
      <c r="A503" t="str">
        <f>TRIM(CLEAN(Raw_Data!A503))</f>
        <v>MEM0502</v>
      </c>
      <c r="B503" t="str">
        <f ca="1">TRIM(Raw_Data!B503)</f>
        <v>Nisha Gupta</v>
      </c>
      <c r="C503" t="str">
        <f ca="1">_xlfn.XLOOKUP(D503, Branch_Master!A:A, Branch_Master!B:B)</f>
        <v>Mumbai</v>
      </c>
      <c r="D503" t="str">
        <f ca="1">TRIM(Raw_Data!D503)</f>
        <v>BR05</v>
      </c>
      <c r="E503" t="str">
        <f ca="1">PROPER(TRIM(Raw_Data!E503))</f>
        <v>Standard</v>
      </c>
      <c r="F503" s="2">
        <f>IFERROR(DATEVALUE(Raw_Data!F503), Raw_Data!F503)</f>
        <v>45548</v>
      </c>
      <c r="G503" s="2">
        <f>IFERROR(
    IF(
        IFERROR(DATEVALUE(Raw_Data!G503), Raw_Data!G503) &lt;
        IFERROR(DATEVALUE(Raw_Data!F503), Raw_Data!F503),
        IFERROR(DATEVALUE(Raw_Data!F503), Raw_Data!F503) + 30,
        IFERROR(DATEVALUE(Raw_Data!G503), Raw_Data!G503)
    ),
    ""
)</f>
        <v>45913</v>
      </c>
      <c r="H503">
        <f>IFERROR(VALUE(Raw_Data!H503), "")</f>
        <v>1000</v>
      </c>
      <c r="I503">
        <f ca="1">IFERROR(VALUE(Raw_Data!I503), "")</f>
        <v>2000</v>
      </c>
      <c r="J503">
        <f>IFERROR(
    VALUE(SUBSTITUTE(Raw_Data!J503," visits","")),
    ""
)</f>
        <v>10</v>
      </c>
      <c r="K503" t="str">
        <f ca="1">IF(TRIM(Raw_Data!K503)="","No",PROPER(TRIM(Raw_Data!K503)))</f>
        <v>No</v>
      </c>
      <c r="L503" t="str">
        <f ca="1">PROPER(TRIM(Raw_Data!L503))</f>
        <v>General Fitness</v>
      </c>
      <c r="M503" t="s">
        <v>151</v>
      </c>
      <c r="N503" s="2">
        <f>IFERROR(DATEVALUE(Raw_Data!N503), Raw_Data!N503)</f>
        <v>45746</v>
      </c>
      <c r="O503" s="2"/>
      <c r="P503" t="str">
        <f>IF(COUNTIF($A$2:A503,A503)&gt;1,"Duplicate","Unique")</f>
        <v>Unique</v>
      </c>
      <c r="Q503" t="str">
        <f t="shared" si="14"/>
        <v>OK</v>
      </c>
      <c r="R503" t="str">
        <f t="shared" si="15"/>
        <v>Available</v>
      </c>
    </row>
    <row r="504" spans="1:18">
      <c r="A504" t="str">
        <f>TRIM(CLEAN(Raw_Data!A504))</f>
        <v>MEM0503</v>
      </c>
      <c r="B504" t="str">
        <f ca="1">TRIM(Raw_Data!B504)</f>
        <v>Lakshmi Patel</v>
      </c>
      <c r="C504" t="str">
        <f ca="1">_xlfn.XLOOKUP(D504, Branch_Master!A:A, Branch_Master!B:B)</f>
        <v>Kochi</v>
      </c>
      <c r="D504" t="str">
        <f ca="1">TRIM(Raw_Data!D504)</f>
        <v>BR01</v>
      </c>
      <c r="E504" t="str">
        <f ca="1">PROPER(TRIM(Raw_Data!E504))</f>
        <v>Standard</v>
      </c>
      <c r="F504" s="2">
        <f>IFERROR(DATEVALUE(Raw_Data!F504), Raw_Data!F504)</f>
        <v>45696</v>
      </c>
      <c r="G504" s="2">
        <f>IFERROR(
    IF(
        IFERROR(DATEVALUE(Raw_Data!G504), Raw_Data!G504) &lt;
        IFERROR(DATEVALUE(Raw_Data!F504), Raw_Data!F504),
        IFERROR(DATEVALUE(Raw_Data!F504), Raw_Data!F504) + 30,
        IFERROR(DATEVALUE(Raw_Data!G504), Raw_Data!G504)
    ),
    ""
)</f>
        <v>45726</v>
      </c>
      <c r="H504">
        <f>IFERROR(VALUE(Raw_Data!H504), "")</f>
        <v>1000</v>
      </c>
      <c r="I504">
        <f ca="1">IFERROR(VALUE(Raw_Data!I504), "")</f>
        <v>10000</v>
      </c>
      <c r="J504">
        <f>IFERROR(
    VALUE(SUBSTITUTE(Raw_Data!J504," visits","")),
    ""
)</f>
        <v>0</v>
      </c>
      <c r="K504" t="str">
        <f ca="1">IF(TRIM(Raw_Data!K504)="","No",PROPER(TRIM(Raw_Data!K504)))</f>
        <v>No</v>
      </c>
      <c r="L504" t="str">
        <f ca="1">PROPER(TRIM(Raw_Data!L504))</f>
        <v>Weight Loss</v>
      </c>
      <c r="M504" t="s">
        <v>152</v>
      </c>
      <c r="N504" s="2">
        <f>IFERROR(DATEVALUE(Raw_Data!N504), Raw_Data!N504)</f>
        <v>45744</v>
      </c>
      <c r="O504" s="2"/>
      <c r="P504" t="str">
        <f>IF(COUNTIF($A$2:A504,A504)&gt;1,"Duplicate","Unique")</f>
        <v>Unique</v>
      </c>
      <c r="Q504" t="str">
        <f t="shared" si="14"/>
        <v>Cancelled but Active</v>
      </c>
      <c r="R504" t="str">
        <f t="shared" si="15"/>
        <v>Available</v>
      </c>
    </row>
    <row r="505" spans="1:18">
      <c r="A505" t="str">
        <f>TRIM(CLEAN(Raw_Data!A505))</f>
        <v>MEM0504</v>
      </c>
      <c r="B505" t="str">
        <f ca="1">TRIM(Raw_Data!B505)</f>
        <v>Arjun Mathew</v>
      </c>
      <c r="C505" t="str">
        <f ca="1">_xlfn.XLOOKUP(D505, Branch_Master!A:A, Branch_Master!B:B)</f>
        <v>Hyderabad</v>
      </c>
      <c r="D505" t="str">
        <f ca="1">TRIM(Raw_Data!D505)</f>
        <v>BR04</v>
      </c>
      <c r="E505" t="str">
        <f ca="1">PROPER(TRIM(Raw_Data!E505))</f>
        <v>Premium</v>
      </c>
      <c r="F505" s="2">
        <f>IFERROR(DATEVALUE(Raw_Data!F505), Raw_Data!F505)</f>
        <v>45284</v>
      </c>
      <c r="G505" s="2">
        <f>IFERROR(
    IF(
        IFERROR(DATEVALUE(Raw_Data!G505), Raw_Data!G505) &lt;
        IFERROR(DATEVALUE(Raw_Data!F505), Raw_Data!F505),
        IFERROR(DATEVALUE(Raw_Data!F505), Raw_Data!F505) + 30,
        IFERROR(DATEVALUE(Raw_Data!G505), Raw_Data!G505)
    ),
    ""
)</f>
        <v>45649</v>
      </c>
      <c r="H505">
        <f>IFERROR(VALUE(Raw_Data!H505), "")</f>
        <v>2000</v>
      </c>
      <c r="I505">
        <f ca="1">IFERROR(VALUE(Raw_Data!I505), "")</f>
        <v>4000</v>
      </c>
      <c r="J505">
        <f>IFERROR(
    VALUE(SUBSTITUTE(Raw_Data!J505," visits","")),
    ""
)</f>
        <v>14</v>
      </c>
      <c r="K505" t="str">
        <f ca="1">IF(TRIM(Raw_Data!K505)="","No",PROPER(TRIM(Raw_Data!K505)))</f>
        <v>No</v>
      </c>
      <c r="L505" t="str">
        <f ca="1">PROPER(TRIM(Raw_Data!L505))</f>
        <v>Muscle Gain</v>
      </c>
      <c r="M505" t="s">
        <v>151</v>
      </c>
      <c r="N505" s="2">
        <f>IFERROR(DATEVALUE(Raw_Data!N505), Raw_Data!N505)</f>
        <v>45386</v>
      </c>
      <c r="O505" s="2"/>
      <c r="P505" t="str">
        <f>IF(COUNTIF($A$2:A505,A505)&gt;1,"Duplicate","Unique")</f>
        <v>Unique</v>
      </c>
      <c r="Q505" t="str">
        <f t="shared" si="14"/>
        <v>OK</v>
      </c>
      <c r="R505" t="str">
        <f t="shared" si="15"/>
        <v>Available</v>
      </c>
    </row>
    <row r="506" spans="1:18">
      <c r="A506" t="str">
        <f>TRIM(CLEAN(Raw_Data!A506))</f>
        <v>MEM0505</v>
      </c>
      <c r="B506" t="str">
        <f ca="1">TRIM(Raw_Data!B506)</f>
        <v>Fatima Gupta</v>
      </c>
      <c r="C506" t="str">
        <f ca="1">_xlfn.XLOOKUP(D506, Branch_Master!A:A, Branch_Master!B:B)</f>
        <v>Mumbai</v>
      </c>
      <c r="D506" t="str">
        <f ca="1">TRIM(Raw_Data!D506)</f>
        <v>BR05</v>
      </c>
      <c r="E506" t="str">
        <f ca="1">PROPER(TRIM(Raw_Data!E506))</f>
        <v>Premium</v>
      </c>
      <c r="F506" s="2">
        <f>IFERROR(DATEVALUE(Raw_Data!F506), Raw_Data!F506)</f>
        <v>45457</v>
      </c>
      <c r="G506" s="2">
        <f>IFERROR(
    IF(
        IFERROR(DATEVALUE(Raw_Data!G506), Raw_Data!G506) &lt;
        IFERROR(DATEVALUE(Raw_Data!F506), Raw_Data!F506),
        IFERROR(DATEVALUE(Raw_Data!F506), Raw_Data!F506) + 30,
        IFERROR(DATEVALUE(Raw_Data!G506), Raw_Data!G506)
    ),
    ""
)</f>
        <v>45547</v>
      </c>
      <c r="H506">
        <f>IFERROR(VALUE(Raw_Data!H506), "")</f>
        <v>1000</v>
      </c>
      <c r="I506">
        <f ca="1">IFERROR(VALUE(Raw_Data!I506), "")</f>
        <v>9000</v>
      </c>
      <c r="J506">
        <f>IFERROR(
    VALUE(SUBSTITUTE(Raw_Data!J506," visits","")),
    ""
)</f>
        <v>3</v>
      </c>
      <c r="K506" t="str">
        <f ca="1">IF(TRIM(Raw_Data!K506)="","No",PROPER(TRIM(Raw_Data!K506)))</f>
        <v>Yes</v>
      </c>
      <c r="L506" t="str">
        <f ca="1">PROPER(TRIM(Raw_Data!L506))</f>
        <v>Weight Loss</v>
      </c>
      <c r="M506" t="s">
        <v>152</v>
      </c>
      <c r="N506" s="2">
        <f>IFERROR(DATEVALUE(Raw_Data!N506), Raw_Data!N506)</f>
        <v>45705</v>
      </c>
      <c r="O506" s="2"/>
      <c r="P506" t="str">
        <f>IF(COUNTIF($A$2:A506,A506)&gt;1,"Duplicate","Unique")</f>
        <v>Unique</v>
      </c>
      <c r="Q506" t="str">
        <f t="shared" si="14"/>
        <v>Cancelled but Active</v>
      </c>
      <c r="R506" t="str">
        <f t="shared" si="15"/>
        <v>Available</v>
      </c>
    </row>
    <row r="507" spans="1:18">
      <c r="A507" t="str">
        <f>TRIM(CLEAN(Raw_Data!A507))</f>
        <v>MEM0506</v>
      </c>
      <c r="B507" t="str">
        <f ca="1">TRIM(Raw_Data!B507)</f>
        <v>Swathi Nair</v>
      </c>
      <c r="C507" t="str">
        <f ca="1">_xlfn.XLOOKUP(D507, Branch_Master!A:A, Branch_Master!B:B)</f>
        <v>Trivandrum</v>
      </c>
      <c r="D507" t="str">
        <f ca="1">TRIM(Raw_Data!D507)</f>
        <v>BR06</v>
      </c>
      <c r="E507" t="str">
        <f ca="1">PROPER(TRIM(Raw_Data!E507))</f>
        <v>Premium</v>
      </c>
      <c r="F507" s="2">
        <f>IFERROR(DATEVALUE(Raw_Data!F507), Raw_Data!F507)</f>
        <v>45101</v>
      </c>
      <c r="G507" s="2">
        <f>IFERROR(
    IF(
        IFERROR(DATEVALUE(Raw_Data!G507), Raw_Data!G507) &lt;
        IFERROR(DATEVALUE(Raw_Data!F507), Raw_Data!F507),
        IFERROR(DATEVALUE(Raw_Data!F507), Raw_Data!F507) + 30,
        IFERROR(DATEVALUE(Raw_Data!G507), Raw_Data!G507)
    ),
    ""
)</f>
        <v>45131</v>
      </c>
      <c r="H507">
        <f>IFERROR(VALUE(Raw_Data!H507), "")</f>
        <v>3500</v>
      </c>
      <c r="I507">
        <f ca="1">IFERROR(VALUE(Raw_Data!I507), "")</f>
        <v>17500</v>
      </c>
      <c r="J507">
        <f>IFERROR(
    VALUE(SUBSTITUTE(Raw_Data!J507," visits","")),
    ""
)</f>
        <v>14</v>
      </c>
      <c r="K507" t="str">
        <f ca="1">IF(TRIM(Raw_Data!K507)="","No",PROPER(TRIM(Raw_Data!K507)))</f>
        <v>No</v>
      </c>
      <c r="L507" t="str">
        <f ca="1">PROPER(TRIM(Raw_Data!L507))</f>
        <v>General Fitness</v>
      </c>
      <c r="M507" t="s">
        <v>151</v>
      </c>
      <c r="N507" s="2">
        <f>IFERROR(DATEVALUE(Raw_Data!N507), Raw_Data!N507)</f>
        <v>45804</v>
      </c>
      <c r="O507" s="2"/>
      <c r="P507" t="str">
        <f>IF(COUNTIF($A$2:A507,A507)&gt;1,"Duplicate","Unique")</f>
        <v>Unique</v>
      </c>
      <c r="Q507" t="str">
        <f t="shared" si="14"/>
        <v>OK</v>
      </c>
      <c r="R507" t="str">
        <f t="shared" si="15"/>
        <v>Available</v>
      </c>
    </row>
    <row r="508" spans="1:18">
      <c r="A508" t="str">
        <f>TRIM(CLEAN(Raw_Data!A508))</f>
        <v>MEM0507</v>
      </c>
      <c r="B508" t="str">
        <f ca="1">TRIM(Raw_Data!B508)</f>
        <v>Rahul Naidu</v>
      </c>
      <c r="C508" t="str">
        <f ca="1">_xlfn.XLOOKUP(D508, Branch_Master!A:A, Branch_Master!B:B)</f>
        <v>Bangalore</v>
      </c>
      <c r="D508" t="str">
        <f ca="1">TRIM(Raw_Data!D508)</f>
        <v>BR02</v>
      </c>
      <c r="E508" t="str">
        <f ca="1">PROPER(TRIM(Raw_Data!E508))</f>
        <v>Basic</v>
      </c>
      <c r="F508" s="2">
        <f>IFERROR(DATEVALUE(Raw_Data!F508), Raw_Data!F508)</f>
        <v>45156</v>
      </c>
      <c r="G508" s="2">
        <f>IFERROR(
    IF(
        IFERROR(DATEVALUE(Raw_Data!G508), Raw_Data!G508) &lt;
        IFERROR(DATEVALUE(Raw_Data!F508), Raw_Data!F508),
        IFERROR(DATEVALUE(Raw_Data!F508), Raw_Data!F508) + 30,
        IFERROR(DATEVALUE(Raw_Data!G508), Raw_Data!G508)
    ),
    ""
)</f>
        <v>45246</v>
      </c>
      <c r="H508">
        <f>IFERROR(VALUE(Raw_Data!H508), "")</f>
        <v>3500</v>
      </c>
      <c r="I508">
        <f ca="1">IFERROR(VALUE(Raw_Data!I508), "")</f>
        <v>42000</v>
      </c>
      <c r="J508">
        <f>IFERROR(
    VALUE(SUBSTITUTE(Raw_Data!J508," visits","")),
    ""
)</f>
        <v>12</v>
      </c>
      <c r="K508" t="str">
        <f ca="1">IF(TRIM(Raw_Data!K508)="","No",PROPER(TRIM(Raw_Data!K508)))</f>
        <v>Yes</v>
      </c>
      <c r="L508" t="str">
        <f ca="1">PROPER(TRIM(Raw_Data!L508))</f>
        <v>General Fitness</v>
      </c>
      <c r="M508" t="s">
        <v>151</v>
      </c>
      <c r="N508" s="2">
        <f>IFERROR(DATEVALUE(Raw_Data!N508), Raw_Data!N508)</f>
        <v>45925</v>
      </c>
      <c r="O508" s="2"/>
      <c r="P508" t="str">
        <f>IF(COUNTIF($A$2:A508,A508)&gt;1,"Duplicate","Unique")</f>
        <v>Unique</v>
      </c>
      <c r="Q508" t="str">
        <f t="shared" si="14"/>
        <v>OK</v>
      </c>
      <c r="R508" t="str">
        <f t="shared" si="15"/>
        <v>Available</v>
      </c>
    </row>
    <row r="509" spans="1:18">
      <c r="A509" t="str">
        <f>TRIM(CLEAN(Raw_Data!A509))</f>
        <v>MEM0508</v>
      </c>
      <c r="B509" t="str">
        <f ca="1">TRIM(Raw_Data!B509)</f>
        <v>Sneha Bhat</v>
      </c>
      <c r="C509" t="str">
        <f ca="1">_xlfn.XLOOKUP(D509, Branch_Master!A:A, Branch_Master!B:B)</f>
        <v>Bangalore</v>
      </c>
      <c r="D509" t="str">
        <f ca="1">TRIM(Raw_Data!D509)</f>
        <v>BR02</v>
      </c>
      <c r="E509" t="str">
        <f ca="1">PROPER(TRIM(Raw_Data!E509))</f>
        <v>Basic</v>
      </c>
      <c r="F509" s="2">
        <f>IFERROR(DATEVALUE(Raw_Data!F509), Raw_Data!F509)</f>
        <v>45651</v>
      </c>
      <c r="G509" s="2">
        <f>IFERROR(
    IF(
        IFERROR(DATEVALUE(Raw_Data!G509), Raw_Data!G509) &lt;
        IFERROR(DATEVALUE(Raw_Data!F509), Raw_Data!F509),
        IFERROR(DATEVALUE(Raw_Data!F509), Raw_Data!F509) + 30,
        IFERROR(DATEVALUE(Raw_Data!G509), Raw_Data!G509)
    ),
    ""
)</f>
        <v>46016</v>
      </c>
      <c r="H509">
        <f>IFERROR(VALUE(Raw_Data!H509), "")</f>
        <v>1000</v>
      </c>
      <c r="I509">
        <f ca="1">IFERROR(VALUE(Raw_Data!I509), "")</f>
        <v>2000</v>
      </c>
      <c r="J509">
        <f>IFERROR(
    VALUE(SUBSTITUTE(Raw_Data!J509," visits","")),
    ""
)</f>
        <v>12</v>
      </c>
      <c r="K509" t="str">
        <f ca="1">IF(TRIM(Raw_Data!K509)="","No",PROPER(TRIM(Raw_Data!K509)))</f>
        <v>Yes</v>
      </c>
      <c r="L509" t="str">
        <f ca="1">PROPER(TRIM(Raw_Data!L509))</f>
        <v>Muscle Gain</v>
      </c>
      <c r="M509" t="s">
        <v>151</v>
      </c>
      <c r="N509" s="2">
        <f>IFERROR(DATEVALUE(Raw_Data!N509), Raw_Data!N509)</f>
        <v>45984</v>
      </c>
      <c r="O509" s="2"/>
      <c r="P509" t="str">
        <f>IF(COUNTIF($A$2:A509,A509)&gt;1,"Duplicate","Unique")</f>
        <v>Unique</v>
      </c>
      <c r="Q509" t="str">
        <f t="shared" si="14"/>
        <v>OK</v>
      </c>
      <c r="R509" t="str">
        <f t="shared" si="15"/>
        <v>Available</v>
      </c>
    </row>
    <row r="510" spans="1:18">
      <c r="A510" t="str">
        <f>TRIM(CLEAN(Raw_Data!A510))</f>
        <v>MEM0509</v>
      </c>
      <c r="B510" t="str">
        <f ca="1">TRIM(Raw_Data!B510)</f>
        <v>Akash Gupta</v>
      </c>
      <c r="C510" t="str">
        <f ca="1">_xlfn.XLOOKUP(D510, Branch_Master!A:A, Branch_Master!B:B)</f>
        <v>Mumbai</v>
      </c>
      <c r="D510" t="str">
        <f ca="1">TRIM(Raw_Data!D510)</f>
        <v>BR05</v>
      </c>
      <c r="E510" t="str">
        <f ca="1">PROPER(TRIM(Raw_Data!E510))</f>
        <v>Basic</v>
      </c>
      <c r="F510" s="2">
        <f>IFERROR(DATEVALUE(Raw_Data!F510), Raw_Data!F510)</f>
        <v>45020</v>
      </c>
      <c r="G510" s="2">
        <f>IFERROR(
    IF(
        IFERROR(DATEVALUE(Raw_Data!G510), Raw_Data!G510) &lt;
        IFERROR(DATEVALUE(Raw_Data!F510), Raw_Data!F510),
        IFERROR(DATEVALUE(Raw_Data!F510), Raw_Data!F510) + 30,
        IFERROR(DATEVALUE(Raw_Data!G510), Raw_Data!G510)
    ),
    ""
)</f>
        <v>45385</v>
      </c>
      <c r="H510">
        <f>IFERROR(VALUE(Raw_Data!H510), "")</f>
        <v>1000</v>
      </c>
      <c r="I510">
        <f ca="1">IFERROR(VALUE(Raw_Data!I510), "")</f>
        <v>10000</v>
      </c>
      <c r="J510">
        <f>IFERROR(
    VALUE(SUBSTITUTE(Raw_Data!J510," visits","")),
    ""
)</f>
        <v>13</v>
      </c>
      <c r="K510" t="str">
        <f ca="1">IF(TRIM(Raw_Data!K510)="","No",PROPER(TRIM(Raw_Data!K510)))</f>
        <v>No</v>
      </c>
      <c r="L510" t="str">
        <f ca="1">PROPER(TRIM(Raw_Data!L510))</f>
        <v>Muscle Gain</v>
      </c>
      <c r="M510" t="s">
        <v>151</v>
      </c>
      <c r="N510" s="2">
        <f>IFERROR(DATEVALUE(Raw_Data!N510), Raw_Data!N510)</f>
        <v>45313</v>
      </c>
      <c r="O510" s="2"/>
      <c r="P510" t="str">
        <f>IF(COUNTIF($A$2:A510,A510)&gt;1,"Duplicate","Unique")</f>
        <v>Unique</v>
      </c>
      <c r="Q510" t="str">
        <f t="shared" si="14"/>
        <v>OK</v>
      </c>
      <c r="R510" t="str">
        <f t="shared" si="15"/>
        <v>Available</v>
      </c>
    </row>
    <row r="511" spans="1:18">
      <c r="A511" t="str">
        <f>TRIM(CLEAN(Raw_Data!A511))</f>
        <v>MEM0510</v>
      </c>
      <c r="B511" t="str">
        <f ca="1">TRIM(Raw_Data!B511)</f>
        <v>Neha Nair</v>
      </c>
      <c r="C511" t="str">
        <f ca="1">_xlfn.XLOOKUP(D511, Branch_Master!A:A, Branch_Master!B:B)</f>
        <v>Hyderabad</v>
      </c>
      <c r="D511" t="str">
        <f ca="1">TRIM(Raw_Data!D511)</f>
        <v>BR04</v>
      </c>
      <c r="E511" t="str">
        <f ca="1">PROPER(TRIM(Raw_Data!E511))</f>
        <v>Basic</v>
      </c>
      <c r="F511" s="2">
        <f>IFERROR(DATEVALUE(Raw_Data!F511), Raw_Data!F511)</f>
        <v>45157</v>
      </c>
      <c r="G511" s="2">
        <f>IFERROR(
    IF(
        IFERROR(DATEVALUE(Raw_Data!G511), Raw_Data!G511) &lt;
        IFERROR(DATEVALUE(Raw_Data!F511), Raw_Data!F511),
        IFERROR(DATEVALUE(Raw_Data!F511), Raw_Data!F511) + 30,
        IFERROR(DATEVALUE(Raw_Data!G511), Raw_Data!G511)
    ),
    ""
)</f>
        <v>45247</v>
      </c>
      <c r="H511">
        <f>IFERROR(VALUE(Raw_Data!H511), "")</f>
        <v>3500</v>
      </c>
      <c r="I511">
        <f ca="1">IFERROR(VALUE(Raw_Data!I511), "")</f>
        <v>21000</v>
      </c>
      <c r="J511">
        <f>IFERROR(
    VALUE(SUBSTITUTE(Raw_Data!J511," visits","")),
    ""
)</f>
        <v>24</v>
      </c>
      <c r="K511" t="str">
        <f ca="1">IF(TRIM(Raw_Data!K511)="","No",PROPER(TRIM(Raw_Data!K511)))</f>
        <v>No</v>
      </c>
      <c r="L511" t="str">
        <f ca="1">PROPER(TRIM(Raw_Data!L511))</f>
        <v>Muscle Gain</v>
      </c>
      <c r="M511" t="s">
        <v>152</v>
      </c>
      <c r="N511" s="2">
        <f>IFERROR(DATEVALUE(Raw_Data!N511), Raw_Data!N511)</f>
        <v>46120</v>
      </c>
      <c r="O511" s="2"/>
      <c r="P511" t="str">
        <f>IF(COUNTIF($A$2:A511,A511)&gt;1,"Duplicate","Unique")</f>
        <v>Unique</v>
      </c>
      <c r="Q511" t="str">
        <f t="shared" si="14"/>
        <v>Cancelled but Active</v>
      </c>
      <c r="R511" t="str">
        <f t="shared" si="15"/>
        <v>Available</v>
      </c>
    </row>
    <row r="512" spans="1:18">
      <c r="A512" t="str">
        <f>TRIM(CLEAN(Raw_Data!A512))</f>
        <v>MEM0511</v>
      </c>
      <c r="B512" t="str">
        <f ca="1">TRIM(Raw_Data!B512)</f>
        <v>Rahul Desai</v>
      </c>
      <c r="C512" t="str">
        <f ca="1">_xlfn.XLOOKUP(D512, Branch_Master!A:A, Branch_Master!B:B)</f>
        <v>Chennai</v>
      </c>
      <c r="D512" t="str">
        <f ca="1">TRIM(Raw_Data!D512)</f>
        <v>BR03</v>
      </c>
      <c r="E512" t="str">
        <f ca="1">PROPER(TRIM(Raw_Data!E512))</f>
        <v>Basic</v>
      </c>
      <c r="F512" s="2">
        <f>IFERROR(DATEVALUE(Raw_Data!F512), Raw_Data!F512)</f>
        <v>45614</v>
      </c>
      <c r="G512" s="2">
        <f>IFERROR(
    IF(
        IFERROR(DATEVALUE(Raw_Data!G512), Raw_Data!G512) &lt;
        IFERROR(DATEVALUE(Raw_Data!F512), Raw_Data!F512),
        IFERROR(DATEVALUE(Raw_Data!F512), Raw_Data!F512) + 30,
        IFERROR(DATEVALUE(Raw_Data!G512), Raw_Data!G512)
    ),
    ""
)</f>
        <v>45979</v>
      </c>
      <c r="H512">
        <f>IFERROR(VALUE(Raw_Data!H512), "")</f>
        <v>3500</v>
      </c>
      <c r="I512">
        <f ca="1">IFERROR(VALUE(Raw_Data!I512), "")</f>
        <v>7000</v>
      </c>
      <c r="J512">
        <f>IFERROR(
    VALUE(SUBSTITUTE(Raw_Data!J512," visits","")),
    ""
)</f>
        <v>23</v>
      </c>
      <c r="K512" t="str">
        <f ca="1">IF(TRIM(Raw_Data!K512)="","No",PROPER(TRIM(Raw_Data!K512)))</f>
        <v>Yes</v>
      </c>
      <c r="L512" t="str">
        <f ca="1">PROPER(TRIM(Raw_Data!L512))</f>
        <v>General Fitness</v>
      </c>
      <c r="M512" t="s">
        <v>151</v>
      </c>
      <c r="N512" s="2">
        <f>IFERROR(DATEVALUE(Raw_Data!N512), Raw_Data!N512)</f>
        <v>45939</v>
      </c>
      <c r="O512" s="2"/>
      <c r="P512" t="str">
        <f>IF(COUNTIF($A$2:A512,A512)&gt;1,"Duplicate","Unique")</f>
        <v>Unique</v>
      </c>
      <c r="Q512" t="str">
        <f t="shared" si="14"/>
        <v>OK</v>
      </c>
      <c r="R512" t="str">
        <f t="shared" si="15"/>
        <v>Available</v>
      </c>
    </row>
    <row r="513" spans="1:18">
      <c r="A513" t="str">
        <f>TRIM(CLEAN(Raw_Data!A513))</f>
        <v>MEM0512</v>
      </c>
      <c r="B513" t="str">
        <f ca="1">TRIM(Raw_Data!B513)</f>
        <v>Divya Yadav</v>
      </c>
      <c r="C513" t="str">
        <f ca="1">_xlfn.XLOOKUP(D513, Branch_Master!A:A, Branch_Master!B:B)</f>
        <v>Trivandrum</v>
      </c>
      <c r="D513" t="str">
        <f ca="1">TRIM(Raw_Data!D513)</f>
        <v>BR06</v>
      </c>
      <c r="E513" t="str">
        <f ca="1">PROPER(TRIM(Raw_Data!E513))</f>
        <v>Standard</v>
      </c>
      <c r="F513" s="2">
        <f>IFERROR(DATEVALUE(Raw_Data!F513), Raw_Data!F513)</f>
        <v>45526</v>
      </c>
      <c r="G513" s="2">
        <f>IFERROR(
    IF(
        IFERROR(DATEVALUE(Raw_Data!G513), Raw_Data!G513) &lt;
        IFERROR(DATEVALUE(Raw_Data!F513), Raw_Data!F513),
        IFERROR(DATEVALUE(Raw_Data!F513), Raw_Data!F513) + 30,
        IFERROR(DATEVALUE(Raw_Data!G513), Raw_Data!G513)
    ),
    ""
)</f>
        <v>45891</v>
      </c>
      <c r="H513">
        <f>IFERROR(VALUE(Raw_Data!H513), "")</f>
        <v>3500</v>
      </c>
      <c r="I513">
        <f ca="1">IFERROR(VALUE(Raw_Data!I513), "")</f>
        <v>28000</v>
      </c>
      <c r="J513">
        <f>IFERROR(
    VALUE(SUBSTITUTE(Raw_Data!J513," visits","")),
    ""
)</f>
        <v>4</v>
      </c>
      <c r="K513" t="str">
        <f ca="1">IF(TRIM(Raw_Data!K513)="","No",PROPER(TRIM(Raw_Data!K513)))</f>
        <v>No</v>
      </c>
      <c r="L513" t="str">
        <f ca="1">PROPER(TRIM(Raw_Data!L513))</f>
        <v>Muscle Gain</v>
      </c>
      <c r="M513" t="s">
        <v>151</v>
      </c>
      <c r="N513" s="2">
        <f>IFERROR(DATEVALUE(Raw_Data!N513), Raw_Data!N513)</f>
        <v>45546</v>
      </c>
      <c r="O513" s="2"/>
      <c r="P513" t="str">
        <f>IF(COUNTIF($A$2:A513,A513)&gt;1,"Duplicate","Unique")</f>
        <v>Unique</v>
      </c>
      <c r="Q513" t="str">
        <f t="shared" si="14"/>
        <v>OK</v>
      </c>
      <c r="R513" t="str">
        <f t="shared" si="15"/>
        <v>Available</v>
      </c>
    </row>
    <row r="514" spans="1:18">
      <c r="A514" t="str">
        <f>TRIM(CLEAN(Raw_Data!A514))</f>
        <v>MEM0513</v>
      </c>
      <c r="B514" t="str">
        <f ca="1">TRIM(Raw_Data!B514)</f>
        <v>Anjali Kulkarni</v>
      </c>
      <c r="C514" t="str">
        <f ca="1">_xlfn.XLOOKUP(D514, Branch_Master!A:A, Branch_Master!B:B)</f>
        <v>Kochi</v>
      </c>
      <c r="D514" t="str">
        <f ca="1">TRIM(Raw_Data!D514)</f>
        <v>BR01</v>
      </c>
      <c r="E514" t="str">
        <f ca="1">PROPER(TRIM(Raw_Data!E514))</f>
        <v>Premium</v>
      </c>
      <c r="F514" s="2">
        <f>IFERROR(DATEVALUE(Raw_Data!F514), Raw_Data!F514)</f>
        <v>45865</v>
      </c>
      <c r="G514" s="2">
        <f>IFERROR(
    IF(
        IFERROR(DATEVALUE(Raw_Data!G514), Raw_Data!G514) &lt;
        IFERROR(DATEVALUE(Raw_Data!F514), Raw_Data!F514),
        IFERROR(DATEVALUE(Raw_Data!F514), Raw_Data!F514) + 30,
        IFERROR(DATEVALUE(Raw_Data!G514), Raw_Data!G514)
    ),
    ""
)</f>
        <v>46230</v>
      </c>
      <c r="H514">
        <f>IFERROR(VALUE(Raw_Data!H514), "")</f>
        <v>2000</v>
      </c>
      <c r="I514">
        <f ca="1">IFERROR(VALUE(Raw_Data!I514), "")</f>
        <v>20000</v>
      </c>
      <c r="J514">
        <f>IFERROR(
    VALUE(SUBSTITUTE(Raw_Data!J514," visits","")),
    ""
)</f>
        <v>9</v>
      </c>
      <c r="K514" t="str">
        <f ca="1">IF(TRIM(Raw_Data!K514)="","No",PROPER(TRIM(Raw_Data!K514)))</f>
        <v>Yes</v>
      </c>
      <c r="L514" t="str">
        <f ca="1">PROPER(TRIM(Raw_Data!L514))</f>
        <v>Weight Loss</v>
      </c>
      <c r="M514" t="s">
        <v>152</v>
      </c>
      <c r="N514" s="2">
        <f>IFERROR(DATEVALUE(Raw_Data!N514), Raw_Data!N514)</f>
        <v>45929</v>
      </c>
      <c r="O514" s="2"/>
      <c r="P514" t="str">
        <f>IF(COUNTIF($A$2:A514,A514)&gt;1,"Duplicate","Unique")</f>
        <v>Unique</v>
      </c>
      <c r="Q514" t="str">
        <f t="shared" si="14"/>
        <v>Cancelled but Active</v>
      </c>
      <c r="R514" t="str">
        <f t="shared" si="15"/>
        <v>Available</v>
      </c>
    </row>
    <row r="515" spans="1:18">
      <c r="A515" t="str">
        <f>TRIM(CLEAN(Raw_Data!A515))</f>
        <v>MEM0514</v>
      </c>
      <c r="B515" t="str">
        <f ca="1">TRIM(Raw_Data!B515)</f>
        <v>Lakshmi Bhat</v>
      </c>
      <c r="C515" t="str">
        <f ca="1">_xlfn.XLOOKUP(D515, Branch_Master!A:A, Branch_Master!B:B)</f>
        <v>Trivandrum</v>
      </c>
      <c r="D515" t="str">
        <f ca="1">TRIM(Raw_Data!D515)</f>
        <v>BR06</v>
      </c>
      <c r="E515" t="str">
        <f ca="1">PROPER(TRIM(Raw_Data!E515))</f>
        <v>Basic</v>
      </c>
      <c r="F515" s="2">
        <f>IFERROR(DATEVALUE(Raw_Data!F515), Raw_Data!F515)</f>
        <v>45694</v>
      </c>
      <c r="G515" s="2">
        <f>IFERROR(
    IF(
        IFERROR(DATEVALUE(Raw_Data!G515), Raw_Data!G515) &lt;
        IFERROR(DATEVALUE(Raw_Data!F515), Raw_Data!F515),
        IFERROR(DATEVALUE(Raw_Data!F515), Raw_Data!F515) + 30,
        IFERROR(DATEVALUE(Raw_Data!G515), Raw_Data!G515)
    ),
    ""
)</f>
        <v>46059</v>
      </c>
      <c r="H515">
        <f>IFERROR(VALUE(Raw_Data!H515), "")</f>
        <v>1000</v>
      </c>
      <c r="I515">
        <f ca="1">IFERROR(VALUE(Raw_Data!I515), "")</f>
        <v>4000</v>
      </c>
      <c r="J515">
        <f>IFERROR(
    VALUE(SUBSTITUTE(Raw_Data!J515," visits","")),
    ""
)</f>
        <v>0</v>
      </c>
      <c r="K515" t="str">
        <f ca="1">IF(TRIM(Raw_Data!K515)="","No",PROPER(TRIM(Raw_Data!K515)))</f>
        <v>Yes</v>
      </c>
      <c r="L515" t="str">
        <f ca="1">PROPER(TRIM(Raw_Data!L515))</f>
        <v>Muscle Gain</v>
      </c>
      <c r="M515" t="s">
        <v>151</v>
      </c>
      <c r="N515" s="2">
        <f>IFERROR(DATEVALUE(Raw_Data!N515), Raw_Data!N515)</f>
        <v>45740</v>
      </c>
      <c r="O515" s="2"/>
      <c r="P515" t="str">
        <f>IF(COUNTIF($A$2:A515,A515)&gt;1,"Duplicate","Unique")</f>
        <v>Unique</v>
      </c>
      <c r="Q515" t="str">
        <f t="shared" ref="Q515:Q578" si="16">IF(G515&lt;F515,"Expiry Error",
IF(AND(M515="Cancelled",N515&lt;&gt;""),"Cancelled but Active",
IF(J515&gt;30,"Invalid Attendance","OK")))</f>
        <v>OK</v>
      </c>
      <c r="R515" t="str">
        <f t="shared" ref="R515:R578" si="17">IF(N515="","Missing","Available")</f>
        <v>Available</v>
      </c>
    </row>
    <row r="516" spans="1:18">
      <c r="A516" t="str">
        <f>TRIM(CLEAN(Raw_Data!A516))</f>
        <v>MEM0515</v>
      </c>
      <c r="B516" t="str">
        <f ca="1">TRIM(Raw_Data!B516)</f>
        <v>Nisha Joshi</v>
      </c>
      <c r="C516" t="str">
        <f ca="1">_xlfn.XLOOKUP(D516, Branch_Master!A:A, Branch_Master!B:B)</f>
        <v>Chennai</v>
      </c>
      <c r="D516" t="str">
        <f ca="1">TRIM(Raw_Data!D516)</f>
        <v>BR03</v>
      </c>
      <c r="E516" t="str">
        <f ca="1">PROPER(TRIM(Raw_Data!E516))</f>
        <v>Premium</v>
      </c>
      <c r="F516" s="2">
        <f>IFERROR(DATEVALUE(Raw_Data!F516), Raw_Data!F516)</f>
        <v>45316</v>
      </c>
      <c r="G516" s="2">
        <f>IFERROR(
    IF(
        IFERROR(DATEVALUE(Raw_Data!G516), Raw_Data!G516) &lt;
        IFERROR(DATEVALUE(Raw_Data!F516), Raw_Data!F516),
        IFERROR(DATEVALUE(Raw_Data!F516), Raw_Data!F516) + 30,
        IFERROR(DATEVALUE(Raw_Data!G516), Raw_Data!G516)
    ),
    ""
)</f>
        <v>45346</v>
      </c>
      <c r="H516">
        <f>IFERROR(VALUE(Raw_Data!H516), "")</f>
        <v>2000</v>
      </c>
      <c r="I516">
        <f ca="1">IFERROR(VALUE(Raw_Data!I516), "")</f>
        <v>14000</v>
      </c>
      <c r="J516">
        <f>IFERROR(
    VALUE(SUBSTITUTE(Raw_Data!J516," visits","")),
    ""
)</f>
        <v>24</v>
      </c>
      <c r="K516" t="str">
        <f ca="1">IF(TRIM(Raw_Data!K516)="","No",PROPER(TRIM(Raw_Data!K516)))</f>
        <v>Yes</v>
      </c>
      <c r="L516" t="str">
        <f ca="1">PROPER(TRIM(Raw_Data!L516))</f>
        <v>General Fitness</v>
      </c>
      <c r="M516" t="s">
        <v>151</v>
      </c>
      <c r="N516" s="2">
        <f>IFERROR(DATEVALUE(Raw_Data!N516), Raw_Data!N516)</f>
        <v>45870</v>
      </c>
      <c r="O516" s="2"/>
      <c r="P516" t="str">
        <f>IF(COUNTIF($A$2:A516,A516)&gt;1,"Duplicate","Unique")</f>
        <v>Unique</v>
      </c>
      <c r="Q516" t="str">
        <f t="shared" si="16"/>
        <v>OK</v>
      </c>
      <c r="R516" t="str">
        <f t="shared" si="17"/>
        <v>Available</v>
      </c>
    </row>
    <row r="517" spans="1:18">
      <c r="A517" t="str">
        <f>TRIM(CLEAN(Raw_Data!A517))</f>
        <v>MEM0516</v>
      </c>
      <c r="B517" t="str">
        <f ca="1">TRIM(Raw_Data!B517)</f>
        <v>Priya Menon</v>
      </c>
      <c r="C517" t="str">
        <f ca="1">_xlfn.XLOOKUP(D517, Branch_Master!A:A, Branch_Master!B:B)</f>
        <v>Calicut</v>
      </c>
      <c r="D517" t="str">
        <f ca="1">TRIM(Raw_Data!D517)</f>
        <v>BR07</v>
      </c>
      <c r="E517" t="str">
        <f ca="1">PROPER(TRIM(Raw_Data!E517))</f>
        <v>Standard</v>
      </c>
      <c r="F517" s="2">
        <f>IFERROR(DATEVALUE(Raw_Data!F517), Raw_Data!F517)</f>
        <v>45623</v>
      </c>
      <c r="G517" s="2">
        <f>IFERROR(
    IF(
        IFERROR(DATEVALUE(Raw_Data!G517), Raw_Data!G517) &lt;
        IFERROR(DATEVALUE(Raw_Data!F517), Raw_Data!F517),
        IFERROR(DATEVALUE(Raw_Data!F517), Raw_Data!F517) + 30,
        IFERROR(DATEVALUE(Raw_Data!G517), Raw_Data!G517)
    ),
    ""
)</f>
        <v>45713</v>
      </c>
      <c r="H517">
        <f>IFERROR(VALUE(Raw_Data!H517), "")</f>
        <v>1000</v>
      </c>
      <c r="I517">
        <f ca="1">IFERROR(VALUE(Raw_Data!I517), "")</f>
        <v>10000</v>
      </c>
      <c r="J517">
        <f>IFERROR(
    VALUE(SUBSTITUTE(Raw_Data!J517," visits","")),
    ""
)</f>
        <v>13</v>
      </c>
      <c r="K517" t="str">
        <f ca="1">IF(TRIM(Raw_Data!K517)="","No",PROPER(TRIM(Raw_Data!K517)))</f>
        <v>No</v>
      </c>
      <c r="L517" t="str">
        <f ca="1">PROPER(TRIM(Raw_Data!L517))</f>
        <v>Weight Loss</v>
      </c>
      <c r="M517" t="s">
        <v>151</v>
      </c>
      <c r="N517" s="2">
        <f>IFERROR(DATEVALUE(Raw_Data!N517), Raw_Data!N517)</f>
        <v>45718</v>
      </c>
      <c r="O517" s="2"/>
      <c r="P517" t="str">
        <f>IF(COUNTIF($A$2:A517,A517)&gt;1,"Duplicate","Unique")</f>
        <v>Unique</v>
      </c>
      <c r="Q517" t="str">
        <f t="shared" si="16"/>
        <v>OK</v>
      </c>
      <c r="R517" t="str">
        <f t="shared" si="17"/>
        <v>Available</v>
      </c>
    </row>
    <row r="518" spans="1:18">
      <c r="A518" t="str">
        <f>TRIM(CLEAN(Raw_Data!A518))</f>
        <v>MEM0517</v>
      </c>
      <c r="B518" t="str">
        <f ca="1">TRIM(Raw_Data!B518)</f>
        <v>Anu Mathew</v>
      </c>
      <c r="C518" t="str">
        <f ca="1">_xlfn.XLOOKUP(D518, Branch_Master!A:A, Branch_Master!B:B)</f>
        <v>Hyderabad</v>
      </c>
      <c r="D518" t="str">
        <f ca="1">TRIM(Raw_Data!D518)</f>
        <v>BR04</v>
      </c>
      <c r="E518" t="str">
        <f ca="1">PROPER(TRIM(Raw_Data!E518))</f>
        <v>Premium</v>
      </c>
      <c r="F518" s="2">
        <f>IFERROR(DATEVALUE(Raw_Data!F518), Raw_Data!F518)</f>
        <v>45776</v>
      </c>
      <c r="G518" s="2">
        <f>IFERROR(
    IF(
        IFERROR(DATEVALUE(Raw_Data!G518), Raw_Data!G518) &lt;
        IFERROR(DATEVALUE(Raw_Data!F518), Raw_Data!F518),
        IFERROR(DATEVALUE(Raw_Data!F518), Raw_Data!F518) + 30,
        IFERROR(DATEVALUE(Raw_Data!G518), Raw_Data!G518)
    ),
    ""
)</f>
        <v>45806</v>
      </c>
      <c r="H518">
        <f>IFERROR(VALUE(Raw_Data!H518), "")</f>
        <v>1000</v>
      </c>
      <c r="I518">
        <f ca="1">IFERROR(VALUE(Raw_Data!I518), "")</f>
        <v>8000</v>
      </c>
      <c r="J518">
        <f>IFERROR(
    VALUE(SUBSTITUTE(Raw_Data!J518," visits","")),
    ""
)</f>
        <v>4</v>
      </c>
      <c r="K518" t="str">
        <f ca="1">IF(TRIM(Raw_Data!K518)="","No",PROPER(TRIM(Raw_Data!K518)))</f>
        <v>Yes</v>
      </c>
      <c r="L518" t="str">
        <f ca="1">PROPER(TRIM(Raw_Data!L518))</f>
        <v>General Fitness</v>
      </c>
      <c r="M518" t="s">
        <v>151</v>
      </c>
      <c r="N518" s="2">
        <f>IFERROR(DATEVALUE(Raw_Data!N518), Raw_Data!N518)</f>
        <v>45895</v>
      </c>
      <c r="O518" s="2"/>
      <c r="P518" t="str">
        <f>IF(COUNTIF($A$2:A518,A518)&gt;1,"Duplicate","Unique")</f>
        <v>Unique</v>
      </c>
      <c r="Q518" t="str">
        <f t="shared" si="16"/>
        <v>OK</v>
      </c>
      <c r="R518" t="str">
        <f t="shared" si="17"/>
        <v>Available</v>
      </c>
    </row>
    <row r="519" spans="1:18">
      <c r="A519" t="str">
        <f>TRIM(CLEAN(Raw_Data!A519))</f>
        <v>MEM0518</v>
      </c>
      <c r="B519" t="str">
        <f ca="1">TRIM(Raw_Data!B519)</f>
        <v>Priya Bhat</v>
      </c>
      <c r="C519" t="str">
        <f ca="1">_xlfn.XLOOKUP(D519, Branch_Master!A:A, Branch_Master!B:B)</f>
        <v>Mumbai</v>
      </c>
      <c r="D519" t="str">
        <f ca="1">TRIM(Raw_Data!D519)</f>
        <v>BR05</v>
      </c>
      <c r="E519" t="str">
        <f ca="1">PROPER(TRIM(Raw_Data!E519))</f>
        <v>Basic</v>
      </c>
      <c r="F519" s="2">
        <f>IFERROR(DATEVALUE(Raw_Data!F519), Raw_Data!F519)</f>
        <v>45661</v>
      </c>
      <c r="G519" s="2">
        <f>IFERROR(
    IF(
        IFERROR(DATEVALUE(Raw_Data!G519), Raw_Data!G519) &lt;
        IFERROR(DATEVALUE(Raw_Data!F519), Raw_Data!F519),
        IFERROR(DATEVALUE(Raw_Data!F519), Raw_Data!F519) + 30,
        IFERROR(DATEVALUE(Raw_Data!G519), Raw_Data!G519)
    ),
    ""
)</f>
        <v>46026</v>
      </c>
      <c r="H519">
        <f>IFERROR(VALUE(Raw_Data!H519), "")</f>
        <v>3500</v>
      </c>
      <c r="I519">
        <f ca="1">IFERROR(VALUE(Raw_Data!I519), "")</f>
        <v>24500</v>
      </c>
      <c r="J519">
        <f>IFERROR(
    VALUE(SUBSTITUTE(Raw_Data!J519," visits","")),
    ""
)</f>
        <v>19</v>
      </c>
      <c r="K519" t="str">
        <f ca="1">IF(TRIM(Raw_Data!K519)="","No",PROPER(TRIM(Raw_Data!K519)))</f>
        <v>No</v>
      </c>
      <c r="L519" t="str">
        <f ca="1">PROPER(TRIM(Raw_Data!L519))</f>
        <v>Muscle Gain</v>
      </c>
      <c r="M519" t="s">
        <v>151</v>
      </c>
      <c r="N519" s="2">
        <f>IFERROR(DATEVALUE(Raw_Data!N519), Raw_Data!N519)</f>
        <v>45917</v>
      </c>
      <c r="O519" s="2"/>
      <c r="P519" t="str">
        <f>IF(COUNTIF($A$2:A519,A519)&gt;1,"Duplicate","Unique")</f>
        <v>Unique</v>
      </c>
      <c r="Q519" t="str">
        <f t="shared" si="16"/>
        <v>OK</v>
      </c>
      <c r="R519" t="str">
        <f t="shared" si="17"/>
        <v>Available</v>
      </c>
    </row>
    <row r="520" spans="1:18">
      <c r="A520" t="str">
        <f>TRIM(CLEAN(Raw_Data!A520))</f>
        <v>MEM0519</v>
      </c>
      <c r="B520" t="str">
        <f ca="1">TRIM(Raw_Data!B520)</f>
        <v>Sanjay Singh</v>
      </c>
      <c r="C520" t="str">
        <f ca="1">_xlfn.XLOOKUP(D520, Branch_Master!A:A, Branch_Master!B:B)</f>
        <v>Chennai</v>
      </c>
      <c r="D520" t="str">
        <f ca="1">TRIM(Raw_Data!D520)</f>
        <v>BR03</v>
      </c>
      <c r="E520" t="str">
        <f ca="1">PROPER(TRIM(Raw_Data!E520))</f>
        <v>Premium</v>
      </c>
      <c r="F520" s="2">
        <f>IFERROR(DATEVALUE(Raw_Data!F520), Raw_Data!F520)</f>
        <v>46006</v>
      </c>
      <c r="G520" s="2">
        <f>IFERROR(
    IF(
        IFERROR(DATEVALUE(Raw_Data!G520), Raw_Data!G520) &lt;
        IFERROR(DATEVALUE(Raw_Data!F520), Raw_Data!F520),
        IFERROR(DATEVALUE(Raw_Data!F520), Raw_Data!F520) + 30,
        IFERROR(DATEVALUE(Raw_Data!G520), Raw_Data!G520)
    ),
    ""
)</f>
        <v>46036</v>
      </c>
      <c r="H520">
        <f>IFERROR(VALUE(Raw_Data!H520), "")</f>
        <v>2000</v>
      </c>
      <c r="I520">
        <f ca="1">IFERROR(VALUE(Raw_Data!I520), "")</f>
        <v>4000</v>
      </c>
      <c r="J520">
        <f>IFERROR(
    VALUE(SUBSTITUTE(Raw_Data!J520," visits","")),
    ""
)</f>
        <v>8</v>
      </c>
      <c r="K520" t="str">
        <f ca="1">IF(TRIM(Raw_Data!K520)="","No",PROPER(TRIM(Raw_Data!K520)))</f>
        <v>No</v>
      </c>
      <c r="L520" t="str">
        <f ca="1">PROPER(TRIM(Raw_Data!L520))</f>
        <v>Weight Loss</v>
      </c>
      <c r="M520" t="s">
        <v>152</v>
      </c>
      <c r="N520" s="2">
        <f>IFERROR(DATEVALUE(Raw_Data!N520), Raw_Data!N520)</f>
        <v>46045</v>
      </c>
      <c r="O520" s="2"/>
      <c r="P520" t="str">
        <f>IF(COUNTIF($A$2:A520,A520)&gt;1,"Duplicate","Unique")</f>
        <v>Unique</v>
      </c>
      <c r="Q520" t="str">
        <f t="shared" si="16"/>
        <v>Cancelled but Active</v>
      </c>
      <c r="R520" t="str">
        <f t="shared" si="17"/>
        <v>Available</v>
      </c>
    </row>
    <row r="521" spans="1:18">
      <c r="A521" t="str">
        <f>TRIM(CLEAN(Raw_Data!A521))</f>
        <v>MEM0520</v>
      </c>
      <c r="B521" t="str">
        <f ca="1">TRIM(Raw_Data!B521)</f>
        <v>Neha Shaikh</v>
      </c>
      <c r="C521" t="str">
        <f ca="1">_xlfn.XLOOKUP(D521, Branch_Master!A:A, Branch_Master!B:B)</f>
        <v>Chennai</v>
      </c>
      <c r="D521" t="str">
        <f ca="1">TRIM(Raw_Data!D521)</f>
        <v>BR03</v>
      </c>
      <c r="E521" t="str">
        <f ca="1">PROPER(TRIM(Raw_Data!E521))</f>
        <v>Premium</v>
      </c>
      <c r="F521" s="2">
        <f>IFERROR(DATEVALUE(Raw_Data!F521), Raw_Data!F521)</f>
        <v>45419</v>
      </c>
      <c r="G521" s="2">
        <f>IFERROR(
    IF(
        IFERROR(DATEVALUE(Raw_Data!G521), Raw_Data!G521) &lt;
        IFERROR(DATEVALUE(Raw_Data!F521), Raw_Data!F521),
        IFERROR(DATEVALUE(Raw_Data!F521), Raw_Data!F521) + 30,
        IFERROR(DATEVALUE(Raw_Data!G521), Raw_Data!G521)
    ),
    ""
)</f>
        <v>45449</v>
      </c>
      <c r="H521">
        <f>IFERROR(VALUE(Raw_Data!H521), "")</f>
        <v>3500</v>
      </c>
      <c r="I521">
        <f ca="1">IFERROR(VALUE(Raw_Data!I521), "")</f>
        <v>28000</v>
      </c>
      <c r="J521">
        <f>IFERROR(
    VALUE(SUBSTITUTE(Raw_Data!J521," visits","")),
    ""
)</f>
        <v>24</v>
      </c>
      <c r="K521" t="str">
        <f ca="1">IF(TRIM(Raw_Data!K521)="","No",PROPER(TRIM(Raw_Data!K521)))</f>
        <v>No</v>
      </c>
      <c r="L521" t="str">
        <f ca="1">PROPER(TRIM(Raw_Data!L521))</f>
        <v>General Fitness</v>
      </c>
      <c r="M521" t="s">
        <v>151</v>
      </c>
      <c r="N521" s="2">
        <f>IFERROR(DATEVALUE(Raw_Data!N521), Raw_Data!N521)</f>
        <v>45661</v>
      </c>
      <c r="O521" s="2"/>
      <c r="P521" t="str">
        <f>IF(COUNTIF($A$2:A521,A521)&gt;1,"Duplicate","Unique")</f>
        <v>Unique</v>
      </c>
      <c r="Q521" t="str">
        <f t="shared" si="16"/>
        <v>OK</v>
      </c>
      <c r="R521" t="str">
        <f t="shared" si="17"/>
        <v>Available</v>
      </c>
    </row>
    <row r="522" spans="1:18">
      <c r="A522" t="str">
        <f>TRIM(CLEAN(Raw_Data!A522))</f>
        <v>MEM0521</v>
      </c>
      <c r="B522" t="str">
        <f ca="1">TRIM(Raw_Data!B522)</f>
        <v>Nisha Joshi</v>
      </c>
      <c r="C522" t="str">
        <f ca="1">_xlfn.XLOOKUP(D522, Branch_Master!A:A, Branch_Master!B:B)</f>
        <v>Calicut</v>
      </c>
      <c r="D522" t="str">
        <f ca="1">TRIM(Raw_Data!D522)</f>
        <v>BR07</v>
      </c>
      <c r="E522" t="str">
        <f ca="1">PROPER(TRIM(Raw_Data!E522))</f>
        <v>Premium</v>
      </c>
      <c r="F522" s="2">
        <f>IFERROR(DATEVALUE(Raw_Data!F522), Raw_Data!F522)</f>
        <v>45023</v>
      </c>
      <c r="G522" s="2">
        <f>IFERROR(
    IF(
        IFERROR(DATEVALUE(Raw_Data!G522), Raw_Data!G522) &lt;
        IFERROR(DATEVALUE(Raw_Data!F522), Raw_Data!F522),
        IFERROR(DATEVALUE(Raw_Data!F522), Raw_Data!F522) + 30,
        IFERROR(DATEVALUE(Raw_Data!G522), Raw_Data!G522)
    ),
    ""
)</f>
        <v>45053</v>
      </c>
      <c r="H522">
        <f>IFERROR(VALUE(Raw_Data!H522), "")</f>
        <v>1000</v>
      </c>
      <c r="I522">
        <f ca="1">IFERROR(VALUE(Raw_Data!I522), "")</f>
        <v>4000</v>
      </c>
      <c r="J522">
        <f>IFERROR(
    VALUE(SUBSTITUTE(Raw_Data!J522," visits","")),
    ""
)</f>
        <v>12</v>
      </c>
      <c r="K522" t="str">
        <f ca="1">IF(TRIM(Raw_Data!K522)="","No",PROPER(TRIM(Raw_Data!K522)))</f>
        <v>No</v>
      </c>
      <c r="L522" t="str">
        <f ca="1">PROPER(TRIM(Raw_Data!L522))</f>
        <v>Muscle Gain</v>
      </c>
      <c r="M522" t="s">
        <v>151</v>
      </c>
      <c r="N522" s="2">
        <f>IFERROR(DATEVALUE(Raw_Data!N522), Raw_Data!N522)</f>
        <v>45311</v>
      </c>
      <c r="O522" s="2"/>
      <c r="P522" t="str">
        <f>IF(COUNTIF($A$2:A522,A522)&gt;1,"Duplicate","Unique")</f>
        <v>Unique</v>
      </c>
      <c r="Q522" t="str">
        <f t="shared" si="16"/>
        <v>OK</v>
      </c>
      <c r="R522" t="str">
        <f t="shared" si="17"/>
        <v>Available</v>
      </c>
    </row>
    <row r="523" spans="1:18">
      <c r="A523" t="str">
        <f>TRIM(CLEAN(Raw_Data!A523))</f>
        <v>MEM0522</v>
      </c>
      <c r="B523" t="str">
        <f ca="1">TRIM(Raw_Data!B523)</f>
        <v>Arjun George</v>
      </c>
      <c r="C523" t="str">
        <f ca="1">_xlfn.XLOOKUP(D523, Branch_Master!A:A, Branch_Master!B:B)</f>
        <v>Calicut</v>
      </c>
      <c r="D523" t="str">
        <f ca="1">TRIM(Raw_Data!D523)</f>
        <v>BR07</v>
      </c>
      <c r="E523" t="str">
        <f ca="1">PROPER(TRIM(Raw_Data!E523))</f>
        <v>Basic</v>
      </c>
      <c r="F523" s="2">
        <f>IFERROR(DATEVALUE(Raw_Data!F523), Raw_Data!F523)</f>
        <v>45239</v>
      </c>
      <c r="G523" s="2">
        <f>IFERROR(
    IF(
        IFERROR(DATEVALUE(Raw_Data!G523), Raw_Data!G523) &lt;
        IFERROR(DATEVALUE(Raw_Data!F523), Raw_Data!F523),
        IFERROR(DATEVALUE(Raw_Data!F523), Raw_Data!F523) + 30,
        IFERROR(DATEVALUE(Raw_Data!G523), Raw_Data!G523)
    ),
    ""
)</f>
        <v>45604</v>
      </c>
      <c r="H523">
        <f>IFERROR(VALUE(Raw_Data!H523), "")</f>
        <v>2000</v>
      </c>
      <c r="I523">
        <f ca="1">IFERROR(VALUE(Raw_Data!I523), "")</f>
        <v>24000</v>
      </c>
      <c r="J523">
        <f>IFERROR(
    VALUE(SUBSTITUTE(Raw_Data!J523," visits","")),
    ""
)</f>
        <v>19</v>
      </c>
      <c r="K523" t="str">
        <f ca="1">IF(TRIM(Raw_Data!K523)="","No",PROPER(TRIM(Raw_Data!K523)))</f>
        <v>No</v>
      </c>
      <c r="L523" t="str">
        <f ca="1">PROPER(TRIM(Raw_Data!L523))</f>
        <v>General Fitness</v>
      </c>
      <c r="M523" t="s">
        <v>151</v>
      </c>
      <c r="N523" s="2">
        <f>IFERROR(DATEVALUE(Raw_Data!N523), Raw_Data!N523)</f>
        <v>45662</v>
      </c>
      <c r="O523" s="2"/>
      <c r="P523" t="str">
        <f>IF(COUNTIF($A$2:A523,A523)&gt;1,"Duplicate","Unique")</f>
        <v>Unique</v>
      </c>
      <c r="Q523" t="str">
        <f t="shared" si="16"/>
        <v>OK</v>
      </c>
      <c r="R523" t="str">
        <f t="shared" si="17"/>
        <v>Available</v>
      </c>
    </row>
    <row r="524" spans="1:18">
      <c r="A524" t="str">
        <f>TRIM(CLEAN(Raw_Data!A524))</f>
        <v>MEM0523</v>
      </c>
      <c r="B524" t="str">
        <f ca="1">TRIM(Raw_Data!B524)</f>
        <v>Rohit Thomas</v>
      </c>
      <c r="C524" t="str">
        <f ca="1">_xlfn.XLOOKUP(D524, Branch_Master!A:A, Branch_Master!B:B)</f>
        <v>Mumbai</v>
      </c>
      <c r="D524" t="str">
        <f ca="1">TRIM(Raw_Data!D524)</f>
        <v>BR05</v>
      </c>
      <c r="E524" t="str">
        <f ca="1">PROPER(TRIM(Raw_Data!E524))</f>
        <v>Premium</v>
      </c>
      <c r="F524" s="2">
        <f>IFERROR(DATEVALUE(Raw_Data!F524), Raw_Data!F524)</f>
        <v>45578</v>
      </c>
      <c r="G524" s="2">
        <f>IFERROR(
    IF(
        IFERROR(DATEVALUE(Raw_Data!G524), Raw_Data!G524) &lt;
        IFERROR(DATEVALUE(Raw_Data!F524), Raw_Data!F524),
        IFERROR(DATEVALUE(Raw_Data!F524), Raw_Data!F524) + 30,
        IFERROR(DATEVALUE(Raw_Data!G524), Raw_Data!G524)
    ),
    ""
)</f>
        <v>45943</v>
      </c>
      <c r="H524">
        <f>IFERROR(VALUE(Raw_Data!H524), "")</f>
        <v>2000</v>
      </c>
      <c r="I524">
        <f ca="1">IFERROR(VALUE(Raw_Data!I524), "")</f>
        <v>2000</v>
      </c>
      <c r="J524">
        <f>IFERROR(
    VALUE(SUBSTITUTE(Raw_Data!J524," visits","")),
    ""
)</f>
        <v>22</v>
      </c>
      <c r="K524" t="str">
        <f ca="1">IF(TRIM(Raw_Data!K524)="","No",PROPER(TRIM(Raw_Data!K524)))</f>
        <v>No</v>
      </c>
      <c r="L524" t="str">
        <f ca="1">PROPER(TRIM(Raw_Data!L524))</f>
        <v>Muscle Gain</v>
      </c>
      <c r="M524" t="s">
        <v>151</v>
      </c>
      <c r="N524" s="2">
        <f>IFERROR(DATEVALUE(Raw_Data!N524), Raw_Data!N524)</f>
        <v>45812</v>
      </c>
      <c r="O524" s="2"/>
      <c r="P524" t="str">
        <f>IF(COUNTIF($A$2:A524,A524)&gt;1,"Duplicate","Unique")</f>
        <v>Unique</v>
      </c>
      <c r="Q524" t="str">
        <f t="shared" si="16"/>
        <v>OK</v>
      </c>
      <c r="R524" t="str">
        <f t="shared" si="17"/>
        <v>Available</v>
      </c>
    </row>
    <row r="525" spans="1:18">
      <c r="A525" t="str">
        <f>TRIM(CLEAN(Raw_Data!A525))</f>
        <v>MEM0524</v>
      </c>
      <c r="B525" t="str">
        <f ca="1">TRIM(Raw_Data!B525)</f>
        <v>Riya Bhat</v>
      </c>
      <c r="C525" t="str">
        <f ca="1">_xlfn.XLOOKUP(D525, Branch_Master!A:A, Branch_Master!B:B)</f>
        <v>Chennai</v>
      </c>
      <c r="D525" t="str">
        <f ca="1">TRIM(Raw_Data!D525)</f>
        <v>BR03</v>
      </c>
      <c r="E525" t="str">
        <f ca="1">PROPER(TRIM(Raw_Data!E525))</f>
        <v>Premium</v>
      </c>
      <c r="F525" s="2">
        <f>IFERROR(DATEVALUE(Raw_Data!F525), Raw_Data!F525)</f>
        <v>45577</v>
      </c>
      <c r="G525" s="2">
        <f>IFERROR(
    IF(
        IFERROR(DATEVALUE(Raw_Data!G525), Raw_Data!G525) &lt;
        IFERROR(DATEVALUE(Raw_Data!F525), Raw_Data!F525),
        IFERROR(DATEVALUE(Raw_Data!F525), Raw_Data!F525) + 30,
        IFERROR(DATEVALUE(Raw_Data!G525), Raw_Data!G525)
    ),
    ""
)</f>
        <v>45607</v>
      </c>
      <c r="H525">
        <f>IFERROR(VALUE(Raw_Data!H525), "")</f>
        <v>1000</v>
      </c>
      <c r="I525">
        <f ca="1">IFERROR(VALUE(Raw_Data!I525), "")</f>
        <v>4000</v>
      </c>
      <c r="J525">
        <f>IFERROR(
    VALUE(SUBSTITUTE(Raw_Data!J525," visits","")),
    ""
)</f>
        <v>22</v>
      </c>
      <c r="K525" t="str">
        <f ca="1">IF(TRIM(Raw_Data!K525)="","No",PROPER(TRIM(Raw_Data!K525)))</f>
        <v>Yes</v>
      </c>
      <c r="L525" t="str">
        <f ca="1">PROPER(TRIM(Raw_Data!L525))</f>
        <v>Weight Loss</v>
      </c>
      <c r="M525" t="s">
        <v>151</v>
      </c>
      <c r="N525" s="2">
        <f>IFERROR(DATEVALUE(Raw_Data!N525), Raw_Data!N525)</f>
        <v>45907</v>
      </c>
      <c r="O525" s="2"/>
      <c r="P525" t="str">
        <f>IF(COUNTIF($A$2:A525,A525)&gt;1,"Duplicate","Unique")</f>
        <v>Unique</v>
      </c>
      <c r="Q525" t="str">
        <f t="shared" si="16"/>
        <v>OK</v>
      </c>
      <c r="R525" t="str">
        <f t="shared" si="17"/>
        <v>Available</v>
      </c>
    </row>
    <row r="526" spans="1:18">
      <c r="A526" t="str">
        <f>TRIM(CLEAN(Raw_Data!A526))</f>
        <v>MEM0525</v>
      </c>
      <c r="B526" t="str">
        <f ca="1">TRIM(Raw_Data!B526)</f>
        <v>Rohit Fernandes</v>
      </c>
      <c r="C526" t="str">
        <f ca="1">_xlfn.XLOOKUP(D526, Branch_Master!A:A, Branch_Master!B:B)</f>
        <v>Calicut</v>
      </c>
      <c r="D526" t="str">
        <f ca="1">TRIM(Raw_Data!D526)</f>
        <v>BR07</v>
      </c>
      <c r="E526" t="str">
        <f ca="1">PROPER(TRIM(Raw_Data!E526))</f>
        <v>Premium</v>
      </c>
      <c r="F526" s="2">
        <f>IFERROR(DATEVALUE(Raw_Data!F526), Raw_Data!F526)</f>
        <v>45196</v>
      </c>
      <c r="G526" s="2">
        <f>IFERROR(
    IF(
        IFERROR(DATEVALUE(Raw_Data!G526), Raw_Data!G526) &lt;
        IFERROR(DATEVALUE(Raw_Data!F526), Raw_Data!F526),
        IFERROR(DATEVALUE(Raw_Data!F526), Raw_Data!F526) + 30,
        IFERROR(DATEVALUE(Raw_Data!G526), Raw_Data!G526)
    ),
    ""
)</f>
        <v>45286</v>
      </c>
      <c r="H526">
        <f>IFERROR(VALUE(Raw_Data!H526), "")</f>
        <v>1000</v>
      </c>
      <c r="I526">
        <f ca="1">IFERROR(VALUE(Raw_Data!I526), "")</f>
        <v>4000</v>
      </c>
      <c r="J526">
        <f>IFERROR(
    VALUE(SUBSTITUTE(Raw_Data!J526," visits","")),
    ""
)</f>
        <v>13</v>
      </c>
      <c r="K526" t="str">
        <f ca="1">IF(TRIM(Raw_Data!K526)="","No",PROPER(TRIM(Raw_Data!K526)))</f>
        <v>No</v>
      </c>
      <c r="L526" t="str">
        <f ca="1">PROPER(TRIM(Raw_Data!L526))</f>
        <v>Weight Loss</v>
      </c>
      <c r="M526" t="s">
        <v>151</v>
      </c>
      <c r="N526" s="2">
        <f>IFERROR(DATEVALUE(Raw_Data!N526), Raw_Data!N526)</f>
        <v>45629</v>
      </c>
      <c r="O526" s="2"/>
      <c r="P526" t="str">
        <f>IF(COUNTIF($A$2:A526,A526)&gt;1,"Duplicate","Unique")</f>
        <v>Unique</v>
      </c>
      <c r="Q526" t="str">
        <f t="shared" si="16"/>
        <v>OK</v>
      </c>
      <c r="R526" t="str">
        <f t="shared" si="17"/>
        <v>Available</v>
      </c>
    </row>
    <row r="527" spans="1:18">
      <c r="A527" t="str">
        <f>TRIM(CLEAN(Raw_Data!A527))</f>
        <v>MEM0526</v>
      </c>
      <c r="B527" t="str">
        <f ca="1">TRIM(Raw_Data!B527)</f>
        <v>Meera Nambiar</v>
      </c>
      <c r="C527" t="str">
        <f ca="1">_xlfn.XLOOKUP(D527, Branch_Master!A:A, Branch_Master!B:B)</f>
        <v>Kochi</v>
      </c>
      <c r="D527" t="str">
        <f ca="1">TRIM(Raw_Data!D527)</f>
        <v>BR01</v>
      </c>
      <c r="E527" t="str">
        <f ca="1">PROPER(TRIM(Raw_Data!E527))</f>
        <v>Basic</v>
      </c>
      <c r="F527" s="2">
        <f>IFERROR(DATEVALUE(Raw_Data!F527), Raw_Data!F527)</f>
        <v>45534</v>
      </c>
      <c r="G527" s="2">
        <f>IFERROR(
    IF(
        IFERROR(DATEVALUE(Raw_Data!G527), Raw_Data!G527) &lt;
        IFERROR(DATEVALUE(Raw_Data!F527), Raw_Data!F527),
        IFERROR(DATEVALUE(Raw_Data!F527), Raw_Data!F527) + 30,
        IFERROR(DATEVALUE(Raw_Data!G527), Raw_Data!G527)
    ),
    ""
)</f>
        <v>45624</v>
      </c>
      <c r="H527">
        <f>IFERROR(VALUE(Raw_Data!H527), "")</f>
        <v>3500</v>
      </c>
      <c r="I527">
        <f ca="1">IFERROR(VALUE(Raw_Data!I527), "")</f>
        <v>7000</v>
      </c>
      <c r="J527">
        <f>IFERROR(
    VALUE(SUBSTITUTE(Raw_Data!J527," visits","")),
    ""
)</f>
        <v>11</v>
      </c>
      <c r="K527" t="str">
        <f ca="1">IF(TRIM(Raw_Data!K527)="","No",PROPER(TRIM(Raw_Data!K527)))</f>
        <v>No</v>
      </c>
      <c r="L527" t="str">
        <f ca="1">PROPER(TRIM(Raw_Data!L527))</f>
        <v>Muscle Gain</v>
      </c>
      <c r="M527" t="s">
        <v>151</v>
      </c>
      <c r="N527" s="2">
        <f>IFERROR(DATEVALUE(Raw_Data!N527), Raw_Data!N527)</f>
        <v>45713</v>
      </c>
      <c r="O527" s="2"/>
      <c r="P527" t="str">
        <f>IF(COUNTIF($A$2:A527,A527)&gt;1,"Duplicate","Unique")</f>
        <v>Unique</v>
      </c>
      <c r="Q527" t="str">
        <f t="shared" si="16"/>
        <v>OK</v>
      </c>
      <c r="R527" t="str">
        <f t="shared" si="17"/>
        <v>Available</v>
      </c>
    </row>
    <row r="528" spans="1:18">
      <c r="A528" t="str">
        <f>TRIM(CLEAN(Raw_Data!A528))</f>
        <v>MEM0527</v>
      </c>
      <c r="B528" t="str">
        <f ca="1">TRIM(Raw_Data!B528)</f>
        <v>Sneha Malhotra</v>
      </c>
      <c r="C528" t="str">
        <f ca="1">_xlfn.XLOOKUP(D528, Branch_Master!A:A, Branch_Master!B:B)</f>
        <v>Mumbai</v>
      </c>
      <c r="D528" t="str">
        <f ca="1">TRIM(Raw_Data!D528)</f>
        <v>BR05</v>
      </c>
      <c r="E528" t="str">
        <f ca="1">PROPER(TRIM(Raw_Data!E528))</f>
        <v>Standard</v>
      </c>
      <c r="F528" s="2">
        <f>IFERROR(DATEVALUE(Raw_Data!F528), Raw_Data!F528)</f>
        <v>45333</v>
      </c>
      <c r="G528" s="2">
        <f>IFERROR(
    IF(
        IFERROR(DATEVALUE(Raw_Data!G528), Raw_Data!G528) &lt;
        IFERROR(DATEVALUE(Raw_Data!F528), Raw_Data!F528),
        IFERROR(DATEVALUE(Raw_Data!F528), Raw_Data!F528) + 30,
        IFERROR(DATEVALUE(Raw_Data!G528), Raw_Data!G528)
    ),
    ""
)</f>
        <v>45423</v>
      </c>
      <c r="H528">
        <f>IFERROR(VALUE(Raw_Data!H528), "")</f>
        <v>1000</v>
      </c>
      <c r="I528">
        <f ca="1">IFERROR(VALUE(Raw_Data!I528), "")</f>
        <v>8000</v>
      </c>
      <c r="J528">
        <f>IFERROR(
    VALUE(SUBSTITUTE(Raw_Data!J528," visits","")),
    ""
)</f>
        <v>3</v>
      </c>
      <c r="K528" t="str">
        <f ca="1">IF(TRIM(Raw_Data!K528)="","No",PROPER(TRIM(Raw_Data!K528)))</f>
        <v>No</v>
      </c>
      <c r="L528" t="str">
        <f ca="1">PROPER(TRIM(Raw_Data!L528))</f>
        <v>Weight Loss</v>
      </c>
      <c r="M528" t="s">
        <v>151</v>
      </c>
      <c r="N528" s="2">
        <f>IFERROR(DATEVALUE(Raw_Data!N528), Raw_Data!N528)</f>
        <v>45383</v>
      </c>
      <c r="O528" s="2"/>
      <c r="P528" t="str">
        <f>IF(COUNTIF($A$2:A528,A528)&gt;1,"Duplicate","Unique")</f>
        <v>Unique</v>
      </c>
      <c r="Q528" t="str">
        <f t="shared" si="16"/>
        <v>OK</v>
      </c>
      <c r="R528" t="str">
        <f t="shared" si="17"/>
        <v>Available</v>
      </c>
    </row>
    <row r="529" spans="1:18">
      <c r="A529" t="str">
        <f>TRIM(CLEAN(Raw_Data!A529))</f>
        <v>MEM0528</v>
      </c>
      <c r="B529" t="str">
        <f ca="1">TRIM(Raw_Data!B529)</f>
        <v>Ankit Nambiar</v>
      </c>
      <c r="C529" t="str">
        <f ca="1">_xlfn.XLOOKUP(D529, Branch_Master!A:A, Branch_Master!B:B)</f>
        <v>Chennai</v>
      </c>
      <c r="D529" t="str">
        <f ca="1">TRIM(Raw_Data!D529)</f>
        <v>BR03</v>
      </c>
      <c r="E529" t="str">
        <f ca="1">PROPER(TRIM(Raw_Data!E529))</f>
        <v>Basic</v>
      </c>
      <c r="F529" s="2">
        <f>IFERROR(DATEVALUE(Raw_Data!F529), Raw_Data!F529)</f>
        <v>45522</v>
      </c>
      <c r="G529" s="2">
        <f>IFERROR(
    IF(
        IFERROR(DATEVALUE(Raw_Data!G529), Raw_Data!G529) &lt;
        IFERROR(DATEVALUE(Raw_Data!F529), Raw_Data!F529),
        IFERROR(DATEVALUE(Raw_Data!F529), Raw_Data!F529) + 30,
        IFERROR(DATEVALUE(Raw_Data!G529), Raw_Data!G529)
    ),
    ""
)</f>
        <v>45612</v>
      </c>
      <c r="H529">
        <f>IFERROR(VALUE(Raw_Data!H529), "")</f>
        <v>2000</v>
      </c>
      <c r="I529">
        <f ca="1">IFERROR(VALUE(Raw_Data!I529), "")</f>
        <v>16000</v>
      </c>
      <c r="J529">
        <f>IFERROR(
    VALUE(SUBSTITUTE(Raw_Data!J529," visits","")),
    ""
)</f>
        <v>18</v>
      </c>
      <c r="K529" t="str">
        <f ca="1">IF(TRIM(Raw_Data!K529)="","No",PROPER(TRIM(Raw_Data!K529)))</f>
        <v>Yes</v>
      </c>
      <c r="L529" t="str">
        <f ca="1">PROPER(TRIM(Raw_Data!L529))</f>
        <v>Muscle Gain</v>
      </c>
      <c r="M529" t="s">
        <v>151</v>
      </c>
      <c r="N529" s="2">
        <f>IFERROR(DATEVALUE(Raw_Data!N529), Raw_Data!N529)</f>
        <v>45932</v>
      </c>
      <c r="O529" s="2"/>
      <c r="P529" t="str">
        <f>IF(COUNTIF($A$2:A529,A529)&gt;1,"Duplicate","Unique")</f>
        <v>Unique</v>
      </c>
      <c r="Q529" t="str">
        <f t="shared" si="16"/>
        <v>OK</v>
      </c>
      <c r="R529" t="str">
        <f t="shared" si="17"/>
        <v>Available</v>
      </c>
    </row>
    <row r="530" spans="1:18">
      <c r="A530" t="str">
        <f>TRIM(CLEAN(Raw_Data!A530))</f>
        <v>MEM0529</v>
      </c>
      <c r="B530" t="str">
        <f ca="1">TRIM(Raw_Data!B530)</f>
        <v>Ishita Banerjee</v>
      </c>
      <c r="C530" t="str">
        <f ca="1">_xlfn.XLOOKUP(D530, Branch_Master!A:A, Branch_Master!B:B)</f>
        <v>Mumbai</v>
      </c>
      <c r="D530" t="str">
        <f ca="1">TRIM(Raw_Data!D530)</f>
        <v>BR05</v>
      </c>
      <c r="E530" t="str">
        <f ca="1">PROPER(TRIM(Raw_Data!E530))</f>
        <v>Standard</v>
      </c>
      <c r="F530" s="2">
        <f>IFERROR(DATEVALUE(Raw_Data!F530), Raw_Data!F530)</f>
        <v>45146</v>
      </c>
      <c r="G530" s="2">
        <f>IFERROR(
    IF(
        IFERROR(DATEVALUE(Raw_Data!G530), Raw_Data!G530) &lt;
        IFERROR(DATEVALUE(Raw_Data!F530), Raw_Data!F530),
        IFERROR(DATEVALUE(Raw_Data!F530), Raw_Data!F530) + 30,
        IFERROR(DATEVALUE(Raw_Data!G530), Raw_Data!G530)
    ),
    ""
)</f>
        <v>45176</v>
      </c>
      <c r="H530">
        <f>IFERROR(VALUE(Raw_Data!H530), "")</f>
        <v>3500</v>
      </c>
      <c r="I530">
        <f ca="1">IFERROR(VALUE(Raw_Data!I530), "")</f>
        <v>3500</v>
      </c>
      <c r="J530">
        <f>IFERROR(
    VALUE(SUBSTITUTE(Raw_Data!J530," visits","")),
    ""
)</f>
        <v>0</v>
      </c>
      <c r="K530" t="str">
        <f ca="1">IF(TRIM(Raw_Data!K530)="","No",PROPER(TRIM(Raw_Data!K530)))</f>
        <v>Yes</v>
      </c>
      <c r="L530" t="str">
        <f ca="1">PROPER(TRIM(Raw_Data!L530))</f>
        <v>Weight Loss</v>
      </c>
      <c r="M530" t="s">
        <v>151</v>
      </c>
      <c r="N530" s="2">
        <f>IFERROR(DATEVALUE(Raw_Data!N530), Raw_Data!N530)</f>
        <v>45176</v>
      </c>
      <c r="O530" s="2"/>
      <c r="P530" t="str">
        <f>IF(COUNTIF($A$2:A530,A530)&gt;1,"Duplicate","Unique")</f>
        <v>Unique</v>
      </c>
      <c r="Q530" t="str">
        <f t="shared" si="16"/>
        <v>OK</v>
      </c>
      <c r="R530" t="str">
        <f t="shared" si="17"/>
        <v>Available</v>
      </c>
    </row>
    <row r="531" spans="1:18">
      <c r="A531" t="str">
        <f>TRIM(CLEAN(Raw_Data!A531))</f>
        <v>MEM0530</v>
      </c>
      <c r="B531" t="str">
        <f ca="1">TRIM(Raw_Data!B531)</f>
        <v>Rahul Das</v>
      </c>
      <c r="C531" t="str">
        <f ca="1">_xlfn.XLOOKUP(D531, Branch_Master!A:A, Branch_Master!B:B)</f>
        <v>Chennai</v>
      </c>
      <c r="D531" t="str">
        <f ca="1">TRIM(Raw_Data!D531)</f>
        <v>BR03</v>
      </c>
      <c r="E531" t="str">
        <f ca="1">PROPER(TRIM(Raw_Data!E531))</f>
        <v>Standard</v>
      </c>
      <c r="F531" s="2">
        <f>IFERROR(DATEVALUE(Raw_Data!F531), Raw_Data!F531)</f>
        <v>45045</v>
      </c>
      <c r="G531" s="2">
        <f>IFERROR(
    IF(
        IFERROR(DATEVALUE(Raw_Data!G531), Raw_Data!G531) &lt;
        IFERROR(DATEVALUE(Raw_Data!F531), Raw_Data!F531),
        IFERROR(DATEVALUE(Raw_Data!F531), Raw_Data!F531) + 30,
        IFERROR(DATEVALUE(Raw_Data!G531), Raw_Data!G531)
    ),
    ""
)</f>
        <v>45410</v>
      </c>
      <c r="H531">
        <f>IFERROR(VALUE(Raw_Data!H531), "")</f>
        <v>3500</v>
      </c>
      <c r="I531">
        <f ca="1">IFERROR(VALUE(Raw_Data!I531), "")</f>
        <v>17500</v>
      </c>
      <c r="J531">
        <f>IFERROR(
    VALUE(SUBSTITUTE(Raw_Data!J531," visits","")),
    ""
)</f>
        <v>6</v>
      </c>
      <c r="K531" t="str">
        <f ca="1">IF(TRIM(Raw_Data!K531)="","No",PROPER(TRIM(Raw_Data!K531)))</f>
        <v>No</v>
      </c>
      <c r="L531" t="str">
        <f ca="1">PROPER(TRIM(Raw_Data!L531))</f>
        <v>Muscle Gain</v>
      </c>
      <c r="M531" t="s">
        <v>152</v>
      </c>
      <c r="N531" s="2">
        <f>IFERROR(DATEVALUE(Raw_Data!N531), Raw_Data!N531)</f>
        <v>45237</v>
      </c>
      <c r="O531" s="2"/>
      <c r="P531" t="str">
        <f>IF(COUNTIF($A$2:A531,A531)&gt;1,"Duplicate","Unique")</f>
        <v>Unique</v>
      </c>
      <c r="Q531" t="str">
        <f t="shared" si="16"/>
        <v>Cancelled but Active</v>
      </c>
      <c r="R531" t="str">
        <f t="shared" si="17"/>
        <v>Available</v>
      </c>
    </row>
    <row r="532" spans="1:18">
      <c r="A532" t="str">
        <f>TRIM(CLEAN(Raw_Data!A532))</f>
        <v>MEM0531</v>
      </c>
      <c r="B532" t="str">
        <f ca="1">TRIM(Raw_Data!B532)</f>
        <v>Priya Varghese</v>
      </c>
      <c r="C532" t="str">
        <f ca="1">_xlfn.XLOOKUP(D532, Branch_Master!A:A, Branch_Master!B:B)</f>
        <v>Kochi</v>
      </c>
      <c r="D532" t="str">
        <f ca="1">TRIM(Raw_Data!D532)</f>
        <v>BR01</v>
      </c>
      <c r="E532" t="str">
        <f ca="1">PROPER(TRIM(Raw_Data!E532))</f>
        <v>Premium</v>
      </c>
      <c r="F532" s="2">
        <f>IFERROR(DATEVALUE(Raw_Data!F532), Raw_Data!F532)</f>
        <v>44960</v>
      </c>
      <c r="G532" s="2">
        <f>IFERROR(
    IF(
        IFERROR(DATEVALUE(Raw_Data!G532), Raw_Data!G532) &lt;
        IFERROR(DATEVALUE(Raw_Data!F532), Raw_Data!F532),
        IFERROR(DATEVALUE(Raw_Data!F532), Raw_Data!F532) + 30,
        IFERROR(DATEVALUE(Raw_Data!G532), Raw_Data!G532)
    ),
    ""
)</f>
        <v>44990</v>
      </c>
      <c r="H532">
        <f>IFERROR(VALUE(Raw_Data!H532), "")</f>
        <v>3500</v>
      </c>
      <c r="I532">
        <f ca="1">IFERROR(VALUE(Raw_Data!I532), "")</f>
        <v>28000</v>
      </c>
      <c r="J532">
        <f>IFERROR(
    VALUE(SUBSTITUTE(Raw_Data!J532," visits","")),
    ""
)</f>
        <v>2</v>
      </c>
      <c r="K532" t="str">
        <f ca="1">IF(TRIM(Raw_Data!K532)="","No",PROPER(TRIM(Raw_Data!K532)))</f>
        <v>No</v>
      </c>
      <c r="L532" t="str">
        <f ca="1">PROPER(TRIM(Raw_Data!L532))</f>
        <v>General Fitness</v>
      </c>
      <c r="M532" t="s">
        <v>151</v>
      </c>
      <c r="N532" s="2">
        <f>IFERROR(DATEVALUE(Raw_Data!N532), Raw_Data!N532)</f>
        <v>44980</v>
      </c>
      <c r="O532" s="2"/>
      <c r="P532" t="str">
        <f>IF(COUNTIF($A$2:A532,A532)&gt;1,"Duplicate","Unique")</f>
        <v>Unique</v>
      </c>
      <c r="Q532" t="str">
        <f t="shared" si="16"/>
        <v>OK</v>
      </c>
      <c r="R532" t="str">
        <f t="shared" si="17"/>
        <v>Available</v>
      </c>
    </row>
    <row r="533" spans="1:18">
      <c r="A533" t="str">
        <f>TRIM(CLEAN(Raw_Data!A533))</f>
        <v>MEM0532</v>
      </c>
      <c r="B533" t="str">
        <f ca="1">TRIM(Raw_Data!B533)</f>
        <v>Vivek D’Souza</v>
      </c>
      <c r="C533" t="str">
        <f ca="1">_xlfn.XLOOKUP(D533, Branch_Master!A:A, Branch_Master!B:B)</f>
        <v>Kochi</v>
      </c>
      <c r="D533" t="str">
        <f ca="1">TRIM(Raw_Data!D533)</f>
        <v>BR01</v>
      </c>
      <c r="E533" t="str">
        <f ca="1">PROPER(TRIM(Raw_Data!E533))</f>
        <v>Premium</v>
      </c>
      <c r="F533" s="2">
        <f>IFERROR(DATEVALUE(Raw_Data!F533), Raw_Data!F533)</f>
        <v>45934</v>
      </c>
      <c r="G533" s="2">
        <f>IFERROR(
    IF(
        IFERROR(DATEVALUE(Raw_Data!G533), Raw_Data!G533) &lt;
        IFERROR(DATEVALUE(Raw_Data!F533), Raw_Data!F533),
        IFERROR(DATEVALUE(Raw_Data!F533), Raw_Data!F533) + 30,
        IFERROR(DATEVALUE(Raw_Data!G533), Raw_Data!G533)
    ),
    ""
)</f>
        <v>46299</v>
      </c>
      <c r="H533">
        <f>IFERROR(VALUE(Raw_Data!H533), "")</f>
        <v>3500</v>
      </c>
      <c r="I533">
        <f ca="1">IFERROR(VALUE(Raw_Data!I533), "")</f>
        <v>7000</v>
      </c>
      <c r="J533">
        <f>IFERROR(
    VALUE(SUBSTITUTE(Raw_Data!J533," visits","")),
    ""
)</f>
        <v>5</v>
      </c>
      <c r="K533" t="str">
        <f ca="1">IF(TRIM(Raw_Data!K533)="","No",PROPER(TRIM(Raw_Data!K533)))</f>
        <v>Yes</v>
      </c>
      <c r="L533" t="str">
        <f ca="1">PROPER(TRIM(Raw_Data!L533))</f>
        <v>Muscle Gain</v>
      </c>
      <c r="M533" t="s">
        <v>151</v>
      </c>
      <c r="N533" s="2">
        <f>IFERROR(DATEVALUE(Raw_Data!N533), Raw_Data!N533)</f>
        <v>45978</v>
      </c>
      <c r="O533" s="2"/>
      <c r="P533" t="str">
        <f>IF(COUNTIF($A$2:A533,A533)&gt;1,"Duplicate","Unique")</f>
        <v>Unique</v>
      </c>
      <c r="Q533" t="str">
        <f t="shared" si="16"/>
        <v>OK</v>
      </c>
      <c r="R533" t="str">
        <f t="shared" si="17"/>
        <v>Available</v>
      </c>
    </row>
    <row r="534" spans="1:18">
      <c r="A534" t="str">
        <f>TRIM(CLEAN(Raw_Data!A534))</f>
        <v>MEM0533</v>
      </c>
      <c r="B534" t="str">
        <f ca="1">TRIM(Raw_Data!B534)</f>
        <v>Varun Reddy</v>
      </c>
      <c r="C534" t="str">
        <f ca="1">_xlfn.XLOOKUP(D534, Branch_Master!A:A, Branch_Master!B:B)</f>
        <v>Trivandrum</v>
      </c>
      <c r="D534" t="str">
        <f ca="1">TRIM(Raw_Data!D534)</f>
        <v>BR06</v>
      </c>
      <c r="E534" t="str">
        <f ca="1">PROPER(TRIM(Raw_Data!E534))</f>
        <v>Standard</v>
      </c>
      <c r="F534" s="2">
        <f>IFERROR(DATEVALUE(Raw_Data!F534), Raw_Data!F534)</f>
        <v>44949</v>
      </c>
      <c r="G534" s="2">
        <f>IFERROR(
    IF(
        IFERROR(DATEVALUE(Raw_Data!G534), Raw_Data!G534) &lt;
        IFERROR(DATEVALUE(Raw_Data!F534), Raw_Data!F534),
        IFERROR(DATEVALUE(Raw_Data!F534), Raw_Data!F534) + 30,
        IFERROR(DATEVALUE(Raw_Data!G534), Raw_Data!G534)
    ),
    ""
)</f>
        <v>45314</v>
      </c>
      <c r="H534">
        <f>IFERROR(VALUE(Raw_Data!H534), "")</f>
        <v>1000</v>
      </c>
      <c r="I534">
        <f ca="1">IFERROR(VALUE(Raw_Data!I534), "")</f>
        <v>2000</v>
      </c>
      <c r="J534">
        <f>IFERROR(
    VALUE(SUBSTITUTE(Raw_Data!J534," visits","")),
    ""
)</f>
        <v>7</v>
      </c>
      <c r="K534" t="str">
        <f ca="1">IF(TRIM(Raw_Data!K534)="","No",PROPER(TRIM(Raw_Data!K534)))</f>
        <v>No</v>
      </c>
      <c r="L534" t="str">
        <f ca="1">PROPER(TRIM(Raw_Data!L534))</f>
        <v>Muscle Gain</v>
      </c>
      <c r="M534" t="s">
        <v>151</v>
      </c>
      <c r="N534" s="2">
        <f>IFERROR(DATEVALUE(Raw_Data!N534), Raw_Data!N534)</f>
        <v>45020</v>
      </c>
      <c r="O534" s="2"/>
      <c r="P534" t="str">
        <f>IF(COUNTIF($A$2:A534,A534)&gt;1,"Duplicate","Unique")</f>
        <v>Unique</v>
      </c>
      <c r="Q534" t="str">
        <f t="shared" si="16"/>
        <v>OK</v>
      </c>
      <c r="R534" t="str">
        <f t="shared" si="17"/>
        <v>Available</v>
      </c>
    </row>
    <row r="535" spans="1:18">
      <c r="A535" t="str">
        <f>TRIM(CLEAN(Raw_Data!A535))</f>
        <v>MEM0534</v>
      </c>
      <c r="B535" t="str">
        <f ca="1">TRIM(Raw_Data!B535)</f>
        <v>Kavya Gupta</v>
      </c>
      <c r="C535" t="str">
        <f ca="1">_xlfn.XLOOKUP(D535, Branch_Master!A:A, Branch_Master!B:B)</f>
        <v>Calicut</v>
      </c>
      <c r="D535" t="str">
        <f ca="1">TRIM(Raw_Data!D535)</f>
        <v>BR07</v>
      </c>
      <c r="E535" t="str">
        <f ca="1">PROPER(TRIM(Raw_Data!E535))</f>
        <v>Standard</v>
      </c>
      <c r="F535" s="2">
        <f>IFERROR(DATEVALUE(Raw_Data!F535), Raw_Data!F535)</f>
        <v>46034</v>
      </c>
      <c r="G535" s="2">
        <f>IFERROR(
    IF(
        IFERROR(DATEVALUE(Raw_Data!G535), Raw_Data!G535) &lt;
        IFERROR(DATEVALUE(Raw_Data!F535), Raw_Data!F535),
        IFERROR(DATEVALUE(Raw_Data!F535), Raw_Data!F535) + 30,
        IFERROR(DATEVALUE(Raw_Data!G535), Raw_Data!G535)
    ),
    ""
)</f>
        <v>46064</v>
      </c>
      <c r="H535">
        <f>IFERROR(VALUE(Raw_Data!H535), "")</f>
        <v>3500</v>
      </c>
      <c r="I535">
        <f ca="1">IFERROR(VALUE(Raw_Data!I535), "")</f>
        <v>31500</v>
      </c>
      <c r="J535">
        <f>IFERROR(
    VALUE(SUBSTITUTE(Raw_Data!J535," visits","")),
    ""
)</f>
        <v>14</v>
      </c>
      <c r="K535" t="str">
        <f ca="1">IF(TRIM(Raw_Data!K535)="","No",PROPER(TRIM(Raw_Data!K535)))</f>
        <v>No</v>
      </c>
      <c r="L535" t="str">
        <f ca="1">PROPER(TRIM(Raw_Data!L535))</f>
        <v>Muscle Gain</v>
      </c>
      <c r="M535" t="s">
        <v>151</v>
      </c>
      <c r="N535" s="2">
        <f>IFERROR(DATEVALUE(Raw_Data!N535), Raw_Data!N535)</f>
        <v>46113</v>
      </c>
      <c r="O535" s="2"/>
      <c r="P535" t="str">
        <f>IF(COUNTIF($A$2:A535,A535)&gt;1,"Duplicate","Unique")</f>
        <v>Unique</v>
      </c>
      <c r="Q535" t="str">
        <f t="shared" si="16"/>
        <v>OK</v>
      </c>
      <c r="R535" t="str">
        <f t="shared" si="17"/>
        <v>Available</v>
      </c>
    </row>
    <row r="536" spans="1:18">
      <c r="A536" t="str">
        <f>TRIM(CLEAN(Raw_Data!A536))</f>
        <v>MEM0535</v>
      </c>
      <c r="B536" t="str">
        <f ca="1">TRIM(Raw_Data!B536)</f>
        <v>Ayesha Joshi</v>
      </c>
      <c r="C536" t="str">
        <f ca="1">_xlfn.XLOOKUP(D536, Branch_Master!A:A, Branch_Master!B:B)</f>
        <v>Trivandrum</v>
      </c>
      <c r="D536" t="str">
        <f ca="1">TRIM(Raw_Data!D536)</f>
        <v>BR06</v>
      </c>
      <c r="E536" t="str">
        <f ca="1">PROPER(TRIM(Raw_Data!E536))</f>
        <v>Premium</v>
      </c>
      <c r="F536" s="2">
        <f>IFERROR(DATEVALUE(Raw_Data!F536), Raw_Data!F536)</f>
        <v>45246</v>
      </c>
      <c r="G536" s="2">
        <f>IFERROR(
    IF(
        IFERROR(DATEVALUE(Raw_Data!G536), Raw_Data!G536) &lt;
        IFERROR(DATEVALUE(Raw_Data!F536), Raw_Data!F536),
        IFERROR(DATEVALUE(Raw_Data!F536), Raw_Data!F536) + 30,
        IFERROR(DATEVALUE(Raw_Data!G536), Raw_Data!G536)
    ),
    ""
)</f>
        <v>45611</v>
      </c>
      <c r="H536">
        <f>IFERROR(VALUE(Raw_Data!H536), "")</f>
        <v>1000</v>
      </c>
      <c r="I536">
        <f ca="1">IFERROR(VALUE(Raw_Data!I536), "")</f>
        <v>12000</v>
      </c>
      <c r="J536">
        <f>IFERROR(
    VALUE(SUBSTITUTE(Raw_Data!J536," visits","")),
    ""
)</f>
        <v>13</v>
      </c>
      <c r="K536" t="str">
        <f ca="1">IF(TRIM(Raw_Data!K536)="","No",PROPER(TRIM(Raw_Data!K536)))</f>
        <v>Yes</v>
      </c>
      <c r="L536" t="str">
        <f ca="1">PROPER(TRIM(Raw_Data!L536))</f>
        <v>Muscle Gain</v>
      </c>
      <c r="M536" t="s">
        <v>151</v>
      </c>
      <c r="N536" s="2">
        <f>IFERROR(DATEVALUE(Raw_Data!N536), Raw_Data!N536)</f>
        <v>45320</v>
      </c>
      <c r="O536" s="2"/>
      <c r="P536" t="str">
        <f>IF(COUNTIF($A$2:A536,A536)&gt;1,"Duplicate","Unique")</f>
        <v>Unique</v>
      </c>
      <c r="Q536" t="str">
        <f t="shared" si="16"/>
        <v>OK</v>
      </c>
      <c r="R536" t="str">
        <f t="shared" si="17"/>
        <v>Available</v>
      </c>
    </row>
    <row r="537" spans="1:18">
      <c r="A537" t="str">
        <f>TRIM(CLEAN(Raw_Data!A537))</f>
        <v>MEM0536</v>
      </c>
      <c r="B537" t="str">
        <f ca="1">TRIM(Raw_Data!B537)</f>
        <v>Priya Reddy</v>
      </c>
      <c r="C537" t="str">
        <f ca="1">_xlfn.XLOOKUP(D537, Branch_Master!A:A, Branch_Master!B:B)</f>
        <v>Hyderabad</v>
      </c>
      <c r="D537" t="str">
        <f ca="1">TRIM(Raw_Data!D537)</f>
        <v>BR04</v>
      </c>
      <c r="E537" t="str">
        <f ca="1">PROPER(TRIM(Raw_Data!E537))</f>
        <v>Basic</v>
      </c>
      <c r="F537" s="2">
        <f>IFERROR(DATEVALUE(Raw_Data!F537), Raw_Data!F537)</f>
        <v>45912</v>
      </c>
      <c r="G537" s="2">
        <f>IFERROR(
    IF(
        IFERROR(DATEVALUE(Raw_Data!G537), Raw_Data!G537) &lt;
        IFERROR(DATEVALUE(Raw_Data!F537), Raw_Data!F537),
        IFERROR(DATEVALUE(Raw_Data!F537), Raw_Data!F537) + 30,
        IFERROR(DATEVALUE(Raw_Data!G537), Raw_Data!G537)
    ),
    ""
)</f>
        <v>46002</v>
      </c>
      <c r="H537">
        <f>IFERROR(VALUE(Raw_Data!H537), "")</f>
        <v>3500</v>
      </c>
      <c r="I537">
        <f ca="1">IFERROR(VALUE(Raw_Data!I537), "")</f>
        <v>42000</v>
      </c>
      <c r="J537">
        <f>IFERROR(
    VALUE(SUBSTITUTE(Raw_Data!J537," visits","")),
    ""
)</f>
        <v>22</v>
      </c>
      <c r="K537" t="str">
        <f ca="1">IF(TRIM(Raw_Data!K537)="","No",PROPER(TRIM(Raw_Data!K537)))</f>
        <v>No</v>
      </c>
      <c r="L537" t="str">
        <f ca="1">PROPER(TRIM(Raw_Data!L537))</f>
        <v>Weight Loss</v>
      </c>
      <c r="M537" t="s">
        <v>152</v>
      </c>
      <c r="N537" s="2">
        <f>IFERROR(DATEVALUE(Raw_Data!N537), Raw_Data!N537)</f>
        <v>46054</v>
      </c>
      <c r="O537" s="2"/>
      <c r="P537" t="str">
        <f>IF(COUNTIF($A$2:A537,A537)&gt;1,"Duplicate","Unique")</f>
        <v>Unique</v>
      </c>
      <c r="Q537" t="str">
        <f t="shared" si="16"/>
        <v>Cancelled but Active</v>
      </c>
      <c r="R537" t="str">
        <f t="shared" si="17"/>
        <v>Available</v>
      </c>
    </row>
    <row r="538" spans="1:18">
      <c r="A538" t="str">
        <f>TRIM(CLEAN(Raw_Data!A538))</f>
        <v>MEM0537</v>
      </c>
      <c r="B538" t="str">
        <f ca="1">TRIM(Raw_Data!B538)</f>
        <v>Divya Shaikh</v>
      </c>
      <c r="C538" t="str">
        <f ca="1">_xlfn.XLOOKUP(D538, Branch_Master!A:A, Branch_Master!B:B)</f>
        <v>Mumbai</v>
      </c>
      <c r="D538" t="str">
        <f ca="1">TRIM(Raw_Data!D538)</f>
        <v>BR05</v>
      </c>
      <c r="E538" t="str">
        <f ca="1">PROPER(TRIM(Raw_Data!E538))</f>
        <v>Premium</v>
      </c>
      <c r="F538" s="2">
        <f>IFERROR(DATEVALUE(Raw_Data!F538), Raw_Data!F538)</f>
        <v>45694</v>
      </c>
      <c r="G538" s="2">
        <f>IFERROR(
    IF(
        IFERROR(DATEVALUE(Raw_Data!G538), Raw_Data!G538) &lt;
        IFERROR(DATEVALUE(Raw_Data!F538), Raw_Data!F538),
        IFERROR(DATEVALUE(Raw_Data!F538), Raw_Data!F538) + 30,
        IFERROR(DATEVALUE(Raw_Data!G538), Raw_Data!G538)
    ),
    ""
)</f>
        <v>45724</v>
      </c>
      <c r="H538">
        <f>IFERROR(VALUE(Raw_Data!H538), "")</f>
        <v>2000</v>
      </c>
      <c r="I538">
        <f ca="1">IFERROR(VALUE(Raw_Data!I538), "")</f>
        <v>4000</v>
      </c>
      <c r="J538">
        <f>IFERROR(
    VALUE(SUBSTITUTE(Raw_Data!J538," visits","")),
    ""
)</f>
        <v>17</v>
      </c>
      <c r="K538" t="str">
        <f ca="1">IF(TRIM(Raw_Data!K538)="","No",PROPER(TRIM(Raw_Data!K538)))</f>
        <v>No</v>
      </c>
      <c r="L538" t="str">
        <f ca="1">PROPER(TRIM(Raw_Data!L538))</f>
        <v>Weight Loss</v>
      </c>
      <c r="M538" t="s">
        <v>151</v>
      </c>
      <c r="N538" s="2">
        <f>IFERROR(DATEVALUE(Raw_Data!N538), Raw_Data!N538)</f>
        <v>46090</v>
      </c>
      <c r="O538" s="2"/>
      <c r="P538" t="str">
        <f>IF(COUNTIF($A$2:A538,A538)&gt;1,"Duplicate","Unique")</f>
        <v>Unique</v>
      </c>
      <c r="Q538" t="str">
        <f t="shared" si="16"/>
        <v>OK</v>
      </c>
      <c r="R538" t="str">
        <f t="shared" si="17"/>
        <v>Available</v>
      </c>
    </row>
    <row r="539" spans="1:18">
      <c r="A539" t="str">
        <f>TRIM(CLEAN(Raw_Data!A539))</f>
        <v>MEM0538</v>
      </c>
      <c r="B539" t="str">
        <f ca="1">TRIM(Raw_Data!B539)</f>
        <v>Manoj Menon</v>
      </c>
      <c r="C539" t="str">
        <f ca="1">_xlfn.XLOOKUP(D539, Branch_Master!A:A, Branch_Master!B:B)</f>
        <v>Trivandrum</v>
      </c>
      <c r="D539" t="str">
        <f ca="1">TRIM(Raw_Data!D539)</f>
        <v>BR06</v>
      </c>
      <c r="E539" t="str">
        <f ca="1">PROPER(TRIM(Raw_Data!E539))</f>
        <v>Standard</v>
      </c>
      <c r="F539" s="2">
        <f>IFERROR(DATEVALUE(Raw_Data!F539), Raw_Data!F539)</f>
        <v>45459</v>
      </c>
      <c r="G539" s="2">
        <f>IFERROR(
    IF(
        IFERROR(DATEVALUE(Raw_Data!G539), Raw_Data!G539) &lt;
        IFERROR(DATEVALUE(Raw_Data!F539), Raw_Data!F539),
        IFERROR(DATEVALUE(Raw_Data!F539), Raw_Data!F539) + 30,
        IFERROR(DATEVALUE(Raw_Data!G539), Raw_Data!G539)
    ),
    ""
)</f>
        <v>45549</v>
      </c>
      <c r="H539">
        <f>IFERROR(VALUE(Raw_Data!H539), "")</f>
        <v>3500</v>
      </c>
      <c r="I539">
        <f ca="1">IFERROR(VALUE(Raw_Data!I539), "")</f>
        <v>42000</v>
      </c>
      <c r="J539">
        <f>IFERROR(
    VALUE(SUBSTITUTE(Raw_Data!J539," visits","")),
    ""
)</f>
        <v>3</v>
      </c>
      <c r="K539" t="str">
        <f ca="1">IF(TRIM(Raw_Data!K539)="","No",PROPER(TRIM(Raw_Data!K539)))</f>
        <v>Yes</v>
      </c>
      <c r="L539" t="str">
        <f ca="1">PROPER(TRIM(Raw_Data!L539))</f>
        <v>Weight Loss</v>
      </c>
      <c r="M539" t="s">
        <v>152</v>
      </c>
      <c r="N539" s="2">
        <f>IFERROR(DATEVALUE(Raw_Data!N539), Raw_Data!N539)</f>
        <v>46033</v>
      </c>
      <c r="O539" s="2"/>
      <c r="P539" t="str">
        <f>IF(COUNTIF($A$2:A539,A539)&gt;1,"Duplicate","Unique")</f>
        <v>Unique</v>
      </c>
      <c r="Q539" t="str">
        <f t="shared" si="16"/>
        <v>Cancelled but Active</v>
      </c>
      <c r="R539" t="str">
        <f t="shared" si="17"/>
        <v>Available</v>
      </c>
    </row>
    <row r="540" spans="1:18">
      <c r="A540" t="str">
        <f>TRIM(CLEAN(Raw_Data!A540))</f>
        <v>MEM0539</v>
      </c>
      <c r="B540" t="str">
        <f ca="1">TRIM(Raw_Data!B540)</f>
        <v>Karthik Varghese</v>
      </c>
      <c r="C540" t="str">
        <f ca="1">_xlfn.XLOOKUP(D540, Branch_Master!A:A, Branch_Master!B:B)</f>
        <v>Chennai</v>
      </c>
      <c r="D540" t="str">
        <f ca="1">TRIM(Raw_Data!D540)</f>
        <v>BR03</v>
      </c>
      <c r="E540" t="str">
        <f ca="1">PROPER(TRIM(Raw_Data!E540))</f>
        <v>Standard</v>
      </c>
      <c r="F540" s="2">
        <f>IFERROR(DATEVALUE(Raw_Data!F540), Raw_Data!F540)</f>
        <v>45414</v>
      </c>
      <c r="G540" s="2">
        <f>IFERROR(
    IF(
        IFERROR(DATEVALUE(Raw_Data!G540), Raw_Data!G540) &lt;
        IFERROR(DATEVALUE(Raw_Data!F540), Raw_Data!F540),
        IFERROR(DATEVALUE(Raw_Data!F540), Raw_Data!F540) + 30,
        IFERROR(DATEVALUE(Raw_Data!G540), Raw_Data!G540)
    ),
    ""
)</f>
        <v>45504</v>
      </c>
      <c r="H540">
        <f>IFERROR(VALUE(Raw_Data!H540), "")</f>
        <v>1000</v>
      </c>
      <c r="I540">
        <f ca="1">IFERROR(VALUE(Raw_Data!I540), "")</f>
        <v>10000</v>
      </c>
      <c r="J540">
        <f>IFERROR(
    VALUE(SUBSTITUTE(Raw_Data!J540," visits","")),
    ""
)</f>
        <v>19</v>
      </c>
      <c r="K540" t="str">
        <f ca="1">IF(TRIM(Raw_Data!K540)="","No",PROPER(TRIM(Raw_Data!K540)))</f>
        <v>No</v>
      </c>
      <c r="L540" t="str">
        <f ca="1">PROPER(TRIM(Raw_Data!L540))</f>
        <v>Weight Loss</v>
      </c>
      <c r="M540" t="s">
        <v>152</v>
      </c>
      <c r="N540" s="2">
        <f>IFERROR(DATEVALUE(Raw_Data!N540), Raw_Data!N540)</f>
        <v>45421</v>
      </c>
      <c r="O540" s="2"/>
      <c r="P540" t="str">
        <f>IF(COUNTIF($A$2:A540,A540)&gt;1,"Duplicate","Unique")</f>
        <v>Unique</v>
      </c>
      <c r="Q540" t="str">
        <f t="shared" si="16"/>
        <v>Cancelled but Active</v>
      </c>
      <c r="R540" t="str">
        <f t="shared" si="17"/>
        <v>Available</v>
      </c>
    </row>
    <row r="541" spans="1:18">
      <c r="A541" t="str">
        <f>TRIM(CLEAN(Raw_Data!A541))</f>
        <v>MEM0540</v>
      </c>
      <c r="B541" t="str">
        <f ca="1">TRIM(Raw_Data!B541)</f>
        <v>Nikhil Joshi</v>
      </c>
      <c r="C541" t="str">
        <f ca="1">_xlfn.XLOOKUP(D541, Branch_Master!A:A, Branch_Master!B:B)</f>
        <v>Calicut</v>
      </c>
      <c r="D541" t="str">
        <f ca="1">TRIM(Raw_Data!D541)</f>
        <v>BR07</v>
      </c>
      <c r="E541" t="str">
        <f ca="1">PROPER(TRIM(Raw_Data!E541))</f>
        <v>Basic</v>
      </c>
      <c r="F541" s="2">
        <f>IFERROR(DATEVALUE(Raw_Data!F541), Raw_Data!F541)</f>
        <v>45376</v>
      </c>
      <c r="G541" s="2">
        <f>IFERROR(
    IF(
        IFERROR(DATEVALUE(Raw_Data!G541), Raw_Data!G541) &lt;
        IFERROR(DATEVALUE(Raw_Data!F541), Raw_Data!F541),
        IFERROR(DATEVALUE(Raw_Data!F541), Raw_Data!F541) + 30,
        IFERROR(DATEVALUE(Raw_Data!G541), Raw_Data!G541)
    ),
    ""
)</f>
        <v>45406</v>
      </c>
      <c r="H541">
        <f>IFERROR(VALUE(Raw_Data!H541), "")</f>
        <v>1000</v>
      </c>
      <c r="I541">
        <f ca="1">IFERROR(VALUE(Raw_Data!I541), "")</f>
        <v>8000</v>
      </c>
      <c r="J541">
        <f>IFERROR(
    VALUE(SUBSTITUTE(Raw_Data!J541," visits","")),
    ""
)</f>
        <v>25</v>
      </c>
      <c r="K541" t="str">
        <f ca="1">IF(TRIM(Raw_Data!K541)="","No",PROPER(TRIM(Raw_Data!K541)))</f>
        <v>No</v>
      </c>
      <c r="L541" t="str">
        <f ca="1">PROPER(TRIM(Raw_Data!L541))</f>
        <v>General Fitness</v>
      </c>
      <c r="M541" t="s">
        <v>151</v>
      </c>
      <c r="N541" s="2">
        <f>IFERROR(DATEVALUE(Raw_Data!N541), Raw_Data!N541)</f>
        <v>45718</v>
      </c>
      <c r="O541" s="2"/>
      <c r="P541" t="str">
        <f>IF(COUNTIF($A$2:A541,A541)&gt;1,"Duplicate","Unique")</f>
        <v>Unique</v>
      </c>
      <c r="Q541" t="str">
        <f t="shared" si="16"/>
        <v>OK</v>
      </c>
      <c r="R541" t="str">
        <f t="shared" si="17"/>
        <v>Available</v>
      </c>
    </row>
    <row r="542" spans="1:18">
      <c r="A542" t="str">
        <f>TRIM(CLEAN(Raw_Data!A542))</f>
        <v>MEM0541</v>
      </c>
      <c r="B542" t="str">
        <f ca="1">TRIM(Raw_Data!B542)</f>
        <v>Varun Mathew</v>
      </c>
      <c r="C542" t="str">
        <f ca="1">_xlfn.XLOOKUP(D542, Branch_Master!A:A, Branch_Master!B:B)</f>
        <v>Mumbai</v>
      </c>
      <c r="D542" t="str">
        <f ca="1">TRIM(Raw_Data!D542)</f>
        <v>BR05</v>
      </c>
      <c r="E542" t="str">
        <f ca="1">PROPER(TRIM(Raw_Data!E542))</f>
        <v>Basic</v>
      </c>
      <c r="F542" s="2">
        <f>IFERROR(DATEVALUE(Raw_Data!F542), Raw_Data!F542)</f>
        <v>45400</v>
      </c>
      <c r="G542" s="2">
        <f>IFERROR(
    IF(
        IFERROR(DATEVALUE(Raw_Data!G542), Raw_Data!G542) &lt;
        IFERROR(DATEVALUE(Raw_Data!F542), Raw_Data!F542),
        IFERROR(DATEVALUE(Raw_Data!F542), Raw_Data!F542) + 30,
        IFERROR(DATEVALUE(Raw_Data!G542), Raw_Data!G542)
    ),
    ""
)</f>
        <v>45765</v>
      </c>
      <c r="H542">
        <f>IFERROR(VALUE(Raw_Data!H542), "")</f>
        <v>2000</v>
      </c>
      <c r="I542">
        <f ca="1">IFERROR(VALUE(Raw_Data!I542), "")</f>
        <v>24000</v>
      </c>
      <c r="J542">
        <f>IFERROR(
    VALUE(SUBSTITUTE(Raw_Data!J542," visits","")),
    ""
)</f>
        <v>6</v>
      </c>
      <c r="K542" t="str">
        <f ca="1">IF(TRIM(Raw_Data!K542)="","No",PROPER(TRIM(Raw_Data!K542)))</f>
        <v>Yes</v>
      </c>
      <c r="L542" t="str">
        <f ca="1">PROPER(TRIM(Raw_Data!L542))</f>
        <v>General Fitness</v>
      </c>
      <c r="M542" t="s">
        <v>151</v>
      </c>
      <c r="N542" s="2">
        <f>IFERROR(DATEVALUE(Raw_Data!N542), Raw_Data!N542)</f>
        <v>45658</v>
      </c>
      <c r="O542" s="2"/>
      <c r="P542" t="str">
        <f>IF(COUNTIF($A$2:A542,A542)&gt;1,"Duplicate","Unique")</f>
        <v>Unique</v>
      </c>
      <c r="Q542" t="str">
        <f t="shared" si="16"/>
        <v>OK</v>
      </c>
      <c r="R542" t="str">
        <f t="shared" si="17"/>
        <v>Available</v>
      </c>
    </row>
    <row r="543" spans="1:18">
      <c r="A543" t="str">
        <f>TRIM(CLEAN(Raw_Data!A543))</f>
        <v>MEM0542</v>
      </c>
      <c r="B543" t="str">
        <f ca="1">TRIM(Raw_Data!B543)</f>
        <v>Ankit Bhat</v>
      </c>
      <c r="C543" t="str">
        <f ca="1">_xlfn.XLOOKUP(D543, Branch_Master!A:A, Branch_Master!B:B)</f>
        <v>Hyderabad</v>
      </c>
      <c r="D543" t="str">
        <f ca="1">TRIM(Raw_Data!D543)</f>
        <v>BR04</v>
      </c>
      <c r="E543" t="str">
        <f ca="1">PROPER(TRIM(Raw_Data!E543))</f>
        <v>Premium</v>
      </c>
      <c r="F543" s="2">
        <f>IFERROR(DATEVALUE(Raw_Data!F543), Raw_Data!F543)</f>
        <v>45446</v>
      </c>
      <c r="G543" s="2">
        <f>IFERROR(
    IF(
        IFERROR(DATEVALUE(Raw_Data!G543), Raw_Data!G543) &lt;
        IFERROR(DATEVALUE(Raw_Data!F543), Raw_Data!F543),
        IFERROR(DATEVALUE(Raw_Data!F543), Raw_Data!F543) + 30,
        IFERROR(DATEVALUE(Raw_Data!G543), Raw_Data!G543)
    ),
    ""
)</f>
        <v>45476</v>
      </c>
      <c r="H543">
        <f>IFERROR(VALUE(Raw_Data!H543), "")</f>
        <v>3500</v>
      </c>
      <c r="I543">
        <f ca="1">IFERROR(VALUE(Raw_Data!I543), "")</f>
        <v>10500</v>
      </c>
      <c r="J543">
        <f>IFERROR(
    VALUE(SUBSTITUTE(Raw_Data!J543," visits","")),
    ""
)</f>
        <v>8</v>
      </c>
      <c r="K543" t="str">
        <f ca="1">IF(TRIM(Raw_Data!K543)="","No",PROPER(TRIM(Raw_Data!K543)))</f>
        <v>No</v>
      </c>
      <c r="L543" t="str">
        <f ca="1">PROPER(TRIM(Raw_Data!L543))</f>
        <v>Muscle Gain</v>
      </c>
      <c r="M543" t="s">
        <v>152</v>
      </c>
      <c r="N543" s="2">
        <f>IFERROR(DATEVALUE(Raw_Data!N543), Raw_Data!N543)</f>
        <v>45516</v>
      </c>
      <c r="O543" s="2"/>
      <c r="P543" t="str">
        <f>IF(COUNTIF($A$2:A543,A543)&gt;1,"Duplicate","Unique")</f>
        <v>Unique</v>
      </c>
      <c r="Q543" t="str">
        <f t="shared" si="16"/>
        <v>Cancelled but Active</v>
      </c>
      <c r="R543" t="str">
        <f t="shared" si="17"/>
        <v>Available</v>
      </c>
    </row>
    <row r="544" spans="1:18">
      <c r="A544" t="str">
        <f>TRIM(CLEAN(Raw_Data!A544))</f>
        <v>MEM0543</v>
      </c>
      <c r="B544" t="str">
        <f ca="1">TRIM(Raw_Data!B544)</f>
        <v>Swathi Joseph</v>
      </c>
      <c r="C544" t="str">
        <f ca="1">_xlfn.XLOOKUP(D544, Branch_Master!A:A, Branch_Master!B:B)</f>
        <v>Trivandrum</v>
      </c>
      <c r="D544" t="str">
        <f ca="1">TRIM(Raw_Data!D544)</f>
        <v>BR06</v>
      </c>
      <c r="E544" t="str">
        <f ca="1">PROPER(TRIM(Raw_Data!E544))</f>
        <v>Basic</v>
      </c>
      <c r="F544" s="2">
        <f>IFERROR(DATEVALUE(Raw_Data!F544), Raw_Data!F544)</f>
        <v>45347</v>
      </c>
      <c r="G544" s="2">
        <f>IFERROR(
    IF(
        IFERROR(DATEVALUE(Raw_Data!G544), Raw_Data!G544) &lt;
        IFERROR(DATEVALUE(Raw_Data!F544), Raw_Data!F544),
        IFERROR(DATEVALUE(Raw_Data!F544), Raw_Data!F544) + 30,
        IFERROR(DATEVALUE(Raw_Data!G544), Raw_Data!G544)
    ),
    ""
)</f>
        <v>45712</v>
      </c>
      <c r="H544">
        <f>IFERROR(VALUE(Raw_Data!H544), "")</f>
        <v>2000</v>
      </c>
      <c r="I544">
        <f ca="1">IFERROR(VALUE(Raw_Data!I544), "")</f>
        <v>10000</v>
      </c>
      <c r="J544">
        <f>IFERROR(
    VALUE(SUBSTITUTE(Raw_Data!J544," visits","")),
    ""
)</f>
        <v>12</v>
      </c>
      <c r="K544" t="str">
        <f ca="1">IF(TRIM(Raw_Data!K544)="","No",PROPER(TRIM(Raw_Data!K544)))</f>
        <v>Yes</v>
      </c>
      <c r="L544" t="str">
        <f ca="1">PROPER(TRIM(Raw_Data!L544))</f>
        <v>Muscle Gain</v>
      </c>
      <c r="M544" t="s">
        <v>151</v>
      </c>
      <c r="N544" s="2">
        <f>IFERROR(DATEVALUE(Raw_Data!N544), Raw_Data!N544)</f>
        <v>45587</v>
      </c>
      <c r="O544" s="2"/>
      <c r="P544" t="str">
        <f>IF(COUNTIF($A$2:A544,A544)&gt;1,"Duplicate","Unique")</f>
        <v>Unique</v>
      </c>
      <c r="Q544" t="str">
        <f t="shared" si="16"/>
        <v>OK</v>
      </c>
      <c r="R544" t="str">
        <f t="shared" si="17"/>
        <v>Available</v>
      </c>
    </row>
    <row r="545" spans="1:18">
      <c r="A545" t="str">
        <f>TRIM(CLEAN(Raw_Data!A545))</f>
        <v>MEM0544</v>
      </c>
      <c r="B545" t="str">
        <f ca="1">TRIM(Raw_Data!B545)</f>
        <v>Lakshmi Kapoor</v>
      </c>
      <c r="C545" t="str">
        <f ca="1">_xlfn.XLOOKUP(D545, Branch_Master!A:A, Branch_Master!B:B)</f>
        <v>Calicut</v>
      </c>
      <c r="D545" t="str">
        <f ca="1">TRIM(Raw_Data!D545)</f>
        <v>BR07</v>
      </c>
      <c r="E545" t="str">
        <f ca="1">PROPER(TRIM(Raw_Data!E545))</f>
        <v>Standard</v>
      </c>
      <c r="F545" s="2">
        <f>IFERROR(DATEVALUE(Raw_Data!F545), Raw_Data!F545)</f>
        <v>45412</v>
      </c>
      <c r="G545" s="2">
        <f>IFERROR(
    IF(
        IFERROR(DATEVALUE(Raw_Data!G545), Raw_Data!G545) &lt;
        IFERROR(DATEVALUE(Raw_Data!F545), Raw_Data!F545),
        IFERROR(DATEVALUE(Raw_Data!F545), Raw_Data!F545) + 30,
        IFERROR(DATEVALUE(Raw_Data!G545), Raw_Data!G545)
    ),
    ""
)</f>
        <v>45777</v>
      </c>
      <c r="H545">
        <f>IFERROR(VALUE(Raw_Data!H545), "")</f>
        <v>2000</v>
      </c>
      <c r="I545">
        <f ca="1">IFERROR(VALUE(Raw_Data!I545), "")</f>
        <v>16000</v>
      </c>
      <c r="J545">
        <f>IFERROR(
    VALUE(SUBSTITUTE(Raw_Data!J545," visits","")),
    ""
)</f>
        <v>6</v>
      </c>
      <c r="K545" t="str">
        <f ca="1">IF(TRIM(Raw_Data!K545)="","No",PROPER(TRIM(Raw_Data!K545)))</f>
        <v>No</v>
      </c>
      <c r="L545" t="str">
        <f ca="1">PROPER(TRIM(Raw_Data!L545))</f>
        <v>Muscle Gain</v>
      </c>
      <c r="M545" t="s">
        <v>151</v>
      </c>
      <c r="N545" s="2">
        <f>IFERROR(DATEVALUE(Raw_Data!N545), Raw_Data!N545)</f>
        <v>45494</v>
      </c>
      <c r="O545" s="2"/>
      <c r="P545" t="str">
        <f>IF(COUNTIF($A$2:A545,A545)&gt;1,"Duplicate","Unique")</f>
        <v>Unique</v>
      </c>
      <c r="Q545" t="str">
        <f t="shared" si="16"/>
        <v>OK</v>
      </c>
      <c r="R545" t="str">
        <f t="shared" si="17"/>
        <v>Available</v>
      </c>
    </row>
    <row r="546" spans="1:18">
      <c r="A546" t="str">
        <f>TRIM(CLEAN(Raw_Data!A546))</f>
        <v>MEM0545</v>
      </c>
      <c r="B546" t="str">
        <f ca="1">TRIM(Raw_Data!B546)</f>
        <v>Nikhil Naidu</v>
      </c>
      <c r="C546" t="str">
        <f ca="1">_xlfn.XLOOKUP(D546, Branch_Master!A:A, Branch_Master!B:B)</f>
        <v>Calicut</v>
      </c>
      <c r="D546" t="str">
        <f ca="1">TRIM(Raw_Data!D546)</f>
        <v>BR07</v>
      </c>
      <c r="E546" t="str">
        <f ca="1">PROPER(TRIM(Raw_Data!E546))</f>
        <v>Basic</v>
      </c>
      <c r="F546" s="2">
        <f>IFERROR(DATEVALUE(Raw_Data!F546), Raw_Data!F546)</f>
        <v>45985</v>
      </c>
      <c r="G546" s="2">
        <f>IFERROR(
    IF(
        IFERROR(DATEVALUE(Raw_Data!G546), Raw_Data!G546) &lt;
        IFERROR(DATEVALUE(Raw_Data!F546), Raw_Data!F546),
        IFERROR(DATEVALUE(Raw_Data!F546), Raw_Data!F546) + 30,
        IFERROR(DATEVALUE(Raw_Data!G546), Raw_Data!G546)
    ),
    ""
)</f>
        <v>46350</v>
      </c>
      <c r="H546">
        <f>IFERROR(VALUE(Raw_Data!H546), "")</f>
        <v>3500</v>
      </c>
      <c r="I546">
        <f ca="1">IFERROR(VALUE(Raw_Data!I546), "")</f>
        <v>17500</v>
      </c>
      <c r="J546">
        <f>IFERROR(
    VALUE(SUBSTITUTE(Raw_Data!J546," visits","")),
    ""
)</f>
        <v>10</v>
      </c>
      <c r="K546" t="str">
        <f ca="1">IF(TRIM(Raw_Data!K546)="","No",PROPER(TRIM(Raw_Data!K546)))</f>
        <v>Yes</v>
      </c>
      <c r="L546" t="str">
        <f ca="1">PROPER(TRIM(Raw_Data!L546))</f>
        <v>General Fitness</v>
      </c>
      <c r="M546" t="s">
        <v>151</v>
      </c>
      <c r="N546" s="2">
        <f>IFERROR(DATEVALUE(Raw_Data!N546), Raw_Data!N546)</f>
        <v>46099</v>
      </c>
      <c r="O546" s="2"/>
      <c r="P546" t="str">
        <f>IF(COUNTIF($A$2:A546,A546)&gt;1,"Duplicate","Unique")</f>
        <v>Unique</v>
      </c>
      <c r="Q546" t="str">
        <f t="shared" si="16"/>
        <v>OK</v>
      </c>
      <c r="R546" t="str">
        <f t="shared" si="17"/>
        <v>Available</v>
      </c>
    </row>
    <row r="547" spans="1:18">
      <c r="A547" t="str">
        <f>TRIM(CLEAN(Raw_Data!A547))</f>
        <v>MEM0546</v>
      </c>
      <c r="B547" t="str">
        <f ca="1">TRIM(Raw_Data!B547)</f>
        <v>Divya Desai</v>
      </c>
      <c r="C547" t="str">
        <f ca="1">_xlfn.XLOOKUP(D547, Branch_Master!A:A, Branch_Master!B:B)</f>
        <v>Chennai</v>
      </c>
      <c r="D547" t="str">
        <f ca="1">TRIM(Raw_Data!D547)</f>
        <v>BR03</v>
      </c>
      <c r="E547" t="str">
        <f ca="1">PROPER(TRIM(Raw_Data!E547))</f>
        <v>Basic</v>
      </c>
      <c r="F547" s="2">
        <f>IFERROR(DATEVALUE(Raw_Data!F547), Raw_Data!F547)</f>
        <v>45237</v>
      </c>
      <c r="G547" s="2">
        <f>IFERROR(
    IF(
        IFERROR(DATEVALUE(Raw_Data!G547), Raw_Data!G547) &lt;
        IFERROR(DATEVALUE(Raw_Data!F547), Raw_Data!F547),
        IFERROR(DATEVALUE(Raw_Data!F547), Raw_Data!F547) + 30,
        IFERROR(DATEVALUE(Raw_Data!G547), Raw_Data!G547)
    ),
    ""
)</f>
        <v>45602</v>
      </c>
      <c r="H547">
        <f>IFERROR(VALUE(Raw_Data!H547), "")</f>
        <v>2000</v>
      </c>
      <c r="I547">
        <f ca="1">IFERROR(VALUE(Raw_Data!I547), "")</f>
        <v>20000</v>
      </c>
      <c r="J547">
        <f>IFERROR(
    VALUE(SUBSTITUTE(Raw_Data!J547," visits","")),
    ""
)</f>
        <v>9</v>
      </c>
      <c r="K547" t="str">
        <f ca="1">IF(TRIM(Raw_Data!K547)="","No",PROPER(TRIM(Raw_Data!K547)))</f>
        <v>Yes</v>
      </c>
      <c r="L547" t="str">
        <f ca="1">PROPER(TRIM(Raw_Data!L547))</f>
        <v>General Fitness</v>
      </c>
      <c r="M547" t="s">
        <v>151</v>
      </c>
      <c r="N547" s="2">
        <f>IFERROR(DATEVALUE(Raw_Data!N547), Raw_Data!N547)</f>
        <v>45258</v>
      </c>
      <c r="O547" s="2"/>
      <c r="P547" t="str">
        <f>IF(COUNTIF($A$2:A547,A547)&gt;1,"Duplicate","Unique")</f>
        <v>Unique</v>
      </c>
      <c r="Q547" t="str">
        <f t="shared" si="16"/>
        <v>OK</v>
      </c>
      <c r="R547" t="str">
        <f t="shared" si="17"/>
        <v>Available</v>
      </c>
    </row>
    <row r="548" spans="1:18">
      <c r="A548" t="str">
        <f>TRIM(CLEAN(Raw_Data!A548))</f>
        <v>MEM0547</v>
      </c>
      <c r="B548" t="str">
        <f ca="1">TRIM(Raw_Data!B548)</f>
        <v>Anjali Shaikh</v>
      </c>
      <c r="C548" t="str">
        <f ca="1">_xlfn.XLOOKUP(D548, Branch_Master!A:A, Branch_Master!B:B)</f>
        <v>Kochi</v>
      </c>
      <c r="D548" t="str">
        <f ca="1">TRIM(Raw_Data!D548)</f>
        <v>BR01</v>
      </c>
      <c r="E548" t="str">
        <f ca="1">PROPER(TRIM(Raw_Data!E548))</f>
        <v>Premium</v>
      </c>
      <c r="F548" s="2">
        <f>IFERROR(DATEVALUE(Raw_Data!F548), Raw_Data!F548)</f>
        <v>45629</v>
      </c>
      <c r="G548" s="2">
        <f>IFERROR(
    IF(
        IFERROR(DATEVALUE(Raw_Data!G548), Raw_Data!G548) &lt;
        IFERROR(DATEVALUE(Raw_Data!F548), Raw_Data!F548),
        IFERROR(DATEVALUE(Raw_Data!F548), Raw_Data!F548) + 30,
        IFERROR(DATEVALUE(Raw_Data!G548), Raw_Data!G548)
    ),
    ""
)</f>
        <v>45659</v>
      </c>
      <c r="H548">
        <f>IFERROR(VALUE(Raw_Data!H548), "")</f>
        <v>2000</v>
      </c>
      <c r="I548">
        <f ca="1">IFERROR(VALUE(Raw_Data!I548), "")</f>
        <v>6000</v>
      </c>
      <c r="J548">
        <f>IFERROR(
    VALUE(SUBSTITUTE(Raw_Data!J548," visits","")),
    ""
)</f>
        <v>2</v>
      </c>
      <c r="K548" t="str">
        <f ca="1">IF(TRIM(Raw_Data!K548)="","No",PROPER(TRIM(Raw_Data!K548)))</f>
        <v>Yes</v>
      </c>
      <c r="L548" t="str">
        <f ca="1">PROPER(TRIM(Raw_Data!L548))</f>
        <v>General Fitness</v>
      </c>
      <c r="M548" t="s">
        <v>151</v>
      </c>
      <c r="N548" s="2">
        <f>IFERROR(DATEVALUE(Raw_Data!N548), Raw_Data!N548)</f>
        <v>45655</v>
      </c>
      <c r="O548" s="2"/>
      <c r="P548" t="str">
        <f>IF(COUNTIF($A$2:A548,A548)&gt;1,"Duplicate","Unique")</f>
        <v>Unique</v>
      </c>
      <c r="Q548" t="str">
        <f t="shared" si="16"/>
        <v>OK</v>
      </c>
      <c r="R548" t="str">
        <f t="shared" si="17"/>
        <v>Available</v>
      </c>
    </row>
    <row r="549" spans="1:18">
      <c r="A549" t="str">
        <f>TRIM(CLEAN(Raw_Data!A549))</f>
        <v>MEM0548</v>
      </c>
      <c r="B549" t="str">
        <f ca="1">TRIM(Raw_Data!B549)</f>
        <v>Kavya Patel</v>
      </c>
      <c r="C549" t="str">
        <f ca="1">_xlfn.XLOOKUP(D549, Branch_Master!A:A, Branch_Master!B:B)</f>
        <v>Mumbai</v>
      </c>
      <c r="D549" t="str">
        <f ca="1">TRIM(Raw_Data!D549)</f>
        <v>BR05</v>
      </c>
      <c r="E549" t="str">
        <f ca="1">PROPER(TRIM(Raw_Data!E549))</f>
        <v>Premium</v>
      </c>
      <c r="F549" s="2">
        <f>IFERROR(DATEVALUE(Raw_Data!F549), Raw_Data!F549)</f>
        <v>45646</v>
      </c>
      <c r="G549" s="2">
        <f>IFERROR(
    IF(
        IFERROR(DATEVALUE(Raw_Data!G549), Raw_Data!G549) &lt;
        IFERROR(DATEVALUE(Raw_Data!F549), Raw_Data!F549),
        IFERROR(DATEVALUE(Raw_Data!F549), Raw_Data!F549) + 30,
        IFERROR(DATEVALUE(Raw_Data!G549), Raw_Data!G549)
    ),
    ""
)</f>
        <v>45736</v>
      </c>
      <c r="H549">
        <f>IFERROR(VALUE(Raw_Data!H549), "")</f>
        <v>1000</v>
      </c>
      <c r="I549">
        <f ca="1">IFERROR(VALUE(Raw_Data!I549), "")</f>
        <v>8000</v>
      </c>
      <c r="J549">
        <f>IFERROR(
    VALUE(SUBSTITUTE(Raw_Data!J549," visits","")),
    ""
)</f>
        <v>21</v>
      </c>
      <c r="K549" t="str">
        <f ca="1">IF(TRIM(Raw_Data!K549)="","No",PROPER(TRIM(Raw_Data!K549)))</f>
        <v>Yes</v>
      </c>
      <c r="L549" t="str">
        <f ca="1">PROPER(TRIM(Raw_Data!L549))</f>
        <v>Weight Loss</v>
      </c>
      <c r="M549" t="s">
        <v>151</v>
      </c>
      <c r="N549" s="2">
        <f>IFERROR(DATEVALUE(Raw_Data!N549), Raw_Data!N549)</f>
        <v>45679</v>
      </c>
      <c r="O549" s="2"/>
      <c r="P549" t="str">
        <f>IF(COUNTIF($A$2:A549,A549)&gt;1,"Duplicate","Unique")</f>
        <v>Unique</v>
      </c>
      <c r="Q549" t="str">
        <f t="shared" si="16"/>
        <v>OK</v>
      </c>
      <c r="R549" t="str">
        <f t="shared" si="17"/>
        <v>Available</v>
      </c>
    </row>
    <row r="550" spans="1:18">
      <c r="A550" t="str">
        <f>TRIM(CLEAN(Raw_Data!A550))</f>
        <v>MEM0549</v>
      </c>
      <c r="B550" t="str">
        <f ca="1">TRIM(Raw_Data!B550)</f>
        <v>Lakshmi George</v>
      </c>
      <c r="C550" t="str">
        <f ca="1">_xlfn.XLOOKUP(D550, Branch_Master!A:A, Branch_Master!B:B)</f>
        <v>Mumbai</v>
      </c>
      <c r="D550" t="str">
        <f ca="1">TRIM(Raw_Data!D550)</f>
        <v>BR05</v>
      </c>
      <c r="E550" t="str">
        <f ca="1">PROPER(TRIM(Raw_Data!E550))</f>
        <v>Standard</v>
      </c>
      <c r="F550" s="2">
        <f>IFERROR(DATEVALUE(Raw_Data!F550), Raw_Data!F550)</f>
        <v>45110</v>
      </c>
      <c r="G550" s="2">
        <f>IFERROR(
    IF(
        IFERROR(DATEVALUE(Raw_Data!G550), Raw_Data!G550) &lt;
        IFERROR(DATEVALUE(Raw_Data!F550), Raw_Data!F550),
        IFERROR(DATEVALUE(Raw_Data!F550), Raw_Data!F550) + 30,
        IFERROR(DATEVALUE(Raw_Data!G550), Raw_Data!G550)
    ),
    ""
)</f>
        <v>45200</v>
      </c>
      <c r="H550">
        <f>IFERROR(VALUE(Raw_Data!H550), "")</f>
        <v>2000</v>
      </c>
      <c r="I550">
        <f ca="1">IFERROR(VALUE(Raw_Data!I550), "")</f>
        <v>22000</v>
      </c>
      <c r="J550">
        <f>IFERROR(
    VALUE(SUBSTITUTE(Raw_Data!J550," visits","")),
    ""
)</f>
        <v>2</v>
      </c>
      <c r="K550" t="str">
        <f ca="1">IF(TRIM(Raw_Data!K550)="","No",PROPER(TRIM(Raw_Data!K550)))</f>
        <v>No</v>
      </c>
      <c r="L550" t="str">
        <f ca="1">PROPER(TRIM(Raw_Data!L550))</f>
        <v>Weight Loss</v>
      </c>
      <c r="M550" t="s">
        <v>151</v>
      </c>
      <c r="N550" s="2">
        <f>IFERROR(DATEVALUE(Raw_Data!N550), Raw_Data!N550)</f>
        <v>45462</v>
      </c>
      <c r="O550" s="2"/>
      <c r="P550" t="str">
        <f>IF(COUNTIF($A$2:A550,A550)&gt;1,"Duplicate","Unique")</f>
        <v>Unique</v>
      </c>
      <c r="Q550" t="str">
        <f t="shared" si="16"/>
        <v>OK</v>
      </c>
      <c r="R550" t="str">
        <f t="shared" si="17"/>
        <v>Available</v>
      </c>
    </row>
    <row r="551" spans="1:18">
      <c r="A551" t="str">
        <f>TRIM(CLEAN(Raw_Data!A551))</f>
        <v>MEM0550</v>
      </c>
      <c r="B551" t="str">
        <f ca="1">TRIM(Raw_Data!B551)</f>
        <v>Akash Banerjee</v>
      </c>
      <c r="C551" t="str">
        <f ca="1">_xlfn.XLOOKUP(D551, Branch_Master!A:A, Branch_Master!B:B)</f>
        <v>Mumbai</v>
      </c>
      <c r="D551" t="str">
        <f ca="1">TRIM(Raw_Data!D551)</f>
        <v>BR05</v>
      </c>
      <c r="E551" t="str">
        <f ca="1">PROPER(TRIM(Raw_Data!E551))</f>
        <v>Standard</v>
      </c>
      <c r="F551" s="2">
        <f>IFERROR(DATEVALUE(Raw_Data!F551), Raw_Data!F551)</f>
        <v>45431</v>
      </c>
      <c r="G551" s="2">
        <f>IFERROR(
    IF(
        IFERROR(DATEVALUE(Raw_Data!G551), Raw_Data!G551) &lt;
        IFERROR(DATEVALUE(Raw_Data!F551), Raw_Data!F551),
        IFERROR(DATEVALUE(Raw_Data!F551), Raw_Data!F551) + 30,
        IFERROR(DATEVALUE(Raw_Data!G551), Raw_Data!G551)
    ),
    ""
)</f>
        <v>45461</v>
      </c>
      <c r="H551">
        <f>IFERROR(VALUE(Raw_Data!H551), "")</f>
        <v>3500</v>
      </c>
      <c r="I551">
        <f ca="1">IFERROR(VALUE(Raw_Data!I551), "")</f>
        <v>21000</v>
      </c>
      <c r="J551">
        <f>IFERROR(
    VALUE(SUBSTITUTE(Raw_Data!J551," visits","")),
    ""
)</f>
        <v>13</v>
      </c>
      <c r="K551" t="str">
        <f ca="1">IF(TRIM(Raw_Data!K551)="","No",PROPER(TRIM(Raw_Data!K551)))</f>
        <v>No</v>
      </c>
      <c r="L551" t="str">
        <f ca="1">PROPER(TRIM(Raw_Data!L551))</f>
        <v>Muscle Gain</v>
      </c>
      <c r="M551" t="s">
        <v>151</v>
      </c>
      <c r="N551" s="2">
        <f>IFERROR(DATEVALUE(Raw_Data!N551), Raw_Data!N551)</f>
        <v>45783</v>
      </c>
      <c r="O551" s="2"/>
      <c r="P551" t="str">
        <f>IF(COUNTIF($A$2:A551,A551)&gt;1,"Duplicate","Unique")</f>
        <v>Unique</v>
      </c>
      <c r="Q551" t="str">
        <f t="shared" si="16"/>
        <v>OK</v>
      </c>
      <c r="R551" t="str">
        <f t="shared" si="17"/>
        <v>Available</v>
      </c>
    </row>
    <row r="552" spans="1:18">
      <c r="A552" t="str">
        <f>TRIM(CLEAN(Raw_Data!A552))</f>
        <v>MEM0551</v>
      </c>
      <c r="B552" t="str">
        <f ca="1">TRIM(Raw_Data!B552)</f>
        <v>Riya Gupta</v>
      </c>
      <c r="C552" t="str">
        <f ca="1">_xlfn.XLOOKUP(D552, Branch_Master!A:A, Branch_Master!B:B)</f>
        <v>Mumbai</v>
      </c>
      <c r="D552" t="str">
        <f ca="1">TRIM(Raw_Data!D552)</f>
        <v>BR05</v>
      </c>
      <c r="E552" t="str">
        <f ca="1">PROPER(TRIM(Raw_Data!E552))</f>
        <v>Premium</v>
      </c>
      <c r="F552" s="2">
        <f>IFERROR(DATEVALUE(Raw_Data!F552), Raw_Data!F552)</f>
        <v>45174</v>
      </c>
      <c r="G552" s="2">
        <f>IFERROR(
    IF(
        IFERROR(DATEVALUE(Raw_Data!G552), Raw_Data!G552) &lt;
        IFERROR(DATEVALUE(Raw_Data!F552), Raw_Data!F552),
        IFERROR(DATEVALUE(Raw_Data!F552), Raw_Data!F552) + 30,
        IFERROR(DATEVALUE(Raw_Data!G552), Raw_Data!G552)
    ),
    ""
)</f>
        <v>45204</v>
      </c>
      <c r="H552">
        <f>IFERROR(VALUE(Raw_Data!H552), "")</f>
        <v>3500</v>
      </c>
      <c r="I552">
        <f ca="1">IFERROR(VALUE(Raw_Data!I552), "")</f>
        <v>24500</v>
      </c>
      <c r="J552">
        <f>IFERROR(
    VALUE(SUBSTITUTE(Raw_Data!J552," visits","")),
    ""
)</f>
        <v>4</v>
      </c>
      <c r="K552" t="str">
        <f ca="1">IF(TRIM(Raw_Data!K552)="","No",PROPER(TRIM(Raw_Data!K552)))</f>
        <v>No</v>
      </c>
      <c r="L552" t="str">
        <f ca="1">PROPER(TRIM(Raw_Data!L552))</f>
        <v>General Fitness</v>
      </c>
      <c r="M552" t="s">
        <v>151</v>
      </c>
      <c r="N552" s="2">
        <f>IFERROR(DATEVALUE(Raw_Data!N552), Raw_Data!N552)</f>
        <v>46113</v>
      </c>
      <c r="O552" s="2"/>
      <c r="P552" t="str">
        <f>IF(COUNTIF($A$2:A552,A552)&gt;1,"Duplicate","Unique")</f>
        <v>Unique</v>
      </c>
      <c r="Q552" t="str">
        <f t="shared" si="16"/>
        <v>OK</v>
      </c>
      <c r="R552" t="str">
        <f t="shared" si="17"/>
        <v>Available</v>
      </c>
    </row>
    <row r="553" spans="1:18">
      <c r="A553" t="str">
        <f>TRIM(CLEAN(Raw_Data!A553))</f>
        <v>MEM0552</v>
      </c>
      <c r="B553" t="str">
        <f ca="1">TRIM(Raw_Data!B553)</f>
        <v>Anjali Shaikh</v>
      </c>
      <c r="C553" t="str">
        <f ca="1">_xlfn.XLOOKUP(D553, Branch_Master!A:A, Branch_Master!B:B)</f>
        <v>Mumbai</v>
      </c>
      <c r="D553" t="str">
        <f ca="1">TRIM(Raw_Data!D553)</f>
        <v>BR05</v>
      </c>
      <c r="E553" t="str">
        <f ca="1">PROPER(TRIM(Raw_Data!E553))</f>
        <v>Premium</v>
      </c>
      <c r="F553" s="2">
        <f>IFERROR(DATEVALUE(Raw_Data!F553), Raw_Data!F553)</f>
        <v>45275</v>
      </c>
      <c r="G553" s="2">
        <f>IFERROR(
    IF(
        IFERROR(DATEVALUE(Raw_Data!G553), Raw_Data!G553) &lt;
        IFERROR(DATEVALUE(Raw_Data!F553), Raw_Data!F553),
        IFERROR(DATEVALUE(Raw_Data!F553), Raw_Data!F553) + 30,
        IFERROR(DATEVALUE(Raw_Data!G553), Raw_Data!G553)
    ),
    ""
)</f>
        <v>45640</v>
      </c>
      <c r="H553">
        <f>IFERROR(VALUE(Raw_Data!H553), "")</f>
        <v>3500</v>
      </c>
      <c r="I553">
        <f ca="1">IFERROR(VALUE(Raw_Data!I553), "")</f>
        <v>28000</v>
      </c>
      <c r="J553">
        <f>IFERROR(
    VALUE(SUBSTITUTE(Raw_Data!J553," visits","")),
    ""
)</f>
        <v>14</v>
      </c>
      <c r="K553" t="str">
        <f ca="1">IF(TRIM(Raw_Data!K553)="","No",PROPER(TRIM(Raw_Data!K553)))</f>
        <v>Yes</v>
      </c>
      <c r="L553" t="str">
        <f ca="1">PROPER(TRIM(Raw_Data!L553))</f>
        <v>Weight Loss</v>
      </c>
      <c r="M553" t="s">
        <v>151</v>
      </c>
      <c r="N553" s="2">
        <f>IFERROR(DATEVALUE(Raw_Data!N553), Raw_Data!N553)</f>
        <v>46004</v>
      </c>
      <c r="O553" s="2"/>
      <c r="P553" t="str">
        <f>IF(COUNTIF($A$2:A553,A553)&gt;1,"Duplicate","Unique")</f>
        <v>Unique</v>
      </c>
      <c r="Q553" t="str">
        <f t="shared" si="16"/>
        <v>OK</v>
      </c>
      <c r="R553" t="str">
        <f t="shared" si="17"/>
        <v>Available</v>
      </c>
    </row>
    <row r="554" spans="1:18">
      <c r="A554" t="str">
        <f>TRIM(CLEAN(Raw_Data!A554))</f>
        <v>MEM0553</v>
      </c>
      <c r="B554" t="str">
        <f ca="1">TRIM(Raw_Data!B554)</f>
        <v>Sanjay D’Souza</v>
      </c>
      <c r="C554" t="str">
        <f ca="1">_xlfn.XLOOKUP(D554, Branch_Master!A:A, Branch_Master!B:B)</f>
        <v>Bangalore</v>
      </c>
      <c r="D554" t="str">
        <f ca="1">TRIM(Raw_Data!D554)</f>
        <v>BR02</v>
      </c>
      <c r="E554" t="str">
        <f ca="1">PROPER(TRIM(Raw_Data!E554))</f>
        <v>Basic</v>
      </c>
      <c r="F554" s="2">
        <f>IFERROR(DATEVALUE(Raw_Data!F554), Raw_Data!F554)</f>
        <v>45383</v>
      </c>
      <c r="G554" s="2">
        <f>IFERROR(
    IF(
        IFERROR(DATEVALUE(Raw_Data!G554), Raw_Data!G554) &lt;
        IFERROR(DATEVALUE(Raw_Data!F554), Raw_Data!F554),
        IFERROR(DATEVALUE(Raw_Data!F554), Raw_Data!F554) + 30,
        IFERROR(DATEVALUE(Raw_Data!G554), Raw_Data!G554)
    ),
    ""
)</f>
        <v>45748</v>
      </c>
      <c r="H554">
        <f>IFERROR(VALUE(Raw_Data!H554), "")</f>
        <v>3500</v>
      </c>
      <c r="I554">
        <f ca="1">IFERROR(VALUE(Raw_Data!I554), "")</f>
        <v>31500</v>
      </c>
      <c r="J554">
        <f>IFERROR(
    VALUE(SUBSTITUTE(Raw_Data!J554," visits","")),
    ""
)</f>
        <v>10</v>
      </c>
      <c r="K554" t="str">
        <f ca="1">IF(TRIM(Raw_Data!K554)="","No",PROPER(TRIM(Raw_Data!K554)))</f>
        <v>Yes</v>
      </c>
      <c r="L554" t="str">
        <f ca="1">PROPER(TRIM(Raw_Data!L554))</f>
        <v>Weight Loss</v>
      </c>
      <c r="M554" t="s">
        <v>151</v>
      </c>
      <c r="N554" s="2">
        <f>IFERROR(DATEVALUE(Raw_Data!N554), Raw_Data!N554)</f>
        <v>46124</v>
      </c>
      <c r="O554" s="2"/>
      <c r="P554" t="str">
        <f>IF(COUNTIF($A$2:A554,A554)&gt;1,"Duplicate","Unique")</f>
        <v>Unique</v>
      </c>
      <c r="Q554" t="str">
        <f t="shared" si="16"/>
        <v>OK</v>
      </c>
      <c r="R554" t="str">
        <f t="shared" si="17"/>
        <v>Available</v>
      </c>
    </row>
    <row r="555" spans="1:18">
      <c r="A555" t="str">
        <f>TRIM(CLEAN(Raw_Data!A555))</f>
        <v>MEM0554</v>
      </c>
      <c r="B555" t="str">
        <f ca="1">TRIM(Raw_Data!B555)</f>
        <v>Aditya Kapoor</v>
      </c>
      <c r="C555" t="str">
        <f ca="1">_xlfn.XLOOKUP(D555, Branch_Master!A:A, Branch_Master!B:B)</f>
        <v>Hyderabad</v>
      </c>
      <c r="D555" t="str">
        <f ca="1">TRIM(Raw_Data!D555)</f>
        <v>BR04</v>
      </c>
      <c r="E555" t="str">
        <f ca="1">PROPER(TRIM(Raw_Data!E555))</f>
        <v>Basic</v>
      </c>
      <c r="F555" s="2">
        <f>IFERROR(DATEVALUE(Raw_Data!F555), Raw_Data!F555)</f>
        <v>46005</v>
      </c>
      <c r="G555" s="2">
        <f>IFERROR(
    IF(
        IFERROR(DATEVALUE(Raw_Data!G555), Raw_Data!G555) &lt;
        IFERROR(DATEVALUE(Raw_Data!F555), Raw_Data!F555),
        IFERROR(DATEVALUE(Raw_Data!F555), Raw_Data!F555) + 30,
        IFERROR(DATEVALUE(Raw_Data!G555), Raw_Data!G555)
    ),
    ""
)</f>
        <v>46370</v>
      </c>
      <c r="H555">
        <f>IFERROR(VALUE(Raw_Data!H555), "")</f>
        <v>1000</v>
      </c>
      <c r="I555">
        <f ca="1">IFERROR(VALUE(Raw_Data!I555), "")</f>
        <v>2000</v>
      </c>
      <c r="J555">
        <f>IFERROR(
    VALUE(SUBSTITUTE(Raw_Data!J555," visits","")),
    ""
)</f>
        <v>11</v>
      </c>
      <c r="K555" t="str">
        <f ca="1">IF(TRIM(Raw_Data!K555)="","No",PROPER(TRIM(Raw_Data!K555)))</f>
        <v>No</v>
      </c>
      <c r="L555" t="str">
        <f ca="1">PROPER(TRIM(Raw_Data!L555))</f>
        <v>Muscle Gain</v>
      </c>
      <c r="M555" t="s">
        <v>151</v>
      </c>
      <c r="N555" s="2">
        <f>IFERROR(DATEVALUE(Raw_Data!N555), Raw_Data!N555)</f>
        <v>46115</v>
      </c>
      <c r="O555" s="2"/>
      <c r="P555" t="str">
        <f>IF(COUNTIF($A$2:A555,A555)&gt;1,"Duplicate","Unique")</f>
        <v>Unique</v>
      </c>
      <c r="Q555" t="str">
        <f t="shared" si="16"/>
        <v>OK</v>
      </c>
      <c r="R555" t="str">
        <f t="shared" si="17"/>
        <v>Available</v>
      </c>
    </row>
    <row r="556" spans="1:18">
      <c r="A556" t="str">
        <f>TRIM(CLEAN(Raw_Data!A556))</f>
        <v>MEM0555</v>
      </c>
      <c r="B556" t="str">
        <f ca="1">TRIM(Raw_Data!B556)</f>
        <v>Ishita Verma</v>
      </c>
      <c r="C556" t="str">
        <f ca="1">_xlfn.XLOOKUP(D556, Branch_Master!A:A, Branch_Master!B:B)</f>
        <v>Mumbai</v>
      </c>
      <c r="D556" t="str">
        <f ca="1">TRIM(Raw_Data!D556)</f>
        <v>BR05</v>
      </c>
      <c r="E556" t="str">
        <f ca="1">PROPER(TRIM(Raw_Data!E556))</f>
        <v>Basic</v>
      </c>
      <c r="F556" s="2">
        <f>IFERROR(DATEVALUE(Raw_Data!F556), Raw_Data!F556)</f>
        <v>45757</v>
      </c>
      <c r="G556" s="2">
        <f>IFERROR(
    IF(
        IFERROR(DATEVALUE(Raw_Data!G556), Raw_Data!G556) &lt;
        IFERROR(DATEVALUE(Raw_Data!F556), Raw_Data!F556),
        IFERROR(DATEVALUE(Raw_Data!F556), Raw_Data!F556) + 30,
        IFERROR(DATEVALUE(Raw_Data!G556), Raw_Data!G556)
    ),
    ""
)</f>
        <v>45847</v>
      </c>
      <c r="H556">
        <f>IFERROR(VALUE(Raw_Data!H556), "")</f>
        <v>1000</v>
      </c>
      <c r="I556">
        <f ca="1">IFERROR(VALUE(Raw_Data!I556), "")</f>
        <v>10000</v>
      </c>
      <c r="J556">
        <f>IFERROR(
    VALUE(SUBSTITUTE(Raw_Data!J556," visits","")),
    ""
)</f>
        <v>1</v>
      </c>
      <c r="K556" t="str">
        <f ca="1">IF(TRIM(Raw_Data!K556)="","No",PROPER(TRIM(Raw_Data!K556)))</f>
        <v>Yes</v>
      </c>
      <c r="L556" t="str">
        <f ca="1">PROPER(TRIM(Raw_Data!L556))</f>
        <v>General Fitness</v>
      </c>
      <c r="M556" t="s">
        <v>151</v>
      </c>
      <c r="N556" s="2">
        <f>IFERROR(DATEVALUE(Raw_Data!N556), Raw_Data!N556)</f>
        <v>45862</v>
      </c>
      <c r="O556" s="2"/>
      <c r="P556" t="str">
        <f>IF(COUNTIF($A$2:A556,A556)&gt;1,"Duplicate","Unique")</f>
        <v>Unique</v>
      </c>
      <c r="Q556" t="str">
        <f t="shared" si="16"/>
        <v>OK</v>
      </c>
      <c r="R556" t="str">
        <f t="shared" si="17"/>
        <v>Available</v>
      </c>
    </row>
    <row r="557" spans="1:18">
      <c r="A557" t="str">
        <f>TRIM(CLEAN(Raw_Data!A557))</f>
        <v>MEM0556</v>
      </c>
      <c r="B557" t="str">
        <f ca="1">TRIM(Raw_Data!B557)</f>
        <v>Siddharth Shaikh</v>
      </c>
      <c r="C557" t="str">
        <f ca="1">_xlfn.XLOOKUP(D557, Branch_Master!A:A, Branch_Master!B:B)</f>
        <v>Calicut</v>
      </c>
      <c r="D557" t="str">
        <f ca="1">TRIM(Raw_Data!D557)</f>
        <v>BR07</v>
      </c>
      <c r="E557" t="str">
        <f ca="1">PROPER(TRIM(Raw_Data!E557))</f>
        <v>Basic</v>
      </c>
      <c r="F557" s="2">
        <f>IFERROR(DATEVALUE(Raw_Data!F557), Raw_Data!F557)</f>
        <v>45702</v>
      </c>
      <c r="G557" s="2">
        <f>IFERROR(
    IF(
        IFERROR(DATEVALUE(Raw_Data!G557), Raw_Data!G557) &lt;
        IFERROR(DATEVALUE(Raw_Data!F557), Raw_Data!F557),
        IFERROR(DATEVALUE(Raw_Data!F557), Raw_Data!F557) + 30,
        IFERROR(DATEVALUE(Raw_Data!G557), Raw_Data!G557)
    ),
    ""
)</f>
        <v>45732</v>
      </c>
      <c r="H557">
        <f>IFERROR(VALUE(Raw_Data!H557), "")</f>
        <v>3500</v>
      </c>
      <c r="I557">
        <f ca="1">IFERROR(VALUE(Raw_Data!I557), "")</f>
        <v>14000</v>
      </c>
      <c r="J557">
        <f>IFERROR(
    VALUE(SUBSTITUTE(Raw_Data!J557," visits","")),
    ""
)</f>
        <v>16</v>
      </c>
      <c r="K557" t="str">
        <f ca="1">IF(TRIM(Raw_Data!K557)="","No",PROPER(TRIM(Raw_Data!K557)))</f>
        <v>No</v>
      </c>
      <c r="L557" t="str">
        <f ca="1">PROPER(TRIM(Raw_Data!L557))</f>
        <v>General Fitness</v>
      </c>
      <c r="M557" t="s">
        <v>151</v>
      </c>
      <c r="N557" s="2">
        <f>IFERROR(DATEVALUE(Raw_Data!N557), Raw_Data!N557)</f>
        <v>45894</v>
      </c>
      <c r="O557" s="2"/>
      <c r="P557" t="str">
        <f>IF(COUNTIF($A$2:A557,A557)&gt;1,"Duplicate","Unique")</f>
        <v>Unique</v>
      </c>
      <c r="Q557" t="str">
        <f t="shared" si="16"/>
        <v>OK</v>
      </c>
      <c r="R557" t="str">
        <f t="shared" si="17"/>
        <v>Available</v>
      </c>
    </row>
    <row r="558" spans="1:18">
      <c r="A558" t="str">
        <f>TRIM(CLEAN(Raw_Data!A558))</f>
        <v>MEM0557</v>
      </c>
      <c r="B558" t="str">
        <f ca="1">TRIM(Raw_Data!B558)</f>
        <v>Meera Nambiar</v>
      </c>
      <c r="C558" t="str">
        <f ca="1">_xlfn.XLOOKUP(D558, Branch_Master!A:A, Branch_Master!B:B)</f>
        <v>Chennai</v>
      </c>
      <c r="D558" t="str">
        <f ca="1">TRIM(Raw_Data!D558)</f>
        <v>BR03</v>
      </c>
      <c r="E558" t="str">
        <f ca="1">PROPER(TRIM(Raw_Data!E558))</f>
        <v>Premium</v>
      </c>
      <c r="F558" s="2">
        <f>IFERROR(DATEVALUE(Raw_Data!F558), Raw_Data!F558)</f>
        <v>45682</v>
      </c>
      <c r="G558" s="2">
        <f>IFERROR(
    IF(
        IFERROR(DATEVALUE(Raw_Data!G558), Raw_Data!G558) &lt;
        IFERROR(DATEVALUE(Raw_Data!F558), Raw_Data!F558),
        IFERROR(DATEVALUE(Raw_Data!F558), Raw_Data!F558) + 30,
        IFERROR(DATEVALUE(Raw_Data!G558), Raw_Data!G558)
    ),
    ""
)</f>
        <v>46047</v>
      </c>
      <c r="H558">
        <f>IFERROR(VALUE(Raw_Data!H558), "")</f>
        <v>2000</v>
      </c>
      <c r="I558">
        <f ca="1">IFERROR(VALUE(Raw_Data!I558), "")</f>
        <v>22000</v>
      </c>
      <c r="J558">
        <f>IFERROR(
    VALUE(SUBSTITUTE(Raw_Data!J558," visits","")),
    ""
)</f>
        <v>13</v>
      </c>
      <c r="K558" t="str">
        <f ca="1">IF(TRIM(Raw_Data!K558)="","No",PROPER(TRIM(Raw_Data!K558)))</f>
        <v>Yes</v>
      </c>
      <c r="L558" t="str">
        <f ca="1">PROPER(TRIM(Raw_Data!L558))</f>
        <v>Muscle Gain</v>
      </c>
      <c r="M558" t="s">
        <v>151</v>
      </c>
      <c r="N558" s="2">
        <f>IFERROR(DATEVALUE(Raw_Data!N558), Raw_Data!N558)</f>
        <v>46000</v>
      </c>
      <c r="O558" s="2"/>
      <c r="P558" t="str">
        <f>IF(COUNTIF($A$2:A558,A558)&gt;1,"Duplicate","Unique")</f>
        <v>Unique</v>
      </c>
      <c r="Q558" t="str">
        <f t="shared" si="16"/>
        <v>OK</v>
      </c>
      <c r="R558" t="str">
        <f t="shared" si="17"/>
        <v>Available</v>
      </c>
    </row>
    <row r="559" spans="1:18">
      <c r="A559" t="str">
        <f>TRIM(CLEAN(Raw_Data!A559))</f>
        <v>MEM0558</v>
      </c>
      <c r="B559" t="str">
        <f ca="1">TRIM(Raw_Data!B559)</f>
        <v>Priya Chatterjee</v>
      </c>
      <c r="C559" t="str">
        <f ca="1">_xlfn.XLOOKUP(D559, Branch_Master!A:A, Branch_Master!B:B)</f>
        <v>Bangalore</v>
      </c>
      <c r="D559" t="str">
        <f ca="1">TRIM(Raw_Data!D559)</f>
        <v>BR02</v>
      </c>
      <c r="E559" t="str">
        <f ca="1">PROPER(TRIM(Raw_Data!E559))</f>
        <v>Standard</v>
      </c>
      <c r="F559" s="2">
        <f>IFERROR(DATEVALUE(Raw_Data!F559), Raw_Data!F559)</f>
        <v>45215</v>
      </c>
      <c r="G559" s="2">
        <f>IFERROR(
    IF(
        IFERROR(DATEVALUE(Raw_Data!G559), Raw_Data!G559) &lt;
        IFERROR(DATEVALUE(Raw_Data!F559), Raw_Data!F559),
        IFERROR(DATEVALUE(Raw_Data!F559), Raw_Data!F559) + 30,
        IFERROR(DATEVALUE(Raw_Data!G559), Raw_Data!G559)
    ),
    ""
)</f>
        <v>45580</v>
      </c>
      <c r="H559">
        <f>IFERROR(VALUE(Raw_Data!H559), "")</f>
        <v>2000</v>
      </c>
      <c r="I559">
        <f ca="1">IFERROR(VALUE(Raw_Data!I559), "")</f>
        <v>20000</v>
      </c>
      <c r="J559">
        <f>IFERROR(
    VALUE(SUBSTITUTE(Raw_Data!J559," visits","")),
    ""
)</f>
        <v>14</v>
      </c>
      <c r="K559" t="str">
        <f ca="1">IF(TRIM(Raw_Data!K559)="","No",PROPER(TRIM(Raw_Data!K559)))</f>
        <v>Yes</v>
      </c>
      <c r="L559" t="str">
        <f ca="1">PROPER(TRIM(Raw_Data!L559))</f>
        <v>General Fitness</v>
      </c>
      <c r="M559" t="s">
        <v>152</v>
      </c>
      <c r="N559" s="2">
        <f>IFERROR(DATEVALUE(Raw_Data!N559), Raw_Data!N559)</f>
        <v>46076</v>
      </c>
      <c r="O559" s="2"/>
      <c r="P559" t="str">
        <f>IF(COUNTIF($A$2:A559,A559)&gt;1,"Duplicate","Unique")</f>
        <v>Unique</v>
      </c>
      <c r="Q559" t="str">
        <f t="shared" si="16"/>
        <v>Cancelled but Active</v>
      </c>
      <c r="R559" t="str">
        <f t="shared" si="17"/>
        <v>Available</v>
      </c>
    </row>
    <row r="560" spans="1:18">
      <c r="A560" t="str">
        <f>TRIM(CLEAN(Raw_Data!A560))</f>
        <v>MEM0559</v>
      </c>
      <c r="B560" t="str">
        <f ca="1">TRIM(Raw_Data!B560)</f>
        <v>Harish Agarwal</v>
      </c>
      <c r="C560" t="str">
        <f ca="1">_xlfn.XLOOKUP(D560, Branch_Master!A:A, Branch_Master!B:B)</f>
        <v>Trivandrum</v>
      </c>
      <c r="D560" t="str">
        <f ca="1">TRIM(Raw_Data!D560)</f>
        <v>BR06</v>
      </c>
      <c r="E560" t="str">
        <f ca="1">PROPER(TRIM(Raw_Data!E560))</f>
        <v>Standard</v>
      </c>
      <c r="F560" s="2">
        <f>IFERROR(DATEVALUE(Raw_Data!F560), Raw_Data!F560)</f>
        <v>45322</v>
      </c>
      <c r="G560" s="2">
        <f>IFERROR(
    IF(
        IFERROR(DATEVALUE(Raw_Data!G560), Raw_Data!G560) &lt;
        IFERROR(DATEVALUE(Raw_Data!F560), Raw_Data!F560),
        IFERROR(DATEVALUE(Raw_Data!F560), Raw_Data!F560) + 30,
        IFERROR(DATEVALUE(Raw_Data!G560), Raw_Data!G560)
    ),
    ""
)</f>
        <v>45352</v>
      </c>
      <c r="H560">
        <f>IFERROR(VALUE(Raw_Data!H560), "")</f>
        <v>1000</v>
      </c>
      <c r="I560">
        <f ca="1">IFERROR(VALUE(Raw_Data!I560), "")</f>
        <v>7000</v>
      </c>
      <c r="J560">
        <f>IFERROR(
    VALUE(SUBSTITUTE(Raw_Data!J560," visits","")),
    ""
)</f>
        <v>3</v>
      </c>
      <c r="K560" t="str">
        <f ca="1">IF(TRIM(Raw_Data!K560)="","No",PROPER(TRIM(Raw_Data!K560)))</f>
        <v>No</v>
      </c>
      <c r="L560" t="str">
        <f ca="1">PROPER(TRIM(Raw_Data!L560))</f>
        <v>Weight Loss</v>
      </c>
      <c r="M560" t="s">
        <v>152</v>
      </c>
      <c r="N560" s="2">
        <f>IFERROR(DATEVALUE(Raw_Data!N560), Raw_Data!N560)</f>
        <v>45984</v>
      </c>
      <c r="O560" s="2"/>
      <c r="P560" t="str">
        <f>IF(COUNTIF($A$2:A560,A560)&gt;1,"Duplicate","Unique")</f>
        <v>Unique</v>
      </c>
      <c r="Q560" t="str">
        <f t="shared" si="16"/>
        <v>Cancelled but Active</v>
      </c>
      <c r="R560" t="str">
        <f t="shared" si="17"/>
        <v>Available</v>
      </c>
    </row>
    <row r="561" spans="1:18">
      <c r="A561" t="str">
        <f>TRIM(CLEAN(Raw_Data!A561))</f>
        <v>MEM0560</v>
      </c>
      <c r="B561" t="str">
        <f ca="1">TRIM(Raw_Data!B561)</f>
        <v>Rahul D’Souza</v>
      </c>
      <c r="C561" t="str">
        <f ca="1">_xlfn.XLOOKUP(D561, Branch_Master!A:A, Branch_Master!B:B)</f>
        <v>Hyderabad</v>
      </c>
      <c r="D561" t="str">
        <f ca="1">TRIM(Raw_Data!D561)</f>
        <v>BR04</v>
      </c>
      <c r="E561" t="str">
        <f ca="1">PROPER(TRIM(Raw_Data!E561))</f>
        <v>Standard</v>
      </c>
      <c r="F561" s="2">
        <f>IFERROR(DATEVALUE(Raw_Data!F561), Raw_Data!F561)</f>
        <v>45281</v>
      </c>
      <c r="G561" s="2">
        <f>IFERROR(
    IF(
        IFERROR(DATEVALUE(Raw_Data!G561), Raw_Data!G561) &lt;
        IFERROR(DATEVALUE(Raw_Data!F561), Raw_Data!F561),
        IFERROR(DATEVALUE(Raw_Data!F561), Raw_Data!F561) + 30,
        IFERROR(DATEVALUE(Raw_Data!G561), Raw_Data!G561)
    ),
    ""
)</f>
        <v>45311</v>
      </c>
      <c r="H561">
        <f>IFERROR(VALUE(Raw_Data!H561), "")</f>
        <v>2000</v>
      </c>
      <c r="I561">
        <f ca="1">IFERROR(VALUE(Raw_Data!I561), "")</f>
        <v>16000</v>
      </c>
      <c r="J561">
        <f>IFERROR(
    VALUE(SUBSTITUTE(Raw_Data!J561," visits","")),
    ""
)</f>
        <v>1</v>
      </c>
      <c r="K561" t="str">
        <f ca="1">IF(TRIM(Raw_Data!K561)="","No",PROPER(TRIM(Raw_Data!K561)))</f>
        <v>Yes</v>
      </c>
      <c r="L561" t="str">
        <f ca="1">PROPER(TRIM(Raw_Data!L561))</f>
        <v>Weight Loss</v>
      </c>
      <c r="M561" t="s">
        <v>152</v>
      </c>
      <c r="N561" s="2">
        <f>IFERROR(DATEVALUE(Raw_Data!N561), Raw_Data!N561)</f>
        <v>46066</v>
      </c>
      <c r="O561" s="2"/>
      <c r="P561" t="str">
        <f>IF(COUNTIF($A$2:A561,A561)&gt;1,"Duplicate","Unique")</f>
        <v>Unique</v>
      </c>
      <c r="Q561" t="str">
        <f t="shared" si="16"/>
        <v>Cancelled but Active</v>
      </c>
      <c r="R561" t="str">
        <f t="shared" si="17"/>
        <v>Available</v>
      </c>
    </row>
    <row r="562" spans="1:18">
      <c r="A562" t="str">
        <f>TRIM(CLEAN(Raw_Data!A562))</f>
        <v>MEM0561</v>
      </c>
      <c r="B562" t="str">
        <f ca="1">TRIM(Raw_Data!B562)</f>
        <v>Sanjay Yadav</v>
      </c>
      <c r="C562" t="str">
        <f ca="1">_xlfn.XLOOKUP(D562, Branch_Master!A:A, Branch_Master!B:B)</f>
        <v>Mumbai</v>
      </c>
      <c r="D562" t="str">
        <f ca="1">TRIM(Raw_Data!D562)</f>
        <v>BR05</v>
      </c>
      <c r="E562" t="str">
        <f ca="1">PROPER(TRIM(Raw_Data!E562))</f>
        <v>Basic</v>
      </c>
      <c r="F562" s="2">
        <f>IFERROR(DATEVALUE(Raw_Data!F562), Raw_Data!F562)</f>
        <v>45317</v>
      </c>
      <c r="G562" s="2">
        <f>IFERROR(
    IF(
        IFERROR(DATEVALUE(Raw_Data!G562), Raw_Data!G562) &lt;
        IFERROR(DATEVALUE(Raw_Data!F562), Raw_Data!F562),
        IFERROR(DATEVALUE(Raw_Data!F562), Raw_Data!F562) + 30,
        IFERROR(DATEVALUE(Raw_Data!G562), Raw_Data!G562)
    ),
    ""
)</f>
        <v>45347</v>
      </c>
      <c r="H562">
        <f>IFERROR(VALUE(Raw_Data!H562), "")</f>
        <v>2000</v>
      </c>
      <c r="I562">
        <f ca="1">IFERROR(VALUE(Raw_Data!I562), "")</f>
        <v>2000</v>
      </c>
      <c r="J562">
        <f>IFERROR(
    VALUE(SUBSTITUTE(Raw_Data!J562," visits","")),
    ""
)</f>
        <v>4</v>
      </c>
      <c r="K562" t="str">
        <f ca="1">IF(TRIM(Raw_Data!K562)="","No",PROPER(TRIM(Raw_Data!K562)))</f>
        <v>No</v>
      </c>
      <c r="L562" t="str">
        <f ca="1">PROPER(TRIM(Raw_Data!L562))</f>
        <v>General Fitness</v>
      </c>
      <c r="M562" t="s">
        <v>151</v>
      </c>
      <c r="N562" s="2">
        <f>IFERROR(DATEVALUE(Raw_Data!N562), Raw_Data!N562)</f>
        <v>45341</v>
      </c>
      <c r="O562" s="2"/>
      <c r="P562" t="str">
        <f>IF(COUNTIF($A$2:A562,A562)&gt;1,"Duplicate","Unique")</f>
        <v>Unique</v>
      </c>
      <c r="Q562" t="str">
        <f t="shared" si="16"/>
        <v>OK</v>
      </c>
      <c r="R562" t="str">
        <f t="shared" si="17"/>
        <v>Available</v>
      </c>
    </row>
    <row r="563" spans="1:18">
      <c r="A563" t="str">
        <f>TRIM(CLEAN(Raw_Data!A563))</f>
        <v>MEM0562</v>
      </c>
      <c r="B563" t="str">
        <f ca="1">TRIM(Raw_Data!B563)</f>
        <v>Nikhil Nair</v>
      </c>
      <c r="C563" t="str">
        <f ca="1">_xlfn.XLOOKUP(D563, Branch_Master!A:A, Branch_Master!B:B)</f>
        <v>Hyderabad</v>
      </c>
      <c r="D563" t="str">
        <f ca="1">TRIM(Raw_Data!D563)</f>
        <v>BR04</v>
      </c>
      <c r="E563" t="str">
        <f ca="1">PROPER(TRIM(Raw_Data!E563))</f>
        <v>Premium</v>
      </c>
      <c r="F563" s="2">
        <f>IFERROR(DATEVALUE(Raw_Data!F563), Raw_Data!F563)</f>
        <v>45963</v>
      </c>
      <c r="G563" s="2">
        <f>IFERROR(
    IF(
        IFERROR(DATEVALUE(Raw_Data!G563), Raw_Data!G563) &lt;
        IFERROR(DATEVALUE(Raw_Data!F563), Raw_Data!F563),
        IFERROR(DATEVALUE(Raw_Data!F563), Raw_Data!F563) + 30,
        IFERROR(DATEVALUE(Raw_Data!G563), Raw_Data!G563)
    ),
    ""
)</f>
        <v>45993</v>
      </c>
      <c r="H563">
        <f>IFERROR(VALUE(Raw_Data!H563), "")</f>
        <v>2000</v>
      </c>
      <c r="I563">
        <f ca="1">IFERROR(VALUE(Raw_Data!I563), "")</f>
        <v>2000</v>
      </c>
      <c r="J563">
        <f>IFERROR(
    VALUE(SUBSTITUTE(Raw_Data!J563," visits","")),
    ""
)</f>
        <v>8</v>
      </c>
      <c r="K563" t="str">
        <f ca="1">IF(TRIM(Raw_Data!K563)="","No",PROPER(TRIM(Raw_Data!K563)))</f>
        <v>Yes</v>
      </c>
      <c r="L563" t="str">
        <f ca="1">PROPER(TRIM(Raw_Data!L563))</f>
        <v>General Fitness</v>
      </c>
      <c r="M563" t="s">
        <v>151</v>
      </c>
      <c r="N563" s="2">
        <f>IFERROR(DATEVALUE(Raw_Data!N563), Raw_Data!N563)</f>
        <v>46081</v>
      </c>
      <c r="O563" s="2"/>
      <c r="P563" t="str">
        <f>IF(COUNTIF($A$2:A563,A563)&gt;1,"Duplicate","Unique")</f>
        <v>Unique</v>
      </c>
      <c r="Q563" t="str">
        <f t="shared" si="16"/>
        <v>OK</v>
      </c>
      <c r="R563" t="str">
        <f t="shared" si="17"/>
        <v>Available</v>
      </c>
    </row>
    <row r="564" spans="1:18">
      <c r="A564" t="str">
        <f>TRIM(CLEAN(Raw_Data!A564))</f>
        <v>MEM0563</v>
      </c>
      <c r="B564" t="str">
        <f ca="1">TRIM(Raw_Data!B564)</f>
        <v>Deepak Joseph</v>
      </c>
      <c r="C564" t="str">
        <f ca="1">_xlfn.XLOOKUP(D564, Branch_Master!A:A, Branch_Master!B:B)</f>
        <v>Calicut</v>
      </c>
      <c r="D564" t="str">
        <f ca="1">TRIM(Raw_Data!D564)</f>
        <v>BR07</v>
      </c>
      <c r="E564" t="str">
        <f ca="1">PROPER(TRIM(Raw_Data!E564))</f>
        <v>Premium</v>
      </c>
      <c r="F564" s="2">
        <f>IFERROR(DATEVALUE(Raw_Data!F564), Raw_Data!F564)</f>
        <v>45958</v>
      </c>
      <c r="G564" s="2">
        <f>IFERROR(
    IF(
        IFERROR(DATEVALUE(Raw_Data!G564), Raw_Data!G564) &lt;
        IFERROR(DATEVALUE(Raw_Data!F564), Raw_Data!F564),
        IFERROR(DATEVALUE(Raw_Data!F564), Raw_Data!F564) + 30,
        IFERROR(DATEVALUE(Raw_Data!G564), Raw_Data!G564)
    ),
    ""
)</f>
        <v>46048</v>
      </c>
      <c r="H564">
        <f>IFERROR(VALUE(Raw_Data!H564), "")</f>
        <v>2000</v>
      </c>
      <c r="I564">
        <f ca="1">IFERROR(VALUE(Raw_Data!I564), "")</f>
        <v>12000</v>
      </c>
      <c r="J564">
        <f>IFERROR(
    VALUE(SUBSTITUTE(Raw_Data!J564," visits","")),
    ""
)</f>
        <v>20</v>
      </c>
      <c r="K564" t="str">
        <f ca="1">IF(TRIM(Raw_Data!K564)="","No",PROPER(TRIM(Raw_Data!K564)))</f>
        <v>No</v>
      </c>
      <c r="L564" t="str">
        <f ca="1">PROPER(TRIM(Raw_Data!L564))</f>
        <v>General Fitness</v>
      </c>
      <c r="M564" t="s">
        <v>151</v>
      </c>
      <c r="N564" s="2">
        <f>IFERROR(DATEVALUE(Raw_Data!N564), Raw_Data!N564)</f>
        <v>46043</v>
      </c>
      <c r="O564" s="2"/>
      <c r="P564" t="str">
        <f>IF(COUNTIF($A$2:A564,A564)&gt;1,"Duplicate","Unique")</f>
        <v>Unique</v>
      </c>
      <c r="Q564" t="str">
        <f t="shared" si="16"/>
        <v>OK</v>
      </c>
      <c r="R564" t="str">
        <f t="shared" si="17"/>
        <v>Available</v>
      </c>
    </row>
    <row r="565" spans="1:18">
      <c r="A565" t="str">
        <f>TRIM(CLEAN(Raw_Data!A565))</f>
        <v>MEM0564</v>
      </c>
      <c r="B565" t="str">
        <f ca="1">TRIM(Raw_Data!B565)</f>
        <v>Meera Shaikh</v>
      </c>
      <c r="C565" t="str">
        <f ca="1">_xlfn.XLOOKUP(D565, Branch_Master!A:A, Branch_Master!B:B)</f>
        <v>Kochi</v>
      </c>
      <c r="D565" t="str">
        <f ca="1">TRIM(Raw_Data!D565)</f>
        <v>BR01</v>
      </c>
      <c r="E565" t="str">
        <f ca="1">PROPER(TRIM(Raw_Data!E565))</f>
        <v>Standard</v>
      </c>
      <c r="F565" s="2">
        <f>IFERROR(DATEVALUE(Raw_Data!F565), Raw_Data!F565)</f>
        <v>44999</v>
      </c>
      <c r="G565" s="2">
        <f>IFERROR(
    IF(
        IFERROR(DATEVALUE(Raw_Data!G565), Raw_Data!G565) &lt;
        IFERROR(DATEVALUE(Raw_Data!F565), Raw_Data!F565),
        IFERROR(DATEVALUE(Raw_Data!F565), Raw_Data!F565) + 30,
        IFERROR(DATEVALUE(Raw_Data!G565), Raw_Data!G565)
    ),
    ""
)</f>
        <v>45089</v>
      </c>
      <c r="H565">
        <f>IFERROR(VALUE(Raw_Data!H565), "")</f>
        <v>2000</v>
      </c>
      <c r="I565">
        <f ca="1">IFERROR(VALUE(Raw_Data!I565), "")</f>
        <v>20000</v>
      </c>
      <c r="J565">
        <f>IFERROR(
    VALUE(SUBSTITUTE(Raw_Data!J565," visits","")),
    ""
)</f>
        <v>1</v>
      </c>
      <c r="K565" t="str">
        <f ca="1">IF(TRIM(Raw_Data!K565)="","No",PROPER(TRIM(Raw_Data!K565)))</f>
        <v>Yes</v>
      </c>
      <c r="L565" t="str">
        <f ca="1">PROPER(TRIM(Raw_Data!L565))</f>
        <v>Weight Loss</v>
      </c>
      <c r="M565" t="s">
        <v>151</v>
      </c>
      <c r="N565" s="2">
        <f>IFERROR(DATEVALUE(Raw_Data!N565), Raw_Data!N565)</f>
        <v>45084</v>
      </c>
      <c r="O565" s="2"/>
      <c r="P565" t="str">
        <f>IF(COUNTIF($A$2:A565,A565)&gt;1,"Duplicate","Unique")</f>
        <v>Unique</v>
      </c>
      <c r="Q565" t="str">
        <f t="shared" si="16"/>
        <v>OK</v>
      </c>
      <c r="R565" t="str">
        <f t="shared" si="17"/>
        <v>Available</v>
      </c>
    </row>
    <row r="566" spans="1:18">
      <c r="A566" t="str">
        <f>TRIM(CLEAN(Raw_Data!A566))</f>
        <v>MEM0565</v>
      </c>
      <c r="B566" t="str">
        <f ca="1">TRIM(Raw_Data!B566)</f>
        <v>Shreya Verma</v>
      </c>
      <c r="C566" t="str">
        <f ca="1">_xlfn.XLOOKUP(D566, Branch_Master!A:A, Branch_Master!B:B)</f>
        <v>Trivandrum</v>
      </c>
      <c r="D566" t="str">
        <f ca="1">TRIM(Raw_Data!D566)</f>
        <v>BR06</v>
      </c>
      <c r="E566" t="str">
        <f ca="1">PROPER(TRIM(Raw_Data!E566))</f>
        <v>Premium</v>
      </c>
      <c r="F566" s="2">
        <f>IFERROR(DATEVALUE(Raw_Data!F566), Raw_Data!F566)</f>
        <v>45826</v>
      </c>
      <c r="G566" s="2">
        <f>IFERROR(
    IF(
        IFERROR(DATEVALUE(Raw_Data!G566), Raw_Data!G566) &lt;
        IFERROR(DATEVALUE(Raw_Data!F566), Raw_Data!F566),
        IFERROR(DATEVALUE(Raw_Data!F566), Raw_Data!F566) + 30,
        IFERROR(DATEVALUE(Raw_Data!G566), Raw_Data!G566)
    ),
    ""
)</f>
        <v>45856</v>
      </c>
      <c r="H566">
        <f>IFERROR(VALUE(Raw_Data!H566), "")</f>
        <v>3500</v>
      </c>
      <c r="I566">
        <f ca="1">IFERROR(VALUE(Raw_Data!I566), "")</f>
        <v>10500</v>
      </c>
      <c r="J566">
        <f>IFERROR(
    VALUE(SUBSTITUTE(Raw_Data!J566," visits","")),
    ""
)</f>
        <v>21</v>
      </c>
      <c r="K566" t="str">
        <f ca="1">IF(TRIM(Raw_Data!K566)="","No",PROPER(TRIM(Raw_Data!K566)))</f>
        <v>No</v>
      </c>
      <c r="L566" t="str">
        <f ca="1">PROPER(TRIM(Raw_Data!L566))</f>
        <v>Weight Loss</v>
      </c>
      <c r="M566" t="s">
        <v>151</v>
      </c>
      <c r="N566" s="2">
        <f>IFERROR(DATEVALUE(Raw_Data!N566), Raw_Data!N566)</f>
        <v>45901</v>
      </c>
      <c r="O566" s="2"/>
      <c r="P566" t="str">
        <f>IF(COUNTIF($A$2:A566,A566)&gt;1,"Duplicate","Unique")</f>
        <v>Unique</v>
      </c>
      <c r="Q566" t="str">
        <f t="shared" si="16"/>
        <v>OK</v>
      </c>
      <c r="R566" t="str">
        <f t="shared" si="17"/>
        <v>Available</v>
      </c>
    </row>
    <row r="567" spans="1:18">
      <c r="A567" t="str">
        <f>TRIM(CLEAN(Raw_Data!A567))</f>
        <v>MEM0566</v>
      </c>
      <c r="B567" t="str">
        <f ca="1">TRIM(Raw_Data!B567)</f>
        <v>Siddharth Khan</v>
      </c>
      <c r="C567" t="str">
        <f ca="1">_xlfn.XLOOKUP(D567, Branch_Master!A:A, Branch_Master!B:B)</f>
        <v>Calicut</v>
      </c>
      <c r="D567" t="str">
        <f ca="1">TRIM(Raw_Data!D567)</f>
        <v>BR07</v>
      </c>
      <c r="E567" t="str">
        <f ca="1">PROPER(TRIM(Raw_Data!E567))</f>
        <v>Basic</v>
      </c>
      <c r="F567" s="2">
        <f>IFERROR(DATEVALUE(Raw_Data!F567), Raw_Data!F567)</f>
        <v>45317</v>
      </c>
      <c r="G567" s="2">
        <f>IFERROR(
    IF(
        IFERROR(DATEVALUE(Raw_Data!G567), Raw_Data!G567) &lt;
        IFERROR(DATEVALUE(Raw_Data!F567), Raw_Data!F567),
        IFERROR(DATEVALUE(Raw_Data!F567), Raw_Data!F567) + 30,
        IFERROR(DATEVALUE(Raw_Data!G567), Raw_Data!G567)
    ),
    ""
)</f>
        <v>45347</v>
      </c>
      <c r="H567">
        <f>IFERROR(VALUE(Raw_Data!H567), "")</f>
        <v>1000</v>
      </c>
      <c r="I567">
        <f ca="1">IFERROR(VALUE(Raw_Data!I567), "")</f>
        <v>12000</v>
      </c>
      <c r="J567">
        <f>IFERROR(
    VALUE(SUBSTITUTE(Raw_Data!J567," visits","")),
    ""
)</f>
        <v>5</v>
      </c>
      <c r="K567" t="str">
        <f ca="1">IF(TRIM(Raw_Data!K567)="","No",PROPER(TRIM(Raw_Data!K567)))</f>
        <v>No</v>
      </c>
      <c r="L567" t="str">
        <f ca="1">PROPER(TRIM(Raw_Data!L567))</f>
        <v>General Fitness</v>
      </c>
      <c r="M567" t="s">
        <v>151</v>
      </c>
      <c r="N567" s="2">
        <f>IFERROR(DATEVALUE(Raw_Data!N567), Raw_Data!N567)</f>
        <v>45582</v>
      </c>
      <c r="O567" s="2"/>
      <c r="P567" t="str">
        <f>IF(COUNTIF($A$2:A567,A567)&gt;1,"Duplicate","Unique")</f>
        <v>Unique</v>
      </c>
      <c r="Q567" t="str">
        <f t="shared" si="16"/>
        <v>OK</v>
      </c>
      <c r="R567" t="str">
        <f t="shared" si="17"/>
        <v>Available</v>
      </c>
    </row>
    <row r="568" spans="1:18">
      <c r="A568" t="str">
        <f>TRIM(CLEAN(Raw_Data!A568))</f>
        <v>MEM0567</v>
      </c>
      <c r="B568" t="str">
        <f ca="1">TRIM(Raw_Data!B568)</f>
        <v>Neha Kapoor</v>
      </c>
      <c r="C568" t="str">
        <f ca="1">_xlfn.XLOOKUP(D568, Branch_Master!A:A, Branch_Master!B:B)</f>
        <v>Kochi</v>
      </c>
      <c r="D568" t="str">
        <f ca="1">TRIM(Raw_Data!D568)</f>
        <v>BR01</v>
      </c>
      <c r="E568" t="str">
        <f ca="1">PROPER(TRIM(Raw_Data!E568))</f>
        <v>Basic</v>
      </c>
      <c r="F568" s="2">
        <f>IFERROR(DATEVALUE(Raw_Data!F568), Raw_Data!F568)</f>
        <v>45564</v>
      </c>
      <c r="G568" s="2">
        <f>IFERROR(
    IF(
        IFERROR(DATEVALUE(Raw_Data!G568), Raw_Data!G568) &lt;
        IFERROR(DATEVALUE(Raw_Data!F568), Raw_Data!F568),
        IFERROR(DATEVALUE(Raw_Data!F568), Raw_Data!F568) + 30,
        IFERROR(DATEVALUE(Raw_Data!G568), Raw_Data!G568)
    ),
    ""
)</f>
        <v>45594</v>
      </c>
      <c r="H568">
        <f>IFERROR(VALUE(Raw_Data!H568), "")</f>
        <v>1000</v>
      </c>
      <c r="I568">
        <f ca="1">IFERROR(VALUE(Raw_Data!I568), "")</f>
        <v>11000</v>
      </c>
      <c r="J568">
        <f>IFERROR(
    VALUE(SUBSTITUTE(Raw_Data!J568," visits","")),
    ""
)</f>
        <v>21</v>
      </c>
      <c r="K568" t="str">
        <f ca="1">IF(TRIM(Raw_Data!K568)="","No",PROPER(TRIM(Raw_Data!K568)))</f>
        <v>No</v>
      </c>
      <c r="L568" t="str">
        <f ca="1">PROPER(TRIM(Raw_Data!L568))</f>
        <v>General Fitness</v>
      </c>
      <c r="M568" t="s">
        <v>151</v>
      </c>
      <c r="N568" s="2">
        <f>IFERROR(DATEVALUE(Raw_Data!N568), Raw_Data!N568)</f>
        <v>45763</v>
      </c>
      <c r="O568" s="2"/>
      <c r="P568" t="str">
        <f>IF(COUNTIF($A$2:A568,A568)&gt;1,"Duplicate","Unique")</f>
        <v>Unique</v>
      </c>
      <c r="Q568" t="str">
        <f t="shared" si="16"/>
        <v>OK</v>
      </c>
      <c r="R568" t="str">
        <f t="shared" si="17"/>
        <v>Available</v>
      </c>
    </row>
    <row r="569" spans="1:18">
      <c r="A569" t="str">
        <f>TRIM(CLEAN(Raw_Data!A569))</f>
        <v>MEM0568</v>
      </c>
      <c r="B569" t="str">
        <f ca="1">TRIM(Raw_Data!B569)</f>
        <v>Fatima Lewis</v>
      </c>
      <c r="C569" t="str">
        <f ca="1">_xlfn.XLOOKUP(D569, Branch_Master!A:A, Branch_Master!B:B)</f>
        <v>Kochi</v>
      </c>
      <c r="D569" t="str">
        <f ca="1">TRIM(Raw_Data!D569)</f>
        <v>BR01</v>
      </c>
      <c r="E569" t="str">
        <f ca="1">PROPER(TRIM(Raw_Data!E569))</f>
        <v>Premium</v>
      </c>
      <c r="F569" s="2">
        <f>IFERROR(DATEVALUE(Raw_Data!F569), Raw_Data!F569)</f>
        <v>46053</v>
      </c>
      <c r="G569" s="2">
        <f>IFERROR(
    IF(
        IFERROR(DATEVALUE(Raw_Data!G569), Raw_Data!G569) &lt;
        IFERROR(DATEVALUE(Raw_Data!F569), Raw_Data!F569),
        IFERROR(DATEVALUE(Raw_Data!F569), Raw_Data!F569) + 30,
        IFERROR(DATEVALUE(Raw_Data!G569), Raw_Data!G569)
    ),
    ""
)</f>
        <v>46083</v>
      </c>
      <c r="H569">
        <f>IFERROR(VALUE(Raw_Data!H569), "")</f>
        <v>3500</v>
      </c>
      <c r="I569">
        <f ca="1">IFERROR(VALUE(Raw_Data!I569), "")</f>
        <v>7000</v>
      </c>
      <c r="J569">
        <f>IFERROR(
    VALUE(SUBSTITUTE(Raw_Data!J569," visits","")),
    ""
)</f>
        <v>16</v>
      </c>
      <c r="K569" t="str">
        <f ca="1">IF(TRIM(Raw_Data!K569)="","No",PROPER(TRIM(Raw_Data!K569)))</f>
        <v>Yes</v>
      </c>
      <c r="L569" t="str">
        <f ca="1">PROPER(TRIM(Raw_Data!L569))</f>
        <v>Weight Loss</v>
      </c>
      <c r="M569" t="s">
        <v>151</v>
      </c>
      <c r="N569" s="2">
        <f>IFERROR(DATEVALUE(Raw_Data!N569), Raw_Data!N569)</f>
        <v>46114</v>
      </c>
      <c r="O569" s="2"/>
      <c r="P569" t="str">
        <f>IF(COUNTIF($A$2:A569,A569)&gt;1,"Duplicate","Unique")</f>
        <v>Unique</v>
      </c>
      <c r="Q569" t="str">
        <f t="shared" si="16"/>
        <v>OK</v>
      </c>
      <c r="R569" t="str">
        <f t="shared" si="17"/>
        <v>Available</v>
      </c>
    </row>
    <row r="570" spans="1:18">
      <c r="A570" t="str">
        <f>TRIM(CLEAN(Raw_Data!A570))</f>
        <v>MEM0569</v>
      </c>
      <c r="B570" t="str">
        <f ca="1">TRIM(Raw_Data!B570)</f>
        <v>Riya Gupta</v>
      </c>
      <c r="C570" t="str">
        <f ca="1">_xlfn.XLOOKUP(D570, Branch_Master!A:A, Branch_Master!B:B)</f>
        <v>Trivandrum</v>
      </c>
      <c r="D570" t="str">
        <f ca="1">TRIM(Raw_Data!D570)</f>
        <v>BR06</v>
      </c>
      <c r="E570" t="str">
        <f ca="1">PROPER(TRIM(Raw_Data!E570))</f>
        <v>Basic</v>
      </c>
      <c r="F570" s="2">
        <f>IFERROR(DATEVALUE(Raw_Data!F570), Raw_Data!F570)</f>
        <v>45582</v>
      </c>
      <c r="G570" s="2">
        <f>IFERROR(
    IF(
        IFERROR(DATEVALUE(Raw_Data!G570), Raw_Data!G570) &lt;
        IFERROR(DATEVALUE(Raw_Data!F570), Raw_Data!F570),
        IFERROR(DATEVALUE(Raw_Data!F570), Raw_Data!F570) + 30,
        IFERROR(DATEVALUE(Raw_Data!G570), Raw_Data!G570)
    ),
    ""
)</f>
        <v>45947</v>
      </c>
      <c r="H570">
        <f>IFERROR(VALUE(Raw_Data!H570), "")</f>
        <v>3500</v>
      </c>
      <c r="I570">
        <f ca="1">IFERROR(VALUE(Raw_Data!I570), "")</f>
        <v>14000</v>
      </c>
      <c r="J570">
        <f>IFERROR(
    VALUE(SUBSTITUTE(Raw_Data!J570," visits","")),
    ""
)</f>
        <v>25</v>
      </c>
      <c r="K570" t="str">
        <f ca="1">IF(TRIM(Raw_Data!K570)="","No",PROPER(TRIM(Raw_Data!K570)))</f>
        <v>Yes</v>
      </c>
      <c r="L570" t="str">
        <f ca="1">PROPER(TRIM(Raw_Data!L570))</f>
        <v>General Fitness</v>
      </c>
      <c r="M570" t="s">
        <v>151</v>
      </c>
      <c r="N570" s="2">
        <f>IFERROR(DATEVALUE(Raw_Data!N570), Raw_Data!N570)</f>
        <v>45862</v>
      </c>
      <c r="O570" s="2"/>
      <c r="P570" t="str">
        <f>IF(COUNTIF($A$2:A570,A570)&gt;1,"Duplicate","Unique")</f>
        <v>Unique</v>
      </c>
      <c r="Q570" t="str">
        <f t="shared" si="16"/>
        <v>OK</v>
      </c>
      <c r="R570" t="str">
        <f t="shared" si="17"/>
        <v>Available</v>
      </c>
    </row>
    <row r="571" spans="1:18">
      <c r="A571" t="str">
        <f>TRIM(CLEAN(Raw_Data!A571))</f>
        <v>MEM0570</v>
      </c>
      <c r="B571" t="str">
        <f ca="1">TRIM(Raw_Data!B571)</f>
        <v>Karthik Menon</v>
      </c>
      <c r="C571" t="str">
        <f ca="1">_xlfn.XLOOKUP(D571, Branch_Master!A:A, Branch_Master!B:B)</f>
        <v>Bangalore</v>
      </c>
      <c r="D571" t="str">
        <f ca="1">TRIM(Raw_Data!D571)</f>
        <v>BR02</v>
      </c>
      <c r="E571" t="str">
        <f ca="1">PROPER(TRIM(Raw_Data!E571))</f>
        <v>Basic</v>
      </c>
      <c r="F571" s="2">
        <f>IFERROR(DATEVALUE(Raw_Data!F571), Raw_Data!F571)</f>
        <v>45649</v>
      </c>
      <c r="G571" s="2">
        <f>IFERROR(
    IF(
        IFERROR(DATEVALUE(Raw_Data!G571), Raw_Data!G571) &lt;
        IFERROR(DATEVALUE(Raw_Data!F571), Raw_Data!F571),
        IFERROR(DATEVALUE(Raw_Data!F571), Raw_Data!F571) + 30,
        IFERROR(DATEVALUE(Raw_Data!G571), Raw_Data!G571)
    ),
    ""
)</f>
        <v>46014</v>
      </c>
      <c r="H571">
        <f>IFERROR(VALUE(Raw_Data!H571), "")</f>
        <v>2000</v>
      </c>
      <c r="I571">
        <f ca="1">IFERROR(VALUE(Raw_Data!I571), "")</f>
        <v>22000</v>
      </c>
      <c r="J571">
        <f>IFERROR(
    VALUE(SUBSTITUTE(Raw_Data!J571," visits","")),
    ""
)</f>
        <v>21</v>
      </c>
      <c r="K571" t="str">
        <f ca="1">IF(TRIM(Raw_Data!K571)="","No",PROPER(TRIM(Raw_Data!K571)))</f>
        <v>No</v>
      </c>
      <c r="L571" t="str">
        <f ca="1">PROPER(TRIM(Raw_Data!L571))</f>
        <v>Muscle Gain</v>
      </c>
      <c r="M571" t="s">
        <v>151</v>
      </c>
      <c r="N571" s="2">
        <f>IFERROR(DATEVALUE(Raw_Data!N571), Raw_Data!N571)</f>
        <v>45903</v>
      </c>
      <c r="O571" s="2"/>
      <c r="P571" t="str">
        <f>IF(COUNTIF($A$2:A571,A571)&gt;1,"Duplicate","Unique")</f>
        <v>Unique</v>
      </c>
      <c r="Q571" t="str">
        <f t="shared" si="16"/>
        <v>OK</v>
      </c>
      <c r="R571" t="str">
        <f t="shared" si="17"/>
        <v>Available</v>
      </c>
    </row>
    <row r="572" spans="1:18">
      <c r="A572" t="str">
        <f>TRIM(CLEAN(Raw_Data!A572))</f>
        <v>MEM0571</v>
      </c>
      <c r="B572" t="str">
        <f ca="1">TRIM(Raw_Data!B572)</f>
        <v>Nisha Lewis</v>
      </c>
      <c r="C572" t="str">
        <f ca="1">_xlfn.XLOOKUP(D572, Branch_Master!A:A, Branch_Master!B:B)</f>
        <v>Calicut</v>
      </c>
      <c r="D572" t="str">
        <f ca="1">TRIM(Raw_Data!D572)</f>
        <v>BR07</v>
      </c>
      <c r="E572" t="str">
        <f ca="1">PROPER(TRIM(Raw_Data!E572))</f>
        <v>Basic</v>
      </c>
      <c r="F572" s="2">
        <f>IFERROR(DATEVALUE(Raw_Data!F572), Raw_Data!F572)</f>
        <v>45848</v>
      </c>
      <c r="G572" s="2">
        <f>IFERROR(
    IF(
        IFERROR(DATEVALUE(Raw_Data!G572), Raw_Data!G572) &lt;
        IFERROR(DATEVALUE(Raw_Data!F572), Raw_Data!F572),
        IFERROR(DATEVALUE(Raw_Data!F572), Raw_Data!F572) + 30,
        IFERROR(DATEVALUE(Raw_Data!G572), Raw_Data!G572)
    ),
    ""
)</f>
        <v>45938</v>
      </c>
      <c r="H572">
        <f>IFERROR(VALUE(Raw_Data!H572), "")</f>
        <v>2000</v>
      </c>
      <c r="I572">
        <f ca="1">IFERROR(VALUE(Raw_Data!I572), "")</f>
        <v>22000</v>
      </c>
      <c r="J572">
        <f>IFERROR(
    VALUE(SUBSTITUTE(Raw_Data!J572," visits","")),
    ""
)</f>
        <v>9</v>
      </c>
      <c r="K572" t="str">
        <f ca="1">IF(TRIM(Raw_Data!K572)="","No",PROPER(TRIM(Raw_Data!K572)))</f>
        <v>No</v>
      </c>
      <c r="L572" t="str">
        <f ca="1">PROPER(TRIM(Raw_Data!L572))</f>
        <v>Muscle Gain</v>
      </c>
      <c r="M572" t="s">
        <v>151</v>
      </c>
      <c r="N572" s="2">
        <f>IFERROR(DATEVALUE(Raw_Data!N572), Raw_Data!N572)</f>
        <v>46039</v>
      </c>
      <c r="O572" s="2"/>
      <c r="P572" t="str">
        <f>IF(COUNTIF($A$2:A572,A572)&gt;1,"Duplicate","Unique")</f>
        <v>Unique</v>
      </c>
      <c r="Q572" t="str">
        <f t="shared" si="16"/>
        <v>OK</v>
      </c>
      <c r="R572" t="str">
        <f t="shared" si="17"/>
        <v>Available</v>
      </c>
    </row>
    <row r="573" spans="1:18">
      <c r="A573" t="str">
        <f>TRIM(CLEAN(Raw_Data!A573))</f>
        <v>MEM0572</v>
      </c>
      <c r="B573" t="str">
        <f ca="1">TRIM(Raw_Data!B573)</f>
        <v>Pooja Sharma</v>
      </c>
      <c r="C573" t="str">
        <f ca="1">_xlfn.XLOOKUP(D573, Branch_Master!A:A, Branch_Master!B:B)</f>
        <v>Kochi</v>
      </c>
      <c r="D573" t="str">
        <f ca="1">TRIM(Raw_Data!D573)</f>
        <v>BR01</v>
      </c>
      <c r="E573" t="str">
        <f ca="1">PROPER(TRIM(Raw_Data!E573))</f>
        <v>Basic</v>
      </c>
      <c r="F573" s="2">
        <f>IFERROR(DATEVALUE(Raw_Data!F573), Raw_Data!F573)</f>
        <v>45999</v>
      </c>
      <c r="G573" s="2">
        <f>IFERROR(
    IF(
        IFERROR(DATEVALUE(Raw_Data!G573), Raw_Data!G573) &lt;
        IFERROR(DATEVALUE(Raw_Data!F573), Raw_Data!F573),
        IFERROR(DATEVALUE(Raw_Data!F573), Raw_Data!F573) + 30,
        IFERROR(DATEVALUE(Raw_Data!G573), Raw_Data!G573)
    ),
    ""
)</f>
        <v>46029</v>
      </c>
      <c r="H573">
        <f>IFERROR(VALUE(Raw_Data!H573), "")</f>
        <v>3500</v>
      </c>
      <c r="I573">
        <f ca="1">IFERROR(VALUE(Raw_Data!I573), "")</f>
        <v>7000</v>
      </c>
      <c r="J573">
        <f>IFERROR(
    VALUE(SUBSTITUTE(Raw_Data!J573," visits","")),
    ""
)</f>
        <v>25</v>
      </c>
      <c r="K573" t="str">
        <f ca="1">IF(TRIM(Raw_Data!K573)="","No",PROPER(TRIM(Raw_Data!K573)))</f>
        <v>No</v>
      </c>
      <c r="L573" t="str">
        <f ca="1">PROPER(TRIM(Raw_Data!L573))</f>
        <v>Muscle Gain</v>
      </c>
      <c r="M573" t="s">
        <v>152</v>
      </c>
      <c r="N573" s="2">
        <f>IFERROR(DATEVALUE(Raw_Data!N573), Raw_Data!N573)</f>
        <v>46014</v>
      </c>
      <c r="O573" s="2"/>
      <c r="P573" t="str">
        <f>IF(COUNTIF($A$2:A573,A573)&gt;1,"Duplicate","Unique")</f>
        <v>Unique</v>
      </c>
      <c r="Q573" t="str">
        <f t="shared" si="16"/>
        <v>Cancelled but Active</v>
      </c>
      <c r="R573" t="str">
        <f t="shared" si="17"/>
        <v>Available</v>
      </c>
    </row>
    <row r="574" spans="1:18">
      <c r="A574" t="str">
        <f>TRIM(CLEAN(Raw_Data!A574))</f>
        <v>MEM0573</v>
      </c>
      <c r="B574" t="str">
        <f ca="1">TRIM(Raw_Data!B574)</f>
        <v>Nikhil Joseph</v>
      </c>
      <c r="C574" t="str">
        <f ca="1">_xlfn.XLOOKUP(D574, Branch_Master!A:A, Branch_Master!B:B)</f>
        <v>Mumbai</v>
      </c>
      <c r="D574" t="str">
        <f ca="1">TRIM(Raw_Data!D574)</f>
        <v>BR05</v>
      </c>
      <c r="E574" t="str">
        <f ca="1">PROPER(TRIM(Raw_Data!E574))</f>
        <v>Basic</v>
      </c>
      <c r="F574" s="2">
        <f>IFERROR(DATEVALUE(Raw_Data!F574), Raw_Data!F574)</f>
        <v>45480</v>
      </c>
      <c r="G574" s="2">
        <f>IFERROR(
    IF(
        IFERROR(DATEVALUE(Raw_Data!G574), Raw_Data!G574) &lt;
        IFERROR(DATEVALUE(Raw_Data!F574), Raw_Data!F574),
        IFERROR(DATEVALUE(Raw_Data!F574), Raw_Data!F574) + 30,
        IFERROR(DATEVALUE(Raw_Data!G574), Raw_Data!G574)
    ),
    ""
)</f>
        <v>45510</v>
      </c>
      <c r="H574">
        <f>IFERROR(VALUE(Raw_Data!H574), "")</f>
        <v>1000</v>
      </c>
      <c r="I574">
        <f ca="1">IFERROR(VALUE(Raw_Data!I574), "")</f>
        <v>11000</v>
      </c>
      <c r="J574">
        <f>IFERROR(
    VALUE(SUBSTITUTE(Raw_Data!J574," visits","")),
    ""
)</f>
        <v>18</v>
      </c>
      <c r="K574" t="str">
        <f ca="1">IF(TRIM(Raw_Data!K574)="","No",PROPER(TRIM(Raw_Data!K574)))</f>
        <v>Yes</v>
      </c>
      <c r="L574" t="str">
        <f ca="1">PROPER(TRIM(Raw_Data!L574))</f>
        <v>General Fitness</v>
      </c>
      <c r="M574" t="s">
        <v>151</v>
      </c>
      <c r="N574" s="2">
        <f>IFERROR(DATEVALUE(Raw_Data!N574), Raw_Data!N574)</f>
        <v>45903</v>
      </c>
      <c r="O574" s="2"/>
      <c r="P574" t="str">
        <f>IF(COUNTIF($A$2:A574,A574)&gt;1,"Duplicate","Unique")</f>
        <v>Unique</v>
      </c>
      <c r="Q574" t="str">
        <f t="shared" si="16"/>
        <v>OK</v>
      </c>
      <c r="R574" t="str">
        <f t="shared" si="17"/>
        <v>Available</v>
      </c>
    </row>
    <row r="575" spans="1:18">
      <c r="A575" t="str">
        <f>TRIM(CLEAN(Raw_Data!A575))</f>
        <v>MEM0574</v>
      </c>
      <c r="B575" t="str">
        <f ca="1">TRIM(Raw_Data!B575)</f>
        <v>Ayesha Varghese</v>
      </c>
      <c r="C575" t="str">
        <f ca="1">_xlfn.XLOOKUP(D575, Branch_Master!A:A, Branch_Master!B:B)</f>
        <v>Bangalore</v>
      </c>
      <c r="D575" t="str">
        <f ca="1">TRIM(Raw_Data!D575)</f>
        <v>BR02</v>
      </c>
      <c r="E575" t="str">
        <f ca="1">PROPER(TRIM(Raw_Data!E575))</f>
        <v>Basic</v>
      </c>
      <c r="F575" s="2">
        <f>IFERROR(DATEVALUE(Raw_Data!F575), Raw_Data!F575)</f>
        <v>45067</v>
      </c>
      <c r="G575" s="2">
        <f>IFERROR(
    IF(
        IFERROR(DATEVALUE(Raw_Data!G575), Raw_Data!G575) &lt;
        IFERROR(DATEVALUE(Raw_Data!F575), Raw_Data!F575),
        IFERROR(DATEVALUE(Raw_Data!F575), Raw_Data!F575) + 30,
        IFERROR(DATEVALUE(Raw_Data!G575), Raw_Data!G575)
    ),
    ""
)</f>
        <v>45432</v>
      </c>
      <c r="H575">
        <f>IFERROR(VALUE(Raw_Data!H575), "")</f>
        <v>2000</v>
      </c>
      <c r="I575">
        <f ca="1">IFERROR(VALUE(Raw_Data!I575), "")</f>
        <v>16000</v>
      </c>
      <c r="J575">
        <f>IFERROR(
    VALUE(SUBSTITUTE(Raw_Data!J575," visits","")),
    ""
)</f>
        <v>10</v>
      </c>
      <c r="K575" t="str">
        <f ca="1">IF(TRIM(Raw_Data!K575)="","No",PROPER(TRIM(Raw_Data!K575)))</f>
        <v>No</v>
      </c>
      <c r="L575" t="str">
        <f ca="1">PROPER(TRIM(Raw_Data!L575))</f>
        <v>General Fitness</v>
      </c>
      <c r="M575" t="s">
        <v>151</v>
      </c>
      <c r="N575" s="2">
        <f>IFERROR(DATEVALUE(Raw_Data!N575), Raw_Data!N575)</f>
        <v>45937</v>
      </c>
      <c r="O575" s="2"/>
      <c r="P575" t="str">
        <f>IF(COUNTIF($A$2:A575,A575)&gt;1,"Duplicate","Unique")</f>
        <v>Unique</v>
      </c>
      <c r="Q575" t="str">
        <f t="shared" si="16"/>
        <v>OK</v>
      </c>
      <c r="R575" t="str">
        <f t="shared" si="17"/>
        <v>Available</v>
      </c>
    </row>
    <row r="576" spans="1:18">
      <c r="A576" t="str">
        <f>TRIM(CLEAN(Raw_Data!A576))</f>
        <v>MEM0575</v>
      </c>
      <c r="B576" t="str">
        <f ca="1">TRIM(Raw_Data!B576)</f>
        <v>Manoj Iyer</v>
      </c>
      <c r="C576" t="str">
        <f ca="1">_xlfn.XLOOKUP(D576, Branch_Master!A:A, Branch_Master!B:B)</f>
        <v>Trivandrum</v>
      </c>
      <c r="D576" t="str">
        <f ca="1">TRIM(Raw_Data!D576)</f>
        <v>BR06</v>
      </c>
      <c r="E576" t="str">
        <f ca="1">PROPER(TRIM(Raw_Data!E576))</f>
        <v>Standard</v>
      </c>
      <c r="F576" s="2">
        <f>IFERROR(DATEVALUE(Raw_Data!F576), Raw_Data!F576)</f>
        <v>44952</v>
      </c>
      <c r="G576" s="2">
        <f>IFERROR(
    IF(
        IFERROR(DATEVALUE(Raw_Data!G576), Raw_Data!G576) &lt;
        IFERROR(DATEVALUE(Raw_Data!F576), Raw_Data!F576),
        IFERROR(DATEVALUE(Raw_Data!F576), Raw_Data!F576) + 30,
        IFERROR(DATEVALUE(Raw_Data!G576), Raw_Data!G576)
    ),
    ""
)</f>
        <v>45042</v>
      </c>
      <c r="H576">
        <f>IFERROR(VALUE(Raw_Data!H576), "")</f>
        <v>1000</v>
      </c>
      <c r="I576">
        <f ca="1">IFERROR(VALUE(Raw_Data!I576), "")</f>
        <v>3000</v>
      </c>
      <c r="J576">
        <f>IFERROR(
    VALUE(SUBSTITUTE(Raw_Data!J576," visits","")),
    ""
)</f>
        <v>22</v>
      </c>
      <c r="K576" t="str">
        <f ca="1">IF(TRIM(Raw_Data!K576)="","No",PROPER(TRIM(Raw_Data!K576)))</f>
        <v>No</v>
      </c>
      <c r="L576" t="str">
        <f ca="1">PROPER(TRIM(Raw_Data!L576))</f>
        <v>Muscle Gain</v>
      </c>
      <c r="M576" t="s">
        <v>151</v>
      </c>
      <c r="N576" s="2">
        <f>IFERROR(DATEVALUE(Raw_Data!N576), Raw_Data!N576)</f>
        <v>45829</v>
      </c>
      <c r="O576" s="2"/>
      <c r="P576" t="str">
        <f>IF(COUNTIF($A$2:A576,A576)&gt;1,"Duplicate","Unique")</f>
        <v>Unique</v>
      </c>
      <c r="Q576" t="str">
        <f t="shared" si="16"/>
        <v>OK</v>
      </c>
      <c r="R576" t="str">
        <f t="shared" si="17"/>
        <v>Available</v>
      </c>
    </row>
    <row r="577" spans="1:18">
      <c r="A577" t="str">
        <f>TRIM(CLEAN(Raw_Data!A577))</f>
        <v>MEM0576</v>
      </c>
      <c r="B577" t="str">
        <f ca="1">TRIM(Raw_Data!B577)</f>
        <v>Ankit Lewis</v>
      </c>
      <c r="C577" t="str">
        <f ca="1">_xlfn.XLOOKUP(D577, Branch_Master!A:A, Branch_Master!B:B)</f>
        <v>Mumbai</v>
      </c>
      <c r="D577" t="str">
        <f ca="1">TRIM(Raw_Data!D577)</f>
        <v>BR05</v>
      </c>
      <c r="E577" t="str">
        <f ca="1">PROPER(TRIM(Raw_Data!E577))</f>
        <v>Basic</v>
      </c>
      <c r="F577" s="2">
        <f>IFERROR(DATEVALUE(Raw_Data!F577), Raw_Data!F577)</f>
        <v>45949</v>
      </c>
      <c r="G577" s="2">
        <f>IFERROR(
    IF(
        IFERROR(DATEVALUE(Raw_Data!G577), Raw_Data!G577) &lt;
        IFERROR(DATEVALUE(Raw_Data!F577), Raw_Data!F577),
        IFERROR(DATEVALUE(Raw_Data!F577), Raw_Data!F577) + 30,
        IFERROR(DATEVALUE(Raw_Data!G577), Raw_Data!G577)
    ),
    ""
)</f>
        <v>46314</v>
      </c>
      <c r="H577">
        <f>IFERROR(VALUE(Raw_Data!H577), "")</f>
        <v>3500</v>
      </c>
      <c r="I577">
        <f ca="1">IFERROR(VALUE(Raw_Data!I577), "")</f>
        <v>24500</v>
      </c>
      <c r="J577">
        <f>IFERROR(
    VALUE(SUBSTITUTE(Raw_Data!J577," visits","")),
    ""
)</f>
        <v>21</v>
      </c>
      <c r="K577" t="str">
        <f ca="1">IF(TRIM(Raw_Data!K577)="","No",PROPER(TRIM(Raw_Data!K577)))</f>
        <v>Yes</v>
      </c>
      <c r="L577" t="str">
        <f ca="1">PROPER(TRIM(Raw_Data!L577))</f>
        <v>Muscle Gain</v>
      </c>
      <c r="M577" t="s">
        <v>151</v>
      </c>
      <c r="N577" s="2">
        <f>IFERROR(DATEVALUE(Raw_Data!N577), Raw_Data!N577)</f>
        <v>46061</v>
      </c>
      <c r="O577" s="2"/>
      <c r="P577" t="str">
        <f>IF(COUNTIF($A$2:A577,A577)&gt;1,"Duplicate","Unique")</f>
        <v>Unique</v>
      </c>
      <c r="Q577" t="str">
        <f t="shared" si="16"/>
        <v>OK</v>
      </c>
      <c r="R577" t="str">
        <f t="shared" si="17"/>
        <v>Available</v>
      </c>
    </row>
    <row r="578" spans="1:18">
      <c r="A578" t="str">
        <f>TRIM(CLEAN(Raw_Data!A578))</f>
        <v>MEM0577</v>
      </c>
      <c r="B578" t="str">
        <f ca="1">TRIM(Raw_Data!B578)</f>
        <v>Swathi Mathew</v>
      </c>
      <c r="C578" t="str">
        <f ca="1">_xlfn.XLOOKUP(D578, Branch_Master!A:A, Branch_Master!B:B)</f>
        <v>Kochi</v>
      </c>
      <c r="D578" t="str">
        <f ca="1">TRIM(Raw_Data!D578)</f>
        <v>BR01</v>
      </c>
      <c r="E578" t="str">
        <f ca="1">PROPER(TRIM(Raw_Data!E578))</f>
        <v>Premium</v>
      </c>
      <c r="F578" s="2">
        <f>IFERROR(DATEVALUE(Raw_Data!F578), Raw_Data!F578)</f>
        <v>45734</v>
      </c>
      <c r="G578" s="2">
        <f>IFERROR(
    IF(
        IFERROR(DATEVALUE(Raw_Data!G578), Raw_Data!G578) &lt;
        IFERROR(DATEVALUE(Raw_Data!F578), Raw_Data!F578),
        IFERROR(DATEVALUE(Raw_Data!F578), Raw_Data!F578) + 30,
        IFERROR(DATEVALUE(Raw_Data!G578), Raw_Data!G578)
    ),
    ""
)</f>
        <v>45764</v>
      </c>
      <c r="H578">
        <f>IFERROR(VALUE(Raw_Data!H578), "")</f>
        <v>2000</v>
      </c>
      <c r="I578">
        <f ca="1">IFERROR(VALUE(Raw_Data!I578), "")</f>
        <v>18000</v>
      </c>
      <c r="J578">
        <f>IFERROR(
    VALUE(SUBSTITUTE(Raw_Data!J578," visits","")),
    ""
)</f>
        <v>1</v>
      </c>
      <c r="K578" t="str">
        <f ca="1">IF(TRIM(Raw_Data!K578)="","No",PROPER(TRIM(Raw_Data!K578)))</f>
        <v>No</v>
      </c>
      <c r="L578" t="str">
        <f ca="1">PROPER(TRIM(Raw_Data!L578))</f>
        <v>General Fitness</v>
      </c>
      <c r="M578" t="s">
        <v>152</v>
      </c>
      <c r="N578" s="2">
        <f>IFERROR(DATEVALUE(Raw_Data!N578), Raw_Data!N578)</f>
        <v>45777</v>
      </c>
      <c r="O578" s="2"/>
      <c r="P578" t="str">
        <f>IF(COUNTIF($A$2:A578,A578)&gt;1,"Duplicate","Unique")</f>
        <v>Unique</v>
      </c>
      <c r="Q578" t="str">
        <f t="shared" si="16"/>
        <v>Cancelled but Active</v>
      </c>
      <c r="R578" t="str">
        <f t="shared" si="17"/>
        <v>Available</v>
      </c>
    </row>
    <row r="579" spans="1:18">
      <c r="A579" t="str">
        <f>TRIM(CLEAN(Raw_Data!A579))</f>
        <v>MEM0578</v>
      </c>
      <c r="B579" t="str">
        <f ca="1">TRIM(Raw_Data!B579)</f>
        <v>Rohit Malhotra</v>
      </c>
      <c r="C579" t="str">
        <f ca="1">_xlfn.XLOOKUP(D579, Branch_Master!A:A, Branch_Master!B:B)</f>
        <v>Hyderabad</v>
      </c>
      <c r="D579" t="str">
        <f ca="1">TRIM(Raw_Data!D579)</f>
        <v>BR04</v>
      </c>
      <c r="E579" t="str">
        <f ca="1">PROPER(TRIM(Raw_Data!E579))</f>
        <v>Standard</v>
      </c>
      <c r="F579" s="2">
        <f>IFERROR(DATEVALUE(Raw_Data!F579), Raw_Data!F579)</f>
        <v>45533</v>
      </c>
      <c r="G579" s="2">
        <f>IFERROR(
    IF(
        IFERROR(DATEVALUE(Raw_Data!G579), Raw_Data!G579) &lt;
        IFERROR(DATEVALUE(Raw_Data!F579), Raw_Data!F579),
        IFERROR(DATEVALUE(Raw_Data!F579), Raw_Data!F579) + 30,
        IFERROR(DATEVALUE(Raw_Data!G579), Raw_Data!G579)
    ),
    ""
)</f>
        <v>45898</v>
      </c>
      <c r="H579">
        <f>IFERROR(VALUE(Raw_Data!H579), "")</f>
        <v>1000</v>
      </c>
      <c r="I579">
        <f ca="1">IFERROR(VALUE(Raw_Data!I579), "")</f>
        <v>7000</v>
      </c>
      <c r="J579">
        <f>IFERROR(
    VALUE(SUBSTITUTE(Raw_Data!J579," visits","")),
    ""
)</f>
        <v>6</v>
      </c>
      <c r="K579" t="str">
        <f ca="1">IF(TRIM(Raw_Data!K579)="","No",PROPER(TRIM(Raw_Data!K579)))</f>
        <v>No</v>
      </c>
      <c r="L579" t="str">
        <f ca="1">PROPER(TRIM(Raw_Data!L579))</f>
        <v>Weight Loss</v>
      </c>
      <c r="M579" t="s">
        <v>151</v>
      </c>
      <c r="N579" s="2">
        <f>IFERROR(DATEVALUE(Raw_Data!N579), Raw_Data!N579)</f>
        <v>46081</v>
      </c>
      <c r="O579" s="2"/>
      <c r="P579" t="str">
        <f>IF(COUNTIF($A$2:A579,A579)&gt;1,"Duplicate","Unique")</f>
        <v>Unique</v>
      </c>
      <c r="Q579" t="str">
        <f t="shared" ref="Q579:Q642" si="18">IF(G579&lt;F579,"Expiry Error",
IF(AND(M579="Cancelled",N579&lt;&gt;""),"Cancelled but Active",
IF(J579&gt;30,"Invalid Attendance","OK")))</f>
        <v>OK</v>
      </c>
      <c r="R579" t="str">
        <f t="shared" ref="R579:R642" si="19">IF(N579="","Missing","Available")</f>
        <v>Available</v>
      </c>
    </row>
    <row r="580" spans="1:18">
      <c r="A580" t="str">
        <f>TRIM(CLEAN(Raw_Data!A580))</f>
        <v>MEM0579</v>
      </c>
      <c r="B580" t="str">
        <f ca="1">TRIM(Raw_Data!B580)</f>
        <v>Lakshmi Lewis</v>
      </c>
      <c r="C580" t="str">
        <f ca="1">_xlfn.XLOOKUP(D580, Branch_Master!A:A, Branch_Master!B:B)</f>
        <v>Mumbai</v>
      </c>
      <c r="D580" t="str">
        <f ca="1">TRIM(Raw_Data!D580)</f>
        <v>BR05</v>
      </c>
      <c r="E580" t="str">
        <f ca="1">PROPER(TRIM(Raw_Data!E580))</f>
        <v>Basic</v>
      </c>
      <c r="F580" s="2">
        <f>IFERROR(DATEVALUE(Raw_Data!F580), Raw_Data!F580)</f>
        <v>45357</v>
      </c>
      <c r="G580" s="2">
        <f>IFERROR(
    IF(
        IFERROR(DATEVALUE(Raw_Data!G580), Raw_Data!G580) &lt;
        IFERROR(DATEVALUE(Raw_Data!F580), Raw_Data!F580),
        IFERROR(DATEVALUE(Raw_Data!F580), Raw_Data!F580) + 30,
        IFERROR(DATEVALUE(Raw_Data!G580), Raw_Data!G580)
    ),
    ""
)</f>
        <v>45447</v>
      </c>
      <c r="H580">
        <f>IFERROR(VALUE(Raw_Data!H580), "")</f>
        <v>2000</v>
      </c>
      <c r="I580">
        <f ca="1">IFERROR(VALUE(Raw_Data!I580), "")</f>
        <v>14000</v>
      </c>
      <c r="J580">
        <f>IFERROR(
    VALUE(SUBSTITUTE(Raw_Data!J580," visits","")),
    ""
)</f>
        <v>3</v>
      </c>
      <c r="K580" t="str">
        <f ca="1">IF(TRIM(Raw_Data!K580)="","No",PROPER(TRIM(Raw_Data!K580)))</f>
        <v>Yes</v>
      </c>
      <c r="L580" t="str">
        <f ca="1">PROPER(TRIM(Raw_Data!L580))</f>
        <v>Weight Loss</v>
      </c>
      <c r="M580" t="s">
        <v>151</v>
      </c>
      <c r="N580" s="2">
        <f>IFERROR(DATEVALUE(Raw_Data!N580), Raw_Data!N580)</f>
        <v>46078</v>
      </c>
      <c r="O580" s="2"/>
      <c r="P580" t="str">
        <f>IF(COUNTIF($A$2:A580,A580)&gt;1,"Duplicate","Unique")</f>
        <v>Unique</v>
      </c>
      <c r="Q580" t="str">
        <f t="shared" si="18"/>
        <v>OK</v>
      </c>
      <c r="R580" t="str">
        <f t="shared" si="19"/>
        <v>Available</v>
      </c>
    </row>
    <row r="581" spans="1:18">
      <c r="A581" t="str">
        <f>TRIM(CLEAN(Raw_Data!A581))</f>
        <v>MEM0580</v>
      </c>
      <c r="B581" t="str">
        <f ca="1">TRIM(Raw_Data!B581)</f>
        <v>Aditya Shetty</v>
      </c>
      <c r="C581" t="str">
        <f ca="1">_xlfn.XLOOKUP(D581, Branch_Master!A:A, Branch_Master!B:B)</f>
        <v>Chennai</v>
      </c>
      <c r="D581" t="str">
        <f ca="1">TRIM(Raw_Data!D581)</f>
        <v>BR03</v>
      </c>
      <c r="E581" t="str">
        <f ca="1">PROPER(TRIM(Raw_Data!E581))</f>
        <v>Premium</v>
      </c>
      <c r="F581" s="2">
        <f>IFERROR(DATEVALUE(Raw_Data!F581), Raw_Data!F581)</f>
        <v>45928</v>
      </c>
      <c r="G581" s="2">
        <f>IFERROR(
    IF(
        IFERROR(DATEVALUE(Raw_Data!G581), Raw_Data!G581) &lt;
        IFERROR(DATEVALUE(Raw_Data!F581), Raw_Data!F581),
        IFERROR(DATEVALUE(Raw_Data!F581), Raw_Data!F581) + 30,
        IFERROR(DATEVALUE(Raw_Data!G581), Raw_Data!G581)
    ),
    ""
)</f>
        <v>46018</v>
      </c>
      <c r="H581">
        <f>IFERROR(VALUE(Raw_Data!H581), "")</f>
        <v>1000</v>
      </c>
      <c r="I581">
        <f ca="1">IFERROR(VALUE(Raw_Data!I581), "")</f>
        <v>3000</v>
      </c>
      <c r="J581">
        <f>IFERROR(
    VALUE(SUBSTITUTE(Raw_Data!J581," visits","")),
    ""
)</f>
        <v>6</v>
      </c>
      <c r="K581" t="str">
        <f ca="1">IF(TRIM(Raw_Data!K581)="","No",PROPER(TRIM(Raw_Data!K581)))</f>
        <v>Yes</v>
      </c>
      <c r="L581" t="str">
        <f ca="1">PROPER(TRIM(Raw_Data!L581))</f>
        <v>General Fitness</v>
      </c>
      <c r="M581" t="s">
        <v>152</v>
      </c>
      <c r="N581" s="2">
        <f>IFERROR(DATEVALUE(Raw_Data!N581), Raw_Data!N581)</f>
        <v>46093</v>
      </c>
      <c r="O581" s="2"/>
      <c r="P581" t="str">
        <f>IF(COUNTIF($A$2:A581,A581)&gt;1,"Duplicate","Unique")</f>
        <v>Unique</v>
      </c>
      <c r="Q581" t="str">
        <f t="shared" si="18"/>
        <v>Cancelled but Active</v>
      </c>
      <c r="R581" t="str">
        <f t="shared" si="19"/>
        <v>Available</v>
      </c>
    </row>
    <row r="582" spans="1:18">
      <c r="A582" t="str">
        <f>TRIM(CLEAN(Raw_Data!A582))</f>
        <v>MEM0581</v>
      </c>
      <c r="B582" t="str">
        <f ca="1">TRIM(Raw_Data!B582)</f>
        <v>Arjun Reddy</v>
      </c>
      <c r="C582" t="str">
        <f ca="1">_xlfn.XLOOKUP(D582, Branch_Master!A:A, Branch_Master!B:B)</f>
        <v>Chennai</v>
      </c>
      <c r="D582" t="str">
        <f ca="1">TRIM(Raw_Data!D582)</f>
        <v>BR03</v>
      </c>
      <c r="E582" t="str">
        <f ca="1">PROPER(TRIM(Raw_Data!E582))</f>
        <v>Premium</v>
      </c>
      <c r="F582" s="2">
        <f>IFERROR(DATEVALUE(Raw_Data!F582), Raw_Data!F582)</f>
        <v>45734</v>
      </c>
      <c r="G582" s="2">
        <f>IFERROR(
    IF(
        IFERROR(DATEVALUE(Raw_Data!G582), Raw_Data!G582) &lt;
        IFERROR(DATEVALUE(Raw_Data!F582), Raw_Data!F582),
        IFERROR(DATEVALUE(Raw_Data!F582), Raw_Data!F582) + 30,
        IFERROR(DATEVALUE(Raw_Data!G582), Raw_Data!G582)
    ),
    ""
)</f>
        <v>46099</v>
      </c>
      <c r="H582">
        <f>IFERROR(VALUE(Raw_Data!H582), "")</f>
        <v>1000</v>
      </c>
      <c r="I582">
        <f ca="1">IFERROR(VALUE(Raw_Data!I582), "")</f>
        <v>2000</v>
      </c>
      <c r="J582">
        <f>IFERROR(
    VALUE(SUBSTITUTE(Raw_Data!J582," visits","")),
    ""
)</f>
        <v>25</v>
      </c>
      <c r="K582" t="str">
        <f ca="1">IF(TRIM(Raw_Data!K582)="","No",PROPER(TRIM(Raw_Data!K582)))</f>
        <v>Yes</v>
      </c>
      <c r="L582" t="str">
        <f ca="1">PROPER(TRIM(Raw_Data!L582))</f>
        <v>General Fitness</v>
      </c>
      <c r="M582" t="s">
        <v>151</v>
      </c>
      <c r="N582" s="2">
        <f>IFERROR(DATEVALUE(Raw_Data!N582), Raw_Data!N582)</f>
        <v>45857</v>
      </c>
      <c r="O582" s="2"/>
      <c r="P582" t="str">
        <f>IF(COUNTIF($A$2:A582,A582)&gt;1,"Duplicate","Unique")</f>
        <v>Unique</v>
      </c>
      <c r="Q582" t="str">
        <f t="shared" si="18"/>
        <v>OK</v>
      </c>
      <c r="R582" t="str">
        <f t="shared" si="19"/>
        <v>Available</v>
      </c>
    </row>
    <row r="583" spans="1:18">
      <c r="A583" t="str">
        <f>TRIM(CLEAN(Raw_Data!A583))</f>
        <v>MEM0582</v>
      </c>
      <c r="B583" t="str">
        <f ca="1">TRIM(Raw_Data!B583)</f>
        <v>Swathi Banerjee</v>
      </c>
      <c r="C583" t="str">
        <f ca="1">_xlfn.XLOOKUP(D583, Branch_Master!A:A, Branch_Master!B:B)</f>
        <v>Trivandrum</v>
      </c>
      <c r="D583" t="str">
        <f ca="1">TRIM(Raw_Data!D583)</f>
        <v>BR06</v>
      </c>
      <c r="E583" t="str">
        <f ca="1">PROPER(TRIM(Raw_Data!E583))</f>
        <v>Standard</v>
      </c>
      <c r="F583" s="2">
        <f>IFERROR(DATEVALUE(Raw_Data!F583), Raw_Data!F583)</f>
        <v>45268</v>
      </c>
      <c r="G583" s="2">
        <f>IFERROR(
    IF(
        IFERROR(DATEVALUE(Raw_Data!G583), Raw_Data!G583) &lt;
        IFERROR(DATEVALUE(Raw_Data!F583), Raw_Data!F583),
        IFERROR(DATEVALUE(Raw_Data!F583), Raw_Data!F583) + 30,
        IFERROR(DATEVALUE(Raw_Data!G583), Raw_Data!G583)
    ),
    ""
)</f>
        <v>45298</v>
      </c>
      <c r="H583">
        <f>IFERROR(VALUE(Raw_Data!H583), "")</f>
        <v>2000</v>
      </c>
      <c r="I583">
        <f ca="1">IFERROR(VALUE(Raw_Data!I583), "")</f>
        <v>12000</v>
      </c>
      <c r="J583">
        <f>IFERROR(
    VALUE(SUBSTITUTE(Raw_Data!J583," visits","")),
    ""
)</f>
        <v>21</v>
      </c>
      <c r="K583" t="str">
        <f ca="1">IF(TRIM(Raw_Data!K583)="","No",PROPER(TRIM(Raw_Data!K583)))</f>
        <v>No</v>
      </c>
      <c r="L583" t="str">
        <f ca="1">PROPER(TRIM(Raw_Data!L583))</f>
        <v>General Fitness</v>
      </c>
      <c r="M583" t="s">
        <v>151</v>
      </c>
      <c r="N583" s="2">
        <f>IFERROR(DATEVALUE(Raw_Data!N583), Raw_Data!N583)</f>
        <v>45750</v>
      </c>
      <c r="O583" s="2"/>
      <c r="P583" t="str">
        <f>IF(COUNTIF($A$2:A583,A583)&gt;1,"Duplicate","Unique")</f>
        <v>Unique</v>
      </c>
      <c r="Q583" t="str">
        <f t="shared" si="18"/>
        <v>OK</v>
      </c>
      <c r="R583" t="str">
        <f t="shared" si="19"/>
        <v>Available</v>
      </c>
    </row>
    <row r="584" spans="1:18">
      <c r="A584" t="str">
        <f>TRIM(CLEAN(Raw_Data!A584))</f>
        <v>MEM0583</v>
      </c>
      <c r="B584" t="str">
        <f ca="1">TRIM(Raw_Data!B584)</f>
        <v>Manoj Iyer</v>
      </c>
      <c r="C584" t="str">
        <f ca="1">_xlfn.XLOOKUP(D584, Branch_Master!A:A, Branch_Master!B:B)</f>
        <v>Bangalore</v>
      </c>
      <c r="D584" t="str">
        <f ca="1">TRIM(Raw_Data!D584)</f>
        <v>BR02</v>
      </c>
      <c r="E584" t="str">
        <f ca="1">PROPER(TRIM(Raw_Data!E584))</f>
        <v>Standard</v>
      </c>
      <c r="F584" s="2">
        <f>IFERROR(DATEVALUE(Raw_Data!F584), Raw_Data!F584)</f>
        <v>45448</v>
      </c>
      <c r="G584" s="2">
        <f>IFERROR(
    IF(
        IFERROR(DATEVALUE(Raw_Data!G584), Raw_Data!G584) &lt;
        IFERROR(DATEVALUE(Raw_Data!F584), Raw_Data!F584),
        IFERROR(DATEVALUE(Raw_Data!F584), Raw_Data!F584) + 30,
        IFERROR(DATEVALUE(Raw_Data!G584), Raw_Data!G584)
    ),
    ""
)</f>
        <v>45813</v>
      </c>
      <c r="H584">
        <f>IFERROR(VALUE(Raw_Data!H584), "")</f>
        <v>2000</v>
      </c>
      <c r="I584">
        <f ca="1">IFERROR(VALUE(Raw_Data!I584), "")</f>
        <v>10000</v>
      </c>
      <c r="J584">
        <f>IFERROR(
    VALUE(SUBSTITUTE(Raw_Data!J584," visits","")),
    ""
)</f>
        <v>12</v>
      </c>
      <c r="K584" t="str">
        <f ca="1">IF(TRIM(Raw_Data!K584)="","No",PROPER(TRIM(Raw_Data!K584)))</f>
        <v>No</v>
      </c>
      <c r="L584" t="str">
        <f ca="1">PROPER(TRIM(Raw_Data!L584))</f>
        <v>Muscle Gain</v>
      </c>
      <c r="M584" t="s">
        <v>152</v>
      </c>
      <c r="N584" s="2">
        <f>IFERROR(DATEVALUE(Raw_Data!N584), Raw_Data!N584)</f>
        <v>45859</v>
      </c>
      <c r="O584" s="2"/>
      <c r="P584" t="str">
        <f>IF(COUNTIF($A$2:A584,A584)&gt;1,"Duplicate","Unique")</f>
        <v>Unique</v>
      </c>
      <c r="Q584" t="str">
        <f t="shared" si="18"/>
        <v>Cancelled but Active</v>
      </c>
      <c r="R584" t="str">
        <f t="shared" si="19"/>
        <v>Available</v>
      </c>
    </row>
    <row r="585" spans="1:18">
      <c r="A585" t="str">
        <f>TRIM(CLEAN(Raw_Data!A585))</f>
        <v>MEM0584</v>
      </c>
      <c r="B585" t="str">
        <f ca="1">TRIM(Raw_Data!B585)</f>
        <v>Swathi Agarwal</v>
      </c>
      <c r="C585" t="str">
        <f ca="1">_xlfn.XLOOKUP(D585, Branch_Master!A:A, Branch_Master!B:B)</f>
        <v>Trivandrum</v>
      </c>
      <c r="D585" t="str">
        <f ca="1">TRIM(Raw_Data!D585)</f>
        <v>BR06</v>
      </c>
      <c r="E585" t="str">
        <f ca="1">PROPER(TRIM(Raw_Data!E585))</f>
        <v>Basic</v>
      </c>
      <c r="F585" s="2">
        <f>IFERROR(DATEVALUE(Raw_Data!F585), Raw_Data!F585)</f>
        <v>45828</v>
      </c>
      <c r="G585" s="2">
        <f>IFERROR(
    IF(
        IFERROR(DATEVALUE(Raw_Data!G585), Raw_Data!G585) &lt;
        IFERROR(DATEVALUE(Raw_Data!F585), Raw_Data!F585),
        IFERROR(DATEVALUE(Raw_Data!F585), Raw_Data!F585) + 30,
        IFERROR(DATEVALUE(Raw_Data!G585), Raw_Data!G585)
    ),
    ""
)</f>
        <v>45918</v>
      </c>
      <c r="H585">
        <f>IFERROR(VALUE(Raw_Data!H585), "")</f>
        <v>2000</v>
      </c>
      <c r="I585">
        <f ca="1">IFERROR(VALUE(Raw_Data!I585), "")</f>
        <v>24000</v>
      </c>
      <c r="J585">
        <f>IFERROR(
    VALUE(SUBSTITUTE(Raw_Data!J585," visits","")),
    ""
)</f>
        <v>2</v>
      </c>
      <c r="K585" t="str">
        <f ca="1">IF(TRIM(Raw_Data!K585)="","No",PROPER(TRIM(Raw_Data!K585)))</f>
        <v>No</v>
      </c>
      <c r="L585" t="str">
        <f ca="1">PROPER(TRIM(Raw_Data!L585))</f>
        <v>Muscle Gain</v>
      </c>
      <c r="M585" t="s">
        <v>152</v>
      </c>
      <c r="N585" s="2">
        <f>IFERROR(DATEVALUE(Raw_Data!N585), Raw_Data!N585)</f>
        <v>45974</v>
      </c>
      <c r="O585" s="2"/>
      <c r="P585" t="str">
        <f>IF(COUNTIF($A$2:A585,A585)&gt;1,"Duplicate","Unique")</f>
        <v>Unique</v>
      </c>
      <c r="Q585" t="str">
        <f t="shared" si="18"/>
        <v>Cancelled but Active</v>
      </c>
      <c r="R585" t="str">
        <f t="shared" si="19"/>
        <v>Available</v>
      </c>
    </row>
    <row r="586" spans="1:18">
      <c r="A586" t="str">
        <f>TRIM(CLEAN(Raw_Data!A586))</f>
        <v>MEM0585</v>
      </c>
      <c r="B586" t="str">
        <f ca="1">TRIM(Raw_Data!B586)</f>
        <v>Riya Varghese</v>
      </c>
      <c r="C586" t="str">
        <f ca="1">_xlfn.XLOOKUP(D586, Branch_Master!A:A, Branch_Master!B:B)</f>
        <v>Kochi</v>
      </c>
      <c r="D586" t="str">
        <f ca="1">TRIM(Raw_Data!D586)</f>
        <v>BR01</v>
      </c>
      <c r="E586" t="str">
        <f ca="1">PROPER(TRIM(Raw_Data!E586))</f>
        <v>Standard</v>
      </c>
      <c r="F586" s="2">
        <f>IFERROR(DATEVALUE(Raw_Data!F586), Raw_Data!F586)</f>
        <v>45890</v>
      </c>
      <c r="G586" s="2">
        <f>IFERROR(
    IF(
        IFERROR(DATEVALUE(Raw_Data!G586), Raw_Data!G586) &lt;
        IFERROR(DATEVALUE(Raw_Data!F586), Raw_Data!F586),
        IFERROR(DATEVALUE(Raw_Data!F586), Raw_Data!F586) + 30,
        IFERROR(DATEVALUE(Raw_Data!G586), Raw_Data!G586)
    ),
    ""
)</f>
        <v>45920</v>
      </c>
      <c r="H586">
        <f>IFERROR(VALUE(Raw_Data!H586), "")</f>
        <v>2000</v>
      </c>
      <c r="I586">
        <f ca="1">IFERROR(VALUE(Raw_Data!I586), "")</f>
        <v>2000</v>
      </c>
      <c r="J586">
        <f>IFERROR(
    VALUE(SUBSTITUTE(Raw_Data!J586," visits","")),
    ""
)</f>
        <v>21</v>
      </c>
      <c r="K586" t="str">
        <f ca="1">IF(TRIM(Raw_Data!K586)="","No",PROPER(TRIM(Raw_Data!K586)))</f>
        <v>Yes</v>
      </c>
      <c r="L586" t="str">
        <f ca="1">PROPER(TRIM(Raw_Data!L586))</f>
        <v>Weight Loss</v>
      </c>
      <c r="M586" t="s">
        <v>152</v>
      </c>
      <c r="N586" s="2">
        <f>IFERROR(DATEVALUE(Raw_Data!N586), Raw_Data!N586)</f>
        <v>46002</v>
      </c>
      <c r="O586" s="2"/>
      <c r="P586" t="str">
        <f>IF(COUNTIF($A$2:A586,A586)&gt;1,"Duplicate","Unique")</f>
        <v>Unique</v>
      </c>
      <c r="Q586" t="str">
        <f t="shared" si="18"/>
        <v>Cancelled but Active</v>
      </c>
      <c r="R586" t="str">
        <f t="shared" si="19"/>
        <v>Available</v>
      </c>
    </row>
    <row r="587" spans="1:18">
      <c r="A587" t="str">
        <f>TRIM(CLEAN(Raw_Data!A587))</f>
        <v>MEM0586</v>
      </c>
      <c r="B587" t="str">
        <f ca="1">TRIM(Raw_Data!B587)</f>
        <v>Priya Malhotra</v>
      </c>
      <c r="C587" t="str">
        <f ca="1">_xlfn.XLOOKUP(D587, Branch_Master!A:A, Branch_Master!B:B)</f>
        <v>Calicut</v>
      </c>
      <c r="D587" t="str">
        <f ca="1">TRIM(Raw_Data!D587)</f>
        <v>BR07</v>
      </c>
      <c r="E587" t="str">
        <f ca="1">PROPER(TRIM(Raw_Data!E587))</f>
        <v>Standard</v>
      </c>
      <c r="F587" s="2">
        <f>IFERROR(DATEVALUE(Raw_Data!F587), Raw_Data!F587)</f>
        <v>45260</v>
      </c>
      <c r="G587" s="2">
        <f>IFERROR(
    IF(
        IFERROR(DATEVALUE(Raw_Data!G587), Raw_Data!G587) &lt;
        IFERROR(DATEVALUE(Raw_Data!F587), Raw_Data!F587),
        IFERROR(DATEVALUE(Raw_Data!F587), Raw_Data!F587) + 30,
        IFERROR(DATEVALUE(Raw_Data!G587), Raw_Data!G587)
    ),
    ""
)</f>
        <v>45350</v>
      </c>
      <c r="H587">
        <f>IFERROR(VALUE(Raw_Data!H587), "")</f>
        <v>3500</v>
      </c>
      <c r="I587">
        <f ca="1">IFERROR(VALUE(Raw_Data!I587), "")</f>
        <v>28000</v>
      </c>
      <c r="J587">
        <f>IFERROR(
    VALUE(SUBSTITUTE(Raw_Data!J587," visits","")),
    ""
)</f>
        <v>14</v>
      </c>
      <c r="K587" t="str">
        <f ca="1">IF(TRIM(Raw_Data!K587)="","No",PROPER(TRIM(Raw_Data!K587)))</f>
        <v>Yes</v>
      </c>
      <c r="L587" t="str">
        <f ca="1">PROPER(TRIM(Raw_Data!L587))</f>
        <v>Muscle Gain</v>
      </c>
      <c r="M587" t="s">
        <v>151</v>
      </c>
      <c r="N587" s="2">
        <f>IFERROR(DATEVALUE(Raw_Data!N587), Raw_Data!N587)</f>
        <v>45266</v>
      </c>
      <c r="O587" s="2"/>
      <c r="P587" t="str">
        <f>IF(COUNTIF($A$2:A587,A587)&gt;1,"Duplicate","Unique")</f>
        <v>Unique</v>
      </c>
      <c r="Q587" t="str">
        <f t="shared" si="18"/>
        <v>OK</v>
      </c>
      <c r="R587" t="str">
        <f t="shared" si="19"/>
        <v>Available</v>
      </c>
    </row>
    <row r="588" spans="1:18">
      <c r="A588" t="str">
        <f>TRIM(CLEAN(Raw_Data!A588))</f>
        <v>MEM0587</v>
      </c>
      <c r="B588" t="str">
        <f ca="1">TRIM(Raw_Data!B588)</f>
        <v>Pooja Nair</v>
      </c>
      <c r="C588" t="str">
        <f ca="1">_xlfn.XLOOKUP(D588, Branch_Master!A:A, Branch_Master!B:B)</f>
        <v>Trivandrum</v>
      </c>
      <c r="D588" t="str">
        <f ca="1">TRIM(Raw_Data!D588)</f>
        <v>BR06</v>
      </c>
      <c r="E588" t="str">
        <f ca="1">PROPER(TRIM(Raw_Data!E588))</f>
        <v>Standard</v>
      </c>
      <c r="F588" s="2">
        <f>IFERROR(DATEVALUE(Raw_Data!F588), Raw_Data!F588)</f>
        <v>45049</v>
      </c>
      <c r="G588" s="2">
        <f>IFERROR(
    IF(
        IFERROR(DATEVALUE(Raw_Data!G588), Raw_Data!G588) &lt;
        IFERROR(DATEVALUE(Raw_Data!F588), Raw_Data!F588),
        IFERROR(DATEVALUE(Raw_Data!F588), Raw_Data!F588) + 30,
        IFERROR(DATEVALUE(Raw_Data!G588), Raw_Data!G588)
    ),
    ""
)</f>
        <v>45079</v>
      </c>
      <c r="H588">
        <f>IFERROR(VALUE(Raw_Data!H588), "")</f>
        <v>3500</v>
      </c>
      <c r="I588">
        <f ca="1">IFERROR(VALUE(Raw_Data!I588), "")</f>
        <v>7000</v>
      </c>
      <c r="J588">
        <f>IFERROR(
    VALUE(SUBSTITUTE(Raw_Data!J588," visits","")),
    ""
)</f>
        <v>5</v>
      </c>
      <c r="K588" t="str">
        <f ca="1">IF(TRIM(Raw_Data!K588)="","No",PROPER(TRIM(Raw_Data!K588)))</f>
        <v>No</v>
      </c>
      <c r="L588" t="str">
        <f ca="1">PROPER(TRIM(Raw_Data!L588))</f>
        <v>General Fitness</v>
      </c>
      <c r="M588" t="s">
        <v>151</v>
      </c>
      <c r="N588" s="2">
        <f>IFERROR(DATEVALUE(Raw_Data!N588), Raw_Data!N588)</f>
        <v>45380</v>
      </c>
      <c r="O588" s="2"/>
      <c r="P588" t="str">
        <f>IF(COUNTIF($A$2:A588,A588)&gt;1,"Duplicate","Unique")</f>
        <v>Unique</v>
      </c>
      <c r="Q588" t="str">
        <f t="shared" si="18"/>
        <v>OK</v>
      </c>
      <c r="R588" t="str">
        <f t="shared" si="19"/>
        <v>Available</v>
      </c>
    </row>
    <row r="589" spans="1:18">
      <c r="A589" t="str">
        <f>TRIM(CLEAN(Raw_Data!A589))</f>
        <v>MEM0588</v>
      </c>
      <c r="B589" t="str">
        <f ca="1">TRIM(Raw_Data!B589)</f>
        <v>Shreya Nair</v>
      </c>
      <c r="C589" t="str">
        <f ca="1">_xlfn.XLOOKUP(D589, Branch_Master!A:A, Branch_Master!B:B)</f>
        <v>Hyderabad</v>
      </c>
      <c r="D589" t="str">
        <f ca="1">TRIM(Raw_Data!D589)</f>
        <v>BR04</v>
      </c>
      <c r="E589" t="str">
        <f ca="1">PROPER(TRIM(Raw_Data!E589))</f>
        <v>Standard</v>
      </c>
      <c r="F589" s="2">
        <f>IFERROR(DATEVALUE(Raw_Data!F589), Raw_Data!F589)</f>
        <v>45660</v>
      </c>
      <c r="G589" s="2">
        <f>IFERROR(
    IF(
        IFERROR(DATEVALUE(Raw_Data!G589), Raw_Data!G589) &lt;
        IFERROR(DATEVALUE(Raw_Data!F589), Raw_Data!F589),
        IFERROR(DATEVALUE(Raw_Data!F589), Raw_Data!F589) + 30,
        IFERROR(DATEVALUE(Raw_Data!G589), Raw_Data!G589)
    ),
    ""
)</f>
        <v>45690</v>
      </c>
      <c r="H589">
        <f>IFERROR(VALUE(Raw_Data!H589), "")</f>
        <v>1000</v>
      </c>
      <c r="I589">
        <f ca="1">IFERROR(VALUE(Raw_Data!I589), "")</f>
        <v>11000</v>
      </c>
      <c r="J589">
        <f>IFERROR(
    VALUE(SUBSTITUTE(Raw_Data!J589," visits","")),
    ""
)</f>
        <v>25</v>
      </c>
      <c r="K589" t="str">
        <f ca="1">IF(TRIM(Raw_Data!K589)="","No",PROPER(TRIM(Raw_Data!K589)))</f>
        <v>Yes</v>
      </c>
      <c r="L589" t="str">
        <f ca="1">PROPER(TRIM(Raw_Data!L589))</f>
        <v>General Fitness</v>
      </c>
      <c r="M589" t="s">
        <v>151</v>
      </c>
      <c r="N589" s="2">
        <f>IFERROR(DATEVALUE(Raw_Data!N589), Raw_Data!N589)</f>
        <v>45988</v>
      </c>
      <c r="O589" s="2"/>
      <c r="P589" t="str">
        <f>IF(COUNTIF($A$2:A589,A589)&gt;1,"Duplicate","Unique")</f>
        <v>Unique</v>
      </c>
      <c r="Q589" t="str">
        <f t="shared" si="18"/>
        <v>OK</v>
      </c>
      <c r="R589" t="str">
        <f t="shared" si="19"/>
        <v>Available</v>
      </c>
    </row>
    <row r="590" spans="1:18">
      <c r="A590" t="str">
        <f>TRIM(CLEAN(Raw_Data!A590))</f>
        <v>MEM0589</v>
      </c>
      <c r="B590" t="str">
        <f ca="1">TRIM(Raw_Data!B590)</f>
        <v>Akash Varghese</v>
      </c>
      <c r="C590" t="str">
        <f ca="1">_xlfn.XLOOKUP(D590, Branch_Master!A:A, Branch_Master!B:B)</f>
        <v>Mumbai</v>
      </c>
      <c r="D590" t="str">
        <f ca="1">TRIM(Raw_Data!D590)</f>
        <v>BR05</v>
      </c>
      <c r="E590" t="str">
        <f ca="1">PROPER(TRIM(Raw_Data!E590))</f>
        <v>Standard</v>
      </c>
      <c r="F590" s="2">
        <f>IFERROR(DATEVALUE(Raw_Data!F590), Raw_Data!F590)</f>
        <v>45569</v>
      </c>
      <c r="G590" s="2">
        <f>IFERROR(
    IF(
        IFERROR(DATEVALUE(Raw_Data!G590), Raw_Data!G590) &lt;
        IFERROR(DATEVALUE(Raw_Data!F590), Raw_Data!F590),
        IFERROR(DATEVALUE(Raw_Data!F590), Raw_Data!F590) + 30,
        IFERROR(DATEVALUE(Raw_Data!G590), Raw_Data!G590)
    ),
    ""
)</f>
        <v>45599</v>
      </c>
      <c r="H590">
        <f>IFERROR(VALUE(Raw_Data!H590), "")</f>
        <v>2000</v>
      </c>
      <c r="I590">
        <f ca="1">IFERROR(VALUE(Raw_Data!I590), "")</f>
        <v>22000</v>
      </c>
      <c r="J590">
        <f>IFERROR(
    VALUE(SUBSTITUTE(Raw_Data!J590," visits","")),
    ""
)</f>
        <v>4</v>
      </c>
      <c r="K590" t="str">
        <f ca="1">IF(TRIM(Raw_Data!K590)="","No",PROPER(TRIM(Raw_Data!K590)))</f>
        <v>Yes</v>
      </c>
      <c r="L590" t="str">
        <f ca="1">PROPER(TRIM(Raw_Data!L590))</f>
        <v>General Fitness</v>
      </c>
      <c r="M590" t="s">
        <v>151</v>
      </c>
      <c r="N590" s="2">
        <f>IFERROR(DATEVALUE(Raw_Data!N590), Raw_Data!N590)</f>
        <v>45650</v>
      </c>
      <c r="O590" s="2"/>
      <c r="P590" t="str">
        <f>IF(COUNTIF($A$2:A590,A590)&gt;1,"Duplicate","Unique")</f>
        <v>Unique</v>
      </c>
      <c r="Q590" t="str">
        <f t="shared" si="18"/>
        <v>OK</v>
      </c>
      <c r="R590" t="str">
        <f t="shared" si="19"/>
        <v>Available</v>
      </c>
    </row>
    <row r="591" spans="1:18">
      <c r="A591" t="str">
        <f>TRIM(CLEAN(Raw_Data!A591))</f>
        <v>MEM0590</v>
      </c>
      <c r="B591" t="str">
        <f ca="1">TRIM(Raw_Data!B591)</f>
        <v>Ishita Banerjee</v>
      </c>
      <c r="C591" t="str">
        <f ca="1">_xlfn.XLOOKUP(D591, Branch_Master!A:A, Branch_Master!B:B)</f>
        <v>Chennai</v>
      </c>
      <c r="D591" t="str">
        <f ca="1">TRIM(Raw_Data!D591)</f>
        <v>BR03</v>
      </c>
      <c r="E591" t="str">
        <f ca="1">PROPER(TRIM(Raw_Data!E591))</f>
        <v>Premium</v>
      </c>
      <c r="F591" s="2">
        <f>IFERROR(DATEVALUE(Raw_Data!F591), Raw_Data!F591)</f>
        <v>45102</v>
      </c>
      <c r="G591" s="2">
        <f>IFERROR(
    IF(
        IFERROR(DATEVALUE(Raw_Data!G591), Raw_Data!G591) &lt;
        IFERROR(DATEVALUE(Raw_Data!F591), Raw_Data!F591),
        IFERROR(DATEVALUE(Raw_Data!F591), Raw_Data!F591) + 30,
        IFERROR(DATEVALUE(Raw_Data!G591), Raw_Data!G591)
    ),
    ""
)</f>
        <v>45132</v>
      </c>
      <c r="H591">
        <f>IFERROR(VALUE(Raw_Data!H591), "")</f>
        <v>2000</v>
      </c>
      <c r="I591">
        <f ca="1">IFERROR(VALUE(Raw_Data!I591), "")</f>
        <v>10000</v>
      </c>
      <c r="J591">
        <f>IFERROR(
    VALUE(SUBSTITUTE(Raw_Data!J591," visits","")),
    ""
)</f>
        <v>14</v>
      </c>
      <c r="K591" t="str">
        <f ca="1">IF(TRIM(Raw_Data!K591)="","No",PROPER(TRIM(Raw_Data!K591)))</f>
        <v>Yes</v>
      </c>
      <c r="L591" t="str">
        <f ca="1">PROPER(TRIM(Raw_Data!L591))</f>
        <v>General Fitness</v>
      </c>
      <c r="M591" t="s">
        <v>151</v>
      </c>
      <c r="N591" s="2">
        <f>IFERROR(DATEVALUE(Raw_Data!N591), Raw_Data!N591)</f>
        <v>45971</v>
      </c>
      <c r="O591" s="2"/>
      <c r="P591" t="str">
        <f>IF(COUNTIF($A$2:A591,A591)&gt;1,"Duplicate","Unique")</f>
        <v>Unique</v>
      </c>
      <c r="Q591" t="str">
        <f t="shared" si="18"/>
        <v>OK</v>
      </c>
      <c r="R591" t="str">
        <f t="shared" si="19"/>
        <v>Available</v>
      </c>
    </row>
    <row r="592" spans="1:18">
      <c r="A592" t="str">
        <f>TRIM(CLEAN(Raw_Data!A592))</f>
        <v>MEM0591</v>
      </c>
      <c r="B592" t="str">
        <f ca="1">TRIM(Raw_Data!B592)</f>
        <v>Nisha Naidu</v>
      </c>
      <c r="C592" t="str">
        <f ca="1">_xlfn.XLOOKUP(D592, Branch_Master!A:A, Branch_Master!B:B)</f>
        <v>Chennai</v>
      </c>
      <c r="D592" t="str">
        <f ca="1">TRIM(Raw_Data!D592)</f>
        <v>BR03</v>
      </c>
      <c r="E592" t="str">
        <f ca="1">PROPER(TRIM(Raw_Data!E592))</f>
        <v>Premium</v>
      </c>
      <c r="F592" s="2">
        <f>IFERROR(DATEVALUE(Raw_Data!F592), Raw_Data!F592)</f>
        <v>45076</v>
      </c>
      <c r="G592" s="2">
        <f>IFERROR(
    IF(
        IFERROR(DATEVALUE(Raw_Data!G592), Raw_Data!G592) &lt;
        IFERROR(DATEVALUE(Raw_Data!F592), Raw_Data!F592),
        IFERROR(DATEVALUE(Raw_Data!F592), Raw_Data!F592) + 30,
        IFERROR(DATEVALUE(Raw_Data!G592), Raw_Data!G592)
    ),
    ""
)</f>
        <v>45106</v>
      </c>
      <c r="H592">
        <f>IFERROR(VALUE(Raw_Data!H592), "")</f>
        <v>3500</v>
      </c>
      <c r="I592">
        <f ca="1">IFERROR(VALUE(Raw_Data!I592), "")</f>
        <v>7000</v>
      </c>
      <c r="J592">
        <f>IFERROR(
    VALUE(SUBSTITUTE(Raw_Data!J592," visits","")),
    ""
)</f>
        <v>7</v>
      </c>
      <c r="K592" t="str">
        <f ca="1">IF(TRIM(Raw_Data!K592)="","No",PROPER(TRIM(Raw_Data!K592)))</f>
        <v>Yes</v>
      </c>
      <c r="L592" t="str">
        <f ca="1">PROPER(TRIM(Raw_Data!L592))</f>
        <v>General Fitness</v>
      </c>
      <c r="M592" t="s">
        <v>151</v>
      </c>
      <c r="N592" s="2">
        <f>IFERROR(DATEVALUE(Raw_Data!N592), Raw_Data!N592)</f>
        <v>45104</v>
      </c>
      <c r="O592" s="2"/>
      <c r="P592" t="str">
        <f>IF(COUNTIF($A$2:A592,A592)&gt;1,"Duplicate","Unique")</f>
        <v>Unique</v>
      </c>
      <c r="Q592" t="str">
        <f t="shared" si="18"/>
        <v>OK</v>
      </c>
      <c r="R592" t="str">
        <f t="shared" si="19"/>
        <v>Available</v>
      </c>
    </row>
    <row r="593" spans="1:18">
      <c r="A593" t="str">
        <f>TRIM(CLEAN(Raw_Data!A593))</f>
        <v>MEM0592</v>
      </c>
      <c r="B593" t="str">
        <f ca="1">TRIM(Raw_Data!B593)</f>
        <v>Nikhil Verma</v>
      </c>
      <c r="C593" t="str">
        <f ca="1">_xlfn.XLOOKUP(D593, Branch_Master!A:A, Branch_Master!B:B)</f>
        <v>Trivandrum</v>
      </c>
      <c r="D593" t="str">
        <f ca="1">TRIM(Raw_Data!D593)</f>
        <v>BR06</v>
      </c>
      <c r="E593" t="str">
        <f ca="1">PROPER(TRIM(Raw_Data!E593))</f>
        <v>Premium</v>
      </c>
      <c r="F593" s="2">
        <f>IFERROR(DATEVALUE(Raw_Data!F593), Raw_Data!F593)</f>
        <v>45756</v>
      </c>
      <c r="G593" s="2">
        <f>IFERROR(
    IF(
        IFERROR(DATEVALUE(Raw_Data!G593), Raw_Data!G593) &lt;
        IFERROR(DATEVALUE(Raw_Data!F593), Raw_Data!F593),
        IFERROR(DATEVALUE(Raw_Data!F593), Raw_Data!F593) + 30,
        IFERROR(DATEVALUE(Raw_Data!G593), Raw_Data!G593)
    ),
    ""
)</f>
        <v>46121</v>
      </c>
      <c r="H593">
        <f>IFERROR(VALUE(Raw_Data!H593), "")</f>
        <v>1000</v>
      </c>
      <c r="I593">
        <f ca="1">IFERROR(VALUE(Raw_Data!I593), "")</f>
        <v>7000</v>
      </c>
      <c r="J593">
        <f>IFERROR(
    VALUE(SUBSTITUTE(Raw_Data!J593," visits","")),
    ""
)</f>
        <v>23</v>
      </c>
      <c r="K593" t="str">
        <f ca="1">IF(TRIM(Raw_Data!K593)="","No",PROPER(TRIM(Raw_Data!K593)))</f>
        <v>No</v>
      </c>
      <c r="L593" t="str">
        <f ca="1">PROPER(TRIM(Raw_Data!L593))</f>
        <v>Muscle Gain</v>
      </c>
      <c r="M593" t="s">
        <v>151</v>
      </c>
      <c r="N593" s="2">
        <f>IFERROR(DATEVALUE(Raw_Data!N593), Raw_Data!N593)</f>
        <v>46045</v>
      </c>
      <c r="O593" s="2"/>
      <c r="P593" t="str">
        <f>IF(COUNTIF($A$2:A593,A593)&gt;1,"Duplicate","Unique")</f>
        <v>Unique</v>
      </c>
      <c r="Q593" t="str">
        <f t="shared" si="18"/>
        <v>OK</v>
      </c>
      <c r="R593" t="str">
        <f t="shared" si="19"/>
        <v>Available</v>
      </c>
    </row>
    <row r="594" spans="1:18">
      <c r="A594" t="str">
        <f>TRIM(CLEAN(Raw_Data!A594))</f>
        <v>MEM0593</v>
      </c>
      <c r="B594" t="str">
        <f ca="1">TRIM(Raw_Data!B594)</f>
        <v>Nisha Shetty</v>
      </c>
      <c r="C594" t="str">
        <f ca="1">_xlfn.XLOOKUP(D594, Branch_Master!A:A, Branch_Master!B:B)</f>
        <v>Chennai</v>
      </c>
      <c r="D594" t="str">
        <f ca="1">TRIM(Raw_Data!D594)</f>
        <v>BR03</v>
      </c>
      <c r="E594" t="str">
        <f ca="1">PROPER(TRIM(Raw_Data!E594))</f>
        <v>Standard</v>
      </c>
      <c r="F594" s="2">
        <f>IFERROR(DATEVALUE(Raw_Data!F594), Raw_Data!F594)</f>
        <v>45124</v>
      </c>
      <c r="G594" s="2">
        <f>IFERROR(
    IF(
        IFERROR(DATEVALUE(Raw_Data!G594), Raw_Data!G594) &lt;
        IFERROR(DATEVALUE(Raw_Data!F594), Raw_Data!F594),
        IFERROR(DATEVALUE(Raw_Data!F594), Raw_Data!F594) + 30,
        IFERROR(DATEVALUE(Raw_Data!G594), Raw_Data!G594)
    ),
    ""
)</f>
        <v>45214</v>
      </c>
      <c r="H594">
        <f>IFERROR(VALUE(Raw_Data!H594), "")</f>
        <v>2000</v>
      </c>
      <c r="I594">
        <f ca="1">IFERROR(VALUE(Raw_Data!I594), "")</f>
        <v>2000</v>
      </c>
      <c r="J594">
        <f>IFERROR(
    VALUE(SUBSTITUTE(Raw_Data!J594," visits","")),
    ""
)</f>
        <v>13</v>
      </c>
      <c r="K594" t="str">
        <f ca="1">IF(TRIM(Raw_Data!K594)="","No",PROPER(TRIM(Raw_Data!K594)))</f>
        <v>Yes</v>
      </c>
      <c r="L594" t="str">
        <f ca="1">PROPER(TRIM(Raw_Data!L594))</f>
        <v>Muscle Gain</v>
      </c>
      <c r="M594" t="s">
        <v>151</v>
      </c>
      <c r="N594" s="2">
        <f>IFERROR(DATEVALUE(Raw_Data!N594), Raw_Data!N594)</f>
        <v>45963</v>
      </c>
      <c r="O594" s="2"/>
      <c r="P594" t="str">
        <f>IF(COUNTIF($A$2:A594,A594)&gt;1,"Duplicate","Unique")</f>
        <v>Unique</v>
      </c>
      <c r="Q594" t="str">
        <f t="shared" si="18"/>
        <v>OK</v>
      </c>
      <c r="R594" t="str">
        <f t="shared" si="19"/>
        <v>Available</v>
      </c>
    </row>
    <row r="595" spans="1:18">
      <c r="A595" t="str">
        <f>TRIM(CLEAN(Raw_Data!A595))</f>
        <v>MEM0594</v>
      </c>
      <c r="B595" t="str">
        <f ca="1">TRIM(Raw_Data!B595)</f>
        <v>Rahul Naidu</v>
      </c>
      <c r="C595" t="str">
        <f ca="1">_xlfn.XLOOKUP(D595, Branch_Master!A:A, Branch_Master!B:B)</f>
        <v>Kochi</v>
      </c>
      <c r="D595" t="str">
        <f ca="1">TRIM(Raw_Data!D595)</f>
        <v>BR01</v>
      </c>
      <c r="E595" t="str">
        <f ca="1">PROPER(TRIM(Raw_Data!E595))</f>
        <v>Premium</v>
      </c>
      <c r="F595" s="2">
        <f>IFERROR(DATEVALUE(Raw_Data!F595), Raw_Data!F595)</f>
        <v>45947</v>
      </c>
      <c r="G595" s="2">
        <f>IFERROR(
    IF(
        IFERROR(DATEVALUE(Raw_Data!G595), Raw_Data!G595) &lt;
        IFERROR(DATEVALUE(Raw_Data!F595), Raw_Data!F595),
        IFERROR(DATEVALUE(Raw_Data!F595), Raw_Data!F595) + 30,
        IFERROR(DATEVALUE(Raw_Data!G595), Raw_Data!G595)
    ),
    ""
)</f>
        <v>46312</v>
      </c>
      <c r="H595">
        <f>IFERROR(VALUE(Raw_Data!H595), "")</f>
        <v>2000</v>
      </c>
      <c r="I595">
        <f ca="1">IFERROR(VALUE(Raw_Data!I595), "")</f>
        <v>14000</v>
      </c>
      <c r="J595">
        <f>IFERROR(
    VALUE(SUBSTITUTE(Raw_Data!J595," visits","")),
    ""
)</f>
        <v>6</v>
      </c>
      <c r="K595" t="str">
        <f ca="1">IF(TRIM(Raw_Data!K595)="","No",PROPER(TRIM(Raw_Data!K595)))</f>
        <v>No</v>
      </c>
      <c r="L595" t="str">
        <f ca="1">PROPER(TRIM(Raw_Data!L595))</f>
        <v>Weight Loss</v>
      </c>
      <c r="M595" t="s">
        <v>152</v>
      </c>
      <c r="N595" s="2">
        <f>IFERROR(DATEVALUE(Raw_Data!N595), Raw_Data!N595)</f>
        <v>46000</v>
      </c>
      <c r="O595" s="2"/>
      <c r="P595" t="str">
        <f>IF(COUNTIF($A$2:A595,A595)&gt;1,"Duplicate","Unique")</f>
        <v>Unique</v>
      </c>
      <c r="Q595" t="str">
        <f t="shared" si="18"/>
        <v>Cancelled but Active</v>
      </c>
      <c r="R595" t="str">
        <f t="shared" si="19"/>
        <v>Available</v>
      </c>
    </row>
    <row r="596" spans="1:18">
      <c r="A596" t="str">
        <f>TRIM(CLEAN(Raw_Data!A596))</f>
        <v>MEM0595</v>
      </c>
      <c r="B596" t="str">
        <f ca="1">TRIM(Raw_Data!B596)</f>
        <v>Rohit Banerjee</v>
      </c>
      <c r="C596" t="str">
        <f ca="1">_xlfn.XLOOKUP(D596, Branch_Master!A:A, Branch_Master!B:B)</f>
        <v>Chennai</v>
      </c>
      <c r="D596" t="str">
        <f ca="1">TRIM(Raw_Data!D596)</f>
        <v>BR03</v>
      </c>
      <c r="E596" t="str">
        <f ca="1">PROPER(TRIM(Raw_Data!E596))</f>
        <v>Premium</v>
      </c>
      <c r="F596" s="2">
        <f>IFERROR(DATEVALUE(Raw_Data!F596), Raw_Data!F596)</f>
        <v>45765</v>
      </c>
      <c r="G596" s="2">
        <f>IFERROR(
    IF(
        IFERROR(DATEVALUE(Raw_Data!G596), Raw_Data!G596) &lt;
        IFERROR(DATEVALUE(Raw_Data!F596), Raw_Data!F596),
        IFERROR(DATEVALUE(Raw_Data!F596), Raw_Data!F596) + 30,
        IFERROR(DATEVALUE(Raw_Data!G596), Raw_Data!G596)
    ),
    ""
)</f>
        <v>46130</v>
      </c>
      <c r="H596">
        <f>IFERROR(VALUE(Raw_Data!H596), "")</f>
        <v>3500</v>
      </c>
      <c r="I596">
        <f ca="1">IFERROR(VALUE(Raw_Data!I596), "")</f>
        <v>7000</v>
      </c>
      <c r="J596">
        <f>IFERROR(
    VALUE(SUBSTITUTE(Raw_Data!J596," visits","")),
    ""
)</f>
        <v>25</v>
      </c>
      <c r="K596" t="str">
        <f ca="1">IF(TRIM(Raw_Data!K596)="","No",PROPER(TRIM(Raw_Data!K596)))</f>
        <v>Yes</v>
      </c>
      <c r="L596" t="str">
        <f ca="1">PROPER(TRIM(Raw_Data!L596))</f>
        <v>Muscle Gain</v>
      </c>
      <c r="M596" t="s">
        <v>151</v>
      </c>
      <c r="N596" s="2">
        <f>IFERROR(DATEVALUE(Raw_Data!N596), Raw_Data!N596)</f>
        <v>45822</v>
      </c>
      <c r="O596" s="2"/>
      <c r="P596" t="str">
        <f>IF(COUNTIF($A$2:A596,A596)&gt;1,"Duplicate","Unique")</f>
        <v>Unique</v>
      </c>
      <c r="Q596" t="str">
        <f t="shared" si="18"/>
        <v>OK</v>
      </c>
      <c r="R596" t="str">
        <f t="shared" si="19"/>
        <v>Available</v>
      </c>
    </row>
    <row r="597" spans="1:18">
      <c r="A597" t="str">
        <f>TRIM(CLEAN(Raw_Data!A597))</f>
        <v>MEM0596</v>
      </c>
      <c r="B597" t="str">
        <f ca="1">TRIM(Raw_Data!B597)</f>
        <v>Sanjay Nair</v>
      </c>
      <c r="C597" t="str">
        <f ca="1">_xlfn.XLOOKUP(D597, Branch_Master!A:A, Branch_Master!B:B)</f>
        <v>Mumbai</v>
      </c>
      <c r="D597" t="str">
        <f ca="1">TRIM(Raw_Data!D597)</f>
        <v>BR05</v>
      </c>
      <c r="E597" t="str">
        <f ca="1">PROPER(TRIM(Raw_Data!E597))</f>
        <v>Basic</v>
      </c>
      <c r="F597" s="2">
        <f>IFERROR(DATEVALUE(Raw_Data!F597), Raw_Data!F597)</f>
        <v>44929</v>
      </c>
      <c r="G597" s="2">
        <f>IFERROR(
    IF(
        IFERROR(DATEVALUE(Raw_Data!G597), Raw_Data!G597) &lt;
        IFERROR(DATEVALUE(Raw_Data!F597), Raw_Data!F597),
        IFERROR(DATEVALUE(Raw_Data!F597), Raw_Data!F597) + 30,
        IFERROR(DATEVALUE(Raw_Data!G597), Raw_Data!G597)
    ),
    ""
)</f>
        <v>45294</v>
      </c>
      <c r="H597">
        <f>IFERROR(VALUE(Raw_Data!H597), "")</f>
        <v>3500</v>
      </c>
      <c r="I597">
        <f ca="1">IFERROR(VALUE(Raw_Data!I597), "")</f>
        <v>28000</v>
      </c>
      <c r="J597">
        <f>IFERROR(
    VALUE(SUBSTITUTE(Raw_Data!J597," visits","")),
    ""
)</f>
        <v>8</v>
      </c>
      <c r="K597" t="str">
        <f ca="1">IF(TRIM(Raw_Data!K597)="","No",PROPER(TRIM(Raw_Data!K597)))</f>
        <v>No</v>
      </c>
      <c r="L597" t="str">
        <f ca="1">PROPER(TRIM(Raw_Data!L597))</f>
        <v>Muscle Gain</v>
      </c>
      <c r="M597" t="s">
        <v>151</v>
      </c>
      <c r="N597" s="2">
        <f>IFERROR(DATEVALUE(Raw_Data!N597), Raw_Data!N597)</f>
        <v>45956</v>
      </c>
      <c r="O597" s="2"/>
      <c r="P597" t="str">
        <f>IF(COUNTIF($A$2:A597,A597)&gt;1,"Duplicate","Unique")</f>
        <v>Unique</v>
      </c>
      <c r="Q597" t="str">
        <f t="shared" si="18"/>
        <v>OK</v>
      </c>
      <c r="R597" t="str">
        <f t="shared" si="19"/>
        <v>Available</v>
      </c>
    </row>
    <row r="598" spans="1:18">
      <c r="A598" t="str">
        <f>TRIM(CLEAN(Raw_Data!A598))</f>
        <v>MEM0597</v>
      </c>
      <c r="B598" t="str">
        <f ca="1">TRIM(Raw_Data!B598)</f>
        <v>Manoj Kapoor</v>
      </c>
      <c r="C598" t="str">
        <f ca="1">_xlfn.XLOOKUP(D598, Branch_Master!A:A, Branch_Master!B:B)</f>
        <v>Calicut</v>
      </c>
      <c r="D598" t="str">
        <f ca="1">TRIM(Raw_Data!D598)</f>
        <v>BR07</v>
      </c>
      <c r="E598" t="str">
        <f ca="1">PROPER(TRIM(Raw_Data!E598))</f>
        <v>Premium</v>
      </c>
      <c r="F598" s="2">
        <f>IFERROR(DATEVALUE(Raw_Data!F598), Raw_Data!F598)</f>
        <v>45734</v>
      </c>
      <c r="G598" s="2">
        <f>IFERROR(
    IF(
        IFERROR(DATEVALUE(Raw_Data!G598), Raw_Data!G598) &lt;
        IFERROR(DATEVALUE(Raw_Data!F598), Raw_Data!F598),
        IFERROR(DATEVALUE(Raw_Data!F598), Raw_Data!F598) + 30,
        IFERROR(DATEVALUE(Raw_Data!G598), Raw_Data!G598)
    ),
    ""
)</f>
        <v>45824</v>
      </c>
      <c r="H598">
        <f>IFERROR(VALUE(Raw_Data!H598), "")</f>
        <v>2000</v>
      </c>
      <c r="I598">
        <f ca="1">IFERROR(VALUE(Raw_Data!I598), "")</f>
        <v>24000</v>
      </c>
      <c r="J598">
        <f>IFERROR(
    VALUE(SUBSTITUTE(Raw_Data!J598," visits","")),
    ""
)</f>
        <v>13</v>
      </c>
      <c r="K598" t="str">
        <f ca="1">IF(TRIM(Raw_Data!K598)="","No",PROPER(TRIM(Raw_Data!K598)))</f>
        <v>No</v>
      </c>
      <c r="L598" t="str">
        <f ca="1">PROPER(TRIM(Raw_Data!L598))</f>
        <v>Muscle Gain</v>
      </c>
      <c r="M598" t="s">
        <v>151</v>
      </c>
      <c r="N598" s="2">
        <f>IFERROR(DATEVALUE(Raw_Data!N598), Raw_Data!N598)</f>
        <v>45750</v>
      </c>
      <c r="O598" s="2"/>
      <c r="P598" t="str">
        <f>IF(COUNTIF($A$2:A598,A598)&gt;1,"Duplicate","Unique")</f>
        <v>Unique</v>
      </c>
      <c r="Q598" t="str">
        <f t="shared" si="18"/>
        <v>OK</v>
      </c>
      <c r="R598" t="str">
        <f t="shared" si="19"/>
        <v>Available</v>
      </c>
    </row>
    <row r="599" spans="1:18">
      <c r="A599" t="str">
        <f>TRIM(CLEAN(Raw_Data!A599))</f>
        <v>MEM0598</v>
      </c>
      <c r="B599" t="str">
        <f ca="1">TRIM(Raw_Data!B599)</f>
        <v>Lakshmi Iyer</v>
      </c>
      <c r="C599" t="str">
        <f ca="1">_xlfn.XLOOKUP(D599, Branch_Master!A:A, Branch_Master!B:B)</f>
        <v>Kochi</v>
      </c>
      <c r="D599" t="str">
        <f ca="1">TRIM(Raw_Data!D599)</f>
        <v>BR01</v>
      </c>
      <c r="E599" t="str">
        <f ca="1">PROPER(TRIM(Raw_Data!E599))</f>
        <v>Premium</v>
      </c>
      <c r="F599" s="2">
        <f>IFERROR(DATEVALUE(Raw_Data!F599), Raw_Data!F599)</f>
        <v>45418</v>
      </c>
      <c r="G599" s="2">
        <f>IFERROR(
    IF(
        IFERROR(DATEVALUE(Raw_Data!G599), Raw_Data!G599) &lt;
        IFERROR(DATEVALUE(Raw_Data!F599), Raw_Data!F599),
        IFERROR(DATEVALUE(Raw_Data!F599), Raw_Data!F599) + 30,
        IFERROR(DATEVALUE(Raw_Data!G599), Raw_Data!G599)
    ),
    ""
)</f>
        <v>45508</v>
      </c>
      <c r="H599">
        <f>IFERROR(VALUE(Raw_Data!H599), "")</f>
        <v>3500</v>
      </c>
      <c r="I599">
        <f ca="1">IFERROR(VALUE(Raw_Data!I599), "")</f>
        <v>28000</v>
      </c>
      <c r="J599">
        <f>IFERROR(
    VALUE(SUBSTITUTE(Raw_Data!J599," visits","")),
    ""
)</f>
        <v>14</v>
      </c>
      <c r="K599" t="str">
        <f ca="1">IF(TRIM(Raw_Data!K599)="","No",PROPER(TRIM(Raw_Data!K599)))</f>
        <v>No</v>
      </c>
      <c r="L599" t="str">
        <f ca="1">PROPER(TRIM(Raw_Data!L599))</f>
        <v>Weight Loss</v>
      </c>
      <c r="M599" t="s">
        <v>151</v>
      </c>
      <c r="N599" s="2">
        <f>IFERROR(DATEVALUE(Raw_Data!N599), Raw_Data!N599)</f>
        <v>45485</v>
      </c>
      <c r="O599" s="2"/>
      <c r="P599" t="str">
        <f>IF(COUNTIF($A$2:A599,A599)&gt;1,"Duplicate","Unique")</f>
        <v>Unique</v>
      </c>
      <c r="Q599" t="str">
        <f t="shared" si="18"/>
        <v>OK</v>
      </c>
      <c r="R599" t="str">
        <f t="shared" si="19"/>
        <v>Available</v>
      </c>
    </row>
    <row r="600" spans="1:18">
      <c r="A600" t="str">
        <f>TRIM(CLEAN(Raw_Data!A600))</f>
        <v>MEM0599</v>
      </c>
      <c r="B600" t="str">
        <f ca="1">TRIM(Raw_Data!B600)</f>
        <v>Zara Khan</v>
      </c>
      <c r="C600" t="str">
        <f ca="1">_xlfn.XLOOKUP(D600, Branch_Master!A:A, Branch_Master!B:B)</f>
        <v>Bangalore</v>
      </c>
      <c r="D600" t="str">
        <f ca="1">TRIM(Raw_Data!D600)</f>
        <v>BR02</v>
      </c>
      <c r="E600" t="str">
        <f ca="1">PROPER(TRIM(Raw_Data!E600))</f>
        <v>Basic</v>
      </c>
      <c r="F600" s="2">
        <f>IFERROR(DATEVALUE(Raw_Data!F600), Raw_Data!F600)</f>
        <v>45544</v>
      </c>
      <c r="G600" s="2">
        <f>IFERROR(
    IF(
        IFERROR(DATEVALUE(Raw_Data!G600), Raw_Data!G600) &lt;
        IFERROR(DATEVALUE(Raw_Data!F600), Raw_Data!F600),
        IFERROR(DATEVALUE(Raw_Data!F600), Raw_Data!F600) + 30,
        IFERROR(DATEVALUE(Raw_Data!G600), Raw_Data!G600)
    ),
    ""
)</f>
        <v>45574</v>
      </c>
      <c r="H600">
        <f>IFERROR(VALUE(Raw_Data!H600), "")</f>
        <v>3500</v>
      </c>
      <c r="I600">
        <f ca="1">IFERROR(VALUE(Raw_Data!I600), "")</f>
        <v>10500</v>
      </c>
      <c r="J600">
        <f>IFERROR(
    VALUE(SUBSTITUTE(Raw_Data!J600," visits","")),
    ""
)</f>
        <v>13</v>
      </c>
      <c r="K600" t="str">
        <f ca="1">IF(TRIM(Raw_Data!K600)="","No",PROPER(TRIM(Raw_Data!K600)))</f>
        <v>No</v>
      </c>
      <c r="L600" t="str">
        <f ca="1">PROPER(TRIM(Raw_Data!L600))</f>
        <v>Muscle Gain</v>
      </c>
      <c r="M600" t="s">
        <v>151</v>
      </c>
      <c r="N600" s="2">
        <f>IFERROR(DATEVALUE(Raw_Data!N600), Raw_Data!N600)</f>
        <v>46082</v>
      </c>
      <c r="O600" s="2"/>
      <c r="P600" t="str">
        <f>IF(COUNTIF($A$2:A600,A600)&gt;1,"Duplicate","Unique")</f>
        <v>Unique</v>
      </c>
      <c r="Q600" t="str">
        <f t="shared" si="18"/>
        <v>OK</v>
      </c>
      <c r="R600" t="str">
        <f t="shared" si="19"/>
        <v>Available</v>
      </c>
    </row>
    <row r="601" spans="1:18">
      <c r="A601" t="str">
        <f>TRIM(CLEAN(Raw_Data!A601))</f>
        <v>MEM0600</v>
      </c>
      <c r="B601" t="str">
        <f ca="1">TRIM(Raw_Data!B601)</f>
        <v>Meera Verma</v>
      </c>
      <c r="C601" t="str">
        <f ca="1">_xlfn.XLOOKUP(D601, Branch_Master!A:A, Branch_Master!B:B)</f>
        <v>Chennai</v>
      </c>
      <c r="D601" t="str">
        <f ca="1">TRIM(Raw_Data!D601)</f>
        <v>BR03</v>
      </c>
      <c r="E601" t="str">
        <f ca="1">PROPER(TRIM(Raw_Data!E601))</f>
        <v>Standard</v>
      </c>
      <c r="F601" s="2">
        <f>IFERROR(DATEVALUE(Raw_Data!F601), Raw_Data!F601)</f>
        <v>45063</v>
      </c>
      <c r="G601" s="2">
        <f>IFERROR(
    IF(
        IFERROR(DATEVALUE(Raw_Data!G601), Raw_Data!G601) &lt;
        IFERROR(DATEVALUE(Raw_Data!F601), Raw_Data!F601),
        IFERROR(DATEVALUE(Raw_Data!F601), Raw_Data!F601) + 30,
        IFERROR(DATEVALUE(Raw_Data!G601), Raw_Data!G601)
    ),
    ""
)</f>
        <v>45153</v>
      </c>
      <c r="H601">
        <f>IFERROR(VALUE(Raw_Data!H601), "")</f>
        <v>3500</v>
      </c>
      <c r="I601">
        <f ca="1">IFERROR(VALUE(Raw_Data!I601), "")</f>
        <v>42000</v>
      </c>
      <c r="J601">
        <f>IFERROR(
    VALUE(SUBSTITUTE(Raw_Data!J601," visits","")),
    ""
)</f>
        <v>24</v>
      </c>
      <c r="K601" t="str">
        <f ca="1">IF(TRIM(Raw_Data!K601)="","No",PROPER(TRIM(Raw_Data!K601)))</f>
        <v>Yes</v>
      </c>
      <c r="L601" t="str">
        <f ca="1">PROPER(TRIM(Raw_Data!L601))</f>
        <v>Weight Loss</v>
      </c>
      <c r="M601" t="s">
        <v>151</v>
      </c>
      <c r="N601" s="2">
        <f>IFERROR(DATEVALUE(Raw_Data!N601), Raw_Data!N601)</f>
        <v>45819</v>
      </c>
      <c r="O601" s="2"/>
      <c r="P601" t="str">
        <f>IF(COUNTIF($A$2:A601,A601)&gt;1,"Duplicate","Unique")</f>
        <v>Unique</v>
      </c>
      <c r="Q601" t="str">
        <f t="shared" si="18"/>
        <v>OK</v>
      </c>
      <c r="R601" t="str">
        <f t="shared" si="19"/>
        <v>Available</v>
      </c>
    </row>
    <row r="602" spans="1:18">
      <c r="A602" t="str">
        <f>TRIM(CLEAN(Raw_Data!A602))</f>
        <v>MEM0601</v>
      </c>
      <c r="B602" t="str">
        <f ca="1">TRIM(Raw_Data!B602)</f>
        <v>Pooja Kulkarni</v>
      </c>
      <c r="C602" t="str">
        <f ca="1">_xlfn.XLOOKUP(D602, Branch_Master!A:A, Branch_Master!B:B)</f>
        <v>Mumbai</v>
      </c>
      <c r="D602" t="str">
        <f ca="1">TRIM(Raw_Data!D602)</f>
        <v>BR05</v>
      </c>
      <c r="E602" t="str">
        <f ca="1">PROPER(TRIM(Raw_Data!E602))</f>
        <v>Basic</v>
      </c>
      <c r="F602" s="2">
        <f>IFERROR(DATEVALUE(Raw_Data!F602), Raw_Data!F602)</f>
        <v>45581</v>
      </c>
      <c r="G602" s="2">
        <f>IFERROR(
    IF(
        IFERROR(DATEVALUE(Raw_Data!G602), Raw_Data!G602) &lt;
        IFERROR(DATEVALUE(Raw_Data!F602), Raw_Data!F602),
        IFERROR(DATEVALUE(Raw_Data!F602), Raw_Data!F602) + 30,
        IFERROR(DATEVALUE(Raw_Data!G602), Raw_Data!G602)
    ),
    ""
)</f>
        <v>45671</v>
      </c>
      <c r="H602">
        <f>IFERROR(VALUE(Raw_Data!H602), "")</f>
        <v>1000</v>
      </c>
      <c r="I602">
        <f ca="1">IFERROR(VALUE(Raw_Data!I602), "")</f>
        <v>3000</v>
      </c>
      <c r="J602">
        <f>IFERROR(
    VALUE(SUBSTITUTE(Raw_Data!J602," visits","")),
    ""
)</f>
        <v>19</v>
      </c>
      <c r="K602" t="str">
        <f ca="1">IF(TRIM(Raw_Data!K602)="","No",PROPER(TRIM(Raw_Data!K602)))</f>
        <v>No</v>
      </c>
      <c r="L602" t="str">
        <f ca="1">PROPER(TRIM(Raw_Data!L602))</f>
        <v>Muscle Gain</v>
      </c>
      <c r="M602" t="s">
        <v>152</v>
      </c>
      <c r="N602" s="2">
        <f>IFERROR(DATEVALUE(Raw_Data!N602), Raw_Data!N602)</f>
        <v>46114</v>
      </c>
      <c r="O602" s="2"/>
      <c r="P602" t="str">
        <f>IF(COUNTIF($A$2:A602,A602)&gt;1,"Duplicate","Unique")</f>
        <v>Unique</v>
      </c>
      <c r="Q602" t="str">
        <f t="shared" si="18"/>
        <v>Cancelled but Active</v>
      </c>
      <c r="R602" t="str">
        <f t="shared" si="19"/>
        <v>Available</v>
      </c>
    </row>
    <row r="603" spans="1:18">
      <c r="A603" t="str">
        <f>TRIM(CLEAN(Raw_Data!A603))</f>
        <v>MEM0602</v>
      </c>
      <c r="B603" t="str">
        <f ca="1">TRIM(Raw_Data!B603)</f>
        <v>Akash Joshi</v>
      </c>
      <c r="C603" t="str">
        <f ca="1">_xlfn.XLOOKUP(D603, Branch_Master!A:A, Branch_Master!B:B)</f>
        <v>Kochi</v>
      </c>
      <c r="D603" t="str">
        <f ca="1">TRIM(Raw_Data!D603)</f>
        <v>BR01</v>
      </c>
      <c r="E603" t="str">
        <f ca="1">PROPER(TRIM(Raw_Data!E603))</f>
        <v>Standard</v>
      </c>
      <c r="F603" s="2">
        <f>IFERROR(DATEVALUE(Raw_Data!F603), Raw_Data!F603)</f>
        <v>44959</v>
      </c>
      <c r="G603" s="2">
        <f>IFERROR(
    IF(
        IFERROR(DATEVALUE(Raw_Data!G603), Raw_Data!G603) &lt;
        IFERROR(DATEVALUE(Raw_Data!F603), Raw_Data!F603),
        IFERROR(DATEVALUE(Raw_Data!F603), Raw_Data!F603) + 30,
        IFERROR(DATEVALUE(Raw_Data!G603), Raw_Data!G603)
    ),
    ""
)</f>
        <v>44989</v>
      </c>
      <c r="H603">
        <f>IFERROR(VALUE(Raw_Data!H603), "")</f>
        <v>1000</v>
      </c>
      <c r="I603">
        <f ca="1">IFERROR(VALUE(Raw_Data!I603), "")</f>
        <v>8000</v>
      </c>
      <c r="J603">
        <f>IFERROR(
    VALUE(SUBSTITUTE(Raw_Data!J603," visits","")),
    ""
)</f>
        <v>9</v>
      </c>
      <c r="K603" t="str">
        <f ca="1">IF(TRIM(Raw_Data!K603)="","No",PROPER(TRIM(Raw_Data!K603)))</f>
        <v>Yes</v>
      </c>
      <c r="L603" t="str">
        <f ca="1">PROPER(TRIM(Raw_Data!L603))</f>
        <v>General Fitness</v>
      </c>
      <c r="M603" t="s">
        <v>151</v>
      </c>
      <c r="N603" s="2">
        <f>IFERROR(DATEVALUE(Raw_Data!N603), Raw_Data!N603)</f>
        <v>45774</v>
      </c>
      <c r="O603" s="2"/>
      <c r="P603" t="str">
        <f>IF(COUNTIF($A$2:A603,A603)&gt;1,"Duplicate","Unique")</f>
        <v>Unique</v>
      </c>
      <c r="Q603" t="str">
        <f t="shared" si="18"/>
        <v>OK</v>
      </c>
      <c r="R603" t="str">
        <f t="shared" si="19"/>
        <v>Available</v>
      </c>
    </row>
    <row r="604" spans="1:18">
      <c r="A604" t="str">
        <f>TRIM(CLEAN(Raw_Data!A604))</f>
        <v>MEM0603</v>
      </c>
      <c r="B604" t="str">
        <f ca="1">TRIM(Raw_Data!B604)</f>
        <v>Sanjay Lewis</v>
      </c>
      <c r="C604" t="str">
        <f ca="1">_xlfn.XLOOKUP(D604, Branch_Master!A:A, Branch_Master!B:B)</f>
        <v>Hyderabad</v>
      </c>
      <c r="D604" t="str">
        <f ca="1">TRIM(Raw_Data!D604)</f>
        <v>BR04</v>
      </c>
      <c r="E604" t="str">
        <f ca="1">PROPER(TRIM(Raw_Data!E604))</f>
        <v>Standard</v>
      </c>
      <c r="F604" s="2">
        <f>IFERROR(DATEVALUE(Raw_Data!F604), Raw_Data!F604)</f>
        <v>45837</v>
      </c>
      <c r="G604" s="2">
        <f>IFERROR(
    IF(
        IFERROR(DATEVALUE(Raw_Data!G604), Raw_Data!G604) &lt;
        IFERROR(DATEVALUE(Raw_Data!F604), Raw_Data!F604),
        IFERROR(DATEVALUE(Raw_Data!F604), Raw_Data!F604) + 30,
        IFERROR(DATEVALUE(Raw_Data!G604), Raw_Data!G604)
    ),
    ""
)</f>
        <v>45867</v>
      </c>
      <c r="H604">
        <f>IFERROR(VALUE(Raw_Data!H604), "")</f>
        <v>2000</v>
      </c>
      <c r="I604">
        <f ca="1">IFERROR(VALUE(Raw_Data!I604), "")</f>
        <v>18000</v>
      </c>
      <c r="J604">
        <f>IFERROR(
    VALUE(SUBSTITUTE(Raw_Data!J604," visits","")),
    ""
)</f>
        <v>12</v>
      </c>
      <c r="K604" t="str">
        <f ca="1">IF(TRIM(Raw_Data!K604)="","No",PROPER(TRIM(Raw_Data!K604)))</f>
        <v>Yes</v>
      </c>
      <c r="L604" t="str">
        <f ca="1">PROPER(TRIM(Raw_Data!L604))</f>
        <v>Muscle Gain</v>
      </c>
      <c r="M604" t="s">
        <v>151</v>
      </c>
      <c r="N604" s="2">
        <f>IFERROR(DATEVALUE(Raw_Data!N604), Raw_Data!N604)</f>
        <v>45967</v>
      </c>
      <c r="O604" s="2"/>
      <c r="P604" t="str">
        <f>IF(COUNTIF($A$2:A604,A604)&gt;1,"Duplicate","Unique")</f>
        <v>Unique</v>
      </c>
      <c r="Q604" t="str">
        <f t="shared" si="18"/>
        <v>OK</v>
      </c>
      <c r="R604" t="str">
        <f t="shared" si="19"/>
        <v>Available</v>
      </c>
    </row>
    <row r="605" spans="1:18">
      <c r="A605" t="str">
        <f>TRIM(CLEAN(Raw_Data!A605))</f>
        <v>MEM0604</v>
      </c>
      <c r="B605" t="str">
        <f ca="1">TRIM(Raw_Data!B605)</f>
        <v>Lakshmi Pillai</v>
      </c>
      <c r="C605" t="str">
        <f ca="1">_xlfn.XLOOKUP(D605, Branch_Master!A:A, Branch_Master!B:B)</f>
        <v>Trivandrum</v>
      </c>
      <c r="D605" t="str">
        <f ca="1">TRIM(Raw_Data!D605)</f>
        <v>BR06</v>
      </c>
      <c r="E605" t="str">
        <f ca="1">PROPER(TRIM(Raw_Data!E605))</f>
        <v>Premium</v>
      </c>
      <c r="F605" s="2">
        <f>IFERROR(DATEVALUE(Raw_Data!F605), Raw_Data!F605)</f>
        <v>45178</v>
      </c>
      <c r="G605" s="2">
        <f>IFERROR(
    IF(
        IFERROR(DATEVALUE(Raw_Data!G605), Raw_Data!G605) &lt;
        IFERROR(DATEVALUE(Raw_Data!F605), Raw_Data!F605),
        IFERROR(DATEVALUE(Raw_Data!F605), Raw_Data!F605) + 30,
        IFERROR(DATEVALUE(Raw_Data!G605), Raw_Data!G605)
    ),
    ""
)</f>
        <v>45268</v>
      </c>
      <c r="H605">
        <f>IFERROR(VALUE(Raw_Data!H605), "")</f>
        <v>3500</v>
      </c>
      <c r="I605">
        <f ca="1">IFERROR(VALUE(Raw_Data!I605), "")</f>
        <v>38500</v>
      </c>
      <c r="J605">
        <f>IFERROR(
    VALUE(SUBSTITUTE(Raw_Data!J605," visits","")),
    ""
)</f>
        <v>20</v>
      </c>
      <c r="K605" t="str">
        <f ca="1">IF(TRIM(Raw_Data!K605)="","No",PROPER(TRIM(Raw_Data!K605)))</f>
        <v>No</v>
      </c>
      <c r="L605" t="str">
        <f ca="1">PROPER(TRIM(Raw_Data!L605))</f>
        <v>Weight Loss</v>
      </c>
      <c r="M605" t="s">
        <v>151</v>
      </c>
      <c r="N605" s="2">
        <f>IFERROR(DATEVALUE(Raw_Data!N605), Raw_Data!N605)</f>
        <v>46001</v>
      </c>
      <c r="O605" s="2"/>
      <c r="P605" t="str">
        <f>IF(COUNTIF($A$2:A605,A605)&gt;1,"Duplicate","Unique")</f>
        <v>Unique</v>
      </c>
      <c r="Q605" t="str">
        <f t="shared" si="18"/>
        <v>OK</v>
      </c>
      <c r="R605" t="str">
        <f t="shared" si="19"/>
        <v>Available</v>
      </c>
    </row>
    <row r="606" spans="1:18">
      <c r="A606" t="str">
        <f>TRIM(CLEAN(Raw_Data!A606))</f>
        <v>MEM0605</v>
      </c>
      <c r="B606" t="str">
        <f ca="1">TRIM(Raw_Data!B606)</f>
        <v>Lakshmi Fernandes</v>
      </c>
      <c r="C606" t="str">
        <f ca="1">_xlfn.XLOOKUP(D606, Branch_Master!A:A, Branch_Master!B:B)</f>
        <v>Hyderabad</v>
      </c>
      <c r="D606" t="str">
        <f ca="1">TRIM(Raw_Data!D606)</f>
        <v>BR04</v>
      </c>
      <c r="E606" t="str">
        <f ca="1">PROPER(TRIM(Raw_Data!E606))</f>
        <v>Premium</v>
      </c>
      <c r="F606" s="2">
        <f>IFERROR(DATEVALUE(Raw_Data!F606), Raw_Data!F606)</f>
        <v>45155</v>
      </c>
      <c r="G606" s="2">
        <f>IFERROR(
    IF(
        IFERROR(DATEVALUE(Raw_Data!G606), Raw_Data!G606) &lt;
        IFERROR(DATEVALUE(Raw_Data!F606), Raw_Data!F606),
        IFERROR(DATEVALUE(Raw_Data!F606), Raw_Data!F606) + 30,
        IFERROR(DATEVALUE(Raw_Data!G606), Raw_Data!G606)
    ),
    ""
)</f>
        <v>45245</v>
      </c>
      <c r="H606">
        <f>IFERROR(VALUE(Raw_Data!H606), "")</f>
        <v>3500</v>
      </c>
      <c r="I606">
        <f ca="1">IFERROR(VALUE(Raw_Data!I606), "")</f>
        <v>42000</v>
      </c>
      <c r="J606">
        <f>IFERROR(
    VALUE(SUBSTITUTE(Raw_Data!J606," visits","")),
    ""
)</f>
        <v>25</v>
      </c>
      <c r="K606" t="str">
        <f ca="1">IF(TRIM(Raw_Data!K606)="","No",PROPER(TRIM(Raw_Data!K606)))</f>
        <v>Yes</v>
      </c>
      <c r="L606" t="str">
        <f ca="1">PROPER(TRIM(Raw_Data!L606))</f>
        <v>Muscle Gain</v>
      </c>
      <c r="M606" t="s">
        <v>151</v>
      </c>
      <c r="N606" s="2">
        <f>IFERROR(DATEVALUE(Raw_Data!N606), Raw_Data!N606)</f>
        <v>45237</v>
      </c>
      <c r="O606" s="2"/>
      <c r="P606" t="str">
        <f>IF(COUNTIF($A$2:A606,A606)&gt;1,"Duplicate","Unique")</f>
        <v>Unique</v>
      </c>
      <c r="Q606" t="str">
        <f t="shared" si="18"/>
        <v>OK</v>
      </c>
      <c r="R606" t="str">
        <f t="shared" si="19"/>
        <v>Available</v>
      </c>
    </row>
    <row r="607" spans="1:18">
      <c r="A607" t="str">
        <f>TRIM(CLEAN(Raw_Data!A607))</f>
        <v>MEM0606</v>
      </c>
      <c r="B607" t="str">
        <f ca="1">TRIM(Raw_Data!B607)</f>
        <v>Ankit Fernandes</v>
      </c>
      <c r="C607" t="str">
        <f ca="1">_xlfn.XLOOKUP(D607, Branch_Master!A:A, Branch_Master!B:B)</f>
        <v>Calicut</v>
      </c>
      <c r="D607" t="str">
        <f ca="1">TRIM(Raw_Data!D607)</f>
        <v>BR07</v>
      </c>
      <c r="E607" t="str">
        <f ca="1">PROPER(TRIM(Raw_Data!E607))</f>
        <v>Premium</v>
      </c>
      <c r="F607" s="2">
        <f>IFERROR(DATEVALUE(Raw_Data!F607), Raw_Data!F607)</f>
        <v>45251</v>
      </c>
      <c r="G607" s="2">
        <f>IFERROR(
    IF(
        IFERROR(DATEVALUE(Raw_Data!G607), Raw_Data!G607) &lt;
        IFERROR(DATEVALUE(Raw_Data!F607), Raw_Data!F607),
        IFERROR(DATEVALUE(Raw_Data!F607), Raw_Data!F607) + 30,
        IFERROR(DATEVALUE(Raw_Data!G607), Raw_Data!G607)
    ),
    ""
)</f>
        <v>45281</v>
      </c>
      <c r="H607">
        <f>IFERROR(VALUE(Raw_Data!H607), "")</f>
        <v>1000</v>
      </c>
      <c r="I607">
        <f ca="1">IFERROR(VALUE(Raw_Data!I607), "")</f>
        <v>5000</v>
      </c>
      <c r="J607">
        <f>IFERROR(
    VALUE(SUBSTITUTE(Raw_Data!J607," visits","")),
    ""
)</f>
        <v>20</v>
      </c>
      <c r="K607" t="str">
        <f ca="1">IF(TRIM(Raw_Data!K607)="","No",PROPER(TRIM(Raw_Data!K607)))</f>
        <v>No</v>
      </c>
      <c r="L607" t="str">
        <f ca="1">PROPER(TRIM(Raw_Data!L607))</f>
        <v>General Fitness</v>
      </c>
      <c r="M607" t="s">
        <v>151</v>
      </c>
      <c r="N607" s="2">
        <f>IFERROR(DATEVALUE(Raw_Data!N607), Raw_Data!N607)</f>
        <v>45642</v>
      </c>
      <c r="O607" s="2"/>
      <c r="P607" t="str">
        <f>IF(COUNTIF($A$2:A607,A607)&gt;1,"Duplicate","Unique")</f>
        <v>Unique</v>
      </c>
      <c r="Q607" t="str">
        <f t="shared" si="18"/>
        <v>OK</v>
      </c>
      <c r="R607" t="str">
        <f t="shared" si="19"/>
        <v>Available</v>
      </c>
    </row>
    <row r="608" spans="1:18">
      <c r="A608" t="str">
        <f>TRIM(CLEAN(Raw_Data!A608))</f>
        <v>MEM0607</v>
      </c>
      <c r="B608" t="str">
        <f ca="1">TRIM(Raw_Data!B608)</f>
        <v>Tanvi Singh</v>
      </c>
      <c r="C608" t="str">
        <f ca="1">_xlfn.XLOOKUP(D608, Branch_Master!A:A, Branch_Master!B:B)</f>
        <v>Bangalore</v>
      </c>
      <c r="D608" t="str">
        <f ca="1">TRIM(Raw_Data!D608)</f>
        <v>BR02</v>
      </c>
      <c r="E608" t="str">
        <f ca="1">PROPER(TRIM(Raw_Data!E608))</f>
        <v>Standard</v>
      </c>
      <c r="F608" s="2">
        <f>IFERROR(DATEVALUE(Raw_Data!F608), Raw_Data!F608)</f>
        <v>45720</v>
      </c>
      <c r="G608" s="2">
        <f>IFERROR(
    IF(
        IFERROR(DATEVALUE(Raw_Data!G608), Raw_Data!G608) &lt;
        IFERROR(DATEVALUE(Raw_Data!F608), Raw_Data!F608),
        IFERROR(DATEVALUE(Raw_Data!F608), Raw_Data!F608) + 30,
        IFERROR(DATEVALUE(Raw_Data!G608), Raw_Data!G608)
    ),
    ""
)</f>
        <v>46085</v>
      </c>
      <c r="H608">
        <f>IFERROR(VALUE(Raw_Data!H608), "")</f>
        <v>2000</v>
      </c>
      <c r="I608">
        <f ca="1">IFERROR(VALUE(Raw_Data!I608), "")</f>
        <v>20000</v>
      </c>
      <c r="J608">
        <f>IFERROR(
    VALUE(SUBSTITUTE(Raw_Data!J608," visits","")),
    ""
)</f>
        <v>16</v>
      </c>
      <c r="K608" t="str">
        <f ca="1">IF(TRIM(Raw_Data!K608)="","No",PROPER(TRIM(Raw_Data!K608)))</f>
        <v>No</v>
      </c>
      <c r="L608" t="str">
        <f ca="1">PROPER(TRIM(Raw_Data!L608))</f>
        <v>Muscle Gain</v>
      </c>
      <c r="M608" t="s">
        <v>151</v>
      </c>
      <c r="N608" s="2">
        <f>IFERROR(DATEVALUE(Raw_Data!N608), Raw_Data!N608)</f>
        <v>46065</v>
      </c>
      <c r="O608" s="2"/>
      <c r="P608" t="str">
        <f>IF(COUNTIF($A$2:A608,A608)&gt;1,"Duplicate","Unique")</f>
        <v>Unique</v>
      </c>
      <c r="Q608" t="str">
        <f t="shared" si="18"/>
        <v>OK</v>
      </c>
      <c r="R608" t="str">
        <f t="shared" si="19"/>
        <v>Available</v>
      </c>
    </row>
    <row r="609" spans="1:18">
      <c r="A609" t="str">
        <f>TRIM(CLEAN(Raw_Data!A609))</f>
        <v>MEM0608</v>
      </c>
      <c r="B609" t="str">
        <f ca="1">TRIM(Raw_Data!B609)</f>
        <v>Kavya Kulkarni</v>
      </c>
      <c r="C609" t="str">
        <f ca="1">_xlfn.XLOOKUP(D609, Branch_Master!A:A, Branch_Master!B:B)</f>
        <v>Bangalore</v>
      </c>
      <c r="D609" t="str">
        <f ca="1">TRIM(Raw_Data!D609)</f>
        <v>BR02</v>
      </c>
      <c r="E609" t="str">
        <f ca="1">PROPER(TRIM(Raw_Data!E609))</f>
        <v>Basic</v>
      </c>
      <c r="F609" s="2">
        <f>IFERROR(DATEVALUE(Raw_Data!F609), Raw_Data!F609)</f>
        <v>45189</v>
      </c>
      <c r="G609" s="2">
        <f>IFERROR(
    IF(
        IFERROR(DATEVALUE(Raw_Data!G609), Raw_Data!G609) &lt;
        IFERROR(DATEVALUE(Raw_Data!F609), Raw_Data!F609),
        IFERROR(DATEVALUE(Raw_Data!F609), Raw_Data!F609) + 30,
        IFERROR(DATEVALUE(Raw_Data!G609), Raw_Data!G609)
    ),
    ""
)</f>
        <v>45279</v>
      </c>
      <c r="H609">
        <f>IFERROR(VALUE(Raw_Data!H609), "")</f>
        <v>3500</v>
      </c>
      <c r="I609">
        <f ca="1">IFERROR(VALUE(Raw_Data!I609), "")</f>
        <v>28000</v>
      </c>
      <c r="J609">
        <f>IFERROR(
    VALUE(SUBSTITUTE(Raw_Data!J609," visits","")),
    ""
)</f>
        <v>19</v>
      </c>
      <c r="K609" t="str">
        <f ca="1">IF(TRIM(Raw_Data!K609)="","No",PROPER(TRIM(Raw_Data!K609)))</f>
        <v>No</v>
      </c>
      <c r="L609" t="str">
        <f ca="1">PROPER(TRIM(Raw_Data!L609))</f>
        <v>Weight Loss</v>
      </c>
      <c r="M609" t="s">
        <v>151</v>
      </c>
      <c r="N609" s="2">
        <f>IFERROR(DATEVALUE(Raw_Data!N609), Raw_Data!N609)</f>
        <v>45273</v>
      </c>
      <c r="O609" s="2"/>
      <c r="P609" t="str">
        <f>IF(COUNTIF($A$2:A609,A609)&gt;1,"Duplicate","Unique")</f>
        <v>Unique</v>
      </c>
      <c r="Q609" t="str">
        <f t="shared" si="18"/>
        <v>OK</v>
      </c>
      <c r="R609" t="str">
        <f t="shared" si="19"/>
        <v>Available</v>
      </c>
    </row>
    <row r="610" spans="1:18">
      <c r="A610" t="str">
        <f>TRIM(CLEAN(Raw_Data!A610))</f>
        <v>MEM0609</v>
      </c>
      <c r="B610" t="str">
        <f ca="1">TRIM(Raw_Data!B610)</f>
        <v>Nisha Bhat</v>
      </c>
      <c r="C610" t="str">
        <f ca="1">_xlfn.XLOOKUP(D610, Branch_Master!A:A, Branch_Master!B:B)</f>
        <v>Calicut</v>
      </c>
      <c r="D610" t="str">
        <f ca="1">TRIM(Raw_Data!D610)</f>
        <v>BR07</v>
      </c>
      <c r="E610" t="str">
        <f ca="1">PROPER(TRIM(Raw_Data!E610))</f>
        <v>Premium</v>
      </c>
      <c r="F610" s="2">
        <f>IFERROR(DATEVALUE(Raw_Data!F610), Raw_Data!F610)</f>
        <v>46041</v>
      </c>
      <c r="G610" s="2">
        <f>IFERROR(
    IF(
        IFERROR(DATEVALUE(Raw_Data!G610), Raw_Data!G610) &lt;
        IFERROR(DATEVALUE(Raw_Data!F610), Raw_Data!F610),
        IFERROR(DATEVALUE(Raw_Data!F610), Raw_Data!F610) + 30,
        IFERROR(DATEVALUE(Raw_Data!G610), Raw_Data!G610)
    ),
    ""
)</f>
        <v>46071</v>
      </c>
      <c r="H610">
        <f>IFERROR(VALUE(Raw_Data!H610), "")</f>
        <v>3500</v>
      </c>
      <c r="I610">
        <f ca="1">IFERROR(VALUE(Raw_Data!I610), "")</f>
        <v>7000</v>
      </c>
      <c r="J610">
        <f>IFERROR(
    VALUE(SUBSTITUTE(Raw_Data!J610," visits","")),
    ""
)</f>
        <v>20</v>
      </c>
      <c r="K610" t="str">
        <f ca="1">IF(TRIM(Raw_Data!K610)="","No",PROPER(TRIM(Raw_Data!K610)))</f>
        <v>No</v>
      </c>
      <c r="L610" t="str">
        <f ca="1">PROPER(TRIM(Raw_Data!L610))</f>
        <v>Weight Loss</v>
      </c>
      <c r="M610" t="s">
        <v>151</v>
      </c>
      <c r="N610" s="2">
        <f>IFERROR(DATEVALUE(Raw_Data!N610), Raw_Data!N610)</f>
        <v>46082</v>
      </c>
      <c r="O610" s="2"/>
      <c r="P610" t="str">
        <f>IF(COUNTIF($A$2:A610,A610)&gt;1,"Duplicate","Unique")</f>
        <v>Unique</v>
      </c>
      <c r="Q610" t="str">
        <f t="shared" si="18"/>
        <v>OK</v>
      </c>
      <c r="R610" t="str">
        <f t="shared" si="19"/>
        <v>Available</v>
      </c>
    </row>
    <row r="611" spans="1:18">
      <c r="A611" t="str">
        <f>TRIM(CLEAN(Raw_Data!A611))</f>
        <v>MEM0610</v>
      </c>
      <c r="B611" t="str">
        <f ca="1">TRIM(Raw_Data!B611)</f>
        <v>Aditya Joshi</v>
      </c>
      <c r="C611" t="str">
        <f ca="1">_xlfn.XLOOKUP(D611, Branch_Master!A:A, Branch_Master!B:B)</f>
        <v>Calicut</v>
      </c>
      <c r="D611" t="str">
        <f ca="1">TRIM(Raw_Data!D611)</f>
        <v>BR07</v>
      </c>
      <c r="E611" t="str">
        <f ca="1">PROPER(TRIM(Raw_Data!E611))</f>
        <v>Basic</v>
      </c>
      <c r="F611" s="2">
        <f>IFERROR(DATEVALUE(Raw_Data!F611), Raw_Data!F611)</f>
        <v>45629</v>
      </c>
      <c r="G611" s="2">
        <f>IFERROR(
    IF(
        IFERROR(DATEVALUE(Raw_Data!G611), Raw_Data!G611) &lt;
        IFERROR(DATEVALUE(Raw_Data!F611), Raw_Data!F611),
        IFERROR(DATEVALUE(Raw_Data!F611), Raw_Data!F611) + 30,
        IFERROR(DATEVALUE(Raw_Data!G611), Raw_Data!G611)
    ),
    ""
)</f>
        <v>45659</v>
      </c>
      <c r="H611">
        <f>IFERROR(VALUE(Raw_Data!H611), "")</f>
        <v>2000</v>
      </c>
      <c r="I611">
        <f ca="1">IFERROR(VALUE(Raw_Data!I611), "")</f>
        <v>10000</v>
      </c>
      <c r="J611">
        <f>IFERROR(
    VALUE(SUBSTITUTE(Raw_Data!J611," visits","")),
    ""
)</f>
        <v>1</v>
      </c>
      <c r="K611" t="str">
        <f ca="1">IF(TRIM(Raw_Data!K611)="","No",PROPER(TRIM(Raw_Data!K611)))</f>
        <v>No</v>
      </c>
      <c r="L611" t="str">
        <f ca="1">PROPER(TRIM(Raw_Data!L611))</f>
        <v>Weight Loss</v>
      </c>
      <c r="M611" t="s">
        <v>152</v>
      </c>
      <c r="N611" s="2">
        <f>IFERROR(DATEVALUE(Raw_Data!N611), Raw_Data!N611)</f>
        <v>45664</v>
      </c>
      <c r="O611" s="2"/>
      <c r="P611" t="str">
        <f>IF(COUNTIF($A$2:A611,A611)&gt;1,"Duplicate","Unique")</f>
        <v>Unique</v>
      </c>
      <c r="Q611" t="str">
        <f t="shared" si="18"/>
        <v>Cancelled but Active</v>
      </c>
      <c r="R611" t="str">
        <f t="shared" si="19"/>
        <v>Available</v>
      </c>
    </row>
    <row r="612" spans="1:18">
      <c r="A612" t="str">
        <f>TRIM(CLEAN(Raw_Data!A612))</f>
        <v>MEM0611</v>
      </c>
      <c r="B612" t="str">
        <f ca="1">TRIM(Raw_Data!B612)</f>
        <v>Fatima Das</v>
      </c>
      <c r="C612" t="str">
        <f ca="1">_xlfn.XLOOKUP(D612, Branch_Master!A:A, Branch_Master!B:B)</f>
        <v>Chennai</v>
      </c>
      <c r="D612" t="str">
        <f ca="1">TRIM(Raw_Data!D612)</f>
        <v>BR03</v>
      </c>
      <c r="E612" t="str">
        <f ca="1">PROPER(TRIM(Raw_Data!E612))</f>
        <v>Standard</v>
      </c>
      <c r="F612" s="2">
        <f>IFERROR(DATEVALUE(Raw_Data!F612), Raw_Data!F612)</f>
        <v>45927</v>
      </c>
      <c r="G612" s="2">
        <f>IFERROR(
    IF(
        IFERROR(DATEVALUE(Raw_Data!G612), Raw_Data!G612) &lt;
        IFERROR(DATEVALUE(Raw_Data!F612), Raw_Data!F612),
        IFERROR(DATEVALUE(Raw_Data!F612), Raw_Data!F612) + 30,
        IFERROR(DATEVALUE(Raw_Data!G612), Raw_Data!G612)
    ),
    ""
)</f>
        <v>45957</v>
      </c>
      <c r="H612">
        <f>IFERROR(VALUE(Raw_Data!H612), "")</f>
        <v>3500</v>
      </c>
      <c r="I612">
        <f ca="1">IFERROR(VALUE(Raw_Data!I612), "")</f>
        <v>7000</v>
      </c>
      <c r="J612">
        <f>IFERROR(
    VALUE(SUBSTITUTE(Raw_Data!J612," visits","")),
    ""
)</f>
        <v>12</v>
      </c>
      <c r="K612" t="str">
        <f ca="1">IF(TRIM(Raw_Data!K612)="","No",PROPER(TRIM(Raw_Data!K612)))</f>
        <v>Yes</v>
      </c>
      <c r="L612" t="str">
        <f ca="1">PROPER(TRIM(Raw_Data!L612))</f>
        <v>Weight Loss</v>
      </c>
      <c r="M612" t="s">
        <v>151</v>
      </c>
      <c r="N612" s="2">
        <f>IFERROR(DATEVALUE(Raw_Data!N612), Raw_Data!N612)</f>
        <v>46061</v>
      </c>
      <c r="O612" s="2"/>
      <c r="P612" t="str">
        <f>IF(COUNTIF($A$2:A612,A612)&gt;1,"Duplicate","Unique")</f>
        <v>Unique</v>
      </c>
      <c r="Q612" t="str">
        <f t="shared" si="18"/>
        <v>OK</v>
      </c>
      <c r="R612" t="str">
        <f t="shared" si="19"/>
        <v>Available</v>
      </c>
    </row>
    <row r="613" spans="1:18">
      <c r="A613" t="str">
        <f>TRIM(CLEAN(Raw_Data!A613))</f>
        <v>MEM0612</v>
      </c>
      <c r="B613" t="str">
        <f ca="1">TRIM(Raw_Data!B613)</f>
        <v>Priya Shaikh</v>
      </c>
      <c r="C613" t="str">
        <f ca="1">_xlfn.XLOOKUP(D613, Branch_Master!A:A, Branch_Master!B:B)</f>
        <v>Mumbai</v>
      </c>
      <c r="D613" t="str">
        <f ca="1">TRIM(Raw_Data!D613)</f>
        <v>BR05</v>
      </c>
      <c r="E613" t="str">
        <f ca="1">PROPER(TRIM(Raw_Data!E613))</f>
        <v>Basic</v>
      </c>
      <c r="F613" s="2">
        <f>IFERROR(DATEVALUE(Raw_Data!F613), Raw_Data!F613)</f>
        <v>45437</v>
      </c>
      <c r="G613" s="2">
        <f>IFERROR(
    IF(
        IFERROR(DATEVALUE(Raw_Data!G613), Raw_Data!G613) &lt;
        IFERROR(DATEVALUE(Raw_Data!F613), Raw_Data!F613),
        IFERROR(DATEVALUE(Raw_Data!F613), Raw_Data!F613) + 30,
        IFERROR(DATEVALUE(Raw_Data!G613), Raw_Data!G613)
    ),
    ""
)</f>
        <v>45467</v>
      </c>
      <c r="H613">
        <f>IFERROR(VALUE(Raw_Data!H613), "")</f>
        <v>2000</v>
      </c>
      <c r="I613">
        <f ca="1">IFERROR(VALUE(Raw_Data!I613), "")</f>
        <v>20000</v>
      </c>
      <c r="J613">
        <f>IFERROR(
    VALUE(SUBSTITUTE(Raw_Data!J613," visits","")),
    ""
)</f>
        <v>1</v>
      </c>
      <c r="K613" t="str">
        <f ca="1">IF(TRIM(Raw_Data!K613)="","No",PROPER(TRIM(Raw_Data!K613)))</f>
        <v>Yes</v>
      </c>
      <c r="L613" t="str">
        <f ca="1">PROPER(TRIM(Raw_Data!L613))</f>
        <v>Muscle Gain</v>
      </c>
      <c r="M613" t="s">
        <v>151</v>
      </c>
      <c r="N613" s="2">
        <f>IFERROR(DATEVALUE(Raw_Data!N613), Raw_Data!N613)</f>
        <v>45457</v>
      </c>
      <c r="O613" s="2"/>
      <c r="P613" t="str">
        <f>IF(COUNTIF($A$2:A613,A613)&gt;1,"Duplicate","Unique")</f>
        <v>Unique</v>
      </c>
      <c r="Q613" t="str">
        <f t="shared" si="18"/>
        <v>OK</v>
      </c>
      <c r="R613" t="str">
        <f t="shared" si="19"/>
        <v>Available</v>
      </c>
    </row>
    <row r="614" spans="1:18">
      <c r="A614" t="str">
        <f>TRIM(CLEAN(Raw_Data!A614))</f>
        <v>MEM0613</v>
      </c>
      <c r="B614" t="str">
        <f ca="1">TRIM(Raw_Data!B614)</f>
        <v>Varun Thomas</v>
      </c>
      <c r="C614" t="str">
        <f ca="1">_xlfn.XLOOKUP(D614, Branch_Master!A:A, Branch_Master!B:B)</f>
        <v>Trivandrum</v>
      </c>
      <c r="D614" t="str">
        <f ca="1">TRIM(Raw_Data!D614)</f>
        <v>BR06</v>
      </c>
      <c r="E614" t="str">
        <f ca="1">PROPER(TRIM(Raw_Data!E614))</f>
        <v>Standard</v>
      </c>
      <c r="F614" s="2">
        <f>IFERROR(DATEVALUE(Raw_Data!F614), Raw_Data!F614)</f>
        <v>45253</v>
      </c>
      <c r="G614" s="2">
        <f>IFERROR(
    IF(
        IFERROR(DATEVALUE(Raw_Data!G614), Raw_Data!G614) &lt;
        IFERROR(DATEVALUE(Raw_Data!F614), Raw_Data!F614),
        IFERROR(DATEVALUE(Raw_Data!F614), Raw_Data!F614) + 30,
        IFERROR(DATEVALUE(Raw_Data!G614), Raw_Data!G614)
    ),
    ""
)</f>
        <v>45343</v>
      </c>
      <c r="H614">
        <f>IFERROR(VALUE(Raw_Data!H614), "")</f>
        <v>2000</v>
      </c>
      <c r="I614">
        <f ca="1">IFERROR(VALUE(Raw_Data!I614), "")</f>
        <v>4000</v>
      </c>
      <c r="J614">
        <f>IFERROR(
    VALUE(SUBSTITUTE(Raw_Data!J614," visits","")),
    ""
)</f>
        <v>12</v>
      </c>
      <c r="K614" t="str">
        <f ca="1">IF(TRIM(Raw_Data!K614)="","No",PROPER(TRIM(Raw_Data!K614)))</f>
        <v>Yes</v>
      </c>
      <c r="L614" t="str">
        <f ca="1">PROPER(TRIM(Raw_Data!L614))</f>
        <v>Muscle Gain</v>
      </c>
      <c r="M614" t="s">
        <v>151</v>
      </c>
      <c r="N614" s="2">
        <f>IFERROR(DATEVALUE(Raw_Data!N614), Raw_Data!N614)</f>
        <v>46071</v>
      </c>
      <c r="O614" s="2"/>
      <c r="P614" t="str">
        <f>IF(COUNTIF($A$2:A614,A614)&gt;1,"Duplicate","Unique")</f>
        <v>Unique</v>
      </c>
      <c r="Q614" t="str">
        <f t="shared" si="18"/>
        <v>OK</v>
      </c>
      <c r="R614" t="str">
        <f t="shared" si="19"/>
        <v>Available</v>
      </c>
    </row>
    <row r="615" spans="1:18">
      <c r="A615" t="str">
        <f>TRIM(CLEAN(Raw_Data!A615))</f>
        <v>MEM0614</v>
      </c>
      <c r="B615" t="str">
        <f ca="1">TRIM(Raw_Data!B615)</f>
        <v>Swathi Khan</v>
      </c>
      <c r="C615" t="str">
        <f ca="1">_xlfn.XLOOKUP(D615, Branch_Master!A:A, Branch_Master!B:B)</f>
        <v>Kochi</v>
      </c>
      <c r="D615" t="str">
        <f ca="1">TRIM(Raw_Data!D615)</f>
        <v>BR01</v>
      </c>
      <c r="E615" t="str">
        <f ca="1">PROPER(TRIM(Raw_Data!E615))</f>
        <v>Premium</v>
      </c>
      <c r="F615" s="2">
        <f>IFERROR(DATEVALUE(Raw_Data!F615), Raw_Data!F615)</f>
        <v>46031</v>
      </c>
      <c r="G615" s="2">
        <f>IFERROR(
    IF(
        IFERROR(DATEVALUE(Raw_Data!G615), Raw_Data!G615) &lt;
        IFERROR(DATEVALUE(Raw_Data!F615), Raw_Data!F615),
        IFERROR(DATEVALUE(Raw_Data!F615), Raw_Data!F615) + 30,
        IFERROR(DATEVALUE(Raw_Data!G615), Raw_Data!G615)
    ),
    ""
)</f>
        <v>46121</v>
      </c>
      <c r="H615">
        <f>IFERROR(VALUE(Raw_Data!H615), "")</f>
        <v>3500</v>
      </c>
      <c r="I615">
        <f ca="1">IFERROR(VALUE(Raw_Data!I615), "")</f>
        <v>24500</v>
      </c>
      <c r="J615">
        <f>IFERROR(
    VALUE(SUBSTITUTE(Raw_Data!J615," visits","")),
    ""
)</f>
        <v>15</v>
      </c>
      <c r="K615" t="str">
        <f ca="1">IF(TRIM(Raw_Data!K615)="","No",PROPER(TRIM(Raw_Data!K615)))</f>
        <v>No</v>
      </c>
      <c r="L615" t="str">
        <f ca="1">PROPER(TRIM(Raw_Data!L615))</f>
        <v>Weight Loss</v>
      </c>
      <c r="M615" t="s">
        <v>151</v>
      </c>
      <c r="N615" s="2">
        <f>IFERROR(DATEVALUE(Raw_Data!N615), Raw_Data!N615)</f>
        <v>46077</v>
      </c>
      <c r="O615" s="2"/>
      <c r="P615" t="str">
        <f>IF(COUNTIF($A$2:A615,A615)&gt;1,"Duplicate","Unique")</f>
        <v>Unique</v>
      </c>
      <c r="Q615" t="str">
        <f t="shared" si="18"/>
        <v>OK</v>
      </c>
      <c r="R615" t="str">
        <f t="shared" si="19"/>
        <v>Available</v>
      </c>
    </row>
    <row r="616" spans="1:18">
      <c r="A616" t="str">
        <f>TRIM(CLEAN(Raw_Data!A616))</f>
        <v>MEM0615</v>
      </c>
      <c r="B616" t="str">
        <f ca="1">TRIM(Raw_Data!B616)</f>
        <v>Aditya Lewis</v>
      </c>
      <c r="C616" t="str">
        <f ca="1">_xlfn.XLOOKUP(D616, Branch_Master!A:A, Branch_Master!B:B)</f>
        <v>Kochi</v>
      </c>
      <c r="D616" t="str">
        <f ca="1">TRIM(Raw_Data!D616)</f>
        <v>BR01</v>
      </c>
      <c r="E616" t="str">
        <f ca="1">PROPER(TRIM(Raw_Data!E616))</f>
        <v>Standard</v>
      </c>
      <c r="F616" s="2">
        <f>IFERROR(DATEVALUE(Raw_Data!F616), Raw_Data!F616)</f>
        <v>45319</v>
      </c>
      <c r="G616" s="2">
        <f>IFERROR(
    IF(
        IFERROR(DATEVALUE(Raw_Data!G616), Raw_Data!G616) &lt;
        IFERROR(DATEVALUE(Raw_Data!F616), Raw_Data!F616),
        IFERROR(DATEVALUE(Raw_Data!F616), Raw_Data!F616) + 30,
        IFERROR(DATEVALUE(Raw_Data!G616), Raw_Data!G616)
    ),
    ""
)</f>
        <v>45684</v>
      </c>
      <c r="H616">
        <f>IFERROR(VALUE(Raw_Data!H616), "")</f>
        <v>3500</v>
      </c>
      <c r="I616">
        <f ca="1">IFERROR(VALUE(Raw_Data!I616), "")</f>
        <v>21000</v>
      </c>
      <c r="J616">
        <f>IFERROR(
    VALUE(SUBSTITUTE(Raw_Data!J616," visits","")),
    ""
)</f>
        <v>13</v>
      </c>
      <c r="K616" t="str">
        <f ca="1">IF(TRIM(Raw_Data!K616)="","No",PROPER(TRIM(Raw_Data!K616)))</f>
        <v>Yes</v>
      </c>
      <c r="L616" t="str">
        <f ca="1">PROPER(TRIM(Raw_Data!L616))</f>
        <v>Weight Loss</v>
      </c>
      <c r="M616" t="s">
        <v>152</v>
      </c>
      <c r="N616" s="2">
        <f>IFERROR(DATEVALUE(Raw_Data!N616), Raw_Data!N616)</f>
        <v>45628</v>
      </c>
      <c r="O616" s="2"/>
      <c r="P616" t="str">
        <f>IF(COUNTIF($A$2:A616,A616)&gt;1,"Duplicate","Unique")</f>
        <v>Unique</v>
      </c>
      <c r="Q616" t="str">
        <f t="shared" si="18"/>
        <v>Cancelled but Active</v>
      </c>
      <c r="R616" t="str">
        <f t="shared" si="19"/>
        <v>Available</v>
      </c>
    </row>
    <row r="617" spans="1:18">
      <c r="A617" t="str">
        <f>TRIM(CLEAN(Raw_Data!A617))</f>
        <v>MEM0616</v>
      </c>
      <c r="B617" t="str">
        <f ca="1">TRIM(Raw_Data!B617)</f>
        <v>Ayesha Sharma</v>
      </c>
      <c r="C617" t="str">
        <f ca="1">_xlfn.XLOOKUP(D617, Branch_Master!A:A, Branch_Master!B:B)</f>
        <v>Bangalore</v>
      </c>
      <c r="D617" t="str">
        <f ca="1">TRIM(Raw_Data!D617)</f>
        <v>BR02</v>
      </c>
      <c r="E617" t="str">
        <f ca="1">PROPER(TRIM(Raw_Data!E617))</f>
        <v>Standard</v>
      </c>
      <c r="F617" s="2">
        <f>IFERROR(DATEVALUE(Raw_Data!F617), Raw_Data!F617)</f>
        <v>45528</v>
      </c>
      <c r="G617" s="2">
        <f>IFERROR(
    IF(
        IFERROR(DATEVALUE(Raw_Data!G617), Raw_Data!G617) &lt;
        IFERROR(DATEVALUE(Raw_Data!F617), Raw_Data!F617),
        IFERROR(DATEVALUE(Raw_Data!F617), Raw_Data!F617) + 30,
        IFERROR(DATEVALUE(Raw_Data!G617), Raw_Data!G617)
    ),
    ""
)</f>
        <v>45558</v>
      </c>
      <c r="H617">
        <f>IFERROR(VALUE(Raw_Data!H617), "")</f>
        <v>1000</v>
      </c>
      <c r="I617">
        <f ca="1">IFERROR(VALUE(Raw_Data!I617), "")</f>
        <v>8000</v>
      </c>
      <c r="J617">
        <f>IFERROR(
    VALUE(SUBSTITUTE(Raw_Data!J617," visits","")),
    ""
)</f>
        <v>0</v>
      </c>
      <c r="K617" t="str">
        <f ca="1">IF(TRIM(Raw_Data!K617)="","No",PROPER(TRIM(Raw_Data!K617)))</f>
        <v>No</v>
      </c>
      <c r="L617" t="str">
        <f ca="1">PROPER(TRIM(Raw_Data!L617))</f>
        <v>Weight Loss</v>
      </c>
      <c r="M617" t="s">
        <v>152</v>
      </c>
      <c r="N617" s="2">
        <f>IFERROR(DATEVALUE(Raw_Data!N617), Raw_Data!N617)</f>
        <v>45559</v>
      </c>
      <c r="O617" s="2"/>
      <c r="P617" t="str">
        <f>IF(COUNTIF($A$2:A617,A617)&gt;1,"Duplicate","Unique")</f>
        <v>Unique</v>
      </c>
      <c r="Q617" t="str">
        <f t="shared" si="18"/>
        <v>Cancelled but Active</v>
      </c>
      <c r="R617" t="str">
        <f t="shared" si="19"/>
        <v>Available</v>
      </c>
    </row>
    <row r="618" spans="1:18">
      <c r="A618" t="str">
        <f>TRIM(CLEAN(Raw_Data!A618))</f>
        <v>MEM0617</v>
      </c>
      <c r="B618" t="str">
        <f ca="1">TRIM(Raw_Data!B618)</f>
        <v>Ishita Shetty</v>
      </c>
      <c r="C618" t="str">
        <f ca="1">_xlfn.XLOOKUP(D618, Branch_Master!A:A, Branch_Master!B:B)</f>
        <v>Bangalore</v>
      </c>
      <c r="D618" t="str">
        <f ca="1">TRIM(Raw_Data!D618)</f>
        <v>BR02</v>
      </c>
      <c r="E618" t="str">
        <f ca="1">PROPER(TRIM(Raw_Data!E618))</f>
        <v>Basic</v>
      </c>
      <c r="F618" s="2">
        <f>IFERROR(DATEVALUE(Raw_Data!F618), Raw_Data!F618)</f>
        <v>45248</v>
      </c>
      <c r="G618" s="2">
        <f>IFERROR(
    IF(
        IFERROR(DATEVALUE(Raw_Data!G618), Raw_Data!G618) &lt;
        IFERROR(DATEVALUE(Raw_Data!F618), Raw_Data!F618),
        IFERROR(DATEVALUE(Raw_Data!F618), Raw_Data!F618) + 30,
        IFERROR(DATEVALUE(Raw_Data!G618), Raw_Data!G618)
    ),
    ""
)</f>
        <v>45278</v>
      </c>
      <c r="H618">
        <f>IFERROR(VALUE(Raw_Data!H618), "")</f>
        <v>2000</v>
      </c>
      <c r="I618">
        <f ca="1">IFERROR(VALUE(Raw_Data!I618), "")</f>
        <v>16000</v>
      </c>
      <c r="J618">
        <f>IFERROR(
    VALUE(SUBSTITUTE(Raw_Data!J618," visits","")),
    ""
)</f>
        <v>24</v>
      </c>
      <c r="K618" t="str">
        <f ca="1">IF(TRIM(Raw_Data!K618)="","No",PROPER(TRIM(Raw_Data!K618)))</f>
        <v>No</v>
      </c>
      <c r="L618" t="str">
        <f ca="1">PROPER(TRIM(Raw_Data!L618))</f>
        <v>General Fitness</v>
      </c>
      <c r="M618" t="s">
        <v>152</v>
      </c>
      <c r="N618" s="2">
        <f>IFERROR(DATEVALUE(Raw_Data!N618), Raw_Data!N618)</f>
        <v>45304</v>
      </c>
      <c r="O618" s="2"/>
      <c r="P618" t="str">
        <f>IF(COUNTIF($A$2:A618,A618)&gt;1,"Duplicate","Unique")</f>
        <v>Unique</v>
      </c>
      <c r="Q618" t="str">
        <f t="shared" si="18"/>
        <v>Cancelled but Active</v>
      </c>
      <c r="R618" t="str">
        <f t="shared" si="19"/>
        <v>Available</v>
      </c>
    </row>
    <row r="619" spans="1:18">
      <c r="A619" t="str">
        <f>TRIM(CLEAN(Raw_Data!A619))</f>
        <v>MEM0618</v>
      </c>
      <c r="B619" t="str">
        <f ca="1">TRIM(Raw_Data!B619)</f>
        <v>Zara Banerjee</v>
      </c>
      <c r="C619" t="str">
        <f ca="1">_xlfn.XLOOKUP(D619, Branch_Master!A:A, Branch_Master!B:B)</f>
        <v>Chennai</v>
      </c>
      <c r="D619" t="str">
        <f ca="1">TRIM(Raw_Data!D619)</f>
        <v>BR03</v>
      </c>
      <c r="E619" t="str">
        <f ca="1">PROPER(TRIM(Raw_Data!E619))</f>
        <v>Basic</v>
      </c>
      <c r="F619" s="2">
        <f>IFERROR(DATEVALUE(Raw_Data!F619), Raw_Data!F619)</f>
        <v>45843</v>
      </c>
      <c r="G619" s="2">
        <f>IFERROR(
    IF(
        IFERROR(DATEVALUE(Raw_Data!G619), Raw_Data!G619) &lt;
        IFERROR(DATEVALUE(Raw_Data!F619), Raw_Data!F619),
        IFERROR(DATEVALUE(Raw_Data!F619), Raw_Data!F619) + 30,
        IFERROR(DATEVALUE(Raw_Data!G619), Raw_Data!G619)
    ),
    ""
)</f>
        <v>46208</v>
      </c>
      <c r="H619">
        <f>IFERROR(VALUE(Raw_Data!H619), "")</f>
        <v>1000</v>
      </c>
      <c r="I619">
        <f ca="1">IFERROR(VALUE(Raw_Data!I619), "")</f>
        <v>1000</v>
      </c>
      <c r="J619">
        <f>IFERROR(
    VALUE(SUBSTITUTE(Raw_Data!J619," visits","")),
    ""
)</f>
        <v>9</v>
      </c>
      <c r="K619" t="str">
        <f ca="1">IF(TRIM(Raw_Data!K619)="","No",PROPER(TRIM(Raw_Data!K619)))</f>
        <v>No</v>
      </c>
      <c r="L619" t="str">
        <f ca="1">PROPER(TRIM(Raw_Data!L619))</f>
        <v>General Fitness</v>
      </c>
      <c r="M619" t="s">
        <v>151</v>
      </c>
      <c r="N619" s="2">
        <f>IFERROR(DATEVALUE(Raw_Data!N619), Raw_Data!N619)</f>
        <v>45943</v>
      </c>
      <c r="O619" s="2"/>
      <c r="P619" t="str">
        <f>IF(COUNTIF($A$2:A619,A619)&gt;1,"Duplicate","Unique")</f>
        <v>Unique</v>
      </c>
      <c r="Q619" t="str">
        <f t="shared" si="18"/>
        <v>OK</v>
      </c>
      <c r="R619" t="str">
        <f t="shared" si="19"/>
        <v>Available</v>
      </c>
    </row>
    <row r="620" spans="1:18">
      <c r="A620" t="str">
        <f>TRIM(CLEAN(Raw_Data!A620))</f>
        <v>MEM0619</v>
      </c>
      <c r="B620" t="str">
        <f ca="1">TRIM(Raw_Data!B620)</f>
        <v>Varun Das</v>
      </c>
      <c r="C620" t="str">
        <f ca="1">_xlfn.XLOOKUP(D620, Branch_Master!A:A, Branch_Master!B:B)</f>
        <v>Bangalore</v>
      </c>
      <c r="D620" t="str">
        <f ca="1">TRIM(Raw_Data!D620)</f>
        <v>BR02</v>
      </c>
      <c r="E620" t="str">
        <f ca="1">PROPER(TRIM(Raw_Data!E620))</f>
        <v>Premium</v>
      </c>
      <c r="F620" s="2">
        <f>IFERROR(DATEVALUE(Raw_Data!F620), Raw_Data!F620)</f>
        <v>44937</v>
      </c>
      <c r="G620" s="2">
        <f>IFERROR(
    IF(
        IFERROR(DATEVALUE(Raw_Data!G620), Raw_Data!G620) &lt;
        IFERROR(DATEVALUE(Raw_Data!F620), Raw_Data!F620),
        IFERROR(DATEVALUE(Raw_Data!F620), Raw_Data!F620) + 30,
        IFERROR(DATEVALUE(Raw_Data!G620), Raw_Data!G620)
    ),
    ""
)</f>
        <v>45027</v>
      </c>
      <c r="H620">
        <f>IFERROR(VALUE(Raw_Data!H620), "")</f>
        <v>1000</v>
      </c>
      <c r="I620">
        <f ca="1">IFERROR(VALUE(Raw_Data!I620), "")</f>
        <v>4000</v>
      </c>
      <c r="J620">
        <f>IFERROR(
    VALUE(SUBSTITUTE(Raw_Data!J620," visits","")),
    ""
)</f>
        <v>15</v>
      </c>
      <c r="K620" t="str">
        <f ca="1">IF(TRIM(Raw_Data!K620)="","No",PROPER(TRIM(Raw_Data!K620)))</f>
        <v>No</v>
      </c>
      <c r="L620" t="str">
        <f ca="1">PROPER(TRIM(Raw_Data!L620))</f>
        <v>Weight Loss</v>
      </c>
      <c r="M620" t="s">
        <v>151</v>
      </c>
      <c r="N620" s="2">
        <f>IFERROR(DATEVALUE(Raw_Data!N620), Raw_Data!N620)</f>
        <v>45792</v>
      </c>
      <c r="O620" s="2"/>
      <c r="P620" t="str">
        <f>IF(COUNTIF($A$2:A620,A620)&gt;1,"Duplicate","Unique")</f>
        <v>Unique</v>
      </c>
      <c r="Q620" t="str">
        <f t="shared" si="18"/>
        <v>OK</v>
      </c>
      <c r="R620" t="str">
        <f t="shared" si="19"/>
        <v>Available</v>
      </c>
    </row>
    <row r="621" spans="1:18">
      <c r="A621" t="str">
        <f>TRIM(CLEAN(Raw_Data!A621))</f>
        <v>MEM0620</v>
      </c>
      <c r="B621" t="str">
        <f ca="1">TRIM(Raw_Data!B621)</f>
        <v>Akash Yadav</v>
      </c>
      <c r="C621" t="str">
        <f ca="1">_xlfn.XLOOKUP(D621, Branch_Master!A:A, Branch_Master!B:B)</f>
        <v>Hyderabad</v>
      </c>
      <c r="D621" t="str">
        <f ca="1">TRIM(Raw_Data!D621)</f>
        <v>BR04</v>
      </c>
      <c r="E621" t="str">
        <f ca="1">PROPER(TRIM(Raw_Data!E621))</f>
        <v>Basic</v>
      </c>
      <c r="F621" s="2">
        <f>IFERROR(DATEVALUE(Raw_Data!F621), Raw_Data!F621)</f>
        <v>45052</v>
      </c>
      <c r="G621" s="2">
        <f>IFERROR(
    IF(
        IFERROR(DATEVALUE(Raw_Data!G621), Raw_Data!G621) &lt;
        IFERROR(DATEVALUE(Raw_Data!F621), Raw_Data!F621),
        IFERROR(DATEVALUE(Raw_Data!F621), Raw_Data!F621) + 30,
        IFERROR(DATEVALUE(Raw_Data!G621), Raw_Data!G621)
    ),
    ""
)</f>
        <v>45142</v>
      </c>
      <c r="H621">
        <f>IFERROR(VALUE(Raw_Data!H621), "")</f>
        <v>2000</v>
      </c>
      <c r="I621">
        <f ca="1">IFERROR(VALUE(Raw_Data!I621), "")</f>
        <v>4000</v>
      </c>
      <c r="J621">
        <f>IFERROR(
    VALUE(SUBSTITUTE(Raw_Data!J621," visits","")),
    ""
)</f>
        <v>20</v>
      </c>
      <c r="K621" t="str">
        <f ca="1">IF(TRIM(Raw_Data!K621)="","No",PROPER(TRIM(Raw_Data!K621)))</f>
        <v>No</v>
      </c>
      <c r="L621" t="str">
        <f ca="1">PROPER(TRIM(Raw_Data!L621))</f>
        <v>Muscle Gain</v>
      </c>
      <c r="M621" t="s">
        <v>151</v>
      </c>
      <c r="N621" s="2">
        <f>IFERROR(DATEVALUE(Raw_Data!N621), Raw_Data!N621)</f>
        <v>46109</v>
      </c>
      <c r="O621" s="2"/>
      <c r="P621" t="str">
        <f>IF(COUNTIF($A$2:A621,A621)&gt;1,"Duplicate","Unique")</f>
        <v>Unique</v>
      </c>
      <c r="Q621" t="str">
        <f t="shared" si="18"/>
        <v>OK</v>
      </c>
      <c r="R621" t="str">
        <f t="shared" si="19"/>
        <v>Available</v>
      </c>
    </row>
    <row r="622" spans="1:18">
      <c r="A622" t="str">
        <f>TRIM(CLEAN(Raw_Data!A622))</f>
        <v>MEM0621</v>
      </c>
      <c r="B622" t="str">
        <f ca="1">TRIM(Raw_Data!B622)</f>
        <v>Harish Varghese</v>
      </c>
      <c r="C622" t="str">
        <f ca="1">_xlfn.XLOOKUP(D622, Branch_Master!A:A, Branch_Master!B:B)</f>
        <v>Chennai</v>
      </c>
      <c r="D622" t="str">
        <f ca="1">TRIM(Raw_Data!D622)</f>
        <v>BR03</v>
      </c>
      <c r="E622" t="str">
        <f ca="1">PROPER(TRIM(Raw_Data!E622))</f>
        <v>Premium</v>
      </c>
      <c r="F622" s="2">
        <f>IFERROR(DATEVALUE(Raw_Data!F622), Raw_Data!F622)</f>
        <v>45585</v>
      </c>
      <c r="G622" s="2">
        <f>IFERROR(
    IF(
        IFERROR(DATEVALUE(Raw_Data!G622), Raw_Data!G622) &lt;
        IFERROR(DATEVALUE(Raw_Data!F622), Raw_Data!F622),
        IFERROR(DATEVALUE(Raw_Data!F622), Raw_Data!F622) + 30,
        IFERROR(DATEVALUE(Raw_Data!G622), Raw_Data!G622)
    ),
    ""
)</f>
        <v>45615</v>
      </c>
      <c r="H622">
        <f>IFERROR(VALUE(Raw_Data!H622), "")</f>
        <v>3500</v>
      </c>
      <c r="I622">
        <f ca="1">IFERROR(VALUE(Raw_Data!I622), "")</f>
        <v>3500</v>
      </c>
      <c r="J622">
        <f>IFERROR(
    VALUE(SUBSTITUTE(Raw_Data!J622," visits","")),
    ""
)</f>
        <v>7</v>
      </c>
      <c r="K622" t="str">
        <f ca="1">IF(TRIM(Raw_Data!K622)="","No",PROPER(TRIM(Raw_Data!K622)))</f>
        <v>No</v>
      </c>
      <c r="L622" t="str">
        <f ca="1">PROPER(TRIM(Raw_Data!L622))</f>
        <v>General Fitness</v>
      </c>
      <c r="M622" t="s">
        <v>151</v>
      </c>
      <c r="N622" s="2">
        <f>IFERROR(DATEVALUE(Raw_Data!N622), Raw_Data!N622)</f>
        <v>45659</v>
      </c>
      <c r="O622" s="2"/>
      <c r="P622" t="str">
        <f>IF(COUNTIF($A$2:A622,A622)&gt;1,"Duplicate","Unique")</f>
        <v>Unique</v>
      </c>
      <c r="Q622" t="str">
        <f t="shared" si="18"/>
        <v>OK</v>
      </c>
      <c r="R622" t="str">
        <f t="shared" si="19"/>
        <v>Available</v>
      </c>
    </row>
    <row r="623" spans="1:18">
      <c r="A623" t="str">
        <f>TRIM(CLEAN(Raw_Data!A623))</f>
        <v>MEM0622</v>
      </c>
      <c r="B623" t="str">
        <f ca="1">TRIM(Raw_Data!B623)</f>
        <v>Fatima Kulkarni</v>
      </c>
      <c r="C623" t="str">
        <f ca="1">_xlfn.XLOOKUP(D623, Branch_Master!A:A, Branch_Master!B:B)</f>
        <v>Trivandrum</v>
      </c>
      <c r="D623" t="str">
        <f ca="1">TRIM(Raw_Data!D623)</f>
        <v>BR06</v>
      </c>
      <c r="E623" t="str">
        <f ca="1">PROPER(TRIM(Raw_Data!E623))</f>
        <v>Standard</v>
      </c>
      <c r="F623" s="2">
        <f>IFERROR(DATEVALUE(Raw_Data!F623), Raw_Data!F623)</f>
        <v>45979</v>
      </c>
      <c r="G623" s="2">
        <f>IFERROR(
    IF(
        IFERROR(DATEVALUE(Raw_Data!G623), Raw_Data!G623) &lt;
        IFERROR(DATEVALUE(Raw_Data!F623), Raw_Data!F623),
        IFERROR(DATEVALUE(Raw_Data!F623), Raw_Data!F623) + 30,
        IFERROR(DATEVALUE(Raw_Data!G623), Raw_Data!G623)
    ),
    ""
)</f>
        <v>46009</v>
      </c>
      <c r="H623">
        <f>IFERROR(VALUE(Raw_Data!H623), "")</f>
        <v>2000</v>
      </c>
      <c r="I623">
        <f ca="1">IFERROR(VALUE(Raw_Data!I623), "")</f>
        <v>8000</v>
      </c>
      <c r="J623">
        <f>IFERROR(
    VALUE(SUBSTITUTE(Raw_Data!J623," visits","")),
    ""
)</f>
        <v>10</v>
      </c>
      <c r="K623" t="str">
        <f ca="1">IF(TRIM(Raw_Data!K623)="","No",PROPER(TRIM(Raw_Data!K623)))</f>
        <v>No</v>
      </c>
      <c r="L623" t="str">
        <f ca="1">PROPER(TRIM(Raw_Data!L623))</f>
        <v>General Fitness</v>
      </c>
      <c r="M623" t="s">
        <v>151</v>
      </c>
      <c r="N623" s="2">
        <f>IFERROR(DATEVALUE(Raw_Data!N623), Raw_Data!N623)</f>
        <v>46022</v>
      </c>
      <c r="O623" s="2"/>
      <c r="P623" t="str">
        <f>IF(COUNTIF($A$2:A623,A623)&gt;1,"Duplicate","Unique")</f>
        <v>Unique</v>
      </c>
      <c r="Q623" t="str">
        <f t="shared" si="18"/>
        <v>OK</v>
      </c>
      <c r="R623" t="str">
        <f t="shared" si="19"/>
        <v>Available</v>
      </c>
    </row>
    <row r="624" spans="1:18">
      <c r="A624" t="str">
        <f>TRIM(CLEAN(Raw_Data!A624))</f>
        <v>MEM0623</v>
      </c>
      <c r="B624" t="str">
        <f ca="1">TRIM(Raw_Data!B624)</f>
        <v>Anjali Kulkarni</v>
      </c>
      <c r="C624" t="str">
        <f ca="1">_xlfn.XLOOKUP(D624, Branch_Master!A:A, Branch_Master!B:B)</f>
        <v>Mumbai</v>
      </c>
      <c r="D624" t="str">
        <f ca="1">TRIM(Raw_Data!D624)</f>
        <v>BR05</v>
      </c>
      <c r="E624" t="str">
        <f ca="1">PROPER(TRIM(Raw_Data!E624))</f>
        <v>Standard</v>
      </c>
      <c r="F624" s="2">
        <f>IFERROR(DATEVALUE(Raw_Data!F624), Raw_Data!F624)</f>
        <v>45595</v>
      </c>
      <c r="G624" s="2">
        <f>IFERROR(
    IF(
        IFERROR(DATEVALUE(Raw_Data!G624), Raw_Data!G624) &lt;
        IFERROR(DATEVALUE(Raw_Data!F624), Raw_Data!F624),
        IFERROR(DATEVALUE(Raw_Data!F624), Raw_Data!F624) + 30,
        IFERROR(DATEVALUE(Raw_Data!G624), Raw_Data!G624)
    ),
    ""
)</f>
        <v>45960</v>
      </c>
      <c r="H624">
        <f>IFERROR(VALUE(Raw_Data!H624), "")</f>
        <v>2000</v>
      </c>
      <c r="I624">
        <f ca="1">IFERROR(VALUE(Raw_Data!I624), "")</f>
        <v>4000</v>
      </c>
      <c r="J624">
        <f>IFERROR(
    VALUE(SUBSTITUTE(Raw_Data!J624," visits","")),
    ""
)</f>
        <v>21</v>
      </c>
      <c r="K624" t="str">
        <f ca="1">IF(TRIM(Raw_Data!K624)="","No",PROPER(TRIM(Raw_Data!K624)))</f>
        <v>Yes</v>
      </c>
      <c r="L624" t="str">
        <f ca="1">PROPER(TRIM(Raw_Data!L624))</f>
        <v>Muscle Gain</v>
      </c>
      <c r="M624" t="s">
        <v>151</v>
      </c>
      <c r="N624" s="2">
        <f>IFERROR(DATEVALUE(Raw_Data!N624), Raw_Data!N624)</f>
        <v>45927</v>
      </c>
      <c r="O624" s="2"/>
      <c r="P624" t="str">
        <f>IF(COUNTIF($A$2:A624,A624)&gt;1,"Duplicate","Unique")</f>
        <v>Unique</v>
      </c>
      <c r="Q624" t="str">
        <f t="shared" si="18"/>
        <v>OK</v>
      </c>
      <c r="R624" t="str">
        <f t="shared" si="19"/>
        <v>Available</v>
      </c>
    </row>
    <row r="625" spans="1:18">
      <c r="A625" t="str">
        <f>TRIM(CLEAN(Raw_Data!A625))</f>
        <v>MEM0624</v>
      </c>
      <c r="B625" t="str">
        <f ca="1">TRIM(Raw_Data!B625)</f>
        <v>Tanvi Fernandes</v>
      </c>
      <c r="C625" t="str">
        <f ca="1">_xlfn.XLOOKUP(D625, Branch_Master!A:A, Branch_Master!B:B)</f>
        <v>Bangalore</v>
      </c>
      <c r="D625" t="str">
        <f ca="1">TRIM(Raw_Data!D625)</f>
        <v>BR02</v>
      </c>
      <c r="E625" t="str">
        <f ca="1">PROPER(TRIM(Raw_Data!E625))</f>
        <v>Premium</v>
      </c>
      <c r="F625" s="2">
        <f>IFERROR(DATEVALUE(Raw_Data!F625), Raw_Data!F625)</f>
        <v>44934</v>
      </c>
      <c r="G625" s="2">
        <f>IFERROR(
    IF(
        IFERROR(DATEVALUE(Raw_Data!G625), Raw_Data!G625) &lt;
        IFERROR(DATEVALUE(Raw_Data!F625), Raw_Data!F625),
        IFERROR(DATEVALUE(Raw_Data!F625), Raw_Data!F625) + 30,
        IFERROR(DATEVALUE(Raw_Data!G625), Raw_Data!G625)
    ),
    ""
)</f>
        <v>44964</v>
      </c>
      <c r="H625">
        <f>IFERROR(VALUE(Raw_Data!H625), "")</f>
        <v>2000</v>
      </c>
      <c r="I625">
        <f ca="1">IFERROR(VALUE(Raw_Data!I625), "")</f>
        <v>16000</v>
      </c>
      <c r="J625">
        <f>IFERROR(
    VALUE(SUBSTITUTE(Raw_Data!J625," visits","")),
    ""
)</f>
        <v>6</v>
      </c>
      <c r="K625" t="str">
        <f ca="1">IF(TRIM(Raw_Data!K625)="","No",PROPER(TRIM(Raw_Data!K625)))</f>
        <v>No</v>
      </c>
      <c r="L625" t="str">
        <f ca="1">PROPER(TRIM(Raw_Data!L625))</f>
        <v>General Fitness</v>
      </c>
      <c r="M625" t="s">
        <v>151</v>
      </c>
      <c r="N625" s="2">
        <f>IFERROR(DATEVALUE(Raw_Data!N625), Raw_Data!N625)</f>
        <v>45960</v>
      </c>
      <c r="O625" s="2"/>
      <c r="P625" t="str">
        <f>IF(COUNTIF($A$2:A625,A625)&gt;1,"Duplicate","Unique")</f>
        <v>Unique</v>
      </c>
      <c r="Q625" t="str">
        <f t="shared" si="18"/>
        <v>OK</v>
      </c>
      <c r="R625" t="str">
        <f t="shared" si="19"/>
        <v>Available</v>
      </c>
    </row>
    <row r="626" spans="1:18">
      <c r="A626" t="str">
        <f>TRIM(CLEAN(Raw_Data!A626))</f>
        <v>MEM0625</v>
      </c>
      <c r="B626" t="str">
        <f ca="1">TRIM(Raw_Data!B626)</f>
        <v>Swathi Malhotra</v>
      </c>
      <c r="C626" t="str">
        <f ca="1">_xlfn.XLOOKUP(D626, Branch_Master!A:A, Branch_Master!B:B)</f>
        <v>Trivandrum</v>
      </c>
      <c r="D626" t="str">
        <f ca="1">TRIM(Raw_Data!D626)</f>
        <v>BR06</v>
      </c>
      <c r="E626" t="str">
        <f ca="1">PROPER(TRIM(Raw_Data!E626))</f>
        <v>Standard</v>
      </c>
      <c r="F626" s="2">
        <f>IFERROR(DATEVALUE(Raw_Data!F626), Raw_Data!F626)</f>
        <v>45712</v>
      </c>
      <c r="G626" s="2">
        <f>IFERROR(
    IF(
        IFERROR(DATEVALUE(Raw_Data!G626), Raw_Data!G626) &lt;
        IFERROR(DATEVALUE(Raw_Data!F626), Raw_Data!F626),
        IFERROR(DATEVALUE(Raw_Data!F626), Raw_Data!F626) + 30,
        IFERROR(DATEVALUE(Raw_Data!G626), Raw_Data!G626)
    ),
    ""
)</f>
        <v>45802</v>
      </c>
      <c r="H626">
        <f>IFERROR(VALUE(Raw_Data!H626), "")</f>
        <v>1000</v>
      </c>
      <c r="I626">
        <f ca="1">IFERROR(VALUE(Raw_Data!I626), "")</f>
        <v>7000</v>
      </c>
      <c r="J626">
        <f>IFERROR(
    VALUE(SUBSTITUTE(Raw_Data!J626," visits","")),
    ""
)</f>
        <v>15</v>
      </c>
      <c r="K626" t="str">
        <f ca="1">IF(TRIM(Raw_Data!K626)="","No",PROPER(TRIM(Raw_Data!K626)))</f>
        <v>No</v>
      </c>
      <c r="L626" t="str">
        <f ca="1">PROPER(TRIM(Raw_Data!L626))</f>
        <v>General Fitness</v>
      </c>
      <c r="M626" t="s">
        <v>151</v>
      </c>
      <c r="N626" s="2">
        <f>IFERROR(DATEVALUE(Raw_Data!N626), Raw_Data!N626)</f>
        <v>45840</v>
      </c>
      <c r="O626" s="2"/>
      <c r="P626" t="str">
        <f>IF(COUNTIF($A$2:A626,A626)&gt;1,"Duplicate","Unique")</f>
        <v>Unique</v>
      </c>
      <c r="Q626" t="str">
        <f t="shared" si="18"/>
        <v>OK</v>
      </c>
      <c r="R626" t="str">
        <f t="shared" si="19"/>
        <v>Available</v>
      </c>
    </row>
    <row r="627" spans="1:18">
      <c r="A627" t="str">
        <f>TRIM(CLEAN(Raw_Data!A627))</f>
        <v>MEM0626</v>
      </c>
      <c r="B627" t="str">
        <f ca="1">TRIM(Raw_Data!B627)</f>
        <v>Karthik Yadav</v>
      </c>
      <c r="C627" t="str">
        <f ca="1">_xlfn.XLOOKUP(D627, Branch_Master!A:A, Branch_Master!B:B)</f>
        <v>Kochi</v>
      </c>
      <c r="D627" t="str">
        <f ca="1">TRIM(Raw_Data!D627)</f>
        <v>BR01</v>
      </c>
      <c r="E627" t="str">
        <f ca="1">PROPER(TRIM(Raw_Data!E627))</f>
        <v>Basic</v>
      </c>
      <c r="F627" s="2">
        <f>IFERROR(DATEVALUE(Raw_Data!F627), Raw_Data!F627)</f>
        <v>45806</v>
      </c>
      <c r="G627" s="2">
        <f>IFERROR(
    IF(
        IFERROR(DATEVALUE(Raw_Data!G627), Raw_Data!G627) &lt;
        IFERROR(DATEVALUE(Raw_Data!F627), Raw_Data!F627),
        IFERROR(DATEVALUE(Raw_Data!F627), Raw_Data!F627) + 30,
        IFERROR(DATEVALUE(Raw_Data!G627), Raw_Data!G627)
    ),
    ""
)</f>
        <v>45836</v>
      </c>
      <c r="H627">
        <f>IFERROR(VALUE(Raw_Data!H627), "")</f>
        <v>3500</v>
      </c>
      <c r="I627">
        <f ca="1">IFERROR(VALUE(Raw_Data!I627), "")</f>
        <v>35000</v>
      </c>
      <c r="J627">
        <f>IFERROR(
    VALUE(SUBSTITUTE(Raw_Data!J627," visits","")),
    ""
)</f>
        <v>25</v>
      </c>
      <c r="K627" t="str">
        <f ca="1">IF(TRIM(Raw_Data!K627)="","No",PROPER(TRIM(Raw_Data!K627)))</f>
        <v>No</v>
      </c>
      <c r="L627" t="str">
        <f ca="1">PROPER(TRIM(Raw_Data!L627))</f>
        <v>Weight Loss</v>
      </c>
      <c r="M627" t="s">
        <v>151</v>
      </c>
      <c r="N627" s="2">
        <f>IFERROR(DATEVALUE(Raw_Data!N627), Raw_Data!N627)</f>
        <v>45934</v>
      </c>
      <c r="O627" s="2"/>
      <c r="P627" t="str">
        <f>IF(COUNTIF($A$2:A627,A627)&gt;1,"Duplicate","Unique")</f>
        <v>Unique</v>
      </c>
      <c r="Q627" t="str">
        <f t="shared" si="18"/>
        <v>OK</v>
      </c>
      <c r="R627" t="str">
        <f t="shared" si="19"/>
        <v>Available</v>
      </c>
    </row>
    <row r="628" spans="1:18">
      <c r="A628" t="str">
        <f>TRIM(CLEAN(Raw_Data!A628))</f>
        <v>MEM0627</v>
      </c>
      <c r="B628" t="str">
        <f ca="1">TRIM(Raw_Data!B628)</f>
        <v>Ayesha Mathew</v>
      </c>
      <c r="C628" t="str">
        <f ca="1">_xlfn.XLOOKUP(D628, Branch_Master!A:A, Branch_Master!B:B)</f>
        <v>Mumbai</v>
      </c>
      <c r="D628" t="str">
        <f ca="1">TRIM(Raw_Data!D628)</f>
        <v>BR05</v>
      </c>
      <c r="E628" t="str">
        <f ca="1">PROPER(TRIM(Raw_Data!E628))</f>
        <v>Premium</v>
      </c>
      <c r="F628" s="2">
        <f>IFERROR(DATEVALUE(Raw_Data!F628), Raw_Data!F628)</f>
        <v>45031</v>
      </c>
      <c r="G628" s="2">
        <f>IFERROR(
    IF(
        IFERROR(DATEVALUE(Raw_Data!G628), Raw_Data!G628) &lt;
        IFERROR(DATEVALUE(Raw_Data!F628), Raw_Data!F628),
        IFERROR(DATEVALUE(Raw_Data!F628), Raw_Data!F628) + 30,
        IFERROR(DATEVALUE(Raw_Data!G628), Raw_Data!G628)
    ),
    ""
)</f>
        <v>45061</v>
      </c>
      <c r="H628">
        <f>IFERROR(VALUE(Raw_Data!H628), "")</f>
        <v>2000</v>
      </c>
      <c r="I628">
        <f ca="1">IFERROR(VALUE(Raw_Data!I628), "")</f>
        <v>4000</v>
      </c>
      <c r="J628">
        <f>IFERROR(
    VALUE(SUBSTITUTE(Raw_Data!J628," visits","")),
    ""
)</f>
        <v>21</v>
      </c>
      <c r="K628" t="str">
        <f ca="1">IF(TRIM(Raw_Data!K628)="","No",PROPER(TRIM(Raw_Data!K628)))</f>
        <v>No</v>
      </c>
      <c r="L628" t="str">
        <f ca="1">PROPER(TRIM(Raw_Data!L628))</f>
        <v>Weight Loss</v>
      </c>
      <c r="M628" t="s">
        <v>151</v>
      </c>
      <c r="N628" s="2">
        <f>IFERROR(DATEVALUE(Raw_Data!N628), Raw_Data!N628)</f>
        <v>45663</v>
      </c>
      <c r="O628" s="2"/>
      <c r="P628" t="str">
        <f>IF(COUNTIF($A$2:A628,A628)&gt;1,"Duplicate","Unique")</f>
        <v>Unique</v>
      </c>
      <c r="Q628" t="str">
        <f t="shared" si="18"/>
        <v>OK</v>
      </c>
      <c r="R628" t="str">
        <f t="shared" si="19"/>
        <v>Available</v>
      </c>
    </row>
    <row r="629" spans="1:18">
      <c r="A629" t="str">
        <f>TRIM(CLEAN(Raw_Data!A629))</f>
        <v>MEM0628</v>
      </c>
      <c r="B629" t="str">
        <f ca="1">TRIM(Raw_Data!B629)</f>
        <v>Ayesha Mathew</v>
      </c>
      <c r="C629" t="str">
        <f ca="1">_xlfn.XLOOKUP(D629, Branch_Master!A:A, Branch_Master!B:B)</f>
        <v>Calicut</v>
      </c>
      <c r="D629" t="str">
        <f ca="1">TRIM(Raw_Data!D629)</f>
        <v>BR07</v>
      </c>
      <c r="E629" t="str">
        <f ca="1">PROPER(TRIM(Raw_Data!E629))</f>
        <v>Basic</v>
      </c>
      <c r="F629" s="2">
        <f>IFERROR(DATEVALUE(Raw_Data!F629), Raw_Data!F629)</f>
        <v>45730</v>
      </c>
      <c r="G629" s="2">
        <f>IFERROR(
    IF(
        IFERROR(DATEVALUE(Raw_Data!G629), Raw_Data!G629) &lt;
        IFERROR(DATEVALUE(Raw_Data!F629), Raw_Data!F629),
        IFERROR(DATEVALUE(Raw_Data!F629), Raw_Data!F629) + 30,
        IFERROR(DATEVALUE(Raw_Data!G629), Raw_Data!G629)
    ),
    ""
)</f>
        <v>45760</v>
      </c>
      <c r="H629">
        <f>IFERROR(VALUE(Raw_Data!H629), "")</f>
        <v>3500</v>
      </c>
      <c r="I629">
        <f ca="1">IFERROR(VALUE(Raw_Data!I629), "")</f>
        <v>35000</v>
      </c>
      <c r="J629">
        <f>IFERROR(
    VALUE(SUBSTITUTE(Raw_Data!J629," visits","")),
    ""
)</f>
        <v>3</v>
      </c>
      <c r="K629" t="str">
        <f ca="1">IF(TRIM(Raw_Data!K629)="","No",PROPER(TRIM(Raw_Data!K629)))</f>
        <v>No</v>
      </c>
      <c r="L629" t="str">
        <f ca="1">PROPER(TRIM(Raw_Data!L629))</f>
        <v>Muscle Gain</v>
      </c>
      <c r="M629" t="s">
        <v>152</v>
      </c>
      <c r="N629" s="2">
        <f>IFERROR(DATEVALUE(Raw_Data!N629), Raw_Data!N629)</f>
        <v>46054</v>
      </c>
      <c r="O629" s="2"/>
      <c r="P629" t="str">
        <f>IF(COUNTIF($A$2:A629,A629)&gt;1,"Duplicate","Unique")</f>
        <v>Unique</v>
      </c>
      <c r="Q629" t="str">
        <f t="shared" si="18"/>
        <v>Cancelled but Active</v>
      </c>
      <c r="R629" t="str">
        <f t="shared" si="19"/>
        <v>Available</v>
      </c>
    </row>
    <row r="630" spans="1:18">
      <c r="A630" t="str">
        <f>TRIM(CLEAN(Raw_Data!A630))</f>
        <v>MEM0629</v>
      </c>
      <c r="B630" t="str">
        <f ca="1">TRIM(Raw_Data!B630)</f>
        <v>Neha Mathew</v>
      </c>
      <c r="C630" t="str">
        <f ca="1">_xlfn.XLOOKUP(D630, Branch_Master!A:A, Branch_Master!B:B)</f>
        <v>Kochi</v>
      </c>
      <c r="D630" t="str">
        <f ca="1">TRIM(Raw_Data!D630)</f>
        <v>BR01</v>
      </c>
      <c r="E630" t="str">
        <f ca="1">PROPER(TRIM(Raw_Data!E630))</f>
        <v>Basic</v>
      </c>
      <c r="F630" s="2">
        <f>IFERROR(DATEVALUE(Raw_Data!F630), Raw_Data!F630)</f>
        <v>44948</v>
      </c>
      <c r="G630" s="2">
        <f>IFERROR(
    IF(
        IFERROR(DATEVALUE(Raw_Data!G630), Raw_Data!G630) &lt;
        IFERROR(DATEVALUE(Raw_Data!F630), Raw_Data!F630),
        IFERROR(DATEVALUE(Raw_Data!F630), Raw_Data!F630) + 30,
        IFERROR(DATEVALUE(Raw_Data!G630), Raw_Data!G630)
    ),
    ""
)</f>
        <v>44978</v>
      </c>
      <c r="H630">
        <f>IFERROR(VALUE(Raw_Data!H630), "")</f>
        <v>3500</v>
      </c>
      <c r="I630">
        <f ca="1">IFERROR(VALUE(Raw_Data!I630), "")</f>
        <v>35000</v>
      </c>
      <c r="J630">
        <f>IFERROR(
    VALUE(SUBSTITUTE(Raw_Data!J630," visits","")),
    ""
)</f>
        <v>16</v>
      </c>
      <c r="K630" t="str">
        <f ca="1">IF(TRIM(Raw_Data!K630)="","No",PROPER(TRIM(Raw_Data!K630)))</f>
        <v>No</v>
      </c>
      <c r="L630" t="str">
        <f ca="1">PROPER(TRIM(Raw_Data!L630))</f>
        <v>General Fitness</v>
      </c>
      <c r="M630" t="s">
        <v>151</v>
      </c>
      <c r="N630" s="2">
        <f>IFERROR(DATEVALUE(Raw_Data!N630), Raw_Data!N630)</f>
        <v>45654</v>
      </c>
      <c r="O630" s="2"/>
      <c r="P630" t="str">
        <f>IF(COUNTIF($A$2:A630,A630)&gt;1,"Duplicate","Unique")</f>
        <v>Unique</v>
      </c>
      <c r="Q630" t="str">
        <f t="shared" si="18"/>
        <v>OK</v>
      </c>
      <c r="R630" t="str">
        <f t="shared" si="19"/>
        <v>Available</v>
      </c>
    </row>
    <row r="631" spans="1:18">
      <c r="A631" t="str">
        <f>TRIM(CLEAN(Raw_Data!A631))</f>
        <v>MEM0630</v>
      </c>
      <c r="B631" t="str">
        <f ca="1">TRIM(Raw_Data!B631)</f>
        <v>Siddharth Kapoor</v>
      </c>
      <c r="C631" t="str">
        <f ca="1">_xlfn.XLOOKUP(D631, Branch_Master!A:A, Branch_Master!B:B)</f>
        <v>Mumbai</v>
      </c>
      <c r="D631" t="str">
        <f ca="1">TRIM(Raw_Data!D631)</f>
        <v>BR05</v>
      </c>
      <c r="E631" t="str">
        <f ca="1">PROPER(TRIM(Raw_Data!E631))</f>
        <v>Premium</v>
      </c>
      <c r="F631" s="2">
        <f>IFERROR(DATEVALUE(Raw_Data!F631), Raw_Data!F631)</f>
        <v>45690</v>
      </c>
      <c r="G631" s="2">
        <f>IFERROR(
    IF(
        IFERROR(DATEVALUE(Raw_Data!G631), Raw_Data!G631) &lt;
        IFERROR(DATEVALUE(Raw_Data!F631), Raw_Data!F631),
        IFERROR(DATEVALUE(Raw_Data!F631), Raw_Data!F631) + 30,
        IFERROR(DATEVALUE(Raw_Data!G631), Raw_Data!G631)
    ),
    ""
)</f>
        <v>45720</v>
      </c>
      <c r="H631">
        <f>IFERROR(VALUE(Raw_Data!H631), "")</f>
        <v>2000</v>
      </c>
      <c r="I631">
        <f ca="1">IFERROR(VALUE(Raw_Data!I631), "")</f>
        <v>4000</v>
      </c>
      <c r="J631">
        <f>IFERROR(
    VALUE(SUBSTITUTE(Raw_Data!J631," visits","")),
    ""
)</f>
        <v>22</v>
      </c>
      <c r="K631" t="str">
        <f ca="1">IF(TRIM(Raw_Data!K631)="","No",PROPER(TRIM(Raw_Data!K631)))</f>
        <v>Yes</v>
      </c>
      <c r="L631" t="str">
        <f ca="1">PROPER(TRIM(Raw_Data!L631))</f>
        <v>Weight Loss</v>
      </c>
      <c r="M631" t="s">
        <v>151</v>
      </c>
      <c r="N631" s="2">
        <f>IFERROR(DATEVALUE(Raw_Data!N631), Raw_Data!N631)</f>
        <v>45943</v>
      </c>
      <c r="O631" s="2"/>
      <c r="P631" t="str">
        <f>IF(COUNTIF($A$2:A631,A631)&gt;1,"Duplicate","Unique")</f>
        <v>Unique</v>
      </c>
      <c r="Q631" t="str">
        <f t="shared" si="18"/>
        <v>OK</v>
      </c>
      <c r="R631" t="str">
        <f t="shared" si="19"/>
        <v>Available</v>
      </c>
    </row>
    <row r="632" spans="1:18">
      <c r="A632" t="str">
        <f>TRIM(CLEAN(Raw_Data!A632))</f>
        <v>MEM0631</v>
      </c>
      <c r="B632" t="str">
        <f ca="1">TRIM(Raw_Data!B632)</f>
        <v>Ankit Mathew</v>
      </c>
      <c r="C632" t="str">
        <f ca="1">_xlfn.XLOOKUP(D632, Branch_Master!A:A, Branch_Master!B:B)</f>
        <v>Chennai</v>
      </c>
      <c r="D632" t="str">
        <f ca="1">TRIM(Raw_Data!D632)</f>
        <v>BR03</v>
      </c>
      <c r="E632" t="str">
        <f ca="1">PROPER(TRIM(Raw_Data!E632))</f>
        <v>Basic</v>
      </c>
      <c r="F632" s="2">
        <f>IFERROR(DATEVALUE(Raw_Data!F632), Raw_Data!F632)</f>
        <v>45887</v>
      </c>
      <c r="G632" s="2">
        <f>IFERROR(
    IF(
        IFERROR(DATEVALUE(Raw_Data!G632), Raw_Data!G632) &lt;
        IFERROR(DATEVALUE(Raw_Data!F632), Raw_Data!F632),
        IFERROR(DATEVALUE(Raw_Data!F632), Raw_Data!F632) + 30,
        IFERROR(DATEVALUE(Raw_Data!G632), Raw_Data!G632)
    ),
    ""
)</f>
        <v>45977</v>
      </c>
      <c r="H632">
        <f>IFERROR(VALUE(Raw_Data!H632), "")</f>
        <v>2000</v>
      </c>
      <c r="I632">
        <f ca="1">IFERROR(VALUE(Raw_Data!I632), "")</f>
        <v>8000</v>
      </c>
      <c r="J632">
        <f>IFERROR(
    VALUE(SUBSTITUTE(Raw_Data!J632," visits","")),
    ""
)</f>
        <v>24</v>
      </c>
      <c r="K632" t="str">
        <f ca="1">IF(TRIM(Raw_Data!K632)="","No",PROPER(TRIM(Raw_Data!K632)))</f>
        <v>Yes</v>
      </c>
      <c r="L632" t="str">
        <f ca="1">PROPER(TRIM(Raw_Data!L632))</f>
        <v>Muscle Gain</v>
      </c>
      <c r="M632" t="s">
        <v>151</v>
      </c>
      <c r="N632" s="2">
        <f>IFERROR(DATEVALUE(Raw_Data!N632), Raw_Data!N632)</f>
        <v>46043</v>
      </c>
      <c r="O632" s="2"/>
      <c r="P632" t="str">
        <f>IF(COUNTIF($A$2:A632,A632)&gt;1,"Duplicate","Unique")</f>
        <v>Unique</v>
      </c>
      <c r="Q632" t="str">
        <f t="shared" si="18"/>
        <v>OK</v>
      </c>
      <c r="R632" t="str">
        <f t="shared" si="19"/>
        <v>Available</v>
      </c>
    </row>
    <row r="633" spans="1:18">
      <c r="A633" t="str">
        <f>TRIM(CLEAN(Raw_Data!A633))</f>
        <v>MEM0632</v>
      </c>
      <c r="B633" t="str">
        <f ca="1">TRIM(Raw_Data!B633)</f>
        <v>Nikhil Naidu</v>
      </c>
      <c r="C633" t="str">
        <f ca="1">_xlfn.XLOOKUP(D633, Branch_Master!A:A, Branch_Master!B:B)</f>
        <v>Calicut</v>
      </c>
      <c r="D633" t="str">
        <f ca="1">TRIM(Raw_Data!D633)</f>
        <v>BR07</v>
      </c>
      <c r="E633" t="str">
        <f ca="1">PROPER(TRIM(Raw_Data!E633))</f>
        <v>Premium</v>
      </c>
      <c r="F633" s="2">
        <f>IFERROR(DATEVALUE(Raw_Data!F633), Raw_Data!F633)</f>
        <v>45381</v>
      </c>
      <c r="G633" s="2">
        <f>IFERROR(
    IF(
        IFERROR(DATEVALUE(Raw_Data!G633), Raw_Data!G633) &lt;
        IFERROR(DATEVALUE(Raw_Data!F633), Raw_Data!F633),
        IFERROR(DATEVALUE(Raw_Data!F633), Raw_Data!F633) + 30,
        IFERROR(DATEVALUE(Raw_Data!G633), Raw_Data!G633)
    ),
    ""
)</f>
        <v>45471</v>
      </c>
      <c r="H633">
        <f>IFERROR(VALUE(Raw_Data!H633), "")</f>
        <v>2000</v>
      </c>
      <c r="I633">
        <f ca="1">IFERROR(VALUE(Raw_Data!I633), "")</f>
        <v>18000</v>
      </c>
      <c r="J633">
        <f>IFERROR(
    VALUE(SUBSTITUTE(Raw_Data!J633," visits","")),
    ""
)</f>
        <v>8</v>
      </c>
      <c r="K633" t="str">
        <f ca="1">IF(TRIM(Raw_Data!K633)="","No",PROPER(TRIM(Raw_Data!K633)))</f>
        <v>No</v>
      </c>
      <c r="L633" t="str">
        <f ca="1">PROPER(TRIM(Raw_Data!L633))</f>
        <v>Weight Loss</v>
      </c>
      <c r="M633" t="s">
        <v>151</v>
      </c>
      <c r="N633" s="2">
        <f>IFERROR(DATEVALUE(Raw_Data!N633), Raw_Data!N633)</f>
        <v>45511</v>
      </c>
      <c r="O633" s="2"/>
      <c r="P633" t="str">
        <f>IF(COUNTIF($A$2:A633,A633)&gt;1,"Duplicate","Unique")</f>
        <v>Unique</v>
      </c>
      <c r="Q633" t="str">
        <f t="shared" si="18"/>
        <v>OK</v>
      </c>
      <c r="R633" t="str">
        <f t="shared" si="19"/>
        <v>Available</v>
      </c>
    </row>
    <row r="634" spans="1:18">
      <c r="A634" t="str">
        <f>TRIM(CLEAN(Raw_Data!A634))</f>
        <v>MEM0633</v>
      </c>
      <c r="B634" t="str">
        <f ca="1">TRIM(Raw_Data!B634)</f>
        <v>Tanvi George</v>
      </c>
      <c r="C634" t="str">
        <f ca="1">_xlfn.XLOOKUP(D634, Branch_Master!A:A, Branch_Master!B:B)</f>
        <v>Hyderabad</v>
      </c>
      <c r="D634" t="str">
        <f ca="1">TRIM(Raw_Data!D634)</f>
        <v>BR04</v>
      </c>
      <c r="E634" t="str">
        <f ca="1">PROPER(TRIM(Raw_Data!E634))</f>
        <v>Premium</v>
      </c>
      <c r="F634" s="2">
        <f>IFERROR(DATEVALUE(Raw_Data!F634), Raw_Data!F634)</f>
        <v>44950</v>
      </c>
      <c r="G634" s="2">
        <f>IFERROR(
    IF(
        IFERROR(DATEVALUE(Raw_Data!G634), Raw_Data!G634) &lt;
        IFERROR(DATEVALUE(Raw_Data!F634), Raw_Data!F634),
        IFERROR(DATEVALUE(Raw_Data!F634), Raw_Data!F634) + 30,
        IFERROR(DATEVALUE(Raw_Data!G634), Raw_Data!G634)
    ),
    ""
)</f>
        <v>45315</v>
      </c>
      <c r="H634">
        <f>IFERROR(VALUE(Raw_Data!H634), "")</f>
        <v>3500</v>
      </c>
      <c r="I634">
        <f ca="1">IFERROR(VALUE(Raw_Data!I634), "")</f>
        <v>21000</v>
      </c>
      <c r="J634">
        <f>IFERROR(
    VALUE(SUBSTITUTE(Raw_Data!J634," visits","")),
    ""
)</f>
        <v>3</v>
      </c>
      <c r="K634" t="str">
        <f ca="1">IF(TRIM(Raw_Data!K634)="","No",PROPER(TRIM(Raw_Data!K634)))</f>
        <v>Yes</v>
      </c>
      <c r="L634" t="str">
        <f ca="1">PROPER(TRIM(Raw_Data!L634))</f>
        <v>General Fitness</v>
      </c>
      <c r="M634" t="s">
        <v>151</v>
      </c>
      <c r="N634" s="2">
        <f>IFERROR(DATEVALUE(Raw_Data!N634), Raw_Data!N634)</f>
        <v>45727</v>
      </c>
      <c r="O634" s="2"/>
      <c r="P634" t="str">
        <f>IF(COUNTIF($A$2:A634,A634)&gt;1,"Duplicate","Unique")</f>
        <v>Unique</v>
      </c>
      <c r="Q634" t="str">
        <f t="shared" si="18"/>
        <v>OK</v>
      </c>
      <c r="R634" t="str">
        <f t="shared" si="19"/>
        <v>Available</v>
      </c>
    </row>
    <row r="635" spans="1:18">
      <c r="A635" t="str">
        <f>TRIM(CLEAN(Raw_Data!A635))</f>
        <v>MEM0634</v>
      </c>
      <c r="B635" t="str">
        <f ca="1">TRIM(Raw_Data!B635)</f>
        <v>Anjali Patel</v>
      </c>
      <c r="C635" t="str">
        <f ca="1">_xlfn.XLOOKUP(D635, Branch_Master!A:A, Branch_Master!B:B)</f>
        <v>Hyderabad</v>
      </c>
      <c r="D635" t="str">
        <f ca="1">TRIM(Raw_Data!D635)</f>
        <v>BR04</v>
      </c>
      <c r="E635" t="str">
        <f ca="1">PROPER(TRIM(Raw_Data!E635))</f>
        <v>Premium</v>
      </c>
      <c r="F635" s="2">
        <f>IFERROR(DATEVALUE(Raw_Data!F635), Raw_Data!F635)</f>
        <v>45977</v>
      </c>
      <c r="G635" s="2">
        <f>IFERROR(
    IF(
        IFERROR(DATEVALUE(Raw_Data!G635), Raw_Data!G635) &lt;
        IFERROR(DATEVALUE(Raw_Data!F635), Raw_Data!F635),
        IFERROR(DATEVALUE(Raw_Data!F635), Raw_Data!F635) + 30,
        IFERROR(DATEVALUE(Raw_Data!G635), Raw_Data!G635)
    ),
    ""
)</f>
        <v>46007</v>
      </c>
      <c r="H635">
        <f>IFERROR(VALUE(Raw_Data!H635), "")</f>
        <v>3500</v>
      </c>
      <c r="I635">
        <f ca="1">IFERROR(VALUE(Raw_Data!I635), "")</f>
        <v>17500</v>
      </c>
      <c r="J635">
        <f>IFERROR(
    VALUE(SUBSTITUTE(Raw_Data!J635," visits","")),
    ""
)</f>
        <v>24</v>
      </c>
      <c r="K635" t="str">
        <f ca="1">IF(TRIM(Raw_Data!K635)="","No",PROPER(TRIM(Raw_Data!K635)))</f>
        <v>No</v>
      </c>
      <c r="L635" t="str">
        <f ca="1">PROPER(TRIM(Raw_Data!L635))</f>
        <v>General Fitness</v>
      </c>
      <c r="M635" t="s">
        <v>151</v>
      </c>
      <c r="N635" s="2">
        <f>IFERROR(DATEVALUE(Raw_Data!N635), Raw_Data!N635)</f>
        <v>46082</v>
      </c>
      <c r="O635" s="2"/>
      <c r="P635" t="str">
        <f>IF(COUNTIF($A$2:A635,A635)&gt;1,"Duplicate","Unique")</f>
        <v>Unique</v>
      </c>
      <c r="Q635" t="str">
        <f t="shared" si="18"/>
        <v>OK</v>
      </c>
      <c r="R635" t="str">
        <f t="shared" si="19"/>
        <v>Available</v>
      </c>
    </row>
    <row r="636" spans="1:18">
      <c r="A636" t="str">
        <f>TRIM(CLEAN(Raw_Data!A636))</f>
        <v>MEM0635</v>
      </c>
      <c r="B636" t="str">
        <f ca="1">TRIM(Raw_Data!B636)</f>
        <v>Aditya Pillai</v>
      </c>
      <c r="C636" t="str">
        <f ca="1">_xlfn.XLOOKUP(D636, Branch_Master!A:A, Branch_Master!B:B)</f>
        <v>Mumbai</v>
      </c>
      <c r="D636" t="str">
        <f ca="1">TRIM(Raw_Data!D636)</f>
        <v>BR05</v>
      </c>
      <c r="E636" t="str">
        <f ca="1">PROPER(TRIM(Raw_Data!E636))</f>
        <v>Premium</v>
      </c>
      <c r="F636" s="2">
        <f>IFERROR(DATEVALUE(Raw_Data!F636), Raw_Data!F636)</f>
        <v>45928</v>
      </c>
      <c r="G636" s="2">
        <f>IFERROR(
    IF(
        IFERROR(DATEVALUE(Raw_Data!G636), Raw_Data!G636) &lt;
        IFERROR(DATEVALUE(Raw_Data!F636), Raw_Data!F636),
        IFERROR(DATEVALUE(Raw_Data!F636), Raw_Data!F636) + 30,
        IFERROR(DATEVALUE(Raw_Data!G636), Raw_Data!G636)
    ),
    ""
)</f>
        <v>45958</v>
      </c>
      <c r="H636">
        <f>IFERROR(VALUE(Raw_Data!H636), "")</f>
        <v>1000</v>
      </c>
      <c r="I636">
        <f ca="1">IFERROR(VALUE(Raw_Data!I636), "")</f>
        <v>1000</v>
      </c>
      <c r="J636">
        <f>IFERROR(
    VALUE(SUBSTITUTE(Raw_Data!J636," visits","")),
    ""
)</f>
        <v>14</v>
      </c>
      <c r="K636" t="str">
        <f ca="1">IF(TRIM(Raw_Data!K636)="","No",PROPER(TRIM(Raw_Data!K636)))</f>
        <v>No</v>
      </c>
      <c r="L636" t="str">
        <f ca="1">PROPER(TRIM(Raw_Data!L636))</f>
        <v>Weight Loss</v>
      </c>
      <c r="M636" t="s">
        <v>151</v>
      </c>
      <c r="N636" s="2">
        <f>IFERROR(DATEVALUE(Raw_Data!N636), Raw_Data!N636)</f>
        <v>45945</v>
      </c>
      <c r="O636" s="2"/>
      <c r="P636" t="str">
        <f>IF(COUNTIF($A$2:A636,A636)&gt;1,"Duplicate","Unique")</f>
        <v>Unique</v>
      </c>
      <c r="Q636" t="str">
        <f t="shared" si="18"/>
        <v>OK</v>
      </c>
      <c r="R636" t="str">
        <f t="shared" si="19"/>
        <v>Available</v>
      </c>
    </row>
    <row r="637" spans="1:18">
      <c r="A637" t="str">
        <f>TRIM(CLEAN(Raw_Data!A637))</f>
        <v>MEM0636</v>
      </c>
      <c r="B637" t="str">
        <f ca="1">TRIM(Raw_Data!B637)</f>
        <v>Ishita Chatterjee</v>
      </c>
      <c r="C637" t="str">
        <f ca="1">_xlfn.XLOOKUP(D637, Branch_Master!A:A, Branch_Master!B:B)</f>
        <v>Calicut</v>
      </c>
      <c r="D637" t="str">
        <f ca="1">TRIM(Raw_Data!D637)</f>
        <v>BR07</v>
      </c>
      <c r="E637" t="str">
        <f ca="1">PROPER(TRIM(Raw_Data!E637))</f>
        <v>Basic</v>
      </c>
      <c r="F637" s="2">
        <f>IFERROR(DATEVALUE(Raw_Data!F637), Raw_Data!F637)</f>
        <v>45176</v>
      </c>
      <c r="G637" s="2">
        <f>IFERROR(
    IF(
        IFERROR(DATEVALUE(Raw_Data!G637), Raw_Data!G637) &lt;
        IFERROR(DATEVALUE(Raw_Data!F637), Raw_Data!F637),
        IFERROR(DATEVALUE(Raw_Data!F637), Raw_Data!F637) + 30,
        IFERROR(DATEVALUE(Raw_Data!G637), Raw_Data!G637)
    ),
    ""
)</f>
        <v>45206</v>
      </c>
      <c r="H637">
        <f>IFERROR(VALUE(Raw_Data!H637), "")</f>
        <v>1000</v>
      </c>
      <c r="I637">
        <f ca="1">IFERROR(VALUE(Raw_Data!I637), "")</f>
        <v>6000</v>
      </c>
      <c r="J637">
        <f>IFERROR(
    VALUE(SUBSTITUTE(Raw_Data!J637," visits","")),
    ""
)</f>
        <v>19</v>
      </c>
      <c r="K637" t="str">
        <f ca="1">IF(TRIM(Raw_Data!K637)="","No",PROPER(TRIM(Raw_Data!K637)))</f>
        <v>No</v>
      </c>
      <c r="L637" t="str">
        <f ca="1">PROPER(TRIM(Raw_Data!L637))</f>
        <v>Weight Loss</v>
      </c>
      <c r="M637" t="s">
        <v>151</v>
      </c>
      <c r="N637" s="2">
        <f>IFERROR(DATEVALUE(Raw_Data!N637), Raw_Data!N637)</f>
        <v>45820</v>
      </c>
      <c r="O637" s="2"/>
      <c r="P637" t="str">
        <f>IF(COUNTIF($A$2:A637,A637)&gt;1,"Duplicate","Unique")</f>
        <v>Unique</v>
      </c>
      <c r="Q637" t="str">
        <f t="shared" si="18"/>
        <v>OK</v>
      </c>
      <c r="R637" t="str">
        <f t="shared" si="19"/>
        <v>Available</v>
      </c>
    </row>
    <row r="638" spans="1:18">
      <c r="A638" t="str">
        <f>TRIM(CLEAN(Raw_Data!A638))</f>
        <v>MEM0637</v>
      </c>
      <c r="B638" t="str">
        <f ca="1">TRIM(Raw_Data!B638)</f>
        <v>Ishita Yadav</v>
      </c>
      <c r="C638" t="str">
        <f ca="1">_xlfn.XLOOKUP(D638, Branch_Master!A:A, Branch_Master!B:B)</f>
        <v>Trivandrum</v>
      </c>
      <c r="D638" t="str">
        <f ca="1">TRIM(Raw_Data!D638)</f>
        <v>BR06</v>
      </c>
      <c r="E638" t="str">
        <f ca="1">PROPER(TRIM(Raw_Data!E638))</f>
        <v>Standard</v>
      </c>
      <c r="F638" s="2">
        <f>IFERROR(DATEVALUE(Raw_Data!F638), Raw_Data!F638)</f>
        <v>45711</v>
      </c>
      <c r="G638" s="2">
        <f>IFERROR(
    IF(
        IFERROR(DATEVALUE(Raw_Data!G638), Raw_Data!G638) &lt;
        IFERROR(DATEVALUE(Raw_Data!F638), Raw_Data!F638),
        IFERROR(DATEVALUE(Raw_Data!F638), Raw_Data!F638) + 30,
        IFERROR(DATEVALUE(Raw_Data!G638), Raw_Data!G638)
    ),
    ""
)</f>
        <v>45801</v>
      </c>
      <c r="H638">
        <f>IFERROR(VALUE(Raw_Data!H638), "")</f>
        <v>3500</v>
      </c>
      <c r="I638">
        <f ca="1">IFERROR(VALUE(Raw_Data!I638), "")</f>
        <v>21000</v>
      </c>
      <c r="J638">
        <f>IFERROR(
    VALUE(SUBSTITUTE(Raw_Data!J638," visits","")),
    ""
)</f>
        <v>8</v>
      </c>
      <c r="K638" t="str">
        <f ca="1">IF(TRIM(Raw_Data!K638)="","No",PROPER(TRIM(Raw_Data!K638)))</f>
        <v>No</v>
      </c>
      <c r="L638" t="str">
        <f ca="1">PROPER(TRIM(Raw_Data!L638))</f>
        <v>Muscle Gain</v>
      </c>
      <c r="M638" t="s">
        <v>151</v>
      </c>
      <c r="N638" s="2">
        <f>IFERROR(DATEVALUE(Raw_Data!N638), Raw_Data!N638)</f>
        <v>45922</v>
      </c>
      <c r="O638" s="2"/>
      <c r="P638" t="str">
        <f>IF(COUNTIF($A$2:A638,A638)&gt;1,"Duplicate","Unique")</f>
        <v>Unique</v>
      </c>
      <c r="Q638" t="str">
        <f t="shared" si="18"/>
        <v>OK</v>
      </c>
      <c r="R638" t="str">
        <f t="shared" si="19"/>
        <v>Available</v>
      </c>
    </row>
    <row r="639" spans="1:18">
      <c r="A639" t="str">
        <f>TRIM(CLEAN(Raw_Data!A639))</f>
        <v>MEM0638</v>
      </c>
      <c r="B639" t="str">
        <f ca="1">TRIM(Raw_Data!B639)</f>
        <v>Divya Yadav</v>
      </c>
      <c r="C639" t="str">
        <f ca="1">_xlfn.XLOOKUP(D639, Branch_Master!A:A, Branch_Master!B:B)</f>
        <v>Mumbai</v>
      </c>
      <c r="D639" t="str">
        <f ca="1">TRIM(Raw_Data!D639)</f>
        <v>BR05</v>
      </c>
      <c r="E639" t="str">
        <f ca="1">PROPER(TRIM(Raw_Data!E639))</f>
        <v>Standard</v>
      </c>
      <c r="F639" s="2">
        <f>IFERROR(DATEVALUE(Raw_Data!F639), Raw_Data!F639)</f>
        <v>45339</v>
      </c>
      <c r="G639" s="2">
        <f>IFERROR(
    IF(
        IFERROR(DATEVALUE(Raw_Data!G639), Raw_Data!G639) &lt;
        IFERROR(DATEVALUE(Raw_Data!F639), Raw_Data!F639),
        IFERROR(DATEVALUE(Raw_Data!F639), Raw_Data!F639) + 30,
        IFERROR(DATEVALUE(Raw_Data!G639), Raw_Data!G639)
    ),
    ""
)</f>
        <v>45429</v>
      </c>
      <c r="H639">
        <f>IFERROR(VALUE(Raw_Data!H639), "")</f>
        <v>2000</v>
      </c>
      <c r="I639">
        <f ca="1">IFERROR(VALUE(Raw_Data!I639), "")</f>
        <v>22000</v>
      </c>
      <c r="J639">
        <f>IFERROR(
    VALUE(SUBSTITUTE(Raw_Data!J639," visits","")),
    ""
)</f>
        <v>5</v>
      </c>
      <c r="K639" t="str">
        <f ca="1">IF(TRIM(Raw_Data!K639)="","No",PROPER(TRIM(Raw_Data!K639)))</f>
        <v>No</v>
      </c>
      <c r="L639" t="str">
        <f ca="1">PROPER(TRIM(Raw_Data!L639))</f>
        <v>General Fitness</v>
      </c>
      <c r="M639" t="s">
        <v>151</v>
      </c>
      <c r="N639" s="2">
        <f>IFERROR(DATEVALUE(Raw_Data!N639), Raw_Data!N639)</f>
        <v>45971</v>
      </c>
      <c r="O639" s="2"/>
      <c r="P639" t="str">
        <f>IF(COUNTIF($A$2:A639,A639)&gt;1,"Duplicate","Unique")</f>
        <v>Unique</v>
      </c>
      <c r="Q639" t="str">
        <f t="shared" si="18"/>
        <v>OK</v>
      </c>
      <c r="R639" t="str">
        <f t="shared" si="19"/>
        <v>Available</v>
      </c>
    </row>
    <row r="640" spans="1:18">
      <c r="A640" t="str">
        <f>TRIM(CLEAN(Raw_Data!A640))</f>
        <v>MEM0639</v>
      </c>
      <c r="B640" t="str">
        <f ca="1">TRIM(Raw_Data!B640)</f>
        <v>Anjali Reddy</v>
      </c>
      <c r="C640" t="str">
        <f ca="1">_xlfn.XLOOKUP(D640, Branch_Master!A:A, Branch_Master!B:B)</f>
        <v>Chennai</v>
      </c>
      <c r="D640" t="str">
        <f ca="1">TRIM(Raw_Data!D640)</f>
        <v>BR03</v>
      </c>
      <c r="E640" t="str">
        <f ca="1">PROPER(TRIM(Raw_Data!E640))</f>
        <v>Standard</v>
      </c>
      <c r="F640" s="2">
        <f>IFERROR(DATEVALUE(Raw_Data!F640), Raw_Data!F640)</f>
        <v>45267</v>
      </c>
      <c r="G640" s="2">
        <f>IFERROR(
    IF(
        IFERROR(DATEVALUE(Raw_Data!G640), Raw_Data!G640) &lt;
        IFERROR(DATEVALUE(Raw_Data!F640), Raw_Data!F640),
        IFERROR(DATEVALUE(Raw_Data!F640), Raw_Data!F640) + 30,
        IFERROR(DATEVALUE(Raw_Data!G640), Raw_Data!G640)
    ),
    ""
)</f>
        <v>45357</v>
      </c>
      <c r="H640">
        <f>IFERROR(VALUE(Raw_Data!H640), "")</f>
        <v>3500</v>
      </c>
      <c r="I640">
        <f ca="1">IFERROR(VALUE(Raw_Data!I640), "")</f>
        <v>28000</v>
      </c>
      <c r="J640">
        <f>IFERROR(
    VALUE(SUBSTITUTE(Raw_Data!J640," visits","")),
    ""
)</f>
        <v>14</v>
      </c>
      <c r="K640" t="str">
        <f ca="1">IF(TRIM(Raw_Data!K640)="","No",PROPER(TRIM(Raw_Data!K640)))</f>
        <v>No</v>
      </c>
      <c r="L640" t="str">
        <f ca="1">PROPER(TRIM(Raw_Data!L640))</f>
        <v>Weight Loss</v>
      </c>
      <c r="M640" t="s">
        <v>151</v>
      </c>
      <c r="N640" s="2">
        <f>IFERROR(DATEVALUE(Raw_Data!N640), Raw_Data!N640)</f>
        <v>45626</v>
      </c>
      <c r="O640" s="2"/>
      <c r="P640" t="str">
        <f>IF(COUNTIF($A$2:A640,A640)&gt;1,"Duplicate","Unique")</f>
        <v>Unique</v>
      </c>
      <c r="Q640" t="str">
        <f t="shared" si="18"/>
        <v>OK</v>
      </c>
      <c r="R640" t="str">
        <f t="shared" si="19"/>
        <v>Available</v>
      </c>
    </row>
    <row r="641" spans="1:18">
      <c r="A641" t="str">
        <f>TRIM(CLEAN(Raw_Data!A641))</f>
        <v>MEM0640</v>
      </c>
      <c r="B641" t="str">
        <f ca="1">TRIM(Raw_Data!B641)</f>
        <v>Priya Lewis</v>
      </c>
      <c r="C641" t="str">
        <f ca="1">_xlfn.XLOOKUP(D641, Branch_Master!A:A, Branch_Master!B:B)</f>
        <v>Hyderabad</v>
      </c>
      <c r="D641" t="str">
        <f ca="1">TRIM(Raw_Data!D641)</f>
        <v>BR04</v>
      </c>
      <c r="E641" t="str">
        <f ca="1">PROPER(TRIM(Raw_Data!E641))</f>
        <v>Premium</v>
      </c>
      <c r="F641" s="2">
        <f>IFERROR(DATEVALUE(Raw_Data!F641), Raw_Data!F641)</f>
        <v>45401</v>
      </c>
      <c r="G641" s="2">
        <f>IFERROR(
    IF(
        IFERROR(DATEVALUE(Raw_Data!G641), Raw_Data!G641) &lt;
        IFERROR(DATEVALUE(Raw_Data!F641), Raw_Data!F641),
        IFERROR(DATEVALUE(Raw_Data!F641), Raw_Data!F641) + 30,
        IFERROR(DATEVALUE(Raw_Data!G641), Raw_Data!G641)
    ),
    ""
)</f>
        <v>45491</v>
      </c>
      <c r="H641">
        <f>IFERROR(VALUE(Raw_Data!H641), "")</f>
        <v>1000</v>
      </c>
      <c r="I641">
        <f ca="1">IFERROR(VALUE(Raw_Data!I641), "")</f>
        <v>9000</v>
      </c>
      <c r="J641">
        <f>IFERROR(
    VALUE(SUBSTITUTE(Raw_Data!J641," visits","")),
    ""
)</f>
        <v>25</v>
      </c>
      <c r="K641" t="str">
        <f ca="1">IF(TRIM(Raw_Data!K641)="","No",PROPER(TRIM(Raw_Data!K641)))</f>
        <v>No</v>
      </c>
      <c r="L641" t="str">
        <f ca="1">PROPER(TRIM(Raw_Data!L641))</f>
        <v>Muscle Gain</v>
      </c>
      <c r="M641" t="s">
        <v>151</v>
      </c>
      <c r="N641" s="2">
        <f>IFERROR(DATEVALUE(Raw_Data!N641), Raw_Data!N641)</f>
        <v>46098</v>
      </c>
      <c r="O641" s="2"/>
      <c r="P641" t="str">
        <f>IF(COUNTIF($A$2:A641,A641)&gt;1,"Duplicate","Unique")</f>
        <v>Unique</v>
      </c>
      <c r="Q641" t="str">
        <f t="shared" si="18"/>
        <v>OK</v>
      </c>
      <c r="R641" t="str">
        <f t="shared" si="19"/>
        <v>Available</v>
      </c>
    </row>
    <row r="642" spans="1:18">
      <c r="A642" t="str">
        <f>TRIM(CLEAN(Raw_Data!A642))</f>
        <v>MEM0641</v>
      </c>
      <c r="B642" t="str">
        <f ca="1">TRIM(Raw_Data!B642)</f>
        <v>Manoj Nair</v>
      </c>
      <c r="C642" t="str">
        <f ca="1">_xlfn.XLOOKUP(D642, Branch_Master!A:A, Branch_Master!B:B)</f>
        <v>Kochi</v>
      </c>
      <c r="D642" t="str">
        <f ca="1">TRIM(Raw_Data!D642)</f>
        <v>BR01</v>
      </c>
      <c r="E642" t="str">
        <f ca="1">PROPER(TRIM(Raw_Data!E642))</f>
        <v>Standard</v>
      </c>
      <c r="F642" s="2">
        <f>IFERROR(DATEVALUE(Raw_Data!F642), Raw_Data!F642)</f>
        <v>45141</v>
      </c>
      <c r="G642" s="2">
        <f>IFERROR(
    IF(
        IFERROR(DATEVALUE(Raw_Data!G642), Raw_Data!G642) &lt;
        IFERROR(DATEVALUE(Raw_Data!F642), Raw_Data!F642),
        IFERROR(DATEVALUE(Raw_Data!F642), Raw_Data!F642) + 30,
        IFERROR(DATEVALUE(Raw_Data!G642), Raw_Data!G642)
    ),
    ""
)</f>
        <v>45171</v>
      </c>
      <c r="H642">
        <f>IFERROR(VALUE(Raw_Data!H642), "")</f>
        <v>3500</v>
      </c>
      <c r="I642">
        <f ca="1">IFERROR(VALUE(Raw_Data!I642), "")</f>
        <v>42000</v>
      </c>
      <c r="J642">
        <f>IFERROR(
    VALUE(SUBSTITUTE(Raw_Data!J642," visits","")),
    ""
)</f>
        <v>1</v>
      </c>
      <c r="K642" t="str">
        <f ca="1">IF(TRIM(Raw_Data!K642)="","No",PROPER(TRIM(Raw_Data!K642)))</f>
        <v>Yes</v>
      </c>
      <c r="L642" t="str">
        <f ca="1">PROPER(TRIM(Raw_Data!L642))</f>
        <v>General Fitness</v>
      </c>
      <c r="M642" t="s">
        <v>152</v>
      </c>
      <c r="N642" s="2">
        <f>IFERROR(DATEVALUE(Raw_Data!N642), Raw_Data!N642)</f>
        <v>46115</v>
      </c>
      <c r="O642" s="2"/>
      <c r="P642" t="str">
        <f>IF(COUNTIF($A$2:A642,A642)&gt;1,"Duplicate","Unique")</f>
        <v>Unique</v>
      </c>
      <c r="Q642" t="str">
        <f t="shared" si="18"/>
        <v>Cancelled but Active</v>
      </c>
      <c r="R642" t="str">
        <f t="shared" si="19"/>
        <v>Available</v>
      </c>
    </row>
    <row r="643" spans="1:18">
      <c r="A643" t="str">
        <f>TRIM(CLEAN(Raw_Data!A643))</f>
        <v>MEM0642</v>
      </c>
      <c r="B643" t="str">
        <f ca="1">TRIM(Raw_Data!B643)</f>
        <v>Zara Singh</v>
      </c>
      <c r="C643" t="str">
        <f ca="1">_xlfn.XLOOKUP(D643, Branch_Master!A:A, Branch_Master!B:B)</f>
        <v>Calicut</v>
      </c>
      <c r="D643" t="str">
        <f ca="1">TRIM(Raw_Data!D643)</f>
        <v>BR07</v>
      </c>
      <c r="E643" t="str">
        <f ca="1">PROPER(TRIM(Raw_Data!E643))</f>
        <v>Premium</v>
      </c>
      <c r="F643" s="2">
        <f>IFERROR(DATEVALUE(Raw_Data!F643), Raw_Data!F643)</f>
        <v>45880</v>
      </c>
      <c r="G643" s="2">
        <f>IFERROR(
    IF(
        IFERROR(DATEVALUE(Raw_Data!G643), Raw_Data!G643) &lt;
        IFERROR(DATEVALUE(Raw_Data!F643), Raw_Data!F643),
        IFERROR(DATEVALUE(Raw_Data!F643), Raw_Data!F643) + 30,
        IFERROR(DATEVALUE(Raw_Data!G643), Raw_Data!G643)
    ),
    ""
)</f>
        <v>45910</v>
      </c>
      <c r="H643">
        <f>IFERROR(VALUE(Raw_Data!H643), "")</f>
        <v>1000</v>
      </c>
      <c r="I643">
        <f ca="1">IFERROR(VALUE(Raw_Data!I643), "")</f>
        <v>2000</v>
      </c>
      <c r="J643">
        <f>IFERROR(
    VALUE(SUBSTITUTE(Raw_Data!J643," visits","")),
    ""
)</f>
        <v>2</v>
      </c>
      <c r="K643" t="str">
        <f ca="1">IF(TRIM(Raw_Data!K643)="","No",PROPER(TRIM(Raw_Data!K643)))</f>
        <v>No</v>
      </c>
      <c r="L643" t="str">
        <f ca="1">PROPER(TRIM(Raw_Data!L643))</f>
        <v>Muscle Gain</v>
      </c>
      <c r="M643" t="s">
        <v>151</v>
      </c>
      <c r="N643" s="2">
        <f>IFERROR(DATEVALUE(Raw_Data!N643), Raw_Data!N643)</f>
        <v>45900</v>
      </c>
      <c r="O643" s="2"/>
      <c r="P643" t="str">
        <f>IF(COUNTIF($A$2:A643,A643)&gt;1,"Duplicate","Unique")</f>
        <v>Unique</v>
      </c>
      <c r="Q643" t="str">
        <f t="shared" ref="Q643:Q706" si="20">IF(G643&lt;F643,"Expiry Error",
IF(AND(M643="Cancelled",N643&lt;&gt;""),"Cancelled but Active",
IF(J643&gt;30,"Invalid Attendance","OK")))</f>
        <v>OK</v>
      </c>
      <c r="R643" t="str">
        <f t="shared" ref="R643:R706" si="21">IF(N643="","Missing","Available")</f>
        <v>Available</v>
      </c>
    </row>
    <row r="644" spans="1:18">
      <c r="A644" t="str">
        <f>TRIM(CLEAN(Raw_Data!A644))</f>
        <v>MEM0643</v>
      </c>
      <c r="B644" t="str">
        <f ca="1">TRIM(Raw_Data!B644)</f>
        <v>Anu Khan</v>
      </c>
      <c r="C644" t="str">
        <f ca="1">_xlfn.XLOOKUP(D644, Branch_Master!A:A, Branch_Master!B:B)</f>
        <v>Kochi</v>
      </c>
      <c r="D644" t="str">
        <f ca="1">TRIM(Raw_Data!D644)</f>
        <v>BR01</v>
      </c>
      <c r="E644" t="str">
        <f ca="1">PROPER(TRIM(Raw_Data!E644))</f>
        <v>Premium</v>
      </c>
      <c r="F644" s="2">
        <f>IFERROR(DATEVALUE(Raw_Data!F644), Raw_Data!F644)</f>
        <v>45886</v>
      </c>
      <c r="G644" s="2">
        <f>IFERROR(
    IF(
        IFERROR(DATEVALUE(Raw_Data!G644), Raw_Data!G644) &lt;
        IFERROR(DATEVALUE(Raw_Data!F644), Raw_Data!F644),
        IFERROR(DATEVALUE(Raw_Data!F644), Raw_Data!F644) + 30,
        IFERROR(DATEVALUE(Raw_Data!G644), Raw_Data!G644)
    ),
    ""
)</f>
        <v>46251</v>
      </c>
      <c r="H644">
        <f>IFERROR(VALUE(Raw_Data!H644), "")</f>
        <v>1000</v>
      </c>
      <c r="I644">
        <f ca="1">IFERROR(VALUE(Raw_Data!I644), "")</f>
        <v>12000</v>
      </c>
      <c r="J644">
        <f>IFERROR(
    VALUE(SUBSTITUTE(Raw_Data!J644," visits","")),
    ""
)</f>
        <v>21</v>
      </c>
      <c r="K644" t="str">
        <f ca="1">IF(TRIM(Raw_Data!K644)="","No",PROPER(TRIM(Raw_Data!K644)))</f>
        <v>No</v>
      </c>
      <c r="L644" t="str">
        <f ca="1">PROPER(TRIM(Raw_Data!L644))</f>
        <v>General Fitness</v>
      </c>
      <c r="M644" t="s">
        <v>151</v>
      </c>
      <c r="N644" s="2">
        <f>IFERROR(DATEVALUE(Raw_Data!N644), Raw_Data!N644)</f>
        <v>45955</v>
      </c>
      <c r="O644" s="2"/>
      <c r="P644" t="str">
        <f>IF(COUNTIF($A$2:A644,A644)&gt;1,"Duplicate","Unique")</f>
        <v>Unique</v>
      </c>
      <c r="Q644" t="str">
        <f t="shared" si="20"/>
        <v>OK</v>
      </c>
      <c r="R644" t="str">
        <f t="shared" si="21"/>
        <v>Available</v>
      </c>
    </row>
    <row r="645" spans="1:18">
      <c r="A645" t="str">
        <f>TRIM(CLEAN(Raw_Data!A645))</f>
        <v>MEM0644</v>
      </c>
      <c r="B645" t="str">
        <f ca="1">TRIM(Raw_Data!B645)</f>
        <v>Manoj Kapoor</v>
      </c>
      <c r="C645" t="str">
        <f ca="1">_xlfn.XLOOKUP(D645, Branch_Master!A:A, Branch_Master!B:B)</f>
        <v>Kochi</v>
      </c>
      <c r="D645" t="str">
        <f ca="1">TRIM(Raw_Data!D645)</f>
        <v>BR01</v>
      </c>
      <c r="E645" t="str">
        <f ca="1">PROPER(TRIM(Raw_Data!E645))</f>
        <v>Premium</v>
      </c>
      <c r="F645" s="2">
        <f>IFERROR(DATEVALUE(Raw_Data!F645), Raw_Data!F645)</f>
        <v>45759</v>
      </c>
      <c r="G645" s="2">
        <f>IFERROR(
    IF(
        IFERROR(DATEVALUE(Raw_Data!G645), Raw_Data!G645) &lt;
        IFERROR(DATEVALUE(Raw_Data!F645), Raw_Data!F645),
        IFERROR(DATEVALUE(Raw_Data!F645), Raw_Data!F645) + 30,
        IFERROR(DATEVALUE(Raw_Data!G645), Raw_Data!G645)
    ),
    ""
)</f>
        <v>45849</v>
      </c>
      <c r="H645">
        <f>IFERROR(VALUE(Raw_Data!H645), "")</f>
        <v>1000</v>
      </c>
      <c r="I645">
        <f ca="1">IFERROR(VALUE(Raw_Data!I645), "")</f>
        <v>8000</v>
      </c>
      <c r="J645">
        <f>IFERROR(
    VALUE(SUBSTITUTE(Raw_Data!J645," visits","")),
    ""
)</f>
        <v>17</v>
      </c>
      <c r="K645" t="str">
        <f ca="1">IF(TRIM(Raw_Data!K645)="","No",PROPER(TRIM(Raw_Data!K645)))</f>
        <v>Yes</v>
      </c>
      <c r="L645" t="str">
        <f ca="1">PROPER(TRIM(Raw_Data!L645))</f>
        <v>Weight Loss</v>
      </c>
      <c r="M645" t="s">
        <v>151</v>
      </c>
      <c r="N645" s="2">
        <f>IFERROR(DATEVALUE(Raw_Data!N645), Raw_Data!N645)</f>
        <v>45766</v>
      </c>
      <c r="O645" s="2"/>
      <c r="P645" t="str">
        <f>IF(COUNTIF($A$2:A645,A645)&gt;1,"Duplicate","Unique")</f>
        <v>Unique</v>
      </c>
      <c r="Q645" t="str">
        <f t="shared" si="20"/>
        <v>OK</v>
      </c>
      <c r="R645" t="str">
        <f t="shared" si="21"/>
        <v>Available</v>
      </c>
    </row>
    <row r="646" spans="1:18">
      <c r="A646" t="str">
        <f>TRIM(CLEAN(Raw_Data!A646))</f>
        <v>MEM0645</v>
      </c>
      <c r="B646" t="str">
        <f ca="1">TRIM(Raw_Data!B646)</f>
        <v>Divya Mathew</v>
      </c>
      <c r="C646" t="str">
        <f ca="1">_xlfn.XLOOKUP(D646, Branch_Master!A:A, Branch_Master!B:B)</f>
        <v>Mumbai</v>
      </c>
      <c r="D646" t="str">
        <f ca="1">TRIM(Raw_Data!D646)</f>
        <v>BR05</v>
      </c>
      <c r="E646" t="str">
        <f ca="1">PROPER(TRIM(Raw_Data!E646))</f>
        <v>Premium</v>
      </c>
      <c r="F646" s="2">
        <f>IFERROR(DATEVALUE(Raw_Data!F646), Raw_Data!F646)</f>
        <v>45618</v>
      </c>
      <c r="G646" s="2">
        <f>IFERROR(
    IF(
        IFERROR(DATEVALUE(Raw_Data!G646), Raw_Data!G646) &lt;
        IFERROR(DATEVALUE(Raw_Data!F646), Raw_Data!F646),
        IFERROR(DATEVALUE(Raw_Data!F646), Raw_Data!F646) + 30,
        IFERROR(DATEVALUE(Raw_Data!G646), Raw_Data!G646)
    ),
    ""
)</f>
        <v>45708</v>
      </c>
      <c r="H646">
        <f>IFERROR(VALUE(Raw_Data!H646), "")</f>
        <v>2000</v>
      </c>
      <c r="I646">
        <f ca="1">IFERROR(VALUE(Raw_Data!I646), "")</f>
        <v>10000</v>
      </c>
      <c r="J646">
        <f>IFERROR(
    VALUE(SUBSTITUTE(Raw_Data!J646," visits","")),
    ""
)</f>
        <v>13</v>
      </c>
      <c r="K646" t="str">
        <f ca="1">IF(TRIM(Raw_Data!K646)="","No",PROPER(TRIM(Raw_Data!K646)))</f>
        <v>Yes</v>
      </c>
      <c r="L646" t="str">
        <f ca="1">PROPER(TRIM(Raw_Data!L646))</f>
        <v>General Fitness</v>
      </c>
      <c r="M646" t="s">
        <v>151</v>
      </c>
      <c r="N646" s="2">
        <f>IFERROR(DATEVALUE(Raw_Data!N646), Raw_Data!N646)</f>
        <v>46073</v>
      </c>
      <c r="O646" s="2"/>
      <c r="P646" t="str">
        <f>IF(COUNTIF($A$2:A646,A646)&gt;1,"Duplicate","Unique")</f>
        <v>Unique</v>
      </c>
      <c r="Q646" t="str">
        <f t="shared" si="20"/>
        <v>OK</v>
      </c>
      <c r="R646" t="str">
        <f t="shared" si="21"/>
        <v>Available</v>
      </c>
    </row>
    <row r="647" spans="1:18">
      <c r="A647" t="str">
        <f>TRIM(CLEAN(Raw_Data!A647))</f>
        <v>MEM0646</v>
      </c>
      <c r="B647" t="str">
        <f ca="1">TRIM(Raw_Data!B647)</f>
        <v>Pooja Mathew</v>
      </c>
      <c r="C647" t="str">
        <f ca="1">_xlfn.XLOOKUP(D647, Branch_Master!A:A, Branch_Master!B:B)</f>
        <v>Kochi</v>
      </c>
      <c r="D647" t="str">
        <f ca="1">TRIM(Raw_Data!D647)</f>
        <v>BR01</v>
      </c>
      <c r="E647" t="str">
        <f ca="1">PROPER(TRIM(Raw_Data!E647))</f>
        <v>Basic</v>
      </c>
      <c r="F647" s="2">
        <f>IFERROR(DATEVALUE(Raw_Data!F647), Raw_Data!F647)</f>
        <v>45219</v>
      </c>
      <c r="G647" s="2">
        <f>IFERROR(
    IF(
        IFERROR(DATEVALUE(Raw_Data!G647), Raw_Data!G647) &lt;
        IFERROR(DATEVALUE(Raw_Data!F647), Raw_Data!F647),
        IFERROR(DATEVALUE(Raw_Data!F647), Raw_Data!F647) + 30,
        IFERROR(DATEVALUE(Raw_Data!G647), Raw_Data!G647)
    ),
    ""
)</f>
        <v>45584</v>
      </c>
      <c r="H647">
        <f>IFERROR(VALUE(Raw_Data!H647), "")</f>
        <v>1000</v>
      </c>
      <c r="I647">
        <f ca="1">IFERROR(VALUE(Raw_Data!I647), "")</f>
        <v>1000</v>
      </c>
      <c r="J647">
        <f>IFERROR(
    VALUE(SUBSTITUTE(Raw_Data!J647," visits","")),
    ""
)</f>
        <v>14</v>
      </c>
      <c r="K647" t="str">
        <f ca="1">IF(TRIM(Raw_Data!K647)="","No",PROPER(TRIM(Raw_Data!K647)))</f>
        <v>Yes</v>
      </c>
      <c r="L647" t="str">
        <f ca="1">PROPER(TRIM(Raw_Data!L647))</f>
        <v>Muscle Gain</v>
      </c>
      <c r="M647" t="s">
        <v>151</v>
      </c>
      <c r="N647" s="2">
        <f>IFERROR(DATEVALUE(Raw_Data!N647), Raw_Data!N647)</f>
        <v>46070</v>
      </c>
      <c r="O647" s="2"/>
      <c r="P647" t="str">
        <f>IF(COUNTIF($A$2:A647,A647)&gt;1,"Duplicate","Unique")</f>
        <v>Unique</v>
      </c>
      <c r="Q647" t="str">
        <f t="shared" si="20"/>
        <v>OK</v>
      </c>
      <c r="R647" t="str">
        <f t="shared" si="21"/>
        <v>Available</v>
      </c>
    </row>
    <row r="648" spans="1:18">
      <c r="A648" t="str">
        <f>TRIM(CLEAN(Raw_Data!A648))</f>
        <v>MEM0647</v>
      </c>
      <c r="B648" t="str">
        <f ca="1">TRIM(Raw_Data!B648)</f>
        <v>Manoj Singh</v>
      </c>
      <c r="C648" t="str">
        <f ca="1">_xlfn.XLOOKUP(D648, Branch_Master!A:A, Branch_Master!B:B)</f>
        <v>Calicut</v>
      </c>
      <c r="D648" t="str">
        <f ca="1">TRIM(Raw_Data!D648)</f>
        <v>BR07</v>
      </c>
      <c r="E648" t="str">
        <f ca="1">PROPER(TRIM(Raw_Data!E648))</f>
        <v>Basic</v>
      </c>
      <c r="F648" s="2">
        <f>IFERROR(DATEVALUE(Raw_Data!F648), Raw_Data!F648)</f>
        <v>45786</v>
      </c>
      <c r="G648" s="2">
        <f>IFERROR(
    IF(
        IFERROR(DATEVALUE(Raw_Data!G648), Raw_Data!G648) &lt;
        IFERROR(DATEVALUE(Raw_Data!F648), Raw_Data!F648),
        IFERROR(DATEVALUE(Raw_Data!F648), Raw_Data!F648) + 30,
        IFERROR(DATEVALUE(Raw_Data!G648), Raw_Data!G648)
    ),
    ""
)</f>
        <v>45816</v>
      </c>
      <c r="H648">
        <f>IFERROR(VALUE(Raw_Data!H648), "")</f>
        <v>2000</v>
      </c>
      <c r="I648">
        <f ca="1">IFERROR(VALUE(Raw_Data!I648), "")</f>
        <v>16000</v>
      </c>
      <c r="J648">
        <f>IFERROR(
    VALUE(SUBSTITUTE(Raw_Data!J648," visits","")),
    ""
)</f>
        <v>25</v>
      </c>
      <c r="K648" t="str">
        <f ca="1">IF(TRIM(Raw_Data!K648)="","No",PROPER(TRIM(Raw_Data!K648)))</f>
        <v>No</v>
      </c>
      <c r="L648" t="str">
        <f ca="1">PROPER(TRIM(Raw_Data!L648))</f>
        <v>Weight Loss</v>
      </c>
      <c r="M648" t="s">
        <v>151</v>
      </c>
      <c r="N648" s="2">
        <f>IFERROR(DATEVALUE(Raw_Data!N648), Raw_Data!N648)</f>
        <v>45819</v>
      </c>
      <c r="O648" s="2"/>
      <c r="P648" t="str">
        <f>IF(COUNTIF($A$2:A648,A648)&gt;1,"Duplicate","Unique")</f>
        <v>Unique</v>
      </c>
      <c r="Q648" t="str">
        <f t="shared" si="20"/>
        <v>OK</v>
      </c>
      <c r="R648" t="str">
        <f t="shared" si="21"/>
        <v>Available</v>
      </c>
    </row>
    <row r="649" spans="1:18">
      <c r="A649" t="str">
        <f>TRIM(CLEAN(Raw_Data!A649))</f>
        <v>MEM0648</v>
      </c>
      <c r="B649" t="str">
        <f ca="1">TRIM(Raw_Data!B649)</f>
        <v>Kavya Sharma</v>
      </c>
      <c r="C649" t="str">
        <f ca="1">_xlfn.XLOOKUP(D649, Branch_Master!A:A, Branch_Master!B:B)</f>
        <v>Chennai</v>
      </c>
      <c r="D649" t="str">
        <f ca="1">TRIM(Raw_Data!D649)</f>
        <v>BR03</v>
      </c>
      <c r="E649" t="str">
        <f ca="1">PROPER(TRIM(Raw_Data!E649))</f>
        <v>Basic</v>
      </c>
      <c r="F649" s="2">
        <f>IFERROR(DATEVALUE(Raw_Data!F649), Raw_Data!F649)</f>
        <v>45513</v>
      </c>
      <c r="G649" s="2">
        <f>IFERROR(
    IF(
        IFERROR(DATEVALUE(Raw_Data!G649), Raw_Data!G649) &lt;
        IFERROR(DATEVALUE(Raw_Data!F649), Raw_Data!F649),
        IFERROR(DATEVALUE(Raw_Data!F649), Raw_Data!F649) + 30,
        IFERROR(DATEVALUE(Raw_Data!G649), Raw_Data!G649)
    ),
    ""
)</f>
        <v>45603</v>
      </c>
      <c r="H649">
        <f>IFERROR(VALUE(Raw_Data!H649), "")</f>
        <v>1000</v>
      </c>
      <c r="I649">
        <f ca="1">IFERROR(VALUE(Raw_Data!I649), "")</f>
        <v>9000</v>
      </c>
      <c r="J649">
        <f>IFERROR(
    VALUE(SUBSTITUTE(Raw_Data!J649," visits","")),
    ""
)</f>
        <v>3</v>
      </c>
      <c r="K649" t="str">
        <f ca="1">IF(TRIM(Raw_Data!K649)="","No",PROPER(TRIM(Raw_Data!K649)))</f>
        <v>Yes</v>
      </c>
      <c r="L649" t="str">
        <f ca="1">PROPER(TRIM(Raw_Data!L649))</f>
        <v>Weight Loss</v>
      </c>
      <c r="M649" t="s">
        <v>151</v>
      </c>
      <c r="N649" s="2">
        <f>IFERROR(DATEVALUE(Raw_Data!N649), Raw_Data!N649)</f>
        <v>45521</v>
      </c>
      <c r="O649" s="2"/>
      <c r="P649" t="str">
        <f>IF(COUNTIF($A$2:A649,A649)&gt;1,"Duplicate","Unique")</f>
        <v>Unique</v>
      </c>
      <c r="Q649" t="str">
        <f t="shared" si="20"/>
        <v>OK</v>
      </c>
      <c r="R649" t="str">
        <f t="shared" si="21"/>
        <v>Available</v>
      </c>
    </row>
    <row r="650" spans="1:18">
      <c r="A650" t="str">
        <f>TRIM(CLEAN(Raw_Data!A650))</f>
        <v>MEM0649</v>
      </c>
      <c r="B650" t="str">
        <f ca="1">TRIM(Raw_Data!B650)</f>
        <v>Zara Khan</v>
      </c>
      <c r="C650" t="str">
        <f ca="1">_xlfn.XLOOKUP(D650, Branch_Master!A:A, Branch_Master!B:B)</f>
        <v>Trivandrum</v>
      </c>
      <c r="D650" t="str">
        <f ca="1">TRIM(Raw_Data!D650)</f>
        <v>BR06</v>
      </c>
      <c r="E650" t="str">
        <f ca="1">PROPER(TRIM(Raw_Data!E650))</f>
        <v>Premium</v>
      </c>
      <c r="F650" s="2">
        <f>IFERROR(DATEVALUE(Raw_Data!F650), Raw_Data!F650)</f>
        <v>45793</v>
      </c>
      <c r="G650" s="2">
        <f>IFERROR(
    IF(
        IFERROR(DATEVALUE(Raw_Data!G650), Raw_Data!G650) &lt;
        IFERROR(DATEVALUE(Raw_Data!F650), Raw_Data!F650),
        IFERROR(DATEVALUE(Raw_Data!F650), Raw_Data!F650) + 30,
        IFERROR(DATEVALUE(Raw_Data!G650), Raw_Data!G650)
    ),
    ""
)</f>
        <v>45823</v>
      </c>
      <c r="H650">
        <f>IFERROR(VALUE(Raw_Data!H650), "")</f>
        <v>3500</v>
      </c>
      <c r="I650">
        <f ca="1">IFERROR(VALUE(Raw_Data!I650), "")</f>
        <v>42000</v>
      </c>
      <c r="J650">
        <f>IFERROR(
    VALUE(SUBSTITUTE(Raw_Data!J650," visits","")),
    ""
)</f>
        <v>10</v>
      </c>
      <c r="K650" t="str">
        <f ca="1">IF(TRIM(Raw_Data!K650)="","No",PROPER(TRIM(Raw_Data!K650)))</f>
        <v>No</v>
      </c>
      <c r="L650" t="str">
        <f ca="1">PROPER(TRIM(Raw_Data!L650))</f>
        <v>General Fitness</v>
      </c>
      <c r="M650" t="s">
        <v>151</v>
      </c>
      <c r="N650" s="2">
        <f>IFERROR(DATEVALUE(Raw_Data!N650), Raw_Data!N650)</f>
        <v>46051</v>
      </c>
      <c r="O650" s="2"/>
      <c r="P650" t="str">
        <f>IF(COUNTIF($A$2:A650,A650)&gt;1,"Duplicate","Unique")</f>
        <v>Unique</v>
      </c>
      <c r="Q650" t="str">
        <f t="shared" si="20"/>
        <v>OK</v>
      </c>
      <c r="R650" t="str">
        <f t="shared" si="21"/>
        <v>Available</v>
      </c>
    </row>
    <row r="651" spans="1:18">
      <c r="A651" t="str">
        <f>TRIM(CLEAN(Raw_Data!A651))</f>
        <v>MEM0650</v>
      </c>
      <c r="B651" t="str">
        <f ca="1">TRIM(Raw_Data!B651)</f>
        <v>Zara Patel</v>
      </c>
      <c r="C651" t="str">
        <f ca="1">_xlfn.XLOOKUP(D651, Branch_Master!A:A, Branch_Master!B:B)</f>
        <v>Mumbai</v>
      </c>
      <c r="D651" t="str">
        <f ca="1">TRIM(Raw_Data!D651)</f>
        <v>BR05</v>
      </c>
      <c r="E651" t="str">
        <f ca="1">PROPER(TRIM(Raw_Data!E651))</f>
        <v>Standard</v>
      </c>
      <c r="F651" s="2">
        <f>IFERROR(DATEVALUE(Raw_Data!F651), Raw_Data!F651)</f>
        <v>45226</v>
      </c>
      <c r="G651" s="2">
        <f>IFERROR(
    IF(
        IFERROR(DATEVALUE(Raw_Data!G651), Raw_Data!G651) &lt;
        IFERROR(DATEVALUE(Raw_Data!F651), Raw_Data!F651),
        IFERROR(DATEVALUE(Raw_Data!F651), Raw_Data!F651) + 30,
        IFERROR(DATEVALUE(Raw_Data!G651), Raw_Data!G651)
    ),
    ""
)</f>
        <v>45256</v>
      </c>
      <c r="H651">
        <f>IFERROR(VALUE(Raw_Data!H651), "")</f>
        <v>2000</v>
      </c>
      <c r="I651">
        <f ca="1">IFERROR(VALUE(Raw_Data!I651), "")</f>
        <v>12000</v>
      </c>
      <c r="J651">
        <f>IFERROR(
    VALUE(SUBSTITUTE(Raw_Data!J651," visits","")),
    ""
)</f>
        <v>13</v>
      </c>
      <c r="K651" t="str">
        <f ca="1">IF(TRIM(Raw_Data!K651)="","No",PROPER(TRIM(Raw_Data!K651)))</f>
        <v>Yes</v>
      </c>
      <c r="L651" t="str">
        <f ca="1">PROPER(TRIM(Raw_Data!L651))</f>
        <v>General Fitness</v>
      </c>
      <c r="M651" t="s">
        <v>151</v>
      </c>
      <c r="N651" s="2">
        <f>IFERROR(DATEVALUE(Raw_Data!N651), Raw_Data!N651)</f>
        <v>45723</v>
      </c>
      <c r="O651" s="2"/>
      <c r="P651" t="str">
        <f>IF(COUNTIF($A$2:A651,A651)&gt;1,"Duplicate","Unique")</f>
        <v>Unique</v>
      </c>
      <c r="Q651" t="str">
        <f t="shared" si="20"/>
        <v>OK</v>
      </c>
      <c r="R651" t="str">
        <f t="shared" si="21"/>
        <v>Available</v>
      </c>
    </row>
    <row r="652" spans="1:18">
      <c r="A652" t="str">
        <f>TRIM(CLEAN(Raw_Data!A652))</f>
        <v>MEM0651</v>
      </c>
      <c r="B652" t="str">
        <f ca="1">TRIM(Raw_Data!B652)</f>
        <v>Ishita Patel</v>
      </c>
      <c r="C652" t="str">
        <f ca="1">_xlfn.XLOOKUP(D652, Branch_Master!A:A, Branch_Master!B:B)</f>
        <v>Bangalore</v>
      </c>
      <c r="D652" t="str">
        <f ca="1">TRIM(Raw_Data!D652)</f>
        <v>BR02</v>
      </c>
      <c r="E652" t="str">
        <f ca="1">PROPER(TRIM(Raw_Data!E652))</f>
        <v>Standard</v>
      </c>
      <c r="F652" s="2">
        <f>IFERROR(DATEVALUE(Raw_Data!F652), Raw_Data!F652)</f>
        <v>45558</v>
      </c>
      <c r="G652" s="2">
        <f>IFERROR(
    IF(
        IFERROR(DATEVALUE(Raw_Data!G652), Raw_Data!G652) &lt;
        IFERROR(DATEVALUE(Raw_Data!F652), Raw_Data!F652),
        IFERROR(DATEVALUE(Raw_Data!F652), Raw_Data!F652) + 30,
        IFERROR(DATEVALUE(Raw_Data!G652), Raw_Data!G652)
    ),
    ""
)</f>
        <v>45648</v>
      </c>
      <c r="H652">
        <f>IFERROR(VALUE(Raw_Data!H652), "")</f>
        <v>3500</v>
      </c>
      <c r="I652">
        <f ca="1">IFERROR(VALUE(Raw_Data!I652), "")</f>
        <v>31500</v>
      </c>
      <c r="J652">
        <f>IFERROR(
    VALUE(SUBSTITUTE(Raw_Data!J652," visits","")),
    ""
)</f>
        <v>13</v>
      </c>
      <c r="K652" t="str">
        <f ca="1">IF(TRIM(Raw_Data!K652)="","No",PROPER(TRIM(Raw_Data!K652)))</f>
        <v>Yes</v>
      </c>
      <c r="L652" t="str">
        <f ca="1">PROPER(TRIM(Raw_Data!L652))</f>
        <v>General Fitness</v>
      </c>
      <c r="M652" t="s">
        <v>151</v>
      </c>
      <c r="N652" s="2">
        <f>IFERROR(DATEVALUE(Raw_Data!N652), Raw_Data!N652)</f>
        <v>45564</v>
      </c>
      <c r="O652" s="2"/>
      <c r="P652" t="str">
        <f>IF(COUNTIF($A$2:A652,A652)&gt;1,"Duplicate","Unique")</f>
        <v>Unique</v>
      </c>
      <c r="Q652" t="str">
        <f t="shared" si="20"/>
        <v>OK</v>
      </c>
      <c r="R652" t="str">
        <f t="shared" si="21"/>
        <v>Available</v>
      </c>
    </row>
    <row r="653" spans="1:18">
      <c r="A653" t="str">
        <f>TRIM(CLEAN(Raw_Data!A653))</f>
        <v>MEM0652</v>
      </c>
      <c r="B653" t="str">
        <f ca="1">TRIM(Raw_Data!B653)</f>
        <v>Anu D’Souza</v>
      </c>
      <c r="C653" t="str">
        <f ca="1">_xlfn.XLOOKUP(D653, Branch_Master!A:A, Branch_Master!B:B)</f>
        <v>Kochi</v>
      </c>
      <c r="D653" t="str">
        <f ca="1">TRIM(Raw_Data!D653)</f>
        <v>BR01</v>
      </c>
      <c r="E653" t="str">
        <f ca="1">PROPER(TRIM(Raw_Data!E653))</f>
        <v>Basic</v>
      </c>
      <c r="F653" s="2">
        <f>IFERROR(DATEVALUE(Raw_Data!F653), Raw_Data!F653)</f>
        <v>45848</v>
      </c>
      <c r="G653" s="2">
        <f>IFERROR(
    IF(
        IFERROR(DATEVALUE(Raw_Data!G653), Raw_Data!G653) &lt;
        IFERROR(DATEVALUE(Raw_Data!F653), Raw_Data!F653),
        IFERROR(DATEVALUE(Raw_Data!F653), Raw_Data!F653) + 30,
        IFERROR(DATEVALUE(Raw_Data!G653), Raw_Data!G653)
    ),
    ""
)</f>
        <v>46213</v>
      </c>
      <c r="H653">
        <f>IFERROR(VALUE(Raw_Data!H653), "")</f>
        <v>1000</v>
      </c>
      <c r="I653">
        <f ca="1">IFERROR(VALUE(Raw_Data!I653), "")</f>
        <v>12000</v>
      </c>
      <c r="J653">
        <f>IFERROR(
    VALUE(SUBSTITUTE(Raw_Data!J653," visits","")),
    ""
)</f>
        <v>1</v>
      </c>
      <c r="K653" t="str">
        <f ca="1">IF(TRIM(Raw_Data!K653)="","No",PROPER(TRIM(Raw_Data!K653)))</f>
        <v>No</v>
      </c>
      <c r="L653" t="str">
        <f ca="1">PROPER(TRIM(Raw_Data!L653))</f>
        <v>Weight Loss</v>
      </c>
      <c r="M653" t="s">
        <v>151</v>
      </c>
      <c r="N653" s="2">
        <f>IFERROR(DATEVALUE(Raw_Data!N653), Raw_Data!N653)</f>
        <v>45889</v>
      </c>
      <c r="O653" s="2"/>
      <c r="P653" t="str">
        <f>IF(COUNTIF($A$2:A653,A653)&gt;1,"Duplicate","Unique")</f>
        <v>Unique</v>
      </c>
      <c r="Q653" t="str">
        <f t="shared" si="20"/>
        <v>OK</v>
      </c>
      <c r="R653" t="str">
        <f t="shared" si="21"/>
        <v>Available</v>
      </c>
    </row>
    <row r="654" spans="1:18">
      <c r="A654" t="str">
        <f>TRIM(CLEAN(Raw_Data!A654))</f>
        <v>MEM0653</v>
      </c>
      <c r="B654" t="str">
        <f ca="1">TRIM(Raw_Data!B654)</f>
        <v>Varun Chatterjee</v>
      </c>
      <c r="C654" t="str">
        <f ca="1">_xlfn.XLOOKUP(D654, Branch_Master!A:A, Branch_Master!B:B)</f>
        <v>Chennai</v>
      </c>
      <c r="D654" t="str">
        <f ca="1">TRIM(Raw_Data!D654)</f>
        <v>BR03</v>
      </c>
      <c r="E654" t="str">
        <f ca="1">PROPER(TRIM(Raw_Data!E654))</f>
        <v>Premium</v>
      </c>
      <c r="F654" s="2">
        <f>IFERROR(DATEVALUE(Raw_Data!F654), Raw_Data!F654)</f>
        <v>45999</v>
      </c>
      <c r="G654" s="2">
        <f>IFERROR(
    IF(
        IFERROR(DATEVALUE(Raw_Data!G654), Raw_Data!G654) &lt;
        IFERROR(DATEVALUE(Raw_Data!F654), Raw_Data!F654),
        IFERROR(DATEVALUE(Raw_Data!F654), Raw_Data!F654) + 30,
        IFERROR(DATEVALUE(Raw_Data!G654), Raw_Data!G654)
    ),
    ""
)</f>
        <v>46089</v>
      </c>
      <c r="H654">
        <f>IFERROR(VALUE(Raw_Data!H654), "")</f>
        <v>3500</v>
      </c>
      <c r="I654">
        <f ca="1">IFERROR(VALUE(Raw_Data!I654), "")</f>
        <v>24500</v>
      </c>
      <c r="J654">
        <f>IFERROR(
    VALUE(SUBSTITUTE(Raw_Data!J654," visits","")),
    ""
)</f>
        <v>21</v>
      </c>
      <c r="K654" t="str">
        <f ca="1">IF(TRIM(Raw_Data!K654)="","No",PROPER(TRIM(Raw_Data!K654)))</f>
        <v>Yes</v>
      </c>
      <c r="L654" t="str">
        <f ca="1">PROPER(TRIM(Raw_Data!L654))</f>
        <v>Muscle Gain</v>
      </c>
      <c r="M654" t="s">
        <v>151</v>
      </c>
      <c r="N654" s="2">
        <f>IFERROR(DATEVALUE(Raw_Data!N654), Raw_Data!N654)</f>
        <v>46083</v>
      </c>
      <c r="O654" s="2"/>
      <c r="P654" t="str">
        <f>IF(COUNTIF($A$2:A654,A654)&gt;1,"Duplicate","Unique")</f>
        <v>Unique</v>
      </c>
      <c r="Q654" t="str">
        <f t="shared" si="20"/>
        <v>OK</v>
      </c>
      <c r="R654" t="str">
        <f t="shared" si="21"/>
        <v>Available</v>
      </c>
    </row>
    <row r="655" spans="1:18">
      <c r="A655" t="str">
        <f>TRIM(CLEAN(Raw_Data!A655))</f>
        <v>MEM0654</v>
      </c>
      <c r="B655" t="str">
        <f ca="1">TRIM(Raw_Data!B655)</f>
        <v>Aditya Das</v>
      </c>
      <c r="C655" t="str">
        <f ca="1">_xlfn.XLOOKUP(D655, Branch_Master!A:A, Branch_Master!B:B)</f>
        <v>Hyderabad</v>
      </c>
      <c r="D655" t="str">
        <f ca="1">TRIM(Raw_Data!D655)</f>
        <v>BR04</v>
      </c>
      <c r="E655" t="str">
        <f ca="1">PROPER(TRIM(Raw_Data!E655))</f>
        <v>Standard</v>
      </c>
      <c r="F655" s="2">
        <f>IFERROR(DATEVALUE(Raw_Data!F655), Raw_Data!F655)</f>
        <v>45464</v>
      </c>
      <c r="G655" s="2">
        <f>IFERROR(
    IF(
        IFERROR(DATEVALUE(Raw_Data!G655), Raw_Data!G655) &lt;
        IFERROR(DATEVALUE(Raw_Data!F655), Raw_Data!F655),
        IFERROR(DATEVALUE(Raw_Data!F655), Raw_Data!F655) + 30,
        IFERROR(DATEVALUE(Raw_Data!G655), Raw_Data!G655)
    ),
    ""
)</f>
        <v>45829</v>
      </c>
      <c r="H655">
        <f>IFERROR(VALUE(Raw_Data!H655), "")</f>
        <v>2000</v>
      </c>
      <c r="I655">
        <f ca="1">IFERROR(VALUE(Raw_Data!I655), "")</f>
        <v>2000</v>
      </c>
      <c r="J655">
        <f>IFERROR(
    VALUE(SUBSTITUTE(Raw_Data!J655," visits","")),
    ""
)</f>
        <v>5</v>
      </c>
      <c r="K655" t="str">
        <f ca="1">IF(TRIM(Raw_Data!K655)="","No",PROPER(TRIM(Raw_Data!K655)))</f>
        <v>Yes</v>
      </c>
      <c r="L655" t="str">
        <f ca="1">PROPER(TRIM(Raw_Data!L655))</f>
        <v>Muscle Gain</v>
      </c>
      <c r="M655" t="s">
        <v>151</v>
      </c>
      <c r="N655" s="2">
        <f>IFERROR(DATEVALUE(Raw_Data!N655), Raw_Data!N655)</f>
        <v>45549</v>
      </c>
      <c r="O655" s="2"/>
      <c r="P655" t="str">
        <f>IF(COUNTIF($A$2:A655,A655)&gt;1,"Duplicate","Unique")</f>
        <v>Unique</v>
      </c>
      <c r="Q655" t="str">
        <f t="shared" si="20"/>
        <v>OK</v>
      </c>
      <c r="R655" t="str">
        <f t="shared" si="21"/>
        <v>Available</v>
      </c>
    </row>
    <row r="656" spans="1:18">
      <c r="A656" t="str">
        <f>TRIM(CLEAN(Raw_Data!A656))</f>
        <v>MEM0655</v>
      </c>
      <c r="B656" t="str">
        <f ca="1">TRIM(Raw_Data!B656)</f>
        <v>Fatima Gupta</v>
      </c>
      <c r="C656" t="str">
        <f ca="1">_xlfn.XLOOKUP(D656, Branch_Master!A:A, Branch_Master!B:B)</f>
        <v>Kochi</v>
      </c>
      <c r="D656" t="str">
        <f ca="1">TRIM(Raw_Data!D656)</f>
        <v>BR01</v>
      </c>
      <c r="E656" t="str">
        <f ca="1">PROPER(TRIM(Raw_Data!E656))</f>
        <v>Standard</v>
      </c>
      <c r="F656" s="2">
        <f>IFERROR(DATEVALUE(Raw_Data!F656), Raw_Data!F656)</f>
        <v>45540</v>
      </c>
      <c r="G656" s="2">
        <f>IFERROR(
    IF(
        IFERROR(DATEVALUE(Raw_Data!G656), Raw_Data!G656) &lt;
        IFERROR(DATEVALUE(Raw_Data!F656), Raw_Data!F656),
        IFERROR(DATEVALUE(Raw_Data!F656), Raw_Data!F656) + 30,
        IFERROR(DATEVALUE(Raw_Data!G656), Raw_Data!G656)
    ),
    ""
)</f>
        <v>45630</v>
      </c>
      <c r="H656">
        <f>IFERROR(VALUE(Raw_Data!H656), "")</f>
        <v>2000</v>
      </c>
      <c r="I656">
        <f ca="1">IFERROR(VALUE(Raw_Data!I656), "")</f>
        <v>4000</v>
      </c>
      <c r="J656">
        <f>IFERROR(
    VALUE(SUBSTITUTE(Raw_Data!J656," visits","")),
    ""
)</f>
        <v>9</v>
      </c>
      <c r="K656" t="str">
        <f ca="1">IF(TRIM(Raw_Data!K656)="","No",PROPER(TRIM(Raw_Data!K656)))</f>
        <v>Yes</v>
      </c>
      <c r="L656" t="str">
        <f ca="1">PROPER(TRIM(Raw_Data!L656))</f>
        <v>Weight Loss</v>
      </c>
      <c r="M656" t="s">
        <v>151</v>
      </c>
      <c r="N656" s="2">
        <f>IFERROR(DATEVALUE(Raw_Data!N656), Raw_Data!N656)</f>
        <v>45762</v>
      </c>
      <c r="O656" s="2"/>
      <c r="P656" t="str">
        <f>IF(COUNTIF($A$2:A656,A656)&gt;1,"Duplicate","Unique")</f>
        <v>Unique</v>
      </c>
      <c r="Q656" t="str">
        <f t="shared" si="20"/>
        <v>OK</v>
      </c>
      <c r="R656" t="str">
        <f t="shared" si="21"/>
        <v>Available</v>
      </c>
    </row>
    <row r="657" spans="1:18">
      <c r="A657" t="str">
        <f>TRIM(CLEAN(Raw_Data!A657))</f>
        <v>MEM0656</v>
      </c>
      <c r="B657" t="str">
        <f ca="1">TRIM(Raw_Data!B657)</f>
        <v>Zara Shetty</v>
      </c>
      <c r="C657" t="str">
        <f ca="1">_xlfn.XLOOKUP(D657, Branch_Master!A:A, Branch_Master!B:B)</f>
        <v>Mumbai</v>
      </c>
      <c r="D657" t="str">
        <f ca="1">TRIM(Raw_Data!D657)</f>
        <v>BR05</v>
      </c>
      <c r="E657" t="str">
        <f ca="1">PROPER(TRIM(Raw_Data!E657))</f>
        <v>Basic</v>
      </c>
      <c r="F657" s="2">
        <f>IFERROR(DATEVALUE(Raw_Data!F657), Raw_Data!F657)</f>
        <v>46021</v>
      </c>
      <c r="G657" s="2">
        <f>IFERROR(
    IF(
        IFERROR(DATEVALUE(Raw_Data!G657), Raw_Data!G657) &lt;
        IFERROR(DATEVALUE(Raw_Data!F657), Raw_Data!F657),
        IFERROR(DATEVALUE(Raw_Data!F657), Raw_Data!F657) + 30,
        IFERROR(DATEVALUE(Raw_Data!G657), Raw_Data!G657)
    ),
    ""
)</f>
        <v>46051</v>
      </c>
      <c r="H657">
        <f>IFERROR(VALUE(Raw_Data!H657), "")</f>
        <v>2000</v>
      </c>
      <c r="I657">
        <f ca="1">IFERROR(VALUE(Raw_Data!I657), "")</f>
        <v>14000</v>
      </c>
      <c r="J657">
        <f>IFERROR(
    VALUE(SUBSTITUTE(Raw_Data!J657," visits","")),
    ""
)</f>
        <v>5</v>
      </c>
      <c r="K657" t="str">
        <f ca="1">IF(TRIM(Raw_Data!K657)="","No",PROPER(TRIM(Raw_Data!K657)))</f>
        <v>Yes</v>
      </c>
      <c r="L657" t="str">
        <f ca="1">PROPER(TRIM(Raw_Data!L657))</f>
        <v>Weight Loss</v>
      </c>
      <c r="M657" t="s">
        <v>151</v>
      </c>
      <c r="N657" s="2">
        <f>IFERROR(DATEVALUE(Raw_Data!N657), Raw_Data!N657)</f>
        <v>46073</v>
      </c>
      <c r="O657" s="2"/>
      <c r="P657" t="str">
        <f>IF(COUNTIF($A$2:A657,A657)&gt;1,"Duplicate","Unique")</f>
        <v>Unique</v>
      </c>
      <c r="Q657" t="str">
        <f t="shared" si="20"/>
        <v>OK</v>
      </c>
      <c r="R657" t="str">
        <f t="shared" si="21"/>
        <v>Available</v>
      </c>
    </row>
    <row r="658" spans="1:18">
      <c r="A658" t="str">
        <f>TRIM(CLEAN(Raw_Data!A658))</f>
        <v>MEM0657</v>
      </c>
      <c r="B658" t="str">
        <f ca="1">TRIM(Raw_Data!B658)</f>
        <v>Lakshmi Lewis</v>
      </c>
      <c r="C658" t="str">
        <f ca="1">_xlfn.XLOOKUP(D658, Branch_Master!A:A, Branch_Master!B:B)</f>
        <v>Calicut</v>
      </c>
      <c r="D658" t="str">
        <f ca="1">TRIM(Raw_Data!D658)</f>
        <v>BR07</v>
      </c>
      <c r="E658" t="str">
        <f ca="1">PROPER(TRIM(Raw_Data!E658))</f>
        <v>Basic</v>
      </c>
      <c r="F658" s="2">
        <f>IFERROR(DATEVALUE(Raw_Data!F658), Raw_Data!F658)</f>
        <v>45271</v>
      </c>
      <c r="G658" s="2">
        <f>IFERROR(
    IF(
        IFERROR(DATEVALUE(Raw_Data!G658), Raw_Data!G658) &lt;
        IFERROR(DATEVALUE(Raw_Data!F658), Raw_Data!F658),
        IFERROR(DATEVALUE(Raw_Data!F658), Raw_Data!F658) + 30,
        IFERROR(DATEVALUE(Raw_Data!G658), Raw_Data!G658)
    ),
    ""
)</f>
        <v>45636</v>
      </c>
      <c r="H658">
        <f>IFERROR(VALUE(Raw_Data!H658), "")</f>
        <v>3500</v>
      </c>
      <c r="I658">
        <f ca="1">IFERROR(VALUE(Raw_Data!I658), "")</f>
        <v>17500</v>
      </c>
      <c r="J658">
        <f>IFERROR(
    VALUE(SUBSTITUTE(Raw_Data!J658," visits","")),
    ""
)</f>
        <v>5</v>
      </c>
      <c r="K658" t="str">
        <f ca="1">IF(TRIM(Raw_Data!K658)="","No",PROPER(TRIM(Raw_Data!K658)))</f>
        <v>No</v>
      </c>
      <c r="L658" t="str">
        <f ca="1">PROPER(TRIM(Raw_Data!L658))</f>
        <v>Weight Loss</v>
      </c>
      <c r="M658" t="s">
        <v>152</v>
      </c>
      <c r="N658" s="2">
        <f>IFERROR(DATEVALUE(Raw_Data!N658), Raw_Data!N658)</f>
        <v>45652</v>
      </c>
      <c r="O658" s="2"/>
      <c r="P658" t="str">
        <f>IF(COUNTIF($A$2:A658,A658)&gt;1,"Duplicate","Unique")</f>
        <v>Unique</v>
      </c>
      <c r="Q658" t="str">
        <f t="shared" si="20"/>
        <v>Cancelled but Active</v>
      </c>
      <c r="R658" t="str">
        <f t="shared" si="21"/>
        <v>Available</v>
      </c>
    </row>
    <row r="659" spans="1:18">
      <c r="A659" t="str">
        <f>TRIM(CLEAN(Raw_Data!A659))</f>
        <v>MEM0658</v>
      </c>
      <c r="B659" t="str">
        <f ca="1">TRIM(Raw_Data!B659)</f>
        <v>Manoj Agarwal</v>
      </c>
      <c r="C659" t="str">
        <f ca="1">_xlfn.XLOOKUP(D659, Branch_Master!A:A, Branch_Master!B:B)</f>
        <v>Calicut</v>
      </c>
      <c r="D659" t="str">
        <f ca="1">TRIM(Raw_Data!D659)</f>
        <v>BR07</v>
      </c>
      <c r="E659" t="str">
        <f ca="1">PROPER(TRIM(Raw_Data!E659))</f>
        <v>Premium</v>
      </c>
      <c r="F659" s="2">
        <f>IFERROR(DATEVALUE(Raw_Data!F659), Raw_Data!F659)</f>
        <v>45900</v>
      </c>
      <c r="G659" s="2">
        <f>IFERROR(
    IF(
        IFERROR(DATEVALUE(Raw_Data!G659), Raw_Data!G659) &lt;
        IFERROR(DATEVALUE(Raw_Data!F659), Raw_Data!F659),
        IFERROR(DATEVALUE(Raw_Data!F659), Raw_Data!F659) + 30,
        IFERROR(DATEVALUE(Raw_Data!G659), Raw_Data!G659)
    ),
    ""
)</f>
        <v>45990</v>
      </c>
      <c r="H659">
        <f>IFERROR(VALUE(Raw_Data!H659), "")</f>
        <v>1000</v>
      </c>
      <c r="I659">
        <f ca="1">IFERROR(VALUE(Raw_Data!I659), "")</f>
        <v>2000</v>
      </c>
      <c r="J659">
        <f>IFERROR(
    VALUE(SUBSTITUTE(Raw_Data!J659," visits","")),
    ""
)</f>
        <v>8</v>
      </c>
      <c r="K659" t="str">
        <f ca="1">IF(TRIM(Raw_Data!K659)="","No",PROPER(TRIM(Raw_Data!K659)))</f>
        <v>No</v>
      </c>
      <c r="L659" t="str">
        <f ca="1">PROPER(TRIM(Raw_Data!L659))</f>
        <v>General Fitness</v>
      </c>
      <c r="M659" t="s">
        <v>151</v>
      </c>
      <c r="N659" s="2">
        <f>IFERROR(DATEVALUE(Raw_Data!N659), Raw_Data!N659)</f>
        <v>46094</v>
      </c>
      <c r="O659" s="2"/>
      <c r="P659" t="str">
        <f>IF(COUNTIF($A$2:A659,A659)&gt;1,"Duplicate","Unique")</f>
        <v>Unique</v>
      </c>
      <c r="Q659" t="str">
        <f t="shared" si="20"/>
        <v>OK</v>
      </c>
      <c r="R659" t="str">
        <f t="shared" si="21"/>
        <v>Available</v>
      </c>
    </row>
    <row r="660" spans="1:18">
      <c r="A660" t="str">
        <f>TRIM(CLEAN(Raw_Data!A660))</f>
        <v>MEM0659</v>
      </c>
      <c r="B660" t="str">
        <f ca="1">TRIM(Raw_Data!B660)</f>
        <v>Nikhil Joshi</v>
      </c>
      <c r="C660" t="str">
        <f ca="1">_xlfn.XLOOKUP(D660, Branch_Master!A:A, Branch_Master!B:B)</f>
        <v>Trivandrum</v>
      </c>
      <c r="D660" t="str">
        <f ca="1">TRIM(Raw_Data!D660)</f>
        <v>BR06</v>
      </c>
      <c r="E660" t="str">
        <f ca="1">PROPER(TRIM(Raw_Data!E660))</f>
        <v>Basic</v>
      </c>
      <c r="F660" s="2">
        <f>IFERROR(DATEVALUE(Raw_Data!F660), Raw_Data!F660)</f>
        <v>45475</v>
      </c>
      <c r="G660" s="2">
        <f>IFERROR(
    IF(
        IFERROR(DATEVALUE(Raw_Data!G660), Raw_Data!G660) &lt;
        IFERROR(DATEVALUE(Raw_Data!F660), Raw_Data!F660),
        IFERROR(DATEVALUE(Raw_Data!F660), Raw_Data!F660) + 30,
        IFERROR(DATEVALUE(Raw_Data!G660), Raw_Data!G660)
    ),
    ""
)</f>
        <v>45840</v>
      </c>
      <c r="H660">
        <f>IFERROR(VALUE(Raw_Data!H660), "")</f>
        <v>3500</v>
      </c>
      <c r="I660">
        <f ca="1">IFERROR(VALUE(Raw_Data!I660), "")</f>
        <v>14000</v>
      </c>
      <c r="J660">
        <f>IFERROR(
    VALUE(SUBSTITUTE(Raw_Data!J660," visits","")),
    ""
)</f>
        <v>12</v>
      </c>
      <c r="K660" t="str">
        <f ca="1">IF(TRIM(Raw_Data!K660)="","No",PROPER(TRIM(Raw_Data!K660)))</f>
        <v>Yes</v>
      </c>
      <c r="L660" t="str">
        <f ca="1">PROPER(TRIM(Raw_Data!L660))</f>
        <v>Muscle Gain</v>
      </c>
      <c r="M660" t="s">
        <v>151</v>
      </c>
      <c r="N660" s="2">
        <f>IFERROR(DATEVALUE(Raw_Data!N660), Raw_Data!N660)</f>
        <v>45685</v>
      </c>
      <c r="O660" s="2"/>
      <c r="P660" t="str">
        <f>IF(COUNTIF($A$2:A660,A660)&gt;1,"Duplicate","Unique")</f>
        <v>Unique</v>
      </c>
      <c r="Q660" t="str">
        <f t="shared" si="20"/>
        <v>OK</v>
      </c>
      <c r="R660" t="str">
        <f t="shared" si="21"/>
        <v>Available</v>
      </c>
    </row>
    <row r="661" spans="1:18">
      <c r="A661" t="str">
        <f>TRIM(CLEAN(Raw_Data!A661))</f>
        <v>MEM0660</v>
      </c>
      <c r="B661" t="str">
        <f ca="1">TRIM(Raw_Data!B661)</f>
        <v>Zara Bhat</v>
      </c>
      <c r="C661" t="str">
        <f ca="1">_xlfn.XLOOKUP(D661, Branch_Master!A:A, Branch_Master!B:B)</f>
        <v>Calicut</v>
      </c>
      <c r="D661" t="str">
        <f ca="1">TRIM(Raw_Data!D661)</f>
        <v>BR07</v>
      </c>
      <c r="E661" t="str">
        <f ca="1">PROPER(TRIM(Raw_Data!E661))</f>
        <v>Basic</v>
      </c>
      <c r="F661" s="2">
        <f>IFERROR(DATEVALUE(Raw_Data!F661), Raw_Data!F661)</f>
        <v>46000</v>
      </c>
      <c r="G661" s="2">
        <f>IFERROR(
    IF(
        IFERROR(DATEVALUE(Raw_Data!G661), Raw_Data!G661) &lt;
        IFERROR(DATEVALUE(Raw_Data!F661), Raw_Data!F661),
        IFERROR(DATEVALUE(Raw_Data!F661), Raw_Data!F661) + 30,
        IFERROR(DATEVALUE(Raw_Data!G661), Raw_Data!G661)
    ),
    ""
)</f>
        <v>46090</v>
      </c>
      <c r="H661">
        <f>IFERROR(VALUE(Raw_Data!H661), "")</f>
        <v>1000</v>
      </c>
      <c r="I661">
        <f ca="1">IFERROR(VALUE(Raw_Data!I661), "")</f>
        <v>11000</v>
      </c>
      <c r="J661">
        <f>IFERROR(
    VALUE(SUBSTITUTE(Raw_Data!J661," visits","")),
    ""
)</f>
        <v>4</v>
      </c>
      <c r="K661" t="str">
        <f ca="1">IF(TRIM(Raw_Data!K661)="","No",PROPER(TRIM(Raw_Data!K661)))</f>
        <v>No</v>
      </c>
      <c r="L661" t="str">
        <f ca="1">PROPER(TRIM(Raw_Data!L661))</f>
        <v>General Fitness</v>
      </c>
      <c r="M661" t="s">
        <v>151</v>
      </c>
      <c r="N661" s="2">
        <f>IFERROR(DATEVALUE(Raw_Data!N661), Raw_Data!N661)</f>
        <v>46053</v>
      </c>
      <c r="O661" s="2"/>
      <c r="P661" t="str">
        <f>IF(COUNTIF($A$2:A661,A661)&gt;1,"Duplicate","Unique")</f>
        <v>Unique</v>
      </c>
      <c r="Q661" t="str">
        <f t="shared" si="20"/>
        <v>OK</v>
      </c>
      <c r="R661" t="str">
        <f t="shared" si="21"/>
        <v>Available</v>
      </c>
    </row>
    <row r="662" spans="1:18">
      <c r="A662" t="str">
        <f>TRIM(CLEAN(Raw_Data!A662))</f>
        <v>MEM0661</v>
      </c>
      <c r="B662" t="str">
        <f ca="1">TRIM(Raw_Data!B662)</f>
        <v>Ankit Kapoor</v>
      </c>
      <c r="C662" t="str">
        <f ca="1">_xlfn.XLOOKUP(D662, Branch_Master!A:A, Branch_Master!B:B)</f>
        <v>Bangalore</v>
      </c>
      <c r="D662" t="str">
        <f ca="1">TRIM(Raw_Data!D662)</f>
        <v>BR02</v>
      </c>
      <c r="E662" t="str">
        <f ca="1">PROPER(TRIM(Raw_Data!E662))</f>
        <v>Premium</v>
      </c>
      <c r="F662" s="2">
        <f>IFERROR(DATEVALUE(Raw_Data!F662), Raw_Data!F662)</f>
        <v>45060</v>
      </c>
      <c r="G662" s="2">
        <f>IFERROR(
    IF(
        IFERROR(DATEVALUE(Raw_Data!G662), Raw_Data!G662) &lt;
        IFERROR(DATEVALUE(Raw_Data!F662), Raw_Data!F662),
        IFERROR(DATEVALUE(Raw_Data!F662), Raw_Data!F662) + 30,
        IFERROR(DATEVALUE(Raw_Data!G662), Raw_Data!G662)
    ),
    ""
)</f>
        <v>45425</v>
      </c>
      <c r="H662">
        <f>IFERROR(VALUE(Raw_Data!H662), "")</f>
        <v>2000</v>
      </c>
      <c r="I662">
        <f ca="1">IFERROR(VALUE(Raw_Data!I662), "")</f>
        <v>4000</v>
      </c>
      <c r="J662">
        <f>IFERROR(
    VALUE(SUBSTITUTE(Raw_Data!J662," visits","")),
    ""
)</f>
        <v>0</v>
      </c>
      <c r="K662" t="str">
        <f ca="1">IF(TRIM(Raw_Data!K662)="","No",PROPER(TRIM(Raw_Data!K662)))</f>
        <v>Yes</v>
      </c>
      <c r="L662" t="str">
        <f ca="1">PROPER(TRIM(Raw_Data!L662))</f>
        <v>Weight Loss</v>
      </c>
      <c r="M662" t="s">
        <v>152</v>
      </c>
      <c r="N662" s="2">
        <f>IFERROR(DATEVALUE(Raw_Data!N662), Raw_Data!N662)</f>
        <v>45100</v>
      </c>
      <c r="O662" s="2"/>
      <c r="P662" t="str">
        <f>IF(COUNTIF($A$2:A662,A662)&gt;1,"Duplicate","Unique")</f>
        <v>Unique</v>
      </c>
      <c r="Q662" t="str">
        <f t="shared" si="20"/>
        <v>Cancelled but Active</v>
      </c>
      <c r="R662" t="str">
        <f t="shared" si="21"/>
        <v>Available</v>
      </c>
    </row>
    <row r="663" spans="1:18">
      <c r="A663" t="str">
        <f>TRIM(CLEAN(Raw_Data!A663))</f>
        <v>MEM0662</v>
      </c>
      <c r="B663" t="str">
        <f ca="1">TRIM(Raw_Data!B663)</f>
        <v>Divya George</v>
      </c>
      <c r="C663" t="str">
        <f ca="1">_xlfn.XLOOKUP(D663, Branch_Master!A:A, Branch_Master!B:B)</f>
        <v>Hyderabad</v>
      </c>
      <c r="D663" t="str">
        <f ca="1">TRIM(Raw_Data!D663)</f>
        <v>BR04</v>
      </c>
      <c r="E663" t="str">
        <f ca="1">PROPER(TRIM(Raw_Data!E663))</f>
        <v>Basic</v>
      </c>
      <c r="F663" s="2">
        <f>IFERROR(DATEVALUE(Raw_Data!F663), Raw_Data!F663)</f>
        <v>45485</v>
      </c>
      <c r="G663" s="2">
        <f>IFERROR(
    IF(
        IFERROR(DATEVALUE(Raw_Data!G663), Raw_Data!G663) &lt;
        IFERROR(DATEVALUE(Raw_Data!F663), Raw_Data!F663),
        IFERROR(DATEVALUE(Raw_Data!F663), Raw_Data!F663) + 30,
        IFERROR(DATEVALUE(Raw_Data!G663), Raw_Data!G663)
    ),
    ""
)</f>
        <v>45850</v>
      </c>
      <c r="H663">
        <f>IFERROR(VALUE(Raw_Data!H663), "")</f>
        <v>3500</v>
      </c>
      <c r="I663">
        <f ca="1">IFERROR(VALUE(Raw_Data!I663), "")</f>
        <v>17500</v>
      </c>
      <c r="J663">
        <f>IFERROR(
    VALUE(SUBSTITUTE(Raw_Data!J663," visits","")),
    ""
)</f>
        <v>18</v>
      </c>
      <c r="K663" t="str">
        <f ca="1">IF(TRIM(Raw_Data!K663)="","No",PROPER(TRIM(Raw_Data!K663)))</f>
        <v>Yes</v>
      </c>
      <c r="L663" t="str">
        <f ca="1">PROPER(TRIM(Raw_Data!L663))</f>
        <v>Weight Loss</v>
      </c>
      <c r="M663" t="s">
        <v>151</v>
      </c>
      <c r="N663" s="2">
        <f>IFERROR(DATEVALUE(Raw_Data!N663), Raw_Data!N663)</f>
        <v>45765</v>
      </c>
      <c r="O663" s="2"/>
      <c r="P663" t="str">
        <f>IF(COUNTIF($A$2:A663,A663)&gt;1,"Duplicate","Unique")</f>
        <v>Unique</v>
      </c>
      <c r="Q663" t="str">
        <f t="shared" si="20"/>
        <v>OK</v>
      </c>
      <c r="R663" t="str">
        <f t="shared" si="21"/>
        <v>Available</v>
      </c>
    </row>
    <row r="664" spans="1:18">
      <c r="A664" t="str">
        <f>TRIM(CLEAN(Raw_Data!A664))</f>
        <v>MEM0663</v>
      </c>
      <c r="B664" t="str">
        <f ca="1">TRIM(Raw_Data!B664)</f>
        <v>Anjali Lewis</v>
      </c>
      <c r="C664" t="str">
        <f ca="1">_xlfn.XLOOKUP(D664, Branch_Master!A:A, Branch_Master!B:B)</f>
        <v>Bangalore</v>
      </c>
      <c r="D664" t="str">
        <f ca="1">TRIM(Raw_Data!D664)</f>
        <v>BR02</v>
      </c>
      <c r="E664" t="str">
        <f ca="1">PROPER(TRIM(Raw_Data!E664))</f>
        <v>Basic</v>
      </c>
      <c r="F664" s="2">
        <f>IFERROR(DATEVALUE(Raw_Data!F664), Raw_Data!F664)</f>
        <v>45846</v>
      </c>
      <c r="G664" s="2">
        <f>IFERROR(
    IF(
        IFERROR(DATEVALUE(Raw_Data!G664), Raw_Data!G664) &lt;
        IFERROR(DATEVALUE(Raw_Data!F664), Raw_Data!F664),
        IFERROR(DATEVALUE(Raw_Data!F664), Raw_Data!F664) + 30,
        IFERROR(DATEVALUE(Raw_Data!G664), Raw_Data!G664)
    ),
    ""
)</f>
        <v>45936</v>
      </c>
      <c r="H664">
        <f>IFERROR(VALUE(Raw_Data!H664), "")</f>
        <v>2000</v>
      </c>
      <c r="I664">
        <f ca="1">IFERROR(VALUE(Raw_Data!I664), "")</f>
        <v>16000</v>
      </c>
      <c r="J664">
        <f>IFERROR(
    VALUE(SUBSTITUTE(Raw_Data!J664," visits","")),
    ""
)</f>
        <v>16</v>
      </c>
      <c r="K664" t="str">
        <f ca="1">IF(TRIM(Raw_Data!K664)="","No",PROPER(TRIM(Raw_Data!K664)))</f>
        <v>Yes</v>
      </c>
      <c r="L664" t="str">
        <f ca="1">PROPER(TRIM(Raw_Data!L664))</f>
        <v>Muscle Gain</v>
      </c>
      <c r="M664" t="s">
        <v>151</v>
      </c>
      <c r="N664" s="2">
        <f>IFERROR(DATEVALUE(Raw_Data!N664), Raw_Data!N664)</f>
        <v>45952</v>
      </c>
      <c r="O664" s="2"/>
      <c r="P664" t="str">
        <f>IF(COUNTIF($A$2:A664,A664)&gt;1,"Duplicate","Unique")</f>
        <v>Unique</v>
      </c>
      <c r="Q664" t="str">
        <f t="shared" si="20"/>
        <v>OK</v>
      </c>
      <c r="R664" t="str">
        <f t="shared" si="21"/>
        <v>Available</v>
      </c>
    </row>
    <row r="665" spans="1:18">
      <c r="A665" t="str">
        <f>TRIM(CLEAN(Raw_Data!A665))</f>
        <v>MEM0664</v>
      </c>
      <c r="B665" t="str">
        <f ca="1">TRIM(Raw_Data!B665)</f>
        <v>Siddharth Shetty</v>
      </c>
      <c r="C665" t="str">
        <f ca="1">_xlfn.XLOOKUP(D665, Branch_Master!A:A, Branch_Master!B:B)</f>
        <v>Trivandrum</v>
      </c>
      <c r="D665" t="str">
        <f ca="1">TRIM(Raw_Data!D665)</f>
        <v>BR06</v>
      </c>
      <c r="E665" t="str">
        <f ca="1">PROPER(TRIM(Raw_Data!E665))</f>
        <v>Premium</v>
      </c>
      <c r="F665" s="2">
        <f>IFERROR(DATEVALUE(Raw_Data!F665), Raw_Data!F665)</f>
        <v>45345</v>
      </c>
      <c r="G665" s="2">
        <f>IFERROR(
    IF(
        IFERROR(DATEVALUE(Raw_Data!G665), Raw_Data!G665) &lt;
        IFERROR(DATEVALUE(Raw_Data!F665), Raw_Data!F665),
        IFERROR(DATEVALUE(Raw_Data!F665), Raw_Data!F665) + 30,
        IFERROR(DATEVALUE(Raw_Data!G665), Raw_Data!G665)
    ),
    ""
)</f>
        <v>45435</v>
      </c>
      <c r="H665">
        <f>IFERROR(VALUE(Raw_Data!H665), "")</f>
        <v>2000</v>
      </c>
      <c r="I665">
        <f ca="1">IFERROR(VALUE(Raw_Data!I665), "")</f>
        <v>22000</v>
      </c>
      <c r="J665">
        <f>IFERROR(
    VALUE(SUBSTITUTE(Raw_Data!J665," visits","")),
    ""
)</f>
        <v>13</v>
      </c>
      <c r="K665" t="str">
        <f ca="1">IF(TRIM(Raw_Data!K665)="","No",PROPER(TRIM(Raw_Data!K665)))</f>
        <v>No</v>
      </c>
      <c r="L665" t="str">
        <f ca="1">PROPER(TRIM(Raw_Data!L665))</f>
        <v>General Fitness</v>
      </c>
      <c r="M665" t="s">
        <v>151</v>
      </c>
      <c r="N665" s="2">
        <f>IFERROR(DATEVALUE(Raw_Data!N665), Raw_Data!N665)</f>
        <v>46100</v>
      </c>
      <c r="O665" s="2"/>
      <c r="P665" t="str">
        <f>IF(COUNTIF($A$2:A665,A665)&gt;1,"Duplicate","Unique")</f>
        <v>Unique</v>
      </c>
      <c r="Q665" t="str">
        <f t="shared" si="20"/>
        <v>OK</v>
      </c>
      <c r="R665" t="str">
        <f t="shared" si="21"/>
        <v>Available</v>
      </c>
    </row>
    <row r="666" spans="1:18">
      <c r="A666" t="str">
        <f>TRIM(CLEAN(Raw_Data!A666))</f>
        <v>MEM0665</v>
      </c>
      <c r="B666" t="str">
        <f ca="1">TRIM(Raw_Data!B666)</f>
        <v>Deepak Mathew</v>
      </c>
      <c r="C666" t="str">
        <f ca="1">_xlfn.XLOOKUP(D666, Branch_Master!A:A, Branch_Master!B:B)</f>
        <v>Mumbai</v>
      </c>
      <c r="D666" t="str">
        <f ca="1">TRIM(Raw_Data!D666)</f>
        <v>BR05</v>
      </c>
      <c r="E666" t="str">
        <f ca="1">PROPER(TRIM(Raw_Data!E666))</f>
        <v>Standard</v>
      </c>
      <c r="F666" s="2">
        <f>IFERROR(DATEVALUE(Raw_Data!F666), Raw_Data!F666)</f>
        <v>45042</v>
      </c>
      <c r="G666" s="2">
        <f>IFERROR(
    IF(
        IFERROR(DATEVALUE(Raw_Data!G666), Raw_Data!G666) &lt;
        IFERROR(DATEVALUE(Raw_Data!F666), Raw_Data!F666),
        IFERROR(DATEVALUE(Raw_Data!F666), Raw_Data!F666) + 30,
        IFERROR(DATEVALUE(Raw_Data!G666), Raw_Data!G666)
    ),
    ""
)</f>
        <v>45072</v>
      </c>
      <c r="H666">
        <f>IFERROR(VALUE(Raw_Data!H666), "")</f>
        <v>2000</v>
      </c>
      <c r="I666">
        <f ca="1">IFERROR(VALUE(Raw_Data!I666), "")</f>
        <v>8000</v>
      </c>
      <c r="J666">
        <f>IFERROR(
    VALUE(SUBSTITUTE(Raw_Data!J666," visits","")),
    ""
)</f>
        <v>24</v>
      </c>
      <c r="K666" t="str">
        <f ca="1">IF(TRIM(Raw_Data!K666)="","No",PROPER(TRIM(Raw_Data!K666)))</f>
        <v>No</v>
      </c>
      <c r="L666" t="str">
        <f ca="1">PROPER(TRIM(Raw_Data!L666))</f>
        <v>Weight Loss</v>
      </c>
      <c r="M666" t="s">
        <v>151</v>
      </c>
      <c r="N666" s="2">
        <f>IFERROR(DATEVALUE(Raw_Data!N666), Raw_Data!N666)</f>
        <v>45831</v>
      </c>
      <c r="O666" s="2"/>
      <c r="P666" t="str">
        <f>IF(COUNTIF($A$2:A666,A666)&gt;1,"Duplicate","Unique")</f>
        <v>Unique</v>
      </c>
      <c r="Q666" t="str">
        <f t="shared" si="20"/>
        <v>OK</v>
      </c>
      <c r="R666" t="str">
        <f t="shared" si="21"/>
        <v>Available</v>
      </c>
    </row>
    <row r="667" spans="1:18">
      <c r="A667" t="str">
        <f>TRIM(CLEAN(Raw_Data!A667))</f>
        <v>MEM0666</v>
      </c>
      <c r="B667" t="str">
        <f ca="1">TRIM(Raw_Data!B667)</f>
        <v>Riya Agarwal</v>
      </c>
      <c r="C667" t="str">
        <f ca="1">_xlfn.XLOOKUP(D667, Branch_Master!A:A, Branch_Master!B:B)</f>
        <v>Mumbai</v>
      </c>
      <c r="D667" t="str">
        <f ca="1">TRIM(Raw_Data!D667)</f>
        <v>BR05</v>
      </c>
      <c r="E667" t="str">
        <f ca="1">PROPER(TRIM(Raw_Data!E667))</f>
        <v>Basic</v>
      </c>
      <c r="F667" s="2">
        <f>IFERROR(DATEVALUE(Raw_Data!F667), Raw_Data!F667)</f>
        <v>45901</v>
      </c>
      <c r="G667" s="2">
        <f>IFERROR(
    IF(
        IFERROR(DATEVALUE(Raw_Data!G667), Raw_Data!G667) &lt;
        IFERROR(DATEVALUE(Raw_Data!F667), Raw_Data!F667),
        IFERROR(DATEVALUE(Raw_Data!F667), Raw_Data!F667) + 30,
        IFERROR(DATEVALUE(Raw_Data!G667), Raw_Data!G667)
    ),
    ""
)</f>
        <v>46266</v>
      </c>
      <c r="H667">
        <f>IFERROR(VALUE(Raw_Data!H667), "")</f>
        <v>1000</v>
      </c>
      <c r="I667">
        <f ca="1">IFERROR(VALUE(Raw_Data!I667), "")</f>
        <v>6000</v>
      </c>
      <c r="J667">
        <f>IFERROR(
    VALUE(SUBSTITUTE(Raw_Data!J667," visits","")),
    ""
)</f>
        <v>13</v>
      </c>
      <c r="K667" t="str">
        <f ca="1">IF(TRIM(Raw_Data!K667)="","No",PROPER(TRIM(Raw_Data!K667)))</f>
        <v>Yes</v>
      </c>
      <c r="L667" t="str">
        <f ca="1">PROPER(TRIM(Raw_Data!L667))</f>
        <v>Muscle Gain</v>
      </c>
      <c r="M667" t="s">
        <v>151</v>
      </c>
      <c r="N667" s="2">
        <f>IFERROR(DATEVALUE(Raw_Data!N667), Raw_Data!N667)</f>
        <v>46115</v>
      </c>
      <c r="O667" s="2"/>
      <c r="P667" t="str">
        <f>IF(COUNTIF($A$2:A667,A667)&gt;1,"Duplicate","Unique")</f>
        <v>Unique</v>
      </c>
      <c r="Q667" t="str">
        <f t="shared" si="20"/>
        <v>OK</v>
      </c>
      <c r="R667" t="str">
        <f t="shared" si="21"/>
        <v>Available</v>
      </c>
    </row>
    <row r="668" spans="1:18">
      <c r="A668" t="str">
        <f>TRIM(CLEAN(Raw_Data!A668))</f>
        <v>MEM0667</v>
      </c>
      <c r="B668" t="str">
        <f ca="1">TRIM(Raw_Data!B668)</f>
        <v>Harish Iyer</v>
      </c>
      <c r="C668" t="str">
        <f ca="1">_xlfn.XLOOKUP(D668, Branch_Master!A:A, Branch_Master!B:B)</f>
        <v>Bangalore</v>
      </c>
      <c r="D668" t="str">
        <f ca="1">TRIM(Raw_Data!D668)</f>
        <v>BR02</v>
      </c>
      <c r="E668" t="str">
        <f ca="1">PROPER(TRIM(Raw_Data!E668))</f>
        <v>Basic</v>
      </c>
      <c r="F668" s="2">
        <f>IFERROR(DATEVALUE(Raw_Data!F668), Raw_Data!F668)</f>
        <v>45991</v>
      </c>
      <c r="G668" s="2">
        <f>IFERROR(
    IF(
        IFERROR(DATEVALUE(Raw_Data!G668), Raw_Data!G668) &lt;
        IFERROR(DATEVALUE(Raw_Data!F668), Raw_Data!F668),
        IFERROR(DATEVALUE(Raw_Data!F668), Raw_Data!F668) + 30,
        IFERROR(DATEVALUE(Raw_Data!G668), Raw_Data!G668)
    ),
    ""
)</f>
        <v>46356</v>
      </c>
      <c r="H668">
        <f>IFERROR(VALUE(Raw_Data!H668), "")</f>
        <v>3500</v>
      </c>
      <c r="I668">
        <f ca="1">IFERROR(VALUE(Raw_Data!I668), "")</f>
        <v>31500</v>
      </c>
      <c r="J668">
        <f>IFERROR(
    VALUE(SUBSTITUTE(Raw_Data!J668," visits","")),
    ""
)</f>
        <v>20</v>
      </c>
      <c r="K668" t="str">
        <f ca="1">IF(TRIM(Raw_Data!K668)="","No",PROPER(TRIM(Raw_Data!K668)))</f>
        <v>No</v>
      </c>
      <c r="L668" t="str">
        <f ca="1">PROPER(TRIM(Raw_Data!L668))</f>
        <v>Weight Loss</v>
      </c>
      <c r="M668" t="s">
        <v>151</v>
      </c>
      <c r="N668" s="2">
        <f>IFERROR(DATEVALUE(Raw_Data!N668), Raw_Data!N668)</f>
        <v>46083</v>
      </c>
      <c r="O668" s="2"/>
      <c r="P668" t="str">
        <f>IF(COUNTIF($A$2:A668,A668)&gt;1,"Duplicate","Unique")</f>
        <v>Unique</v>
      </c>
      <c r="Q668" t="str">
        <f t="shared" si="20"/>
        <v>OK</v>
      </c>
      <c r="R668" t="str">
        <f t="shared" si="21"/>
        <v>Available</v>
      </c>
    </row>
    <row r="669" spans="1:18">
      <c r="A669" t="str">
        <f>TRIM(CLEAN(Raw_Data!A669))</f>
        <v>MEM0668</v>
      </c>
      <c r="B669" t="str">
        <f ca="1">TRIM(Raw_Data!B669)</f>
        <v>Lakshmi Joshi</v>
      </c>
      <c r="C669" t="str">
        <f ca="1">_xlfn.XLOOKUP(D669, Branch_Master!A:A, Branch_Master!B:B)</f>
        <v>Bangalore</v>
      </c>
      <c r="D669" t="str">
        <f ca="1">TRIM(Raw_Data!D669)</f>
        <v>BR02</v>
      </c>
      <c r="E669" t="str">
        <f ca="1">PROPER(TRIM(Raw_Data!E669))</f>
        <v>Premium</v>
      </c>
      <c r="F669" s="2">
        <f>IFERROR(DATEVALUE(Raw_Data!F669), Raw_Data!F669)</f>
        <v>45231</v>
      </c>
      <c r="G669" s="2">
        <f>IFERROR(
    IF(
        IFERROR(DATEVALUE(Raw_Data!G669), Raw_Data!G669) &lt;
        IFERROR(DATEVALUE(Raw_Data!F669), Raw_Data!F669),
        IFERROR(DATEVALUE(Raw_Data!F669), Raw_Data!F669) + 30,
        IFERROR(DATEVALUE(Raw_Data!G669), Raw_Data!G669)
    ),
    ""
)</f>
        <v>45321</v>
      </c>
      <c r="H669">
        <f>IFERROR(VALUE(Raw_Data!H669), "")</f>
        <v>3500</v>
      </c>
      <c r="I669">
        <f ca="1">IFERROR(VALUE(Raw_Data!I669), "")</f>
        <v>35000</v>
      </c>
      <c r="J669">
        <f>IFERROR(
    VALUE(SUBSTITUTE(Raw_Data!J669," visits","")),
    ""
)</f>
        <v>19</v>
      </c>
      <c r="K669" t="str">
        <f ca="1">IF(TRIM(Raw_Data!K669)="","No",PROPER(TRIM(Raw_Data!K669)))</f>
        <v>No</v>
      </c>
      <c r="L669" t="str">
        <f ca="1">PROPER(TRIM(Raw_Data!L669))</f>
        <v>General Fitness</v>
      </c>
      <c r="M669" t="s">
        <v>151</v>
      </c>
      <c r="N669" s="2">
        <f>IFERROR(DATEVALUE(Raw_Data!N669), Raw_Data!N669)</f>
        <v>45663</v>
      </c>
      <c r="O669" s="2"/>
      <c r="P669" t="str">
        <f>IF(COUNTIF($A$2:A669,A669)&gt;1,"Duplicate","Unique")</f>
        <v>Unique</v>
      </c>
      <c r="Q669" t="str">
        <f t="shared" si="20"/>
        <v>OK</v>
      </c>
      <c r="R669" t="str">
        <f t="shared" si="21"/>
        <v>Available</v>
      </c>
    </row>
    <row r="670" spans="1:18">
      <c r="A670" t="str">
        <f>TRIM(CLEAN(Raw_Data!A670))</f>
        <v>MEM0669</v>
      </c>
      <c r="B670" t="str">
        <f ca="1">TRIM(Raw_Data!B670)</f>
        <v>Harish Chatterjee</v>
      </c>
      <c r="C670" t="str">
        <f ca="1">_xlfn.XLOOKUP(D670, Branch_Master!A:A, Branch_Master!B:B)</f>
        <v>Trivandrum</v>
      </c>
      <c r="D670" t="str">
        <f ca="1">TRIM(Raw_Data!D670)</f>
        <v>BR06</v>
      </c>
      <c r="E670" t="str">
        <f ca="1">PROPER(TRIM(Raw_Data!E670))</f>
        <v>Basic</v>
      </c>
      <c r="F670" s="2">
        <f>IFERROR(DATEVALUE(Raw_Data!F670), Raw_Data!F670)</f>
        <v>45712</v>
      </c>
      <c r="G670" s="2">
        <f>IFERROR(
    IF(
        IFERROR(DATEVALUE(Raw_Data!G670), Raw_Data!G670) &lt;
        IFERROR(DATEVALUE(Raw_Data!F670), Raw_Data!F670),
        IFERROR(DATEVALUE(Raw_Data!F670), Raw_Data!F670) + 30,
        IFERROR(DATEVALUE(Raw_Data!G670), Raw_Data!G670)
    ),
    ""
)</f>
        <v>45742</v>
      </c>
      <c r="H670">
        <f>IFERROR(VALUE(Raw_Data!H670), "")</f>
        <v>1000</v>
      </c>
      <c r="I670">
        <f ca="1">IFERROR(VALUE(Raw_Data!I670), "")</f>
        <v>6000</v>
      </c>
      <c r="J670">
        <f>IFERROR(
    VALUE(SUBSTITUTE(Raw_Data!J670," visits","")),
    ""
)</f>
        <v>14</v>
      </c>
      <c r="K670" t="str">
        <f ca="1">IF(TRIM(Raw_Data!K670)="","No",PROPER(TRIM(Raw_Data!K670)))</f>
        <v>No</v>
      </c>
      <c r="L670" t="str">
        <f ca="1">PROPER(TRIM(Raw_Data!L670))</f>
        <v>Weight Loss</v>
      </c>
      <c r="M670" t="s">
        <v>151</v>
      </c>
      <c r="N670" s="2">
        <f>IFERROR(DATEVALUE(Raw_Data!N670), Raw_Data!N670)</f>
        <v>45719</v>
      </c>
      <c r="O670" s="2"/>
      <c r="P670" t="str">
        <f>IF(COUNTIF($A$2:A670,A670)&gt;1,"Duplicate","Unique")</f>
        <v>Unique</v>
      </c>
      <c r="Q670" t="str">
        <f t="shared" si="20"/>
        <v>OK</v>
      </c>
      <c r="R670" t="str">
        <f t="shared" si="21"/>
        <v>Available</v>
      </c>
    </row>
    <row r="671" spans="1:18">
      <c r="A671" t="str">
        <f>TRIM(CLEAN(Raw_Data!A671))</f>
        <v>MEM0670</v>
      </c>
      <c r="B671" t="str">
        <f ca="1">TRIM(Raw_Data!B671)</f>
        <v>Ishita Menon</v>
      </c>
      <c r="C671" t="str">
        <f ca="1">_xlfn.XLOOKUP(D671, Branch_Master!A:A, Branch_Master!B:B)</f>
        <v>Calicut</v>
      </c>
      <c r="D671" t="str">
        <f ca="1">TRIM(Raw_Data!D671)</f>
        <v>BR07</v>
      </c>
      <c r="E671" t="str">
        <f ca="1">PROPER(TRIM(Raw_Data!E671))</f>
        <v>Basic</v>
      </c>
      <c r="F671" s="2">
        <f>IFERROR(DATEVALUE(Raw_Data!F671), Raw_Data!F671)</f>
        <v>45422</v>
      </c>
      <c r="G671" s="2">
        <f>IFERROR(
    IF(
        IFERROR(DATEVALUE(Raw_Data!G671), Raw_Data!G671) &lt;
        IFERROR(DATEVALUE(Raw_Data!F671), Raw_Data!F671),
        IFERROR(DATEVALUE(Raw_Data!F671), Raw_Data!F671) + 30,
        IFERROR(DATEVALUE(Raw_Data!G671), Raw_Data!G671)
    ),
    ""
)</f>
        <v>45787</v>
      </c>
      <c r="H671">
        <f>IFERROR(VALUE(Raw_Data!H671), "")</f>
        <v>2000</v>
      </c>
      <c r="I671">
        <f ca="1">IFERROR(VALUE(Raw_Data!I671), "")</f>
        <v>24000</v>
      </c>
      <c r="J671">
        <f>IFERROR(
    VALUE(SUBSTITUTE(Raw_Data!J671," visits","")),
    ""
)</f>
        <v>7</v>
      </c>
      <c r="K671" t="str">
        <f ca="1">IF(TRIM(Raw_Data!K671)="","No",PROPER(TRIM(Raw_Data!K671)))</f>
        <v>Yes</v>
      </c>
      <c r="L671" t="str">
        <f ca="1">PROPER(TRIM(Raw_Data!L671))</f>
        <v>Muscle Gain</v>
      </c>
      <c r="M671" t="s">
        <v>151</v>
      </c>
      <c r="N671" s="2">
        <f>IFERROR(DATEVALUE(Raw_Data!N671), Raw_Data!N671)</f>
        <v>46006</v>
      </c>
      <c r="O671" s="2"/>
      <c r="P671" t="str">
        <f>IF(COUNTIF($A$2:A671,A671)&gt;1,"Duplicate","Unique")</f>
        <v>Unique</v>
      </c>
      <c r="Q671" t="str">
        <f t="shared" si="20"/>
        <v>OK</v>
      </c>
      <c r="R671" t="str">
        <f t="shared" si="21"/>
        <v>Available</v>
      </c>
    </row>
    <row r="672" spans="1:18">
      <c r="A672" t="str">
        <f>TRIM(CLEAN(Raw_Data!A672))</f>
        <v>MEM0671</v>
      </c>
      <c r="B672" t="str">
        <f ca="1">TRIM(Raw_Data!B672)</f>
        <v>Ankit Kapoor</v>
      </c>
      <c r="C672" t="str">
        <f ca="1">_xlfn.XLOOKUP(D672, Branch_Master!A:A, Branch_Master!B:B)</f>
        <v>Chennai</v>
      </c>
      <c r="D672" t="str">
        <f ca="1">TRIM(Raw_Data!D672)</f>
        <v>BR03</v>
      </c>
      <c r="E672" t="str">
        <f ca="1">PROPER(TRIM(Raw_Data!E672))</f>
        <v>Basic</v>
      </c>
      <c r="F672" s="2">
        <f>IFERROR(DATEVALUE(Raw_Data!F672), Raw_Data!F672)</f>
        <v>44996</v>
      </c>
      <c r="G672" s="2">
        <f>IFERROR(
    IF(
        IFERROR(DATEVALUE(Raw_Data!G672), Raw_Data!G672) &lt;
        IFERROR(DATEVALUE(Raw_Data!F672), Raw_Data!F672),
        IFERROR(DATEVALUE(Raw_Data!F672), Raw_Data!F672) + 30,
        IFERROR(DATEVALUE(Raw_Data!G672), Raw_Data!G672)
    ),
    ""
)</f>
        <v>45361</v>
      </c>
      <c r="H672">
        <f>IFERROR(VALUE(Raw_Data!H672), "")</f>
        <v>1000</v>
      </c>
      <c r="I672">
        <f ca="1">IFERROR(VALUE(Raw_Data!I672), "")</f>
        <v>12000</v>
      </c>
      <c r="J672">
        <f>IFERROR(
    VALUE(SUBSTITUTE(Raw_Data!J672," visits","")),
    ""
)</f>
        <v>0</v>
      </c>
      <c r="K672" t="str">
        <f ca="1">IF(TRIM(Raw_Data!K672)="","No",PROPER(TRIM(Raw_Data!K672)))</f>
        <v>Yes</v>
      </c>
      <c r="L672" t="str">
        <f ca="1">PROPER(TRIM(Raw_Data!L672))</f>
        <v>Muscle Gain</v>
      </c>
      <c r="M672" t="s">
        <v>151</v>
      </c>
      <c r="N672" s="2">
        <f>IFERROR(DATEVALUE(Raw_Data!N672), Raw_Data!N672)</f>
        <v>45479</v>
      </c>
      <c r="O672" s="2"/>
      <c r="P672" t="str">
        <f>IF(COUNTIF($A$2:A672,A672)&gt;1,"Duplicate","Unique")</f>
        <v>Unique</v>
      </c>
      <c r="Q672" t="str">
        <f t="shared" si="20"/>
        <v>OK</v>
      </c>
      <c r="R672" t="str">
        <f t="shared" si="21"/>
        <v>Available</v>
      </c>
    </row>
    <row r="673" spans="1:18">
      <c r="A673" t="str">
        <f>TRIM(CLEAN(Raw_Data!A673))</f>
        <v>MEM0672</v>
      </c>
      <c r="B673" t="str">
        <f ca="1">TRIM(Raw_Data!B673)</f>
        <v>Pooja Kapoor</v>
      </c>
      <c r="C673" t="str">
        <f ca="1">_xlfn.XLOOKUP(D673, Branch_Master!A:A, Branch_Master!B:B)</f>
        <v>Kochi</v>
      </c>
      <c r="D673" t="str">
        <f ca="1">TRIM(Raw_Data!D673)</f>
        <v>BR01</v>
      </c>
      <c r="E673" t="str">
        <f ca="1">PROPER(TRIM(Raw_Data!E673))</f>
        <v>Basic</v>
      </c>
      <c r="F673" s="2">
        <f>IFERROR(DATEVALUE(Raw_Data!F673), Raw_Data!F673)</f>
        <v>45495</v>
      </c>
      <c r="G673" s="2">
        <f>IFERROR(
    IF(
        IFERROR(DATEVALUE(Raw_Data!G673), Raw_Data!G673) &lt;
        IFERROR(DATEVALUE(Raw_Data!F673), Raw_Data!F673),
        IFERROR(DATEVALUE(Raw_Data!F673), Raw_Data!F673) + 30,
        IFERROR(DATEVALUE(Raw_Data!G673), Raw_Data!G673)
    ),
    ""
)</f>
        <v>45585</v>
      </c>
      <c r="H673">
        <f>IFERROR(VALUE(Raw_Data!H673), "")</f>
        <v>3500</v>
      </c>
      <c r="I673">
        <f ca="1">IFERROR(VALUE(Raw_Data!I673), "")</f>
        <v>3500</v>
      </c>
      <c r="J673">
        <f>IFERROR(
    VALUE(SUBSTITUTE(Raw_Data!J673," visits","")),
    ""
)</f>
        <v>9</v>
      </c>
      <c r="K673" t="str">
        <f ca="1">IF(TRIM(Raw_Data!K673)="","No",PROPER(TRIM(Raw_Data!K673)))</f>
        <v>No</v>
      </c>
      <c r="L673" t="str">
        <f ca="1">PROPER(TRIM(Raw_Data!L673))</f>
        <v>Muscle Gain</v>
      </c>
      <c r="M673" t="s">
        <v>151</v>
      </c>
      <c r="N673" s="2">
        <f>IFERROR(DATEVALUE(Raw_Data!N673), Raw_Data!N673)</f>
        <v>45980</v>
      </c>
      <c r="O673" s="2"/>
      <c r="P673" t="str">
        <f>IF(COUNTIF($A$2:A673,A673)&gt;1,"Duplicate","Unique")</f>
        <v>Unique</v>
      </c>
      <c r="Q673" t="str">
        <f t="shared" si="20"/>
        <v>OK</v>
      </c>
      <c r="R673" t="str">
        <f t="shared" si="21"/>
        <v>Available</v>
      </c>
    </row>
    <row r="674" spans="1:18">
      <c r="A674" t="str">
        <f>TRIM(CLEAN(Raw_Data!A674))</f>
        <v>MEM0673</v>
      </c>
      <c r="B674" t="str">
        <f ca="1">TRIM(Raw_Data!B674)</f>
        <v>Harish Naidu</v>
      </c>
      <c r="C674" t="str">
        <f ca="1">_xlfn.XLOOKUP(D674, Branch_Master!A:A, Branch_Master!B:B)</f>
        <v>Mumbai</v>
      </c>
      <c r="D674" t="str">
        <f ca="1">TRIM(Raw_Data!D674)</f>
        <v>BR05</v>
      </c>
      <c r="E674" t="str">
        <f ca="1">PROPER(TRIM(Raw_Data!E674))</f>
        <v>Premium</v>
      </c>
      <c r="F674" s="2">
        <f>IFERROR(DATEVALUE(Raw_Data!F674), Raw_Data!F674)</f>
        <v>45728</v>
      </c>
      <c r="G674" s="2">
        <f>IFERROR(
    IF(
        IFERROR(DATEVALUE(Raw_Data!G674), Raw_Data!G674) &lt;
        IFERROR(DATEVALUE(Raw_Data!F674), Raw_Data!F674),
        IFERROR(DATEVALUE(Raw_Data!F674), Raw_Data!F674) + 30,
        IFERROR(DATEVALUE(Raw_Data!G674), Raw_Data!G674)
    ),
    ""
)</f>
        <v>45758</v>
      </c>
      <c r="H674">
        <f>IFERROR(VALUE(Raw_Data!H674), "")</f>
        <v>1000</v>
      </c>
      <c r="I674">
        <f ca="1">IFERROR(VALUE(Raw_Data!I674), "")</f>
        <v>2000</v>
      </c>
      <c r="J674">
        <f>IFERROR(
    VALUE(SUBSTITUTE(Raw_Data!J674," visits","")),
    ""
)</f>
        <v>0</v>
      </c>
      <c r="K674" t="str">
        <f ca="1">IF(TRIM(Raw_Data!K674)="","No",PROPER(TRIM(Raw_Data!K674)))</f>
        <v>No</v>
      </c>
      <c r="L674" t="str">
        <f ca="1">PROPER(TRIM(Raw_Data!L674))</f>
        <v>Weight Loss</v>
      </c>
      <c r="M674" t="s">
        <v>152</v>
      </c>
      <c r="N674" s="2">
        <f>IFERROR(DATEVALUE(Raw_Data!N674), Raw_Data!N674)</f>
        <v>45920</v>
      </c>
      <c r="O674" s="2"/>
      <c r="P674" t="str">
        <f>IF(COUNTIF($A$2:A674,A674)&gt;1,"Duplicate","Unique")</f>
        <v>Unique</v>
      </c>
      <c r="Q674" t="str">
        <f t="shared" si="20"/>
        <v>Cancelled but Active</v>
      </c>
      <c r="R674" t="str">
        <f t="shared" si="21"/>
        <v>Available</v>
      </c>
    </row>
    <row r="675" spans="1:18">
      <c r="A675" t="str">
        <f>TRIM(CLEAN(Raw_Data!A675))</f>
        <v>MEM0674</v>
      </c>
      <c r="B675" t="str">
        <f ca="1">TRIM(Raw_Data!B675)</f>
        <v>Pooja D’Souza</v>
      </c>
      <c r="C675" t="str">
        <f ca="1">_xlfn.XLOOKUP(D675, Branch_Master!A:A, Branch_Master!B:B)</f>
        <v>Kochi</v>
      </c>
      <c r="D675" t="str">
        <f ca="1">TRIM(Raw_Data!D675)</f>
        <v>BR01</v>
      </c>
      <c r="E675" t="str">
        <f ca="1">PROPER(TRIM(Raw_Data!E675))</f>
        <v>Basic</v>
      </c>
      <c r="F675" s="2">
        <f>IFERROR(DATEVALUE(Raw_Data!F675), Raw_Data!F675)</f>
        <v>45325</v>
      </c>
      <c r="G675" s="2">
        <f>IFERROR(
    IF(
        IFERROR(DATEVALUE(Raw_Data!G675), Raw_Data!G675) &lt;
        IFERROR(DATEVALUE(Raw_Data!F675), Raw_Data!F675),
        IFERROR(DATEVALUE(Raw_Data!F675), Raw_Data!F675) + 30,
        IFERROR(DATEVALUE(Raw_Data!G675), Raw_Data!G675)
    ),
    ""
)</f>
        <v>45355</v>
      </c>
      <c r="H675">
        <f>IFERROR(VALUE(Raw_Data!H675), "")</f>
        <v>2000</v>
      </c>
      <c r="I675">
        <f ca="1">IFERROR(VALUE(Raw_Data!I675), "")</f>
        <v>14000</v>
      </c>
      <c r="J675">
        <f>IFERROR(
    VALUE(SUBSTITUTE(Raw_Data!J675," visits","")),
    ""
)</f>
        <v>22</v>
      </c>
      <c r="K675" t="str">
        <f ca="1">IF(TRIM(Raw_Data!K675)="","No",PROPER(TRIM(Raw_Data!K675)))</f>
        <v>No</v>
      </c>
      <c r="L675" t="str">
        <f ca="1">PROPER(TRIM(Raw_Data!L675))</f>
        <v>Weight Loss</v>
      </c>
      <c r="M675" t="s">
        <v>151</v>
      </c>
      <c r="N675" s="2">
        <f>IFERROR(DATEVALUE(Raw_Data!N675), Raw_Data!N675)</f>
        <v>45680</v>
      </c>
      <c r="O675" s="2"/>
      <c r="P675" t="str">
        <f>IF(COUNTIF($A$2:A675,A675)&gt;1,"Duplicate","Unique")</f>
        <v>Unique</v>
      </c>
      <c r="Q675" t="str">
        <f t="shared" si="20"/>
        <v>OK</v>
      </c>
      <c r="R675" t="str">
        <f t="shared" si="21"/>
        <v>Available</v>
      </c>
    </row>
    <row r="676" spans="1:18">
      <c r="A676" t="str">
        <f>TRIM(CLEAN(Raw_Data!A676))</f>
        <v>MEM0675</v>
      </c>
      <c r="B676" t="str">
        <f ca="1">TRIM(Raw_Data!B676)</f>
        <v>Manoj Kulkarni</v>
      </c>
      <c r="C676" t="str">
        <f ca="1">_xlfn.XLOOKUP(D676, Branch_Master!A:A, Branch_Master!B:B)</f>
        <v>Trivandrum</v>
      </c>
      <c r="D676" t="str">
        <f ca="1">TRIM(Raw_Data!D676)</f>
        <v>BR06</v>
      </c>
      <c r="E676" t="str">
        <f ca="1">PROPER(TRIM(Raw_Data!E676))</f>
        <v>Standard</v>
      </c>
      <c r="F676" s="2">
        <f>IFERROR(DATEVALUE(Raw_Data!F676), Raw_Data!F676)</f>
        <v>45876</v>
      </c>
      <c r="G676" s="2">
        <f>IFERROR(
    IF(
        IFERROR(DATEVALUE(Raw_Data!G676), Raw_Data!G676) &lt;
        IFERROR(DATEVALUE(Raw_Data!F676), Raw_Data!F676),
        IFERROR(DATEVALUE(Raw_Data!F676), Raw_Data!F676) + 30,
        IFERROR(DATEVALUE(Raw_Data!G676), Raw_Data!G676)
    ),
    ""
)</f>
        <v>45906</v>
      </c>
      <c r="H676">
        <f>IFERROR(VALUE(Raw_Data!H676), "")</f>
        <v>3500</v>
      </c>
      <c r="I676">
        <f ca="1">IFERROR(VALUE(Raw_Data!I676), "")</f>
        <v>7000</v>
      </c>
      <c r="J676">
        <f>IFERROR(
    VALUE(SUBSTITUTE(Raw_Data!J676," visits","")),
    ""
)</f>
        <v>9</v>
      </c>
      <c r="K676" t="str">
        <f ca="1">IF(TRIM(Raw_Data!K676)="","No",PROPER(TRIM(Raw_Data!K676)))</f>
        <v>Yes</v>
      </c>
      <c r="L676" t="str">
        <f ca="1">PROPER(TRIM(Raw_Data!L676))</f>
        <v>General Fitness</v>
      </c>
      <c r="M676" t="s">
        <v>151</v>
      </c>
      <c r="N676" s="2">
        <f>IFERROR(DATEVALUE(Raw_Data!N676), Raw_Data!N676)</f>
        <v>45889</v>
      </c>
      <c r="O676" s="2"/>
      <c r="P676" t="str">
        <f>IF(COUNTIF($A$2:A676,A676)&gt;1,"Duplicate","Unique")</f>
        <v>Unique</v>
      </c>
      <c r="Q676" t="str">
        <f t="shared" si="20"/>
        <v>OK</v>
      </c>
      <c r="R676" t="str">
        <f t="shared" si="21"/>
        <v>Available</v>
      </c>
    </row>
    <row r="677" spans="1:18">
      <c r="A677" t="str">
        <f>TRIM(CLEAN(Raw_Data!A677))</f>
        <v>MEM0676</v>
      </c>
      <c r="B677" t="str">
        <f ca="1">TRIM(Raw_Data!B677)</f>
        <v>Akash Joshi</v>
      </c>
      <c r="C677" t="str">
        <f ca="1">_xlfn.XLOOKUP(D677, Branch_Master!A:A, Branch_Master!B:B)</f>
        <v>Calicut</v>
      </c>
      <c r="D677" t="str">
        <f ca="1">TRIM(Raw_Data!D677)</f>
        <v>BR07</v>
      </c>
      <c r="E677" t="str">
        <f ca="1">PROPER(TRIM(Raw_Data!E677))</f>
        <v>Basic</v>
      </c>
      <c r="F677" s="2">
        <f>IFERROR(DATEVALUE(Raw_Data!F677), Raw_Data!F677)</f>
        <v>46010</v>
      </c>
      <c r="G677" s="2">
        <f>IFERROR(
    IF(
        IFERROR(DATEVALUE(Raw_Data!G677), Raw_Data!G677) &lt;
        IFERROR(DATEVALUE(Raw_Data!F677), Raw_Data!F677),
        IFERROR(DATEVALUE(Raw_Data!F677), Raw_Data!F677) + 30,
        IFERROR(DATEVALUE(Raw_Data!G677), Raw_Data!G677)
    ),
    ""
)</f>
        <v>46375</v>
      </c>
      <c r="H677">
        <f>IFERROR(VALUE(Raw_Data!H677), "")</f>
        <v>1000</v>
      </c>
      <c r="I677">
        <f ca="1">IFERROR(VALUE(Raw_Data!I677), "")</f>
        <v>12000</v>
      </c>
      <c r="J677">
        <f>IFERROR(
    VALUE(SUBSTITUTE(Raw_Data!J677," visits","")),
    ""
)</f>
        <v>6</v>
      </c>
      <c r="K677" t="str">
        <f ca="1">IF(TRIM(Raw_Data!K677)="","No",PROPER(TRIM(Raw_Data!K677)))</f>
        <v>Yes</v>
      </c>
      <c r="L677" t="str">
        <f ca="1">PROPER(TRIM(Raw_Data!L677))</f>
        <v>Muscle Gain</v>
      </c>
      <c r="M677" t="s">
        <v>152</v>
      </c>
      <c r="N677" s="2">
        <f>IFERROR(DATEVALUE(Raw_Data!N677), Raw_Data!N677)</f>
        <v>46087</v>
      </c>
      <c r="O677" s="2"/>
      <c r="P677" t="str">
        <f>IF(COUNTIF($A$2:A677,A677)&gt;1,"Duplicate","Unique")</f>
        <v>Unique</v>
      </c>
      <c r="Q677" t="str">
        <f t="shared" si="20"/>
        <v>Cancelled but Active</v>
      </c>
      <c r="R677" t="str">
        <f t="shared" si="21"/>
        <v>Available</v>
      </c>
    </row>
    <row r="678" spans="1:18">
      <c r="A678" t="str">
        <f>TRIM(CLEAN(Raw_Data!A678))</f>
        <v>MEM0677</v>
      </c>
      <c r="B678" t="str">
        <f ca="1">TRIM(Raw_Data!B678)</f>
        <v>Arjun Kulkarni</v>
      </c>
      <c r="C678" t="str">
        <f ca="1">_xlfn.XLOOKUP(D678, Branch_Master!A:A, Branch_Master!B:B)</f>
        <v>Trivandrum</v>
      </c>
      <c r="D678" t="str">
        <f ca="1">TRIM(Raw_Data!D678)</f>
        <v>BR06</v>
      </c>
      <c r="E678" t="str">
        <f ca="1">PROPER(TRIM(Raw_Data!E678))</f>
        <v>Basic</v>
      </c>
      <c r="F678" s="2">
        <f>IFERROR(DATEVALUE(Raw_Data!F678), Raw_Data!F678)</f>
        <v>45454</v>
      </c>
      <c r="G678" s="2">
        <f>IFERROR(
    IF(
        IFERROR(DATEVALUE(Raw_Data!G678), Raw_Data!G678) &lt;
        IFERROR(DATEVALUE(Raw_Data!F678), Raw_Data!F678),
        IFERROR(DATEVALUE(Raw_Data!F678), Raw_Data!F678) + 30,
        IFERROR(DATEVALUE(Raw_Data!G678), Raw_Data!G678)
    ),
    ""
)</f>
        <v>45484</v>
      </c>
      <c r="H678">
        <f>IFERROR(VALUE(Raw_Data!H678), "")</f>
        <v>1000</v>
      </c>
      <c r="I678">
        <f ca="1">IFERROR(VALUE(Raw_Data!I678), "")</f>
        <v>11000</v>
      </c>
      <c r="J678">
        <f>IFERROR(
    VALUE(SUBSTITUTE(Raw_Data!J678," visits","")),
    ""
)</f>
        <v>8</v>
      </c>
      <c r="K678" t="str">
        <f ca="1">IF(TRIM(Raw_Data!K678)="","No",PROPER(TRIM(Raw_Data!K678)))</f>
        <v>No</v>
      </c>
      <c r="L678" t="str">
        <f ca="1">PROPER(TRIM(Raw_Data!L678))</f>
        <v>Muscle Gain</v>
      </c>
      <c r="M678" t="s">
        <v>151</v>
      </c>
      <c r="N678" s="2">
        <f>IFERROR(DATEVALUE(Raw_Data!N678), Raw_Data!N678)</f>
        <v>45844</v>
      </c>
      <c r="O678" s="2"/>
      <c r="P678" t="str">
        <f>IF(COUNTIF($A$2:A678,A678)&gt;1,"Duplicate","Unique")</f>
        <v>Unique</v>
      </c>
      <c r="Q678" t="str">
        <f t="shared" si="20"/>
        <v>OK</v>
      </c>
      <c r="R678" t="str">
        <f t="shared" si="21"/>
        <v>Available</v>
      </c>
    </row>
    <row r="679" spans="1:18">
      <c r="A679" t="str">
        <f>TRIM(CLEAN(Raw_Data!A679))</f>
        <v>MEM0678</v>
      </c>
      <c r="B679" t="str">
        <f ca="1">TRIM(Raw_Data!B679)</f>
        <v>Akash Pillai</v>
      </c>
      <c r="C679" t="str">
        <f ca="1">_xlfn.XLOOKUP(D679, Branch_Master!A:A, Branch_Master!B:B)</f>
        <v>Chennai</v>
      </c>
      <c r="D679" t="str">
        <f ca="1">TRIM(Raw_Data!D679)</f>
        <v>BR03</v>
      </c>
      <c r="E679" t="str">
        <f ca="1">PROPER(TRIM(Raw_Data!E679))</f>
        <v>Standard</v>
      </c>
      <c r="F679" s="2">
        <f>IFERROR(DATEVALUE(Raw_Data!F679), Raw_Data!F679)</f>
        <v>45686</v>
      </c>
      <c r="G679" s="2">
        <f>IFERROR(
    IF(
        IFERROR(DATEVALUE(Raw_Data!G679), Raw_Data!G679) &lt;
        IFERROR(DATEVALUE(Raw_Data!F679), Raw_Data!F679),
        IFERROR(DATEVALUE(Raw_Data!F679), Raw_Data!F679) + 30,
        IFERROR(DATEVALUE(Raw_Data!G679), Raw_Data!G679)
    ),
    ""
)</f>
        <v>45716</v>
      </c>
      <c r="H679">
        <f>IFERROR(VALUE(Raw_Data!H679), "")</f>
        <v>1000</v>
      </c>
      <c r="I679">
        <f ca="1">IFERROR(VALUE(Raw_Data!I679), "")</f>
        <v>1000</v>
      </c>
      <c r="J679">
        <f>IFERROR(
    VALUE(SUBSTITUTE(Raw_Data!J679," visits","")),
    ""
)</f>
        <v>21</v>
      </c>
      <c r="K679" t="str">
        <f ca="1">IF(TRIM(Raw_Data!K679)="","No",PROPER(TRIM(Raw_Data!K679)))</f>
        <v>No</v>
      </c>
      <c r="L679" t="str">
        <f ca="1">PROPER(TRIM(Raw_Data!L679))</f>
        <v>General Fitness</v>
      </c>
      <c r="M679" t="s">
        <v>151</v>
      </c>
      <c r="N679" s="2">
        <f>IFERROR(DATEVALUE(Raw_Data!N679), Raw_Data!N679)</f>
        <v>45857</v>
      </c>
      <c r="O679" s="2"/>
      <c r="P679" t="str">
        <f>IF(COUNTIF($A$2:A679,A679)&gt;1,"Duplicate","Unique")</f>
        <v>Unique</v>
      </c>
      <c r="Q679" t="str">
        <f t="shared" si="20"/>
        <v>OK</v>
      </c>
      <c r="R679" t="str">
        <f t="shared" si="21"/>
        <v>Available</v>
      </c>
    </row>
    <row r="680" spans="1:18">
      <c r="A680" t="str">
        <f>TRIM(CLEAN(Raw_Data!A680))</f>
        <v>MEM0679</v>
      </c>
      <c r="B680" t="str">
        <f ca="1">TRIM(Raw_Data!B680)</f>
        <v>Kavya Gupta</v>
      </c>
      <c r="C680" t="str">
        <f ca="1">_xlfn.XLOOKUP(D680, Branch_Master!A:A, Branch_Master!B:B)</f>
        <v>Calicut</v>
      </c>
      <c r="D680" t="str">
        <f ca="1">TRIM(Raw_Data!D680)</f>
        <v>BR07</v>
      </c>
      <c r="E680" t="str">
        <f ca="1">PROPER(TRIM(Raw_Data!E680))</f>
        <v>Premium</v>
      </c>
      <c r="F680" s="2">
        <f>IFERROR(DATEVALUE(Raw_Data!F680), Raw_Data!F680)</f>
        <v>45343</v>
      </c>
      <c r="G680" s="2">
        <f>IFERROR(
    IF(
        IFERROR(DATEVALUE(Raw_Data!G680), Raw_Data!G680) &lt;
        IFERROR(DATEVALUE(Raw_Data!F680), Raw_Data!F680),
        IFERROR(DATEVALUE(Raw_Data!F680), Raw_Data!F680) + 30,
        IFERROR(DATEVALUE(Raw_Data!G680), Raw_Data!G680)
    ),
    ""
)</f>
        <v>45708</v>
      </c>
      <c r="H680">
        <f>IFERROR(VALUE(Raw_Data!H680), "")</f>
        <v>2000</v>
      </c>
      <c r="I680">
        <f ca="1">IFERROR(VALUE(Raw_Data!I680), "")</f>
        <v>8000</v>
      </c>
      <c r="J680">
        <f>IFERROR(
    VALUE(SUBSTITUTE(Raw_Data!J680," visits","")),
    ""
)</f>
        <v>20</v>
      </c>
      <c r="K680" t="str">
        <f ca="1">IF(TRIM(Raw_Data!K680)="","No",PROPER(TRIM(Raw_Data!K680)))</f>
        <v>Yes</v>
      </c>
      <c r="L680" t="str">
        <f ca="1">PROPER(TRIM(Raw_Data!L680))</f>
        <v>General Fitness</v>
      </c>
      <c r="M680" t="s">
        <v>152</v>
      </c>
      <c r="N680" s="2">
        <f>IFERROR(DATEVALUE(Raw_Data!N680), Raw_Data!N680)</f>
        <v>45745</v>
      </c>
      <c r="O680" s="2"/>
      <c r="P680" t="str">
        <f>IF(COUNTIF($A$2:A680,A680)&gt;1,"Duplicate","Unique")</f>
        <v>Unique</v>
      </c>
      <c r="Q680" t="str">
        <f t="shared" si="20"/>
        <v>Cancelled but Active</v>
      </c>
      <c r="R680" t="str">
        <f t="shared" si="21"/>
        <v>Available</v>
      </c>
    </row>
    <row r="681" spans="1:18">
      <c r="A681" t="str">
        <f>TRIM(CLEAN(Raw_Data!A681))</f>
        <v>MEM0680</v>
      </c>
      <c r="B681" t="str">
        <f ca="1">TRIM(Raw_Data!B681)</f>
        <v>Neha Yadav</v>
      </c>
      <c r="C681" t="str">
        <f ca="1">_xlfn.XLOOKUP(D681, Branch_Master!A:A, Branch_Master!B:B)</f>
        <v>Mumbai</v>
      </c>
      <c r="D681" t="str">
        <f ca="1">TRIM(Raw_Data!D681)</f>
        <v>BR05</v>
      </c>
      <c r="E681" t="str">
        <f ca="1">PROPER(TRIM(Raw_Data!E681))</f>
        <v>Basic</v>
      </c>
      <c r="F681" s="2">
        <f>IFERROR(DATEVALUE(Raw_Data!F681), Raw_Data!F681)</f>
        <v>45618</v>
      </c>
      <c r="G681" s="2">
        <f>IFERROR(
    IF(
        IFERROR(DATEVALUE(Raw_Data!G681), Raw_Data!G681) &lt;
        IFERROR(DATEVALUE(Raw_Data!F681), Raw_Data!F681),
        IFERROR(DATEVALUE(Raw_Data!F681), Raw_Data!F681) + 30,
        IFERROR(DATEVALUE(Raw_Data!G681), Raw_Data!G681)
    ),
    ""
)</f>
        <v>45708</v>
      </c>
      <c r="H681">
        <f>IFERROR(VALUE(Raw_Data!H681), "")</f>
        <v>3500</v>
      </c>
      <c r="I681">
        <f ca="1">IFERROR(VALUE(Raw_Data!I681), "")</f>
        <v>17500</v>
      </c>
      <c r="J681">
        <f>IFERROR(
    VALUE(SUBSTITUTE(Raw_Data!J681," visits","")),
    ""
)</f>
        <v>22</v>
      </c>
      <c r="K681" t="str">
        <f ca="1">IF(TRIM(Raw_Data!K681)="","No",PROPER(TRIM(Raw_Data!K681)))</f>
        <v>No</v>
      </c>
      <c r="L681" t="str">
        <f ca="1">PROPER(TRIM(Raw_Data!L681))</f>
        <v>General Fitness</v>
      </c>
      <c r="M681" t="s">
        <v>151</v>
      </c>
      <c r="N681" s="2">
        <f>IFERROR(DATEVALUE(Raw_Data!N681), Raw_Data!N681)</f>
        <v>46038</v>
      </c>
      <c r="O681" s="2"/>
      <c r="P681" t="str">
        <f>IF(COUNTIF($A$2:A681,A681)&gt;1,"Duplicate","Unique")</f>
        <v>Unique</v>
      </c>
      <c r="Q681" t="str">
        <f t="shared" si="20"/>
        <v>OK</v>
      </c>
      <c r="R681" t="str">
        <f t="shared" si="21"/>
        <v>Available</v>
      </c>
    </row>
    <row r="682" spans="1:18">
      <c r="A682" t="str">
        <f>TRIM(CLEAN(Raw_Data!A682))</f>
        <v>MEM0681</v>
      </c>
      <c r="B682" t="str">
        <f ca="1">TRIM(Raw_Data!B682)</f>
        <v>Anjali Malhotra</v>
      </c>
      <c r="C682" t="str">
        <f ca="1">_xlfn.XLOOKUP(D682, Branch_Master!A:A, Branch_Master!B:B)</f>
        <v>Mumbai</v>
      </c>
      <c r="D682" t="str">
        <f ca="1">TRIM(Raw_Data!D682)</f>
        <v>BR05</v>
      </c>
      <c r="E682" t="str">
        <f ca="1">PROPER(TRIM(Raw_Data!E682))</f>
        <v>Premium</v>
      </c>
      <c r="F682" s="2">
        <f>IFERROR(DATEVALUE(Raw_Data!F682), Raw_Data!F682)</f>
        <v>45939</v>
      </c>
      <c r="G682" s="2">
        <f>IFERROR(
    IF(
        IFERROR(DATEVALUE(Raw_Data!G682), Raw_Data!G682) &lt;
        IFERROR(DATEVALUE(Raw_Data!F682), Raw_Data!F682),
        IFERROR(DATEVALUE(Raw_Data!F682), Raw_Data!F682) + 30,
        IFERROR(DATEVALUE(Raw_Data!G682), Raw_Data!G682)
    ),
    ""
)</f>
        <v>45969</v>
      </c>
      <c r="H682">
        <f>IFERROR(VALUE(Raw_Data!H682), "")</f>
        <v>3500</v>
      </c>
      <c r="I682">
        <f ca="1">IFERROR(VALUE(Raw_Data!I682), "")</f>
        <v>24500</v>
      </c>
      <c r="J682">
        <f>IFERROR(
    VALUE(SUBSTITUTE(Raw_Data!J682," visits","")),
    ""
)</f>
        <v>4</v>
      </c>
      <c r="K682" t="str">
        <f ca="1">IF(TRIM(Raw_Data!K682)="","No",PROPER(TRIM(Raw_Data!K682)))</f>
        <v>Yes</v>
      </c>
      <c r="L682" t="str">
        <f ca="1">PROPER(TRIM(Raw_Data!L682))</f>
        <v>General Fitness</v>
      </c>
      <c r="M682" t="s">
        <v>152</v>
      </c>
      <c r="N682" s="2">
        <f>IFERROR(DATEVALUE(Raw_Data!N682), Raw_Data!N682)</f>
        <v>45961</v>
      </c>
      <c r="O682" s="2"/>
      <c r="P682" t="str">
        <f>IF(COUNTIF($A$2:A682,A682)&gt;1,"Duplicate","Unique")</f>
        <v>Unique</v>
      </c>
      <c r="Q682" t="str">
        <f t="shared" si="20"/>
        <v>Cancelled but Active</v>
      </c>
      <c r="R682" t="str">
        <f t="shared" si="21"/>
        <v>Available</v>
      </c>
    </row>
    <row r="683" spans="1:18">
      <c r="A683" t="str">
        <f>TRIM(CLEAN(Raw_Data!A683))</f>
        <v>MEM0682</v>
      </c>
      <c r="B683" t="str">
        <f ca="1">TRIM(Raw_Data!B683)</f>
        <v>Anjali Joshi</v>
      </c>
      <c r="C683" t="str">
        <f ca="1">_xlfn.XLOOKUP(D683, Branch_Master!A:A, Branch_Master!B:B)</f>
        <v>Mumbai</v>
      </c>
      <c r="D683" t="str">
        <f ca="1">TRIM(Raw_Data!D683)</f>
        <v>BR05</v>
      </c>
      <c r="E683" t="str">
        <f ca="1">PROPER(TRIM(Raw_Data!E683))</f>
        <v>Premium</v>
      </c>
      <c r="F683" s="2">
        <f>IFERROR(DATEVALUE(Raw_Data!F683), Raw_Data!F683)</f>
        <v>44969</v>
      </c>
      <c r="G683" s="2">
        <f>IFERROR(
    IF(
        IFERROR(DATEVALUE(Raw_Data!G683), Raw_Data!G683) &lt;
        IFERROR(DATEVALUE(Raw_Data!F683), Raw_Data!F683),
        IFERROR(DATEVALUE(Raw_Data!F683), Raw_Data!F683) + 30,
        IFERROR(DATEVALUE(Raw_Data!G683), Raw_Data!G683)
    ),
    ""
)</f>
        <v>44999</v>
      </c>
      <c r="H683">
        <f>IFERROR(VALUE(Raw_Data!H683), "")</f>
        <v>3500</v>
      </c>
      <c r="I683">
        <f ca="1">IFERROR(VALUE(Raw_Data!I683), "")</f>
        <v>28000</v>
      </c>
      <c r="J683">
        <f>IFERROR(
    VALUE(SUBSTITUTE(Raw_Data!J683," visits","")),
    ""
)</f>
        <v>3</v>
      </c>
      <c r="K683" t="str">
        <f ca="1">IF(TRIM(Raw_Data!K683)="","No",PROPER(TRIM(Raw_Data!K683)))</f>
        <v>Yes</v>
      </c>
      <c r="L683" t="str">
        <f ca="1">PROPER(TRIM(Raw_Data!L683))</f>
        <v>General Fitness</v>
      </c>
      <c r="M683" t="s">
        <v>151</v>
      </c>
      <c r="N683" s="2">
        <f>IFERROR(DATEVALUE(Raw_Data!N683), Raw_Data!N683)</f>
        <v>45850</v>
      </c>
      <c r="O683" s="2"/>
      <c r="P683" t="str">
        <f>IF(COUNTIF($A$2:A683,A683)&gt;1,"Duplicate","Unique")</f>
        <v>Unique</v>
      </c>
      <c r="Q683" t="str">
        <f t="shared" si="20"/>
        <v>OK</v>
      </c>
      <c r="R683" t="str">
        <f t="shared" si="21"/>
        <v>Available</v>
      </c>
    </row>
    <row r="684" spans="1:18">
      <c r="A684" t="str">
        <f>TRIM(CLEAN(Raw_Data!A684))</f>
        <v>MEM0683</v>
      </c>
      <c r="B684" t="str">
        <f ca="1">TRIM(Raw_Data!B684)</f>
        <v>Deepak Naidu</v>
      </c>
      <c r="C684" t="str">
        <f ca="1">_xlfn.XLOOKUP(D684, Branch_Master!A:A, Branch_Master!B:B)</f>
        <v>Kochi</v>
      </c>
      <c r="D684" t="str">
        <f ca="1">TRIM(Raw_Data!D684)</f>
        <v>BR01</v>
      </c>
      <c r="E684" t="str">
        <f ca="1">PROPER(TRIM(Raw_Data!E684))</f>
        <v>Premium</v>
      </c>
      <c r="F684" s="2">
        <f>IFERROR(DATEVALUE(Raw_Data!F684), Raw_Data!F684)</f>
        <v>45619</v>
      </c>
      <c r="G684" s="2">
        <f>IFERROR(
    IF(
        IFERROR(DATEVALUE(Raw_Data!G684), Raw_Data!G684) &lt;
        IFERROR(DATEVALUE(Raw_Data!F684), Raw_Data!F684),
        IFERROR(DATEVALUE(Raw_Data!F684), Raw_Data!F684) + 30,
        IFERROR(DATEVALUE(Raw_Data!G684), Raw_Data!G684)
    ),
    ""
)</f>
        <v>45984</v>
      </c>
      <c r="H684">
        <f>IFERROR(VALUE(Raw_Data!H684), "")</f>
        <v>3500</v>
      </c>
      <c r="I684">
        <f ca="1">IFERROR(VALUE(Raw_Data!I684), "")</f>
        <v>42000</v>
      </c>
      <c r="J684">
        <f>IFERROR(
    VALUE(SUBSTITUTE(Raw_Data!J684," visits","")),
    ""
)</f>
        <v>12</v>
      </c>
      <c r="K684" t="str">
        <f ca="1">IF(TRIM(Raw_Data!K684)="","No",PROPER(TRIM(Raw_Data!K684)))</f>
        <v>No</v>
      </c>
      <c r="L684" t="str">
        <f ca="1">PROPER(TRIM(Raw_Data!L684))</f>
        <v>Weight Loss</v>
      </c>
      <c r="M684" t="s">
        <v>151</v>
      </c>
      <c r="N684" s="2">
        <f>IFERROR(DATEVALUE(Raw_Data!N684), Raw_Data!N684)</f>
        <v>46062</v>
      </c>
      <c r="O684" s="2"/>
      <c r="P684" t="str">
        <f>IF(COUNTIF($A$2:A684,A684)&gt;1,"Duplicate","Unique")</f>
        <v>Unique</v>
      </c>
      <c r="Q684" t="str">
        <f t="shared" si="20"/>
        <v>OK</v>
      </c>
      <c r="R684" t="str">
        <f t="shared" si="21"/>
        <v>Available</v>
      </c>
    </row>
    <row r="685" spans="1:18">
      <c r="A685" t="str">
        <f>TRIM(CLEAN(Raw_Data!A685))</f>
        <v>MEM0684</v>
      </c>
      <c r="B685" t="str">
        <f ca="1">TRIM(Raw_Data!B685)</f>
        <v>Sanjay Kulkarni</v>
      </c>
      <c r="C685" t="str">
        <f ca="1">_xlfn.XLOOKUP(D685, Branch_Master!A:A, Branch_Master!B:B)</f>
        <v>Calicut</v>
      </c>
      <c r="D685" t="str">
        <f ca="1">TRIM(Raw_Data!D685)</f>
        <v>BR07</v>
      </c>
      <c r="E685" t="str">
        <f ca="1">PROPER(TRIM(Raw_Data!E685))</f>
        <v>Basic</v>
      </c>
      <c r="F685" s="2">
        <f>IFERROR(DATEVALUE(Raw_Data!F685), Raw_Data!F685)</f>
        <v>45226</v>
      </c>
      <c r="G685" s="2">
        <f>IFERROR(
    IF(
        IFERROR(DATEVALUE(Raw_Data!G685), Raw_Data!G685) &lt;
        IFERROR(DATEVALUE(Raw_Data!F685), Raw_Data!F685),
        IFERROR(DATEVALUE(Raw_Data!F685), Raw_Data!F685) + 30,
        IFERROR(DATEVALUE(Raw_Data!G685), Raw_Data!G685)
    ),
    ""
)</f>
        <v>45316</v>
      </c>
      <c r="H685">
        <f>IFERROR(VALUE(Raw_Data!H685), "")</f>
        <v>2000</v>
      </c>
      <c r="I685">
        <f ca="1">IFERROR(VALUE(Raw_Data!I685), "")</f>
        <v>24000</v>
      </c>
      <c r="J685">
        <f>IFERROR(
    VALUE(SUBSTITUTE(Raw_Data!J685," visits","")),
    ""
)</f>
        <v>16</v>
      </c>
      <c r="K685" t="str">
        <f ca="1">IF(TRIM(Raw_Data!K685)="","No",PROPER(TRIM(Raw_Data!K685)))</f>
        <v>No</v>
      </c>
      <c r="L685" t="str">
        <f ca="1">PROPER(TRIM(Raw_Data!L685))</f>
        <v>Muscle Gain</v>
      </c>
      <c r="M685" t="s">
        <v>151</v>
      </c>
      <c r="N685" s="2">
        <f>IFERROR(DATEVALUE(Raw_Data!N685), Raw_Data!N685)</f>
        <v>45328</v>
      </c>
      <c r="O685" s="2"/>
      <c r="P685" t="str">
        <f>IF(COUNTIF($A$2:A685,A685)&gt;1,"Duplicate","Unique")</f>
        <v>Unique</v>
      </c>
      <c r="Q685" t="str">
        <f t="shared" si="20"/>
        <v>OK</v>
      </c>
      <c r="R685" t="str">
        <f t="shared" si="21"/>
        <v>Available</v>
      </c>
    </row>
    <row r="686" spans="1:18">
      <c r="A686" t="str">
        <f>TRIM(CLEAN(Raw_Data!A686))</f>
        <v>MEM0685</v>
      </c>
      <c r="B686" t="str">
        <f ca="1">TRIM(Raw_Data!B686)</f>
        <v>Shreya Kapoor</v>
      </c>
      <c r="C686" t="str">
        <f ca="1">_xlfn.XLOOKUP(D686, Branch_Master!A:A, Branch_Master!B:B)</f>
        <v>Chennai</v>
      </c>
      <c r="D686" t="str">
        <f ca="1">TRIM(Raw_Data!D686)</f>
        <v>BR03</v>
      </c>
      <c r="E686" t="str">
        <f ca="1">PROPER(TRIM(Raw_Data!E686))</f>
        <v>Standard</v>
      </c>
      <c r="F686" s="2">
        <f>IFERROR(DATEVALUE(Raw_Data!F686), Raw_Data!F686)</f>
        <v>46053</v>
      </c>
      <c r="G686" s="2">
        <f>IFERROR(
    IF(
        IFERROR(DATEVALUE(Raw_Data!G686), Raw_Data!G686) &lt;
        IFERROR(DATEVALUE(Raw_Data!F686), Raw_Data!F686),
        IFERROR(DATEVALUE(Raw_Data!F686), Raw_Data!F686) + 30,
        IFERROR(DATEVALUE(Raw_Data!G686), Raw_Data!G686)
    ),
    ""
)</f>
        <v>46143</v>
      </c>
      <c r="H686">
        <f>IFERROR(VALUE(Raw_Data!H686), "")</f>
        <v>2000</v>
      </c>
      <c r="I686">
        <f ca="1">IFERROR(VALUE(Raw_Data!I686), "")</f>
        <v>8000</v>
      </c>
      <c r="J686">
        <f>IFERROR(
    VALUE(SUBSTITUTE(Raw_Data!J686," visits","")),
    ""
)</f>
        <v>2</v>
      </c>
      <c r="K686" t="str">
        <f ca="1">IF(TRIM(Raw_Data!K686)="","No",PROPER(TRIM(Raw_Data!K686)))</f>
        <v>No</v>
      </c>
      <c r="L686" t="str">
        <f ca="1">PROPER(TRIM(Raw_Data!L686))</f>
        <v>General Fitness</v>
      </c>
      <c r="M686" t="s">
        <v>152</v>
      </c>
      <c r="N686" s="2">
        <f>IFERROR(DATEVALUE(Raw_Data!N686), Raw_Data!N686)</f>
        <v>46072</v>
      </c>
      <c r="O686" s="2"/>
      <c r="P686" t="str">
        <f>IF(COUNTIF($A$2:A686,A686)&gt;1,"Duplicate","Unique")</f>
        <v>Unique</v>
      </c>
      <c r="Q686" t="str">
        <f t="shared" si="20"/>
        <v>Cancelled but Active</v>
      </c>
      <c r="R686" t="str">
        <f t="shared" si="21"/>
        <v>Available</v>
      </c>
    </row>
    <row r="687" spans="1:18">
      <c r="A687" t="str">
        <f>TRIM(CLEAN(Raw_Data!A687))</f>
        <v>MEM0686</v>
      </c>
      <c r="B687" t="str">
        <f ca="1">TRIM(Raw_Data!B687)</f>
        <v>Zara Varghese</v>
      </c>
      <c r="C687" t="str">
        <f ca="1">_xlfn.XLOOKUP(D687, Branch_Master!A:A, Branch_Master!B:B)</f>
        <v>Kochi</v>
      </c>
      <c r="D687" t="str">
        <f ca="1">TRIM(Raw_Data!D687)</f>
        <v>BR01</v>
      </c>
      <c r="E687" t="str">
        <f ca="1">PROPER(TRIM(Raw_Data!E687))</f>
        <v>Standard</v>
      </c>
      <c r="F687" s="2">
        <f>IFERROR(DATEVALUE(Raw_Data!F687), Raw_Data!F687)</f>
        <v>46051</v>
      </c>
      <c r="G687" s="2">
        <f>IFERROR(
    IF(
        IFERROR(DATEVALUE(Raw_Data!G687), Raw_Data!G687) &lt;
        IFERROR(DATEVALUE(Raw_Data!F687), Raw_Data!F687),
        IFERROR(DATEVALUE(Raw_Data!F687), Raw_Data!F687) + 30,
        IFERROR(DATEVALUE(Raw_Data!G687), Raw_Data!G687)
    ),
    ""
)</f>
        <v>46416</v>
      </c>
      <c r="H687">
        <f>IFERROR(VALUE(Raw_Data!H687), "")</f>
        <v>1000</v>
      </c>
      <c r="I687">
        <f ca="1">IFERROR(VALUE(Raw_Data!I687), "")</f>
        <v>3000</v>
      </c>
      <c r="J687">
        <f>IFERROR(
    VALUE(SUBSTITUTE(Raw_Data!J687," visits","")),
    ""
)</f>
        <v>7</v>
      </c>
      <c r="K687" t="str">
        <f ca="1">IF(TRIM(Raw_Data!K687)="","No",PROPER(TRIM(Raw_Data!K687)))</f>
        <v>Yes</v>
      </c>
      <c r="L687" t="str">
        <f ca="1">PROPER(TRIM(Raw_Data!L687))</f>
        <v>Muscle Gain</v>
      </c>
      <c r="M687" t="s">
        <v>151</v>
      </c>
      <c r="N687" s="2">
        <f>IFERROR(DATEVALUE(Raw_Data!N687), Raw_Data!N687)</f>
        <v>46102</v>
      </c>
      <c r="O687" s="2"/>
      <c r="P687" t="str">
        <f>IF(COUNTIF($A$2:A687,A687)&gt;1,"Duplicate","Unique")</f>
        <v>Unique</v>
      </c>
      <c r="Q687" t="str">
        <f t="shared" si="20"/>
        <v>OK</v>
      </c>
      <c r="R687" t="str">
        <f t="shared" si="21"/>
        <v>Available</v>
      </c>
    </row>
    <row r="688" spans="1:18">
      <c r="A688" t="str">
        <f>TRIM(CLEAN(Raw_Data!A688))</f>
        <v>MEM0687</v>
      </c>
      <c r="B688" t="str">
        <f ca="1">TRIM(Raw_Data!B688)</f>
        <v>Zara D’Souza</v>
      </c>
      <c r="C688" t="str">
        <f ca="1">_xlfn.XLOOKUP(D688, Branch_Master!A:A, Branch_Master!B:B)</f>
        <v>Kochi</v>
      </c>
      <c r="D688" t="str">
        <f ca="1">TRIM(Raw_Data!D688)</f>
        <v>BR01</v>
      </c>
      <c r="E688" t="str">
        <f ca="1">PROPER(TRIM(Raw_Data!E688))</f>
        <v>Premium</v>
      </c>
      <c r="F688" s="2">
        <f>IFERROR(DATEVALUE(Raw_Data!F688), Raw_Data!F688)</f>
        <v>45000</v>
      </c>
      <c r="G688" s="2">
        <f>IFERROR(
    IF(
        IFERROR(DATEVALUE(Raw_Data!G688), Raw_Data!G688) &lt;
        IFERROR(DATEVALUE(Raw_Data!F688), Raw_Data!F688),
        IFERROR(DATEVALUE(Raw_Data!F688), Raw_Data!F688) + 30,
        IFERROR(DATEVALUE(Raw_Data!G688), Raw_Data!G688)
    ),
    ""
)</f>
        <v>45090</v>
      </c>
      <c r="H688">
        <f>IFERROR(VALUE(Raw_Data!H688), "")</f>
        <v>2000</v>
      </c>
      <c r="I688">
        <f ca="1">IFERROR(VALUE(Raw_Data!I688), "")</f>
        <v>16000</v>
      </c>
      <c r="J688">
        <f>IFERROR(
    VALUE(SUBSTITUTE(Raw_Data!J688," visits","")),
    ""
)</f>
        <v>4</v>
      </c>
      <c r="K688" t="str">
        <f ca="1">IF(TRIM(Raw_Data!K688)="","No",PROPER(TRIM(Raw_Data!K688)))</f>
        <v>Yes</v>
      </c>
      <c r="L688" t="str">
        <f ca="1">PROPER(TRIM(Raw_Data!L688))</f>
        <v>Muscle Gain</v>
      </c>
      <c r="M688" t="s">
        <v>151</v>
      </c>
      <c r="N688" s="2">
        <f>IFERROR(DATEVALUE(Raw_Data!N688), Raw_Data!N688)</f>
        <v>45026</v>
      </c>
      <c r="O688" s="2"/>
      <c r="P688" t="str">
        <f>IF(COUNTIF($A$2:A688,A688)&gt;1,"Duplicate","Unique")</f>
        <v>Unique</v>
      </c>
      <c r="Q688" t="str">
        <f t="shared" si="20"/>
        <v>OK</v>
      </c>
      <c r="R688" t="str">
        <f t="shared" si="21"/>
        <v>Available</v>
      </c>
    </row>
    <row r="689" spans="1:18">
      <c r="A689" t="str">
        <f>TRIM(CLEAN(Raw_Data!A689))</f>
        <v>MEM0688</v>
      </c>
      <c r="B689" t="str">
        <f ca="1">TRIM(Raw_Data!B689)</f>
        <v>Ankit Mathew</v>
      </c>
      <c r="C689" t="str">
        <f ca="1">_xlfn.XLOOKUP(D689, Branch_Master!A:A, Branch_Master!B:B)</f>
        <v>Calicut</v>
      </c>
      <c r="D689" t="str">
        <f ca="1">TRIM(Raw_Data!D689)</f>
        <v>BR07</v>
      </c>
      <c r="E689" t="str">
        <f ca="1">PROPER(TRIM(Raw_Data!E689))</f>
        <v>Standard</v>
      </c>
      <c r="F689" s="2">
        <f>IFERROR(DATEVALUE(Raw_Data!F689), Raw_Data!F689)</f>
        <v>44958</v>
      </c>
      <c r="G689" s="2">
        <f>IFERROR(
    IF(
        IFERROR(DATEVALUE(Raw_Data!G689), Raw_Data!G689) &lt;
        IFERROR(DATEVALUE(Raw_Data!F689), Raw_Data!F689),
        IFERROR(DATEVALUE(Raw_Data!F689), Raw_Data!F689) + 30,
        IFERROR(DATEVALUE(Raw_Data!G689), Raw_Data!G689)
    ),
    ""
)</f>
        <v>44988</v>
      </c>
      <c r="H689">
        <f>IFERROR(VALUE(Raw_Data!H689), "")</f>
        <v>3500</v>
      </c>
      <c r="I689">
        <f ca="1">IFERROR(VALUE(Raw_Data!I689), "")</f>
        <v>3500</v>
      </c>
      <c r="J689">
        <f>IFERROR(
    VALUE(SUBSTITUTE(Raw_Data!J689," visits","")),
    ""
)</f>
        <v>5</v>
      </c>
      <c r="K689" t="str">
        <f ca="1">IF(TRIM(Raw_Data!K689)="","No",PROPER(TRIM(Raw_Data!K689)))</f>
        <v>Yes</v>
      </c>
      <c r="L689" t="str">
        <f ca="1">PROPER(TRIM(Raw_Data!L689))</f>
        <v>General Fitness</v>
      </c>
      <c r="M689" t="s">
        <v>151</v>
      </c>
      <c r="N689" s="2">
        <f>IFERROR(DATEVALUE(Raw_Data!N689), Raw_Data!N689)</f>
        <v>45912</v>
      </c>
      <c r="O689" s="2"/>
      <c r="P689" t="str">
        <f>IF(COUNTIF($A$2:A689,A689)&gt;1,"Duplicate","Unique")</f>
        <v>Unique</v>
      </c>
      <c r="Q689" t="str">
        <f t="shared" si="20"/>
        <v>OK</v>
      </c>
      <c r="R689" t="str">
        <f t="shared" si="21"/>
        <v>Available</v>
      </c>
    </row>
    <row r="690" spans="1:18">
      <c r="A690" t="str">
        <f>TRIM(CLEAN(Raw_Data!A690))</f>
        <v>MEM0689</v>
      </c>
      <c r="B690" t="str">
        <f ca="1">TRIM(Raw_Data!B690)</f>
        <v>Fatima Verma</v>
      </c>
      <c r="C690" t="str">
        <f ca="1">_xlfn.XLOOKUP(D690, Branch_Master!A:A, Branch_Master!B:B)</f>
        <v>Mumbai</v>
      </c>
      <c r="D690" t="str">
        <f ca="1">TRIM(Raw_Data!D690)</f>
        <v>BR05</v>
      </c>
      <c r="E690" t="str">
        <f ca="1">PROPER(TRIM(Raw_Data!E690))</f>
        <v>Premium</v>
      </c>
      <c r="F690" s="2">
        <f>IFERROR(DATEVALUE(Raw_Data!F690), Raw_Data!F690)</f>
        <v>45178</v>
      </c>
      <c r="G690" s="2">
        <f>IFERROR(
    IF(
        IFERROR(DATEVALUE(Raw_Data!G690), Raw_Data!G690) &lt;
        IFERROR(DATEVALUE(Raw_Data!F690), Raw_Data!F690),
        IFERROR(DATEVALUE(Raw_Data!F690), Raw_Data!F690) + 30,
        IFERROR(DATEVALUE(Raw_Data!G690), Raw_Data!G690)
    ),
    ""
)</f>
        <v>45268</v>
      </c>
      <c r="H690">
        <f>IFERROR(VALUE(Raw_Data!H690), "")</f>
        <v>2000</v>
      </c>
      <c r="I690">
        <f ca="1">IFERROR(VALUE(Raw_Data!I690), "")</f>
        <v>8000</v>
      </c>
      <c r="J690">
        <f>IFERROR(
    VALUE(SUBSTITUTE(Raw_Data!J690," visits","")),
    ""
)</f>
        <v>0</v>
      </c>
      <c r="K690" t="str">
        <f ca="1">IF(TRIM(Raw_Data!K690)="","No",PROPER(TRIM(Raw_Data!K690)))</f>
        <v>Yes</v>
      </c>
      <c r="L690" t="str">
        <f ca="1">PROPER(TRIM(Raw_Data!L690))</f>
        <v>Muscle Gain</v>
      </c>
      <c r="M690" t="s">
        <v>151</v>
      </c>
      <c r="N690" s="2">
        <f>IFERROR(DATEVALUE(Raw_Data!N690), Raw_Data!N690)</f>
        <v>45281</v>
      </c>
      <c r="O690" s="2"/>
      <c r="P690" t="str">
        <f>IF(COUNTIF($A$2:A690,A690)&gt;1,"Duplicate","Unique")</f>
        <v>Unique</v>
      </c>
      <c r="Q690" t="str">
        <f t="shared" si="20"/>
        <v>OK</v>
      </c>
      <c r="R690" t="str">
        <f t="shared" si="21"/>
        <v>Available</v>
      </c>
    </row>
    <row r="691" spans="1:18">
      <c r="A691" t="str">
        <f>TRIM(CLEAN(Raw_Data!A691))</f>
        <v>MEM0690</v>
      </c>
      <c r="B691" t="str">
        <f ca="1">TRIM(Raw_Data!B691)</f>
        <v>Ishita Malhotra</v>
      </c>
      <c r="C691" t="str">
        <f ca="1">_xlfn.XLOOKUP(D691, Branch_Master!A:A, Branch_Master!B:B)</f>
        <v>Calicut</v>
      </c>
      <c r="D691" t="str">
        <f ca="1">TRIM(Raw_Data!D691)</f>
        <v>BR07</v>
      </c>
      <c r="E691" t="str">
        <f ca="1">PROPER(TRIM(Raw_Data!E691))</f>
        <v>Premium</v>
      </c>
      <c r="F691" s="2">
        <f>IFERROR(DATEVALUE(Raw_Data!F691), Raw_Data!F691)</f>
        <v>46035</v>
      </c>
      <c r="G691" s="2">
        <f>IFERROR(
    IF(
        IFERROR(DATEVALUE(Raw_Data!G691), Raw_Data!G691) &lt;
        IFERROR(DATEVALUE(Raw_Data!F691), Raw_Data!F691),
        IFERROR(DATEVALUE(Raw_Data!F691), Raw_Data!F691) + 30,
        IFERROR(DATEVALUE(Raw_Data!G691), Raw_Data!G691)
    ),
    ""
)</f>
        <v>46400</v>
      </c>
      <c r="H691">
        <f>IFERROR(VALUE(Raw_Data!H691), "")</f>
        <v>3500</v>
      </c>
      <c r="I691">
        <f ca="1">IFERROR(VALUE(Raw_Data!I691), "")</f>
        <v>3500</v>
      </c>
      <c r="J691">
        <f>IFERROR(
    VALUE(SUBSTITUTE(Raw_Data!J691," visits","")),
    ""
)</f>
        <v>20</v>
      </c>
      <c r="K691" t="str">
        <f ca="1">IF(TRIM(Raw_Data!K691)="","No",PROPER(TRIM(Raw_Data!K691)))</f>
        <v>No</v>
      </c>
      <c r="L691" t="str">
        <f ca="1">PROPER(TRIM(Raw_Data!L691))</f>
        <v>General Fitness</v>
      </c>
      <c r="M691" t="s">
        <v>152</v>
      </c>
      <c r="N691" s="2">
        <f>IFERROR(DATEVALUE(Raw_Data!N691), Raw_Data!N691)</f>
        <v>46116</v>
      </c>
      <c r="O691" s="2"/>
      <c r="P691" t="str">
        <f>IF(COUNTIF($A$2:A691,A691)&gt;1,"Duplicate","Unique")</f>
        <v>Unique</v>
      </c>
      <c r="Q691" t="str">
        <f t="shared" si="20"/>
        <v>Cancelled but Active</v>
      </c>
      <c r="R691" t="str">
        <f t="shared" si="21"/>
        <v>Available</v>
      </c>
    </row>
    <row r="692" spans="1:18">
      <c r="A692" t="str">
        <f>TRIM(CLEAN(Raw_Data!A692))</f>
        <v>MEM0691</v>
      </c>
      <c r="B692" t="str">
        <f ca="1">TRIM(Raw_Data!B692)</f>
        <v>Sanjay Banerjee</v>
      </c>
      <c r="C692" t="str">
        <f ca="1">_xlfn.XLOOKUP(D692, Branch_Master!A:A, Branch_Master!B:B)</f>
        <v>Calicut</v>
      </c>
      <c r="D692" t="str">
        <f ca="1">TRIM(Raw_Data!D692)</f>
        <v>BR07</v>
      </c>
      <c r="E692" t="str">
        <f ca="1">PROPER(TRIM(Raw_Data!E692))</f>
        <v>Basic</v>
      </c>
      <c r="F692" s="2">
        <f>IFERROR(DATEVALUE(Raw_Data!F692), Raw_Data!F692)</f>
        <v>44934</v>
      </c>
      <c r="G692" s="2">
        <f>IFERROR(
    IF(
        IFERROR(DATEVALUE(Raw_Data!G692), Raw_Data!G692) &lt;
        IFERROR(DATEVALUE(Raw_Data!F692), Raw_Data!F692),
        IFERROR(DATEVALUE(Raw_Data!F692), Raw_Data!F692) + 30,
        IFERROR(DATEVALUE(Raw_Data!G692), Raw_Data!G692)
    ),
    ""
)</f>
        <v>45299</v>
      </c>
      <c r="H692">
        <f>IFERROR(VALUE(Raw_Data!H692), "")</f>
        <v>1000</v>
      </c>
      <c r="I692">
        <f ca="1">IFERROR(VALUE(Raw_Data!I692), "")</f>
        <v>12000</v>
      </c>
      <c r="J692">
        <f>IFERROR(
    VALUE(SUBSTITUTE(Raw_Data!J692," visits","")),
    ""
)</f>
        <v>19</v>
      </c>
      <c r="K692" t="str">
        <f ca="1">IF(TRIM(Raw_Data!K692)="","No",PROPER(TRIM(Raw_Data!K692)))</f>
        <v>No</v>
      </c>
      <c r="L692" t="str">
        <f ca="1">PROPER(TRIM(Raw_Data!L692))</f>
        <v>General Fitness</v>
      </c>
      <c r="M692" t="s">
        <v>151</v>
      </c>
      <c r="N692" s="2">
        <f>IFERROR(DATEVALUE(Raw_Data!N692), Raw_Data!N692)</f>
        <v>45606</v>
      </c>
      <c r="O692" s="2"/>
      <c r="P692" t="str">
        <f>IF(COUNTIF($A$2:A692,A692)&gt;1,"Duplicate","Unique")</f>
        <v>Unique</v>
      </c>
      <c r="Q692" t="str">
        <f t="shared" si="20"/>
        <v>OK</v>
      </c>
      <c r="R692" t="str">
        <f t="shared" si="21"/>
        <v>Available</v>
      </c>
    </row>
    <row r="693" spans="1:18">
      <c r="A693" t="str">
        <f>TRIM(CLEAN(Raw_Data!A693))</f>
        <v>MEM0692</v>
      </c>
      <c r="B693" t="str">
        <f ca="1">TRIM(Raw_Data!B693)</f>
        <v>Siddharth Desai</v>
      </c>
      <c r="C693" t="str">
        <f ca="1">_xlfn.XLOOKUP(D693, Branch_Master!A:A, Branch_Master!B:B)</f>
        <v>Bangalore</v>
      </c>
      <c r="D693" t="str">
        <f ca="1">TRIM(Raw_Data!D693)</f>
        <v>BR02</v>
      </c>
      <c r="E693" t="str">
        <f ca="1">PROPER(TRIM(Raw_Data!E693))</f>
        <v>Basic</v>
      </c>
      <c r="F693" s="2">
        <f>IFERROR(DATEVALUE(Raw_Data!F693), Raw_Data!F693)</f>
        <v>45994</v>
      </c>
      <c r="G693" s="2">
        <f>IFERROR(
    IF(
        IFERROR(DATEVALUE(Raw_Data!G693), Raw_Data!G693) &lt;
        IFERROR(DATEVALUE(Raw_Data!F693), Raw_Data!F693),
        IFERROR(DATEVALUE(Raw_Data!F693), Raw_Data!F693) + 30,
        IFERROR(DATEVALUE(Raw_Data!G693), Raw_Data!G693)
    ),
    ""
)</f>
        <v>46024</v>
      </c>
      <c r="H693">
        <f>IFERROR(VALUE(Raw_Data!H693), "")</f>
        <v>1000</v>
      </c>
      <c r="I693">
        <f ca="1">IFERROR(VALUE(Raw_Data!I693), "")</f>
        <v>6000</v>
      </c>
      <c r="J693">
        <f>IFERROR(
    VALUE(SUBSTITUTE(Raw_Data!J693," visits","")),
    ""
)</f>
        <v>6</v>
      </c>
      <c r="K693" t="str">
        <f ca="1">IF(TRIM(Raw_Data!K693)="","No",PROPER(TRIM(Raw_Data!K693)))</f>
        <v>No</v>
      </c>
      <c r="L693" t="str">
        <f ca="1">PROPER(TRIM(Raw_Data!L693))</f>
        <v>Weight Loss</v>
      </c>
      <c r="M693" t="s">
        <v>151</v>
      </c>
      <c r="N693" s="2">
        <f>IFERROR(DATEVALUE(Raw_Data!N693), Raw_Data!N693)</f>
        <v>46063</v>
      </c>
      <c r="O693" s="2"/>
      <c r="P693" t="str">
        <f>IF(COUNTIF($A$2:A693,A693)&gt;1,"Duplicate","Unique")</f>
        <v>Unique</v>
      </c>
      <c r="Q693" t="str">
        <f t="shared" si="20"/>
        <v>OK</v>
      </c>
      <c r="R693" t="str">
        <f t="shared" si="21"/>
        <v>Available</v>
      </c>
    </row>
    <row r="694" spans="1:18">
      <c r="A694" t="str">
        <f>TRIM(CLEAN(Raw_Data!A694))</f>
        <v>MEM0693</v>
      </c>
      <c r="B694" t="str">
        <f ca="1">TRIM(Raw_Data!B694)</f>
        <v>Zara D’Souza</v>
      </c>
      <c r="C694" t="str">
        <f ca="1">_xlfn.XLOOKUP(D694, Branch_Master!A:A, Branch_Master!B:B)</f>
        <v>Bangalore</v>
      </c>
      <c r="D694" t="str">
        <f ca="1">TRIM(Raw_Data!D694)</f>
        <v>BR02</v>
      </c>
      <c r="E694" t="str">
        <f ca="1">PROPER(TRIM(Raw_Data!E694))</f>
        <v>Premium</v>
      </c>
      <c r="F694" s="2">
        <f>IFERROR(DATEVALUE(Raw_Data!F694), Raw_Data!F694)</f>
        <v>45381</v>
      </c>
      <c r="G694" s="2">
        <f>IFERROR(
    IF(
        IFERROR(DATEVALUE(Raw_Data!G694), Raw_Data!G694) &lt;
        IFERROR(DATEVALUE(Raw_Data!F694), Raw_Data!F694),
        IFERROR(DATEVALUE(Raw_Data!F694), Raw_Data!F694) + 30,
        IFERROR(DATEVALUE(Raw_Data!G694), Raw_Data!G694)
    ),
    ""
)</f>
        <v>45411</v>
      </c>
      <c r="H694">
        <f>IFERROR(VALUE(Raw_Data!H694), "")</f>
        <v>2000</v>
      </c>
      <c r="I694">
        <f ca="1">IFERROR(VALUE(Raw_Data!I694), "")</f>
        <v>22000</v>
      </c>
      <c r="J694">
        <f>IFERROR(
    VALUE(SUBSTITUTE(Raw_Data!J694," visits","")),
    ""
)</f>
        <v>0</v>
      </c>
      <c r="K694" t="str">
        <f ca="1">IF(TRIM(Raw_Data!K694)="","No",PROPER(TRIM(Raw_Data!K694)))</f>
        <v>No</v>
      </c>
      <c r="L694" t="str">
        <f ca="1">PROPER(TRIM(Raw_Data!L694))</f>
        <v>General Fitness</v>
      </c>
      <c r="M694" t="s">
        <v>151</v>
      </c>
      <c r="N694" s="2">
        <f>IFERROR(DATEVALUE(Raw_Data!N694), Raw_Data!N694)</f>
        <v>46077</v>
      </c>
      <c r="O694" s="2"/>
      <c r="P694" t="str">
        <f>IF(COUNTIF($A$2:A694,A694)&gt;1,"Duplicate","Unique")</f>
        <v>Unique</v>
      </c>
      <c r="Q694" t="str">
        <f t="shared" si="20"/>
        <v>OK</v>
      </c>
      <c r="R694" t="str">
        <f t="shared" si="21"/>
        <v>Available</v>
      </c>
    </row>
    <row r="695" spans="1:18">
      <c r="A695" t="str">
        <f>TRIM(CLEAN(Raw_Data!A695))</f>
        <v>MEM0694</v>
      </c>
      <c r="B695" t="str">
        <f ca="1">TRIM(Raw_Data!B695)</f>
        <v>Fatima Shetty</v>
      </c>
      <c r="C695" t="str">
        <f ca="1">_xlfn.XLOOKUP(D695, Branch_Master!A:A, Branch_Master!B:B)</f>
        <v>Trivandrum</v>
      </c>
      <c r="D695" t="str">
        <f ca="1">TRIM(Raw_Data!D695)</f>
        <v>BR06</v>
      </c>
      <c r="E695" t="str">
        <f ca="1">PROPER(TRIM(Raw_Data!E695))</f>
        <v>Basic</v>
      </c>
      <c r="F695" s="2">
        <f>IFERROR(DATEVALUE(Raw_Data!F695), Raw_Data!F695)</f>
        <v>45328</v>
      </c>
      <c r="G695" s="2">
        <f>IFERROR(
    IF(
        IFERROR(DATEVALUE(Raw_Data!G695), Raw_Data!G695) &lt;
        IFERROR(DATEVALUE(Raw_Data!F695), Raw_Data!F695),
        IFERROR(DATEVALUE(Raw_Data!F695), Raw_Data!F695) + 30,
        IFERROR(DATEVALUE(Raw_Data!G695), Raw_Data!G695)
    ),
    ""
)</f>
        <v>45418</v>
      </c>
      <c r="H695">
        <f>IFERROR(VALUE(Raw_Data!H695), "")</f>
        <v>1000</v>
      </c>
      <c r="I695">
        <f ca="1">IFERROR(VALUE(Raw_Data!I695), "")</f>
        <v>8000</v>
      </c>
      <c r="J695">
        <f>IFERROR(
    VALUE(SUBSTITUTE(Raw_Data!J695," visits","")),
    ""
)</f>
        <v>8</v>
      </c>
      <c r="K695" t="str">
        <f ca="1">IF(TRIM(Raw_Data!K695)="","No",PROPER(TRIM(Raw_Data!K695)))</f>
        <v>No</v>
      </c>
      <c r="L695" t="str">
        <f ca="1">PROPER(TRIM(Raw_Data!L695))</f>
        <v>General Fitness</v>
      </c>
      <c r="M695" t="s">
        <v>151</v>
      </c>
      <c r="N695" s="2">
        <f>IFERROR(DATEVALUE(Raw_Data!N695), Raw_Data!N695)</f>
        <v>46040</v>
      </c>
      <c r="O695" s="2"/>
      <c r="P695" t="str">
        <f>IF(COUNTIF($A$2:A695,A695)&gt;1,"Duplicate","Unique")</f>
        <v>Unique</v>
      </c>
      <c r="Q695" t="str">
        <f t="shared" si="20"/>
        <v>OK</v>
      </c>
      <c r="R695" t="str">
        <f t="shared" si="21"/>
        <v>Available</v>
      </c>
    </row>
    <row r="696" spans="1:18">
      <c r="A696" t="str">
        <f>TRIM(CLEAN(Raw_Data!A696))</f>
        <v>MEM0695</v>
      </c>
      <c r="B696" t="str">
        <f ca="1">TRIM(Raw_Data!B696)</f>
        <v>Ishita Pillai</v>
      </c>
      <c r="C696" t="str">
        <f ca="1">_xlfn.XLOOKUP(D696, Branch_Master!A:A, Branch_Master!B:B)</f>
        <v>Trivandrum</v>
      </c>
      <c r="D696" t="str">
        <f ca="1">TRIM(Raw_Data!D696)</f>
        <v>BR06</v>
      </c>
      <c r="E696" t="str">
        <f ca="1">PROPER(TRIM(Raw_Data!E696))</f>
        <v>Standard</v>
      </c>
      <c r="F696" s="2">
        <f>IFERROR(DATEVALUE(Raw_Data!F696), Raw_Data!F696)</f>
        <v>45413</v>
      </c>
      <c r="G696" s="2">
        <f>IFERROR(
    IF(
        IFERROR(DATEVALUE(Raw_Data!G696), Raw_Data!G696) &lt;
        IFERROR(DATEVALUE(Raw_Data!F696), Raw_Data!F696),
        IFERROR(DATEVALUE(Raw_Data!F696), Raw_Data!F696) + 30,
        IFERROR(DATEVALUE(Raw_Data!G696), Raw_Data!G696)
    ),
    ""
)</f>
        <v>45778</v>
      </c>
      <c r="H696">
        <f>IFERROR(VALUE(Raw_Data!H696), "")</f>
        <v>3500</v>
      </c>
      <c r="I696">
        <f ca="1">IFERROR(VALUE(Raw_Data!I696), "")</f>
        <v>7000</v>
      </c>
      <c r="J696">
        <f>IFERROR(
    VALUE(SUBSTITUTE(Raw_Data!J696," visits","")),
    ""
)</f>
        <v>14</v>
      </c>
      <c r="K696" t="str">
        <f ca="1">IF(TRIM(Raw_Data!K696)="","No",PROPER(TRIM(Raw_Data!K696)))</f>
        <v>No</v>
      </c>
      <c r="L696" t="str">
        <f ca="1">PROPER(TRIM(Raw_Data!L696))</f>
        <v>Weight Loss</v>
      </c>
      <c r="M696" t="s">
        <v>151</v>
      </c>
      <c r="N696" s="2">
        <f>IFERROR(DATEVALUE(Raw_Data!N696), Raw_Data!N696)</f>
        <v>45492</v>
      </c>
      <c r="O696" s="2"/>
      <c r="P696" t="str">
        <f>IF(COUNTIF($A$2:A696,A696)&gt;1,"Duplicate","Unique")</f>
        <v>Unique</v>
      </c>
      <c r="Q696" t="str">
        <f t="shared" si="20"/>
        <v>OK</v>
      </c>
      <c r="R696" t="str">
        <f t="shared" si="21"/>
        <v>Available</v>
      </c>
    </row>
    <row r="697" spans="1:18">
      <c r="A697" t="str">
        <f>TRIM(CLEAN(Raw_Data!A697))</f>
        <v>MEM0696</v>
      </c>
      <c r="B697" t="str">
        <f ca="1">TRIM(Raw_Data!B697)</f>
        <v>Swathi Khan</v>
      </c>
      <c r="C697" t="str">
        <f ca="1">_xlfn.XLOOKUP(D697, Branch_Master!A:A, Branch_Master!B:B)</f>
        <v>Hyderabad</v>
      </c>
      <c r="D697" t="str">
        <f ca="1">TRIM(Raw_Data!D697)</f>
        <v>BR04</v>
      </c>
      <c r="E697" t="str">
        <f ca="1">PROPER(TRIM(Raw_Data!E697))</f>
        <v>Standard</v>
      </c>
      <c r="F697" s="2">
        <f>IFERROR(DATEVALUE(Raw_Data!F697), Raw_Data!F697)</f>
        <v>45355</v>
      </c>
      <c r="G697" s="2">
        <f>IFERROR(
    IF(
        IFERROR(DATEVALUE(Raw_Data!G697), Raw_Data!G697) &lt;
        IFERROR(DATEVALUE(Raw_Data!F697), Raw_Data!F697),
        IFERROR(DATEVALUE(Raw_Data!F697), Raw_Data!F697) + 30,
        IFERROR(DATEVALUE(Raw_Data!G697), Raw_Data!G697)
    ),
    ""
)</f>
        <v>45445</v>
      </c>
      <c r="H697">
        <f>IFERROR(VALUE(Raw_Data!H697), "")</f>
        <v>3500</v>
      </c>
      <c r="I697">
        <f ca="1">IFERROR(VALUE(Raw_Data!I697), "")</f>
        <v>31500</v>
      </c>
      <c r="J697">
        <f>IFERROR(
    VALUE(SUBSTITUTE(Raw_Data!J697," visits","")),
    ""
)</f>
        <v>23</v>
      </c>
      <c r="K697" t="str">
        <f ca="1">IF(TRIM(Raw_Data!K697)="","No",PROPER(TRIM(Raw_Data!K697)))</f>
        <v>No</v>
      </c>
      <c r="L697" t="str">
        <f ca="1">PROPER(TRIM(Raw_Data!L697))</f>
        <v>General Fitness</v>
      </c>
      <c r="M697" t="s">
        <v>151</v>
      </c>
      <c r="N697" s="2">
        <f>IFERROR(DATEVALUE(Raw_Data!N697), Raw_Data!N697)</f>
        <v>45445</v>
      </c>
      <c r="O697" s="2"/>
      <c r="P697" t="str">
        <f>IF(COUNTIF($A$2:A697,A697)&gt;1,"Duplicate","Unique")</f>
        <v>Unique</v>
      </c>
      <c r="Q697" t="str">
        <f t="shared" si="20"/>
        <v>OK</v>
      </c>
      <c r="R697" t="str">
        <f t="shared" si="21"/>
        <v>Available</v>
      </c>
    </row>
    <row r="698" spans="1:18">
      <c r="A698" t="str">
        <f>TRIM(CLEAN(Raw_Data!A698))</f>
        <v>MEM0697</v>
      </c>
      <c r="B698" t="str">
        <f ca="1">TRIM(Raw_Data!B698)</f>
        <v>Kavya Shetty</v>
      </c>
      <c r="C698" t="str">
        <f ca="1">_xlfn.XLOOKUP(D698, Branch_Master!A:A, Branch_Master!B:B)</f>
        <v>Trivandrum</v>
      </c>
      <c r="D698" t="str">
        <f ca="1">TRIM(Raw_Data!D698)</f>
        <v>BR06</v>
      </c>
      <c r="E698" t="str">
        <f ca="1">PROPER(TRIM(Raw_Data!E698))</f>
        <v>Basic</v>
      </c>
      <c r="F698" s="2">
        <f>IFERROR(DATEVALUE(Raw_Data!F698), Raw_Data!F698)</f>
        <v>46004</v>
      </c>
      <c r="G698" s="2">
        <f>IFERROR(
    IF(
        IFERROR(DATEVALUE(Raw_Data!G698), Raw_Data!G698) &lt;
        IFERROR(DATEVALUE(Raw_Data!F698), Raw_Data!F698),
        IFERROR(DATEVALUE(Raw_Data!F698), Raw_Data!F698) + 30,
        IFERROR(DATEVALUE(Raw_Data!G698), Raw_Data!G698)
    ),
    ""
)</f>
        <v>46034</v>
      </c>
      <c r="H698">
        <f>IFERROR(VALUE(Raw_Data!H698), "")</f>
        <v>1000</v>
      </c>
      <c r="I698">
        <f ca="1">IFERROR(VALUE(Raw_Data!I698), "")</f>
        <v>7000</v>
      </c>
      <c r="J698">
        <f>IFERROR(
    VALUE(SUBSTITUTE(Raw_Data!J698," visits","")),
    ""
)</f>
        <v>6</v>
      </c>
      <c r="K698" t="str">
        <f ca="1">IF(TRIM(Raw_Data!K698)="","No",PROPER(TRIM(Raw_Data!K698)))</f>
        <v>No</v>
      </c>
      <c r="L698" t="str">
        <f ca="1">PROPER(TRIM(Raw_Data!L698))</f>
        <v>Muscle Gain</v>
      </c>
      <c r="M698" t="s">
        <v>151</v>
      </c>
      <c r="N698" s="2">
        <f>IFERROR(DATEVALUE(Raw_Data!N698), Raw_Data!N698)</f>
        <v>46098</v>
      </c>
      <c r="O698" s="2"/>
      <c r="P698" t="str">
        <f>IF(COUNTIF($A$2:A698,A698)&gt;1,"Duplicate","Unique")</f>
        <v>Unique</v>
      </c>
      <c r="Q698" t="str">
        <f t="shared" si="20"/>
        <v>OK</v>
      </c>
      <c r="R698" t="str">
        <f t="shared" si="21"/>
        <v>Available</v>
      </c>
    </row>
    <row r="699" spans="1:18">
      <c r="A699" t="str">
        <f>TRIM(CLEAN(Raw_Data!A699))</f>
        <v>MEM0698</v>
      </c>
      <c r="B699" t="str">
        <f ca="1">TRIM(Raw_Data!B699)</f>
        <v>Ayesha Nambiar</v>
      </c>
      <c r="C699" t="str">
        <f ca="1">_xlfn.XLOOKUP(D699, Branch_Master!A:A, Branch_Master!B:B)</f>
        <v>Kochi</v>
      </c>
      <c r="D699" t="str">
        <f ca="1">TRIM(Raw_Data!D699)</f>
        <v>BR01</v>
      </c>
      <c r="E699" t="str">
        <f ca="1">PROPER(TRIM(Raw_Data!E699))</f>
        <v>Basic</v>
      </c>
      <c r="F699" s="2">
        <f>IFERROR(DATEVALUE(Raw_Data!F699), Raw_Data!F699)</f>
        <v>45735</v>
      </c>
      <c r="G699" s="2">
        <f>IFERROR(
    IF(
        IFERROR(DATEVALUE(Raw_Data!G699), Raw_Data!G699) &lt;
        IFERROR(DATEVALUE(Raw_Data!F699), Raw_Data!F699),
        IFERROR(DATEVALUE(Raw_Data!F699), Raw_Data!F699) + 30,
        IFERROR(DATEVALUE(Raw_Data!G699), Raw_Data!G699)
    ),
    ""
)</f>
        <v>46100</v>
      </c>
      <c r="H699">
        <f>IFERROR(VALUE(Raw_Data!H699), "")</f>
        <v>3500</v>
      </c>
      <c r="I699">
        <f ca="1">IFERROR(VALUE(Raw_Data!I699), "")</f>
        <v>42000</v>
      </c>
      <c r="J699">
        <f>IFERROR(
    VALUE(SUBSTITUTE(Raw_Data!J699," visits","")),
    ""
)</f>
        <v>22</v>
      </c>
      <c r="K699" t="str">
        <f ca="1">IF(TRIM(Raw_Data!K699)="","No",PROPER(TRIM(Raw_Data!K699)))</f>
        <v>No</v>
      </c>
      <c r="L699" t="str">
        <f ca="1">PROPER(TRIM(Raw_Data!L699))</f>
        <v>Muscle Gain</v>
      </c>
      <c r="M699" t="s">
        <v>151</v>
      </c>
      <c r="N699" s="2">
        <f>IFERROR(DATEVALUE(Raw_Data!N699), Raw_Data!N699)</f>
        <v>46027</v>
      </c>
      <c r="O699" s="2"/>
      <c r="P699" t="str">
        <f>IF(COUNTIF($A$2:A699,A699)&gt;1,"Duplicate","Unique")</f>
        <v>Unique</v>
      </c>
      <c r="Q699" t="str">
        <f t="shared" si="20"/>
        <v>OK</v>
      </c>
      <c r="R699" t="str">
        <f t="shared" si="21"/>
        <v>Available</v>
      </c>
    </row>
    <row r="700" spans="1:18">
      <c r="A700" t="str">
        <f>TRIM(CLEAN(Raw_Data!A700))</f>
        <v>MEM0699</v>
      </c>
      <c r="B700" t="str">
        <f ca="1">TRIM(Raw_Data!B700)</f>
        <v>Deepak Malhotra</v>
      </c>
      <c r="C700" t="str">
        <f ca="1">_xlfn.XLOOKUP(D700, Branch_Master!A:A, Branch_Master!B:B)</f>
        <v>Bangalore</v>
      </c>
      <c r="D700" t="str">
        <f ca="1">TRIM(Raw_Data!D700)</f>
        <v>BR02</v>
      </c>
      <c r="E700" t="str">
        <f ca="1">PROPER(TRIM(Raw_Data!E700))</f>
        <v>Standard</v>
      </c>
      <c r="F700" s="2">
        <f>IFERROR(DATEVALUE(Raw_Data!F700), Raw_Data!F700)</f>
        <v>45287</v>
      </c>
      <c r="G700" s="2">
        <f>IFERROR(
    IF(
        IFERROR(DATEVALUE(Raw_Data!G700), Raw_Data!G700) &lt;
        IFERROR(DATEVALUE(Raw_Data!F700), Raw_Data!F700),
        IFERROR(DATEVALUE(Raw_Data!F700), Raw_Data!F700) + 30,
        IFERROR(DATEVALUE(Raw_Data!G700), Raw_Data!G700)
    ),
    ""
)</f>
        <v>45652</v>
      </c>
      <c r="H700">
        <f>IFERROR(VALUE(Raw_Data!H700), "")</f>
        <v>3500</v>
      </c>
      <c r="I700">
        <f ca="1">IFERROR(VALUE(Raw_Data!I700), "")</f>
        <v>28000</v>
      </c>
      <c r="J700">
        <f>IFERROR(
    VALUE(SUBSTITUTE(Raw_Data!J700," visits","")),
    ""
)</f>
        <v>3</v>
      </c>
      <c r="K700" t="str">
        <f ca="1">IF(TRIM(Raw_Data!K700)="","No",PROPER(TRIM(Raw_Data!K700)))</f>
        <v>Yes</v>
      </c>
      <c r="L700" t="str">
        <f ca="1">PROPER(TRIM(Raw_Data!L700))</f>
        <v>General Fitness</v>
      </c>
      <c r="M700" t="s">
        <v>152</v>
      </c>
      <c r="N700" s="2">
        <f>IFERROR(DATEVALUE(Raw_Data!N700), Raw_Data!N700)</f>
        <v>45400</v>
      </c>
      <c r="O700" s="2"/>
      <c r="P700" t="str">
        <f>IF(COUNTIF($A$2:A700,A700)&gt;1,"Duplicate","Unique")</f>
        <v>Unique</v>
      </c>
      <c r="Q700" t="str">
        <f t="shared" si="20"/>
        <v>Cancelled but Active</v>
      </c>
      <c r="R700" t="str">
        <f t="shared" si="21"/>
        <v>Available</v>
      </c>
    </row>
    <row r="701" spans="1:18">
      <c r="A701" t="str">
        <f>TRIM(CLEAN(Raw_Data!A701))</f>
        <v>MEM0700</v>
      </c>
      <c r="B701" t="str">
        <f ca="1">TRIM(Raw_Data!B701)</f>
        <v>Siddharth Lewis</v>
      </c>
      <c r="C701" t="str">
        <f ca="1">_xlfn.XLOOKUP(D701, Branch_Master!A:A, Branch_Master!B:B)</f>
        <v>Calicut</v>
      </c>
      <c r="D701" t="str">
        <f ca="1">TRIM(Raw_Data!D701)</f>
        <v>BR07</v>
      </c>
      <c r="E701" t="str">
        <f ca="1">PROPER(TRIM(Raw_Data!E701))</f>
        <v>Basic</v>
      </c>
      <c r="F701" s="2">
        <f>IFERROR(DATEVALUE(Raw_Data!F701), Raw_Data!F701)</f>
        <v>45578</v>
      </c>
      <c r="G701" s="2">
        <f>IFERROR(
    IF(
        IFERROR(DATEVALUE(Raw_Data!G701), Raw_Data!G701) &lt;
        IFERROR(DATEVALUE(Raw_Data!F701), Raw_Data!F701),
        IFERROR(DATEVALUE(Raw_Data!F701), Raw_Data!F701) + 30,
        IFERROR(DATEVALUE(Raw_Data!G701), Raw_Data!G701)
    ),
    ""
)</f>
        <v>45608</v>
      </c>
      <c r="H701">
        <f>IFERROR(VALUE(Raw_Data!H701), "")</f>
        <v>2000</v>
      </c>
      <c r="I701">
        <f ca="1">IFERROR(VALUE(Raw_Data!I701), "")</f>
        <v>4000</v>
      </c>
      <c r="J701">
        <f>IFERROR(
    VALUE(SUBSTITUTE(Raw_Data!J701," visits","")),
    ""
)</f>
        <v>24</v>
      </c>
      <c r="K701" t="str">
        <f ca="1">IF(TRIM(Raw_Data!K701)="","No",PROPER(TRIM(Raw_Data!K701)))</f>
        <v>Yes</v>
      </c>
      <c r="L701" t="str">
        <f ca="1">PROPER(TRIM(Raw_Data!L701))</f>
        <v>General Fitness</v>
      </c>
      <c r="M701" t="s">
        <v>151</v>
      </c>
      <c r="N701" s="2">
        <f>IFERROR(DATEVALUE(Raw_Data!N701), Raw_Data!N701)</f>
        <v>45816</v>
      </c>
      <c r="O701" s="2"/>
      <c r="P701" t="str">
        <f>IF(COUNTIF($A$2:A701,A701)&gt;1,"Duplicate","Unique")</f>
        <v>Unique</v>
      </c>
      <c r="Q701" t="str">
        <f t="shared" si="20"/>
        <v>OK</v>
      </c>
      <c r="R701" t="str">
        <f t="shared" si="21"/>
        <v>Available</v>
      </c>
    </row>
    <row r="702" spans="1:18">
      <c r="A702" t="str">
        <f>TRIM(CLEAN(Raw_Data!A702))</f>
        <v>MEM0701</v>
      </c>
      <c r="B702" t="str">
        <f ca="1">TRIM(Raw_Data!B702)</f>
        <v>Shreya Desai</v>
      </c>
      <c r="C702" t="str">
        <f ca="1">_xlfn.XLOOKUP(D702, Branch_Master!A:A, Branch_Master!B:B)</f>
        <v>Calicut</v>
      </c>
      <c r="D702" t="str">
        <f ca="1">TRIM(Raw_Data!D702)</f>
        <v>BR07</v>
      </c>
      <c r="E702" t="str">
        <f ca="1">PROPER(TRIM(Raw_Data!E702))</f>
        <v>Basic</v>
      </c>
      <c r="F702" s="2">
        <f>IFERROR(DATEVALUE(Raw_Data!F702), Raw_Data!F702)</f>
        <v>45974</v>
      </c>
      <c r="G702" s="2">
        <f>IFERROR(
    IF(
        IFERROR(DATEVALUE(Raw_Data!G702), Raw_Data!G702) &lt;
        IFERROR(DATEVALUE(Raw_Data!F702), Raw_Data!F702),
        IFERROR(DATEVALUE(Raw_Data!F702), Raw_Data!F702) + 30,
        IFERROR(DATEVALUE(Raw_Data!G702), Raw_Data!G702)
    ),
    ""
)</f>
        <v>46339</v>
      </c>
      <c r="H702">
        <f>IFERROR(VALUE(Raw_Data!H702), "")</f>
        <v>1000</v>
      </c>
      <c r="I702">
        <f ca="1">IFERROR(VALUE(Raw_Data!I702), "")</f>
        <v>10000</v>
      </c>
      <c r="J702">
        <f>IFERROR(
    VALUE(SUBSTITUTE(Raw_Data!J702," visits","")),
    ""
)</f>
        <v>8</v>
      </c>
      <c r="K702" t="str">
        <f ca="1">IF(TRIM(Raw_Data!K702)="","No",PROPER(TRIM(Raw_Data!K702)))</f>
        <v>No</v>
      </c>
      <c r="L702" t="str">
        <f ca="1">PROPER(TRIM(Raw_Data!L702))</f>
        <v>Muscle Gain</v>
      </c>
      <c r="M702" t="s">
        <v>152</v>
      </c>
      <c r="N702" s="2">
        <f>IFERROR(DATEVALUE(Raw_Data!N702), Raw_Data!N702)</f>
        <v>46028</v>
      </c>
      <c r="O702" s="2"/>
      <c r="P702" t="str">
        <f>IF(COUNTIF($A$2:A702,A702)&gt;1,"Duplicate","Unique")</f>
        <v>Unique</v>
      </c>
      <c r="Q702" t="str">
        <f t="shared" si="20"/>
        <v>Cancelled but Active</v>
      </c>
      <c r="R702" t="str">
        <f t="shared" si="21"/>
        <v>Available</v>
      </c>
    </row>
    <row r="703" spans="1:18">
      <c r="A703" t="str">
        <f>TRIM(CLEAN(Raw_Data!A703))</f>
        <v>MEM0702</v>
      </c>
      <c r="B703" t="str">
        <f ca="1">TRIM(Raw_Data!B703)</f>
        <v>Nisha Fernandes</v>
      </c>
      <c r="C703" t="str">
        <f ca="1">_xlfn.XLOOKUP(D703, Branch_Master!A:A, Branch_Master!B:B)</f>
        <v>Kochi</v>
      </c>
      <c r="D703" t="str">
        <f ca="1">TRIM(Raw_Data!D703)</f>
        <v>BR01</v>
      </c>
      <c r="E703" t="str">
        <f ca="1">PROPER(TRIM(Raw_Data!E703))</f>
        <v>Basic</v>
      </c>
      <c r="F703" s="2">
        <f>IFERROR(DATEVALUE(Raw_Data!F703), Raw_Data!F703)</f>
        <v>44985</v>
      </c>
      <c r="G703" s="2">
        <f>IFERROR(
    IF(
        IFERROR(DATEVALUE(Raw_Data!G703), Raw_Data!G703) &lt;
        IFERROR(DATEVALUE(Raw_Data!F703), Raw_Data!F703),
        IFERROR(DATEVALUE(Raw_Data!F703), Raw_Data!F703) + 30,
        IFERROR(DATEVALUE(Raw_Data!G703), Raw_Data!G703)
    ),
    ""
)</f>
        <v>45075</v>
      </c>
      <c r="H703">
        <f>IFERROR(VALUE(Raw_Data!H703), "")</f>
        <v>3500</v>
      </c>
      <c r="I703">
        <f ca="1">IFERROR(VALUE(Raw_Data!I703), "")</f>
        <v>7000</v>
      </c>
      <c r="J703">
        <f>IFERROR(
    VALUE(SUBSTITUTE(Raw_Data!J703," visits","")),
    ""
)</f>
        <v>19</v>
      </c>
      <c r="K703" t="str">
        <f ca="1">IF(TRIM(Raw_Data!K703)="","No",PROPER(TRIM(Raw_Data!K703)))</f>
        <v>Yes</v>
      </c>
      <c r="L703" t="str">
        <f ca="1">PROPER(TRIM(Raw_Data!L703))</f>
        <v>General Fitness</v>
      </c>
      <c r="M703" t="s">
        <v>152</v>
      </c>
      <c r="N703" s="2">
        <f>IFERROR(DATEVALUE(Raw_Data!N703), Raw_Data!N703)</f>
        <v>45700</v>
      </c>
      <c r="O703" s="2"/>
      <c r="P703" t="str">
        <f>IF(COUNTIF($A$2:A703,A703)&gt;1,"Duplicate","Unique")</f>
        <v>Unique</v>
      </c>
      <c r="Q703" t="str">
        <f t="shared" si="20"/>
        <v>Cancelled but Active</v>
      </c>
      <c r="R703" t="str">
        <f t="shared" si="21"/>
        <v>Available</v>
      </c>
    </row>
    <row r="704" spans="1:18">
      <c r="A704" t="str">
        <f>TRIM(CLEAN(Raw_Data!A704))</f>
        <v>MEM0703</v>
      </c>
      <c r="B704" t="str">
        <f ca="1">TRIM(Raw_Data!B704)</f>
        <v>Vivek George</v>
      </c>
      <c r="C704" t="str">
        <f ca="1">_xlfn.XLOOKUP(D704, Branch_Master!A:A, Branch_Master!B:B)</f>
        <v>Mumbai</v>
      </c>
      <c r="D704" t="str">
        <f ca="1">TRIM(Raw_Data!D704)</f>
        <v>BR05</v>
      </c>
      <c r="E704" t="str">
        <f ca="1">PROPER(TRIM(Raw_Data!E704))</f>
        <v>Basic</v>
      </c>
      <c r="F704" s="2">
        <f>IFERROR(DATEVALUE(Raw_Data!F704), Raw_Data!F704)</f>
        <v>45428</v>
      </c>
      <c r="G704" s="2">
        <f>IFERROR(
    IF(
        IFERROR(DATEVALUE(Raw_Data!G704), Raw_Data!G704) &lt;
        IFERROR(DATEVALUE(Raw_Data!F704), Raw_Data!F704),
        IFERROR(DATEVALUE(Raw_Data!F704), Raw_Data!F704) + 30,
        IFERROR(DATEVALUE(Raw_Data!G704), Raw_Data!G704)
    ),
    ""
)</f>
        <v>45793</v>
      </c>
      <c r="H704">
        <f>IFERROR(VALUE(Raw_Data!H704), "")</f>
        <v>3500</v>
      </c>
      <c r="I704">
        <f ca="1">IFERROR(VALUE(Raw_Data!I704), "")</f>
        <v>10500</v>
      </c>
      <c r="J704">
        <f>IFERROR(
    VALUE(SUBSTITUTE(Raw_Data!J704," visits","")),
    ""
)</f>
        <v>14</v>
      </c>
      <c r="K704" t="str">
        <f ca="1">IF(TRIM(Raw_Data!K704)="","No",PROPER(TRIM(Raw_Data!K704)))</f>
        <v>Yes</v>
      </c>
      <c r="L704" t="str">
        <f ca="1">PROPER(TRIM(Raw_Data!L704))</f>
        <v>Weight Loss</v>
      </c>
      <c r="M704" t="s">
        <v>151</v>
      </c>
      <c r="N704" s="2">
        <f>IFERROR(DATEVALUE(Raw_Data!N704), Raw_Data!N704)</f>
        <v>45653</v>
      </c>
      <c r="O704" s="2"/>
      <c r="P704" t="str">
        <f>IF(COUNTIF($A$2:A704,A704)&gt;1,"Duplicate","Unique")</f>
        <v>Unique</v>
      </c>
      <c r="Q704" t="str">
        <f t="shared" si="20"/>
        <v>OK</v>
      </c>
      <c r="R704" t="str">
        <f t="shared" si="21"/>
        <v>Available</v>
      </c>
    </row>
    <row r="705" spans="1:18">
      <c r="A705" t="str">
        <f>TRIM(CLEAN(Raw_Data!A705))</f>
        <v>MEM0704</v>
      </c>
      <c r="B705" t="str">
        <f ca="1">TRIM(Raw_Data!B705)</f>
        <v>Priya Malhotra</v>
      </c>
      <c r="C705" t="str">
        <f ca="1">_xlfn.XLOOKUP(D705, Branch_Master!A:A, Branch_Master!B:B)</f>
        <v>Chennai</v>
      </c>
      <c r="D705" t="str">
        <f ca="1">TRIM(Raw_Data!D705)</f>
        <v>BR03</v>
      </c>
      <c r="E705" t="str">
        <f ca="1">PROPER(TRIM(Raw_Data!E705))</f>
        <v>Standard</v>
      </c>
      <c r="F705" s="2">
        <f>IFERROR(DATEVALUE(Raw_Data!F705), Raw_Data!F705)</f>
        <v>45728</v>
      </c>
      <c r="G705" s="2">
        <f>IFERROR(
    IF(
        IFERROR(DATEVALUE(Raw_Data!G705), Raw_Data!G705) &lt;
        IFERROR(DATEVALUE(Raw_Data!F705), Raw_Data!F705),
        IFERROR(DATEVALUE(Raw_Data!F705), Raw_Data!F705) + 30,
        IFERROR(DATEVALUE(Raw_Data!G705), Raw_Data!G705)
    ),
    ""
)</f>
        <v>45758</v>
      </c>
      <c r="H705">
        <f>IFERROR(VALUE(Raw_Data!H705), "")</f>
        <v>2000</v>
      </c>
      <c r="I705">
        <f ca="1">IFERROR(VALUE(Raw_Data!I705), "")</f>
        <v>12000</v>
      </c>
      <c r="J705">
        <f>IFERROR(
    VALUE(SUBSTITUTE(Raw_Data!J705," visits","")),
    ""
)</f>
        <v>23</v>
      </c>
      <c r="K705" t="str">
        <f ca="1">IF(TRIM(Raw_Data!K705)="","No",PROPER(TRIM(Raw_Data!K705)))</f>
        <v>No</v>
      </c>
      <c r="L705" t="str">
        <f ca="1">PROPER(TRIM(Raw_Data!L705))</f>
        <v>Muscle Gain</v>
      </c>
      <c r="M705" t="s">
        <v>151</v>
      </c>
      <c r="N705" s="2">
        <f>IFERROR(DATEVALUE(Raw_Data!N705), Raw_Data!N705)</f>
        <v>45954</v>
      </c>
      <c r="O705" s="2"/>
      <c r="P705" t="str">
        <f>IF(COUNTIF($A$2:A705,A705)&gt;1,"Duplicate","Unique")</f>
        <v>Unique</v>
      </c>
      <c r="Q705" t="str">
        <f t="shared" si="20"/>
        <v>OK</v>
      </c>
      <c r="R705" t="str">
        <f t="shared" si="21"/>
        <v>Available</v>
      </c>
    </row>
    <row r="706" spans="1:18">
      <c r="A706" t="str">
        <f>TRIM(CLEAN(Raw_Data!A706))</f>
        <v>MEM0705</v>
      </c>
      <c r="B706" t="str">
        <f ca="1">TRIM(Raw_Data!B706)</f>
        <v>Manoj Banerjee</v>
      </c>
      <c r="C706" t="str">
        <f ca="1">_xlfn.XLOOKUP(D706, Branch_Master!A:A, Branch_Master!B:B)</f>
        <v>Trivandrum</v>
      </c>
      <c r="D706" t="str">
        <f ca="1">TRIM(Raw_Data!D706)</f>
        <v>BR06</v>
      </c>
      <c r="E706" t="str">
        <f ca="1">PROPER(TRIM(Raw_Data!E706))</f>
        <v>Basic</v>
      </c>
      <c r="F706" s="2">
        <f>IFERROR(DATEVALUE(Raw_Data!F706), Raw_Data!F706)</f>
        <v>45489</v>
      </c>
      <c r="G706" s="2">
        <f>IFERROR(
    IF(
        IFERROR(DATEVALUE(Raw_Data!G706), Raw_Data!G706) &lt;
        IFERROR(DATEVALUE(Raw_Data!F706), Raw_Data!F706),
        IFERROR(DATEVALUE(Raw_Data!F706), Raw_Data!F706) + 30,
        IFERROR(DATEVALUE(Raw_Data!G706), Raw_Data!G706)
    ),
    ""
)</f>
        <v>45579</v>
      </c>
      <c r="H706">
        <f>IFERROR(VALUE(Raw_Data!H706), "")</f>
        <v>3500</v>
      </c>
      <c r="I706">
        <f ca="1">IFERROR(VALUE(Raw_Data!I706), "")</f>
        <v>7000</v>
      </c>
      <c r="J706">
        <f>IFERROR(
    VALUE(SUBSTITUTE(Raw_Data!J706," visits","")),
    ""
)</f>
        <v>3</v>
      </c>
      <c r="K706" t="str">
        <f ca="1">IF(TRIM(Raw_Data!K706)="","No",PROPER(TRIM(Raw_Data!K706)))</f>
        <v>No</v>
      </c>
      <c r="L706" t="str">
        <f ca="1">PROPER(TRIM(Raw_Data!L706))</f>
        <v>Muscle Gain</v>
      </c>
      <c r="M706" t="s">
        <v>152</v>
      </c>
      <c r="N706" s="2">
        <f>IFERROR(DATEVALUE(Raw_Data!N706), Raw_Data!N706)</f>
        <v>45515</v>
      </c>
      <c r="O706" s="2"/>
      <c r="P706" t="str">
        <f>IF(COUNTIF($A$2:A706,A706)&gt;1,"Duplicate","Unique")</f>
        <v>Unique</v>
      </c>
      <c r="Q706" t="str">
        <f t="shared" si="20"/>
        <v>Cancelled but Active</v>
      </c>
      <c r="R706" t="str">
        <f t="shared" si="21"/>
        <v>Available</v>
      </c>
    </row>
    <row r="707" spans="1:18">
      <c r="A707" t="str">
        <f>TRIM(CLEAN(Raw_Data!A707))</f>
        <v>MEM0706</v>
      </c>
      <c r="B707" t="str">
        <f ca="1">TRIM(Raw_Data!B707)</f>
        <v>Zara Thomas</v>
      </c>
      <c r="C707" t="str">
        <f ca="1">_xlfn.XLOOKUP(D707, Branch_Master!A:A, Branch_Master!B:B)</f>
        <v>Kochi</v>
      </c>
      <c r="D707" t="str">
        <f ca="1">TRIM(Raw_Data!D707)</f>
        <v>BR01</v>
      </c>
      <c r="E707" t="str">
        <f ca="1">PROPER(TRIM(Raw_Data!E707))</f>
        <v>Standard</v>
      </c>
      <c r="F707" s="2">
        <f>IFERROR(DATEVALUE(Raw_Data!F707), Raw_Data!F707)</f>
        <v>45711</v>
      </c>
      <c r="G707" s="2">
        <f>IFERROR(
    IF(
        IFERROR(DATEVALUE(Raw_Data!G707), Raw_Data!G707) &lt;
        IFERROR(DATEVALUE(Raw_Data!F707), Raw_Data!F707),
        IFERROR(DATEVALUE(Raw_Data!F707), Raw_Data!F707) + 30,
        IFERROR(DATEVALUE(Raw_Data!G707), Raw_Data!G707)
    ),
    ""
)</f>
        <v>45741</v>
      </c>
      <c r="H707">
        <f>IFERROR(VALUE(Raw_Data!H707), "")</f>
        <v>3500</v>
      </c>
      <c r="I707">
        <f ca="1">IFERROR(VALUE(Raw_Data!I707), "")</f>
        <v>28000</v>
      </c>
      <c r="J707">
        <f>IFERROR(
    VALUE(SUBSTITUTE(Raw_Data!J707," visits","")),
    ""
)</f>
        <v>6</v>
      </c>
      <c r="K707" t="str">
        <f ca="1">IF(TRIM(Raw_Data!K707)="","No",PROPER(TRIM(Raw_Data!K707)))</f>
        <v>Yes</v>
      </c>
      <c r="L707" t="str">
        <f ca="1">PROPER(TRIM(Raw_Data!L707))</f>
        <v>Weight Loss</v>
      </c>
      <c r="M707" t="s">
        <v>152</v>
      </c>
      <c r="N707" s="2">
        <f>IFERROR(DATEVALUE(Raw_Data!N707), Raw_Data!N707)</f>
        <v>45920</v>
      </c>
      <c r="O707" s="2"/>
      <c r="P707" t="str">
        <f>IF(COUNTIF($A$2:A707,A707)&gt;1,"Duplicate","Unique")</f>
        <v>Unique</v>
      </c>
      <c r="Q707" t="str">
        <f t="shared" ref="Q707:Q770" si="22">IF(G707&lt;F707,"Expiry Error",
IF(AND(M707="Cancelled",N707&lt;&gt;""),"Cancelled but Active",
IF(J707&gt;30,"Invalid Attendance","OK")))</f>
        <v>Cancelled but Active</v>
      </c>
      <c r="R707" t="str">
        <f t="shared" ref="R707:R770" si="23">IF(N707="","Missing","Available")</f>
        <v>Available</v>
      </c>
    </row>
    <row r="708" spans="1:18">
      <c r="A708" t="str">
        <f>TRIM(CLEAN(Raw_Data!A708))</f>
        <v>MEM0707</v>
      </c>
      <c r="B708" t="str">
        <f ca="1">TRIM(Raw_Data!B708)</f>
        <v>Divya Lewis</v>
      </c>
      <c r="C708" t="str">
        <f ca="1">_xlfn.XLOOKUP(D708, Branch_Master!A:A, Branch_Master!B:B)</f>
        <v>Kochi</v>
      </c>
      <c r="D708" t="str">
        <f ca="1">TRIM(Raw_Data!D708)</f>
        <v>BR01</v>
      </c>
      <c r="E708" t="str">
        <f ca="1">PROPER(TRIM(Raw_Data!E708))</f>
        <v>Basic</v>
      </c>
      <c r="F708" s="2">
        <f>IFERROR(DATEVALUE(Raw_Data!F708), Raw_Data!F708)</f>
        <v>45821</v>
      </c>
      <c r="G708" s="2">
        <f>IFERROR(
    IF(
        IFERROR(DATEVALUE(Raw_Data!G708), Raw_Data!G708) &lt;
        IFERROR(DATEVALUE(Raw_Data!F708), Raw_Data!F708),
        IFERROR(DATEVALUE(Raw_Data!F708), Raw_Data!F708) + 30,
        IFERROR(DATEVALUE(Raw_Data!G708), Raw_Data!G708)
    ),
    ""
)</f>
        <v>45911</v>
      </c>
      <c r="H708">
        <f>IFERROR(VALUE(Raw_Data!H708), "")</f>
        <v>3500</v>
      </c>
      <c r="I708">
        <f ca="1">IFERROR(VALUE(Raw_Data!I708), "")</f>
        <v>14000</v>
      </c>
      <c r="J708">
        <f>IFERROR(
    VALUE(SUBSTITUTE(Raw_Data!J708," visits","")),
    ""
)</f>
        <v>1</v>
      </c>
      <c r="K708" t="str">
        <f ca="1">IF(TRIM(Raw_Data!K708)="","No",PROPER(TRIM(Raw_Data!K708)))</f>
        <v>Yes</v>
      </c>
      <c r="L708" t="str">
        <f ca="1">PROPER(TRIM(Raw_Data!L708))</f>
        <v>General Fitness</v>
      </c>
      <c r="M708" t="s">
        <v>152</v>
      </c>
      <c r="N708" s="2">
        <f>IFERROR(DATEVALUE(Raw_Data!N708), Raw_Data!N708)</f>
        <v>46119</v>
      </c>
      <c r="O708" s="2"/>
      <c r="P708" t="str">
        <f>IF(COUNTIF($A$2:A708,A708)&gt;1,"Duplicate","Unique")</f>
        <v>Unique</v>
      </c>
      <c r="Q708" t="str">
        <f t="shared" si="22"/>
        <v>Cancelled but Active</v>
      </c>
      <c r="R708" t="str">
        <f t="shared" si="23"/>
        <v>Available</v>
      </c>
    </row>
    <row r="709" spans="1:18">
      <c r="A709" t="str">
        <f>TRIM(CLEAN(Raw_Data!A709))</f>
        <v>MEM0708</v>
      </c>
      <c r="B709" t="str">
        <f ca="1">TRIM(Raw_Data!B709)</f>
        <v>Sanjay Nambiar</v>
      </c>
      <c r="C709" t="str">
        <f ca="1">_xlfn.XLOOKUP(D709, Branch_Master!A:A, Branch_Master!B:B)</f>
        <v>Calicut</v>
      </c>
      <c r="D709" t="str">
        <f ca="1">TRIM(Raw_Data!D709)</f>
        <v>BR07</v>
      </c>
      <c r="E709" t="str">
        <f ca="1">PROPER(TRIM(Raw_Data!E709))</f>
        <v>Premium</v>
      </c>
      <c r="F709" s="2">
        <f>IFERROR(DATEVALUE(Raw_Data!F709), Raw_Data!F709)</f>
        <v>45124</v>
      </c>
      <c r="G709" s="2">
        <f>IFERROR(
    IF(
        IFERROR(DATEVALUE(Raw_Data!G709), Raw_Data!G709) &lt;
        IFERROR(DATEVALUE(Raw_Data!F709), Raw_Data!F709),
        IFERROR(DATEVALUE(Raw_Data!F709), Raw_Data!F709) + 30,
        IFERROR(DATEVALUE(Raw_Data!G709), Raw_Data!G709)
    ),
    ""
)</f>
        <v>45489</v>
      </c>
      <c r="H709">
        <f>IFERROR(VALUE(Raw_Data!H709), "")</f>
        <v>1000</v>
      </c>
      <c r="I709">
        <f ca="1">IFERROR(VALUE(Raw_Data!I709), "")</f>
        <v>7000</v>
      </c>
      <c r="J709">
        <f>IFERROR(
    VALUE(SUBSTITUTE(Raw_Data!J709," visits","")),
    ""
)</f>
        <v>12</v>
      </c>
      <c r="K709" t="str">
        <f ca="1">IF(TRIM(Raw_Data!K709)="","No",PROPER(TRIM(Raw_Data!K709)))</f>
        <v>No</v>
      </c>
      <c r="L709" t="str">
        <f ca="1">PROPER(TRIM(Raw_Data!L709))</f>
        <v>Weight Loss</v>
      </c>
      <c r="M709" t="s">
        <v>152</v>
      </c>
      <c r="N709" s="2">
        <f>IFERROR(DATEVALUE(Raw_Data!N709), Raw_Data!N709)</f>
        <v>45693</v>
      </c>
      <c r="O709" s="2"/>
      <c r="P709" t="str">
        <f>IF(COUNTIF($A$2:A709,A709)&gt;1,"Duplicate","Unique")</f>
        <v>Unique</v>
      </c>
      <c r="Q709" t="str">
        <f t="shared" si="22"/>
        <v>Cancelled but Active</v>
      </c>
      <c r="R709" t="str">
        <f t="shared" si="23"/>
        <v>Available</v>
      </c>
    </row>
    <row r="710" spans="1:18">
      <c r="A710" t="str">
        <f>TRIM(CLEAN(Raw_Data!A710))</f>
        <v>MEM0709</v>
      </c>
      <c r="B710" t="str">
        <f ca="1">TRIM(Raw_Data!B710)</f>
        <v>Karthik Khan</v>
      </c>
      <c r="C710" t="str">
        <f ca="1">_xlfn.XLOOKUP(D710, Branch_Master!A:A, Branch_Master!B:B)</f>
        <v>Kochi</v>
      </c>
      <c r="D710" t="str">
        <f ca="1">TRIM(Raw_Data!D710)</f>
        <v>BR01</v>
      </c>
      <c r="E710" t="str">
        <f ca="1">PROPER(TRIM(Raw_Data!E710))</f>
        <v>Basic</v>
      </c>
      <c r="F710" s="2">
        <f>IFERROR(DATEVALUE(Raw_Data!F710), Raw_Data!F710)</f>
        <v>44974</v>
      </c>
      <c r="G710" s="2">
        <f>IFERROR(
    IF(
        IFERROR(DATEVALUE(Raw_Data!G710), Raw_Data!G710) &lt;
        IFERROR(DATEVALUE(Raw_Data!F710), Raw_Data!F710),
        IFERROR(DATEVALUE(Raw_Data!F710), Raw_Data!F710) + 30,
        IFERROR(DATEVALUE(Raw_Data!G710), Raw_Data!G710)
    ),
    ""
)</f>
        <v>45004</v>
      </c>
      <c r="H710">
        <f>IFERROR(VALUE(Raw_Data!H710), "")</f>
        <v>2000</v>
      </c>
      <c r="I710">
        <f ca="1">IFERROR(VALUE(Raw_Data!I710), "")</f>
        <v>18000</v>
      </c>
      <c r="J710">
        <f>IFERROR(
    VALUE(SUBSTITUTE(Raw_Data!J710," visits","")),
    ""
)</f>
        <v>2</v>
      </c>
      <c r="K710" t="str">
        <f ca="1">IF(TRIM(Raw_Data!K710)="","No",PROPER(TRIM(Raw_Data!K710)))</f>
        <v>Yes</v>
      </c>
      <c r="L710" t="str">
        <f ca="1">PROPER(TRIM(Raw_Data!L710))</f>
        <v>General Fitness</v>
      </c>
      <c r="M710" t="s">
        <v>152</v>
      </c>
      <c r="N710" s="2">
        <f>IFERROR(DATEVALUE(Raw_Data!N710), Raw_Data!N710)</f>
        <v>44998</v>
      </c>
      <c r="O710" s="2"/>
      <c r="P710" t="str">
        <f>IF(COUNTIF($A$2:A710,A710)&gt;1,"Duplicate","Unique")</f>
        <v>Unique</v>
      </c>
      <c r="Q710" t="str">
        <f t="shared" si="22"/>
        <v>Cancelled but Active</v>
      </c>
      <c r="R710" t="str">
        <f t="shared" si="23"/>
        <v>Available</v>
      </c>
    </row>
    <row r="711" spans="1:18">
      <c r="A711" t="str">
        <f>TRIM(CLEAN(Raw_Data!A711))</f>
        <v>MEM0710</v>
      </c>
      <c r="B711" t="str">
        <f ca="1">TRIM(Raw_Data!B711)</f>
        <v>Manoj Joseph</v>
      </c>
      <c r="C711" t="str">
        <f ca="1">_xlfn.XLOOKUP(D711, Branch_Master!A:A, Branch_Master!B:B)</f>
        <v>Trivandrum</v>
      </c>
      <c r="D711" t="str">
        <f ca="1">TRIM(Raw_Data!D711)</f>
        <v>BR06</v>
      </c>
      <c r="E711" t="str">
        <f ca="1">PROPER(TRIM(Raw_Data!E711))</f>
        <v>Standard</v>
      </c>
      <c r="F711" s="2">
        <f>IFERROR(DATEVALUE(Raw_Data!F711), Raw_Data!F711)</f>
        <v>45970</v>
      </c>
      <c r="G711" s="2">
        <f>IFERROR(
    IF(
        IFERROR(DATEVALUE(Raw_Data!G711), Raw_Data!G711) &lt;
        IFERROR(DATEVALUE(Raw_Data!F711), Raw_Data!F711),
        IFERROR(DATEVALUE(Raw_Data!F711), Raw_Data!F711) + 30,
        IFERROR(DATEVALUE(Raw_Data!G711), Raw_Data!G711)
    ),
    ""
)</f>
        <v>46000</v>
      </c>
      <c r="H711">
        <f>IFERROR(VALUE(Raw_Data!H711), "")</f>
        <v>3500</v>
      </c>
      <c r="I711">
        <f ca="1">IFERROR(VALUE(Raw_Data!I711), "")</f>
        <v>3500</v>
      </c>
      <c r="J711">
        <f>IFERROR(
    VALUE(SUBSTITUTE(Raw_Data!J711," visits","")),
    ""
)</f>
        <v>1</v>
      </c>
      <c r="K711" t="str">
        <f ca="1">IF(TRIM(Raw_Data!K711)="","No",PROPER(TRIM(Raw_Data!K711)))</f>
        <v>Yes</v>
      </c>
      <c r="L711" t="str">
        <f ca="1">PROPER(TRIM(Raw_Data!L711))</f>
        <v>Muscle Gain</v>
      </c>
      <c r="M711" t="s">
        <v>152</v>
      </c>
      <c r="N711" s="2">
        <f>IFERROR(DATEVALUE(Raw_Data!N711), Raw_Data!N711)</f>
        <v>46100</v>
      </c>
      <c r="O711" s="2"/>
      <c r="P711" t="str">
        <f>IF(COUNTIF($A$2:A711,A711)&gt;1,"Duplicate","Unique")</f>
        <v>Unique</v>
      </c>
      <c r="Q711" t="str">
        <f t="shared" si="22"/>
        <v>Cancelled but Active</v>
      </c>
      <c r="R711" t="str">
        <f t="shared" si="23"/>
        <v>Available</v>
      </c>
    </row>
    <row r="712" spans="1:18">
      <c r="A712" t="str">
        <f>TRIM(CLEAN(Raw_Data!A712))</f>
        <v>MEM0711</v>
      </c>
      <c r="B712" t="str">
        <f ca="1">TRIM(Raw_Data!B712)</f>
        <v>Kavya Das</v>
      </c>
      <c r="C712" t="str">
        <f ca="1">_xlfn.XLOOKUP(D712, Branch_Master!A:A, Branch_Master!B:B)</f>
        <v>Mumbai</v>
      </c>
      <c r="D712" t="str">
        <f ca="1">TRIM(Raw_Data!D712)</f>
        <v>BR05</v>
      </c>
      <c r="E712" t="str">
        <f ca="1">PROPER(TRIM(Raw_Data!E712))</f>
        <v>Basic</v>
      </c>
      <c r="F712" s="2">
        <f>IFERROR(DATEVALUE(Raw_Data!F712), Raw_Data!F712)</f>
        <v>45515</v>
      </c>
      <c r="G712" s="2">
        <f>IFERROR(
    IF(
        IFERROR(DATEVALUE(Raw_Data!G712), Raw_Data!G712) &lt;
        IFERROR(DATEVALUE(Raw_Data!F712), Raw_Data!F712),
        IFERROR(DATEVALUE(Raw_Data!F712), Raw_Data!F712) + 30,
        IFERROR(DATEVALUE(Raw_Data!G712), Raw_Data!G712)
    ),
    ""
)</f>
        <v>45545</v>
      </c>
      <c r="H712">
        <f>IFERROR(VALUE(Raw_Data!H712), "")</f>
        <v>2000</v>
      </c>
      <c r="I712">
        <f ca="1">IFERROR(VALUE(Raw_Data!I712), "")</f>
        <v>10000</v>
      </c>
      <c r="J712">
        <f>IFERROR(
    VALUE(SUBSTITUTE(Raw_Data!J712," visits","")),
    ""
)</f>
        <v>6</v>
      </c>
      <c r="K712" t="str">
        <f ca="1">IF(TRIM(Raw_Data!K712)="","No",PROPER(TRIM(Raw_Data!K712)))</f>
        <v>No</v>
      </c>
      <c r="L712" t="str">
        <f ca="1">PROPER(TRIM(Raw_Data!L712))</f>
        <v>Weight Loss</v>
      </c>
      <c r="M712" t="s">
        <v>151</v>
      </c>
      <c r="N712" s="2">
        <f>IFERROR(DATEVALUE(Raw_Data!N712), Raw_Data!N712)</f>
        <v>45684</v>
      </c>
      <c r="O712" s="2"/>
      <c r="P712" t="str">
        <f>IF(COUNTIF($A$2:A712,A712)&gt;1,"Duplicate","Unique")</f>
        <v>Unique</v>
      </c>
      <c r="Q712" t="str">
        <f t="shared" si="22"/>
        <v>OK</v>
      </c>
      <c r="R712" t="str">
        <f t="shared" si="23"/>
        <v>Available</v>
      </c>
    </row>
    <row r="713" spans="1:18">
      <c r="A713" t="str">
        <f>TRIM(CLEAN(Raw_Data!A713))</f>
        <v>MEM0712</v>
      </c>
      <c r="B713" t="str">
        <f ca="1">TRIM(Raw_Data!B713)</f>
        <v>Shreya Thomas</v>
      </c>
      <c r="C713" t="str">
        <f ca="1">_xlfn.XLOOKUP(D713, Branch_Master!A:A, Branch_Master!B:B)</f>
        <v>Kochi</v>
      </c>
      <c r="D713" t="str">
        <f ca="1">TRIM(Raw_Data!D713)</f>
        <v>BR01</v>
      </c>
      <c r="E713" t="str">
        <f ca="1">PROPER(TRIM(Raw_Data!E713))</f>
        <v>Premium</v>
      </c>
      <c r="F713" s="2">
        <f>IFERROR(DATEVALUE(Raw_Data!F713), Raw_Data!F713)</f>
        <v>45735</v>
      </c>
      <c r="G713" s="2">
        <f>IFERROR(
    IF(
        IFERROR(DATEVALUE(Raw_Data!G713), Raw_Data!G713) &lt;
        IFERROR(DATEVALUE(Raw_Data!F713), Raw_Data!F713),
        IFERROR(DATEVALUE(Raw_Data!F713), Raw_Data!F713) + 30,
        IFERROR(DATEVALUE(Raw_Data!G713), Raw_Data!G713)
    ),
    ""
)</f>
        <v>45765</v>
      </c>
      <c r="H713">
        <f>IFERROR(VALUE(Raw_Data!H713), "")</f>
        <v>1000</v>
      </c>
      <c r="I713">
        <f ca="1">IFERROR(VALUE(Raw_Data!I713), "")</f>
        <v>8000</v>
      </c>
      <c r="J713">
        <f>IFERROR(
    VALUE(SUBSTITUTE(Raw_Data!J713," visits","")),
    ""
)</f>
        <v>7</v>
      </c>
      <c r="K713" t="str">
        <f ca="1">IF(TRIM(Raw_Data!K713)="","No",PROPER(TRIM(Raw_Data!K713)))</f>
        <v>Yes</v>
      </c>
      <c r="L713" t="str">
        <f ca="1">PROPER(TRIM(Raw_Data!L713))</f>
        <v>Muscle Gain</v>
      </c>
      <c r="M713" t="s">
        <v>151</v>
      </c>
      <c r="N713" s="2">
        <f>IFERROR(DATEVALUE(Raw_Data!N713), Raw_Data!N713)</f>
        <v>46105</v>
      </c>
      <c r="O713" s="2"/>
      <c r="P713" t="str">
        <f>IF(COUNTIF($A$2:A713,A713)&gt;1,"Duplicate","Unique")</f>
        <v>Unique</v>
      </c>
      <c r="Q713" t="str">
        <f t="shared" si="22"/>
        <v>OK</v>
      </c>
      <c r="R713" t="str">
        <f t="shared" si="23"/>
        <v>Available</v>
      </c>
    </row>
    <row r="714" spans="1:18">
      <c r="A714" t="str">
        <f>TRIM(CLEAN(Raw_Data!A714))</f>
        <v>MEM0713</v>
      </c>
      <c r="B714" t="str">
        <f ca="1">TRIM(Raw_Data!B714)</f>
        <v>Kavya Shetty</v>
      </c>
      <c r="C714" t="str">
        <f ca="1">_xlfn.XLOOKUP(D714, Branch_Master!A:A, Branch_Master!B:B)</f>
        <v>Chennai</v>
      </c>
      <c r="D714" t="str">
        <f ca="1">TRIM(Raw_Data!D714)</f>
        <v>BR03</v>
      </c>
      <c r="E714" t="str">
        <f ca="1">PROPER(TRIM(Raw_Data!E714))</f>
        <v>Basic</v>
      </c>
      <c r="F714" s="2">
        <f>IFERROR(DATEVALUE(Raw_Data!F714), Raw_Data!F714)</f>
        <v>45093</v>
      </c>
      <c r="G714" s="2">
        <f>IFERROR(
    IF(
        IFERROR(DATEVALUE(Raw_Data!G714), Raw_Data!G714) &lt;
        IFERROR(DATEVALUE(Raw_Data!F714), Raw_Data!F714),
        IFERROR(DATEVALUE(Raw_Data!F714), Raw_Data!F714) + 30,
        IFERROR(DATEVALUE(Raw_Data!G714), Raw_Data!G714)
    ),
    ""
)</f>
        <v>45123</v>
      </c>
      <c r="H714">
        <f>IFERROR(VALUE(Raw_Data!H714), "")</f>
        <v>1000</v>
      </c>
      <c r="I714">
        <f ca="1">IFERROR(VALUE(Raw_Data!I714), "")</f>
        <v>6000</v>
      </c>
      <c r="J714">
        <f>IFERROR(
    VALUE(SUBSTITUTE(Raw_Data!J714," visits","")),
    ""
)</f>
        <v>12</v>
      </c>
      <c r="K714" t="str">
        <f ca="1">IF(TRIM(Raw_Data!K714)="","No",PROPER(TRIM(Raw_Data!K714)))</f>
        <v>Yes</v>
      </c>
      <c r="L714" t="str">
        <f ca="1">PROPER(TRIM(Raw_Data!L714))</f>
        <v>Weight Loss</v>
      </c>
      <c r="M714" t="s">
        <v>152</v>
      </c>
      <c r="N714" s="2">
        <f>IFERROR(DATEVALUE(Raw_Data!N714), Raw_Data!N714)</f>
        <v>45566</v>
      </c>
      <c r="O714" s="2"/>
      <c r="P714" t="str">
        <f>IF(COUNTIF($A$2:A714,A714)&gt;1,"Duplicate","Unique")</f>
        <v>Unique</v>
      </c>
      <c r="Q714" t="str">
        <f t="shared" si="22"/>
        <v>Cancelled but Active</v>
      </c>
      <c r="R714" t="str">
        <f t="shared" si="23"/>
        <v>Available</v>
      </c>
    </row>
    <row r="715" spans="1:18">
      <c r="A715" t="str">
        <f>TRIM(CLEAN(Raw_Data!A715))</f>
        <v>MEM0714</v>
      </c>
      <c r="B715" t="str">
        <f ca="1">TRIM(Raw_Data!B715)</f>
        <v>Rahul Menon</v>
      </c>
      <c r="C715" t="str">
        <f ca="1">_xlfn.XLOOKUP(D715, Branch_Master!A:A, Branch_Master!B:B)</f>
        <v>Kochi</v>
      </c>
      <c r="D715" t="str">
        <f ca="1">TRIM(Raw_Data!D715)</f>
        <v>BR01</v>
      </c>
      <c r="E715" t="str">
        <f ca="1">PROPER(TRIM(Raw_Data!E715))</f>
        <v>Premium</v>
      </c>
      <c r="F715" s="2">
        <f>IFERROR(DATEVALUE(Raw_Data!F715), Raw_Data!F715)</f>
        <v>45512</v>
      </c>
      <c r="G715" s="2">
        <f>IFERROR(
    IF(
        IFERROR(DATEVALUE(Raw_Data!G715), Raw_Data!G715) &lt;
        IFERROR(DATEVALUE(Raw_Data!F715), Raw_Data!F715),
        IFERROR(DATEVALUE(Raw_Data!F715), Raw_Data!F715) + 30,
        IFERROR(DATEVALUE(Raw_Data!G715), Raw_Data!G715)
    ),
    ""
)</f>
        <v>45602</v>
      </c>
      <c r="H715">
        <f>IFERROR(VALUE(Raw_Data!H715), "")</f>
        <v>3500</v>
      </c>
      <c r="I715">
        <f ca="1">IFERROR(VALUE(Raw_Data!I715), "")</f>
        <v>3500</v>
      </c>
      <c r="J715">
        <f>IFERROR(
    VALUE(SUBSTITUTE(Raw_Data!J715," visits","")),
    ""
)</f>
        <v>7</v>
      </c>
      <c r="K715" t="str">
        <f ca="1">IF(TRIM(Raw_Data!K715)="","No",PROPER(TRIM(Raw_Data!K715)))</f>
        <v>No</v>
      </c>
      <c r="L715" t="str">
        <f ca="1">PROPER(TRIM(Raw_Data!L715))</f>
        <v>Weight Loss</v>
      </c>
      <c r="M715" t="s">
        <v>151</v>
      </c>
      <c r="N715" s="2">
        <f>IFERROR(DATEVALUE(Raw_Data!N715), Raw_Data!N715)</f>
        <v>45973</v>
      </c>
      <c r="O715" s="2"/>
      <c r="P715" t="str">
        <f>IF(COUNTIF($A$2:A715,A715)&gt;1,"Duplicate","Unique")</f>
        <v>Unique</v>
      </c>
      <c r="Q715" t="str">
        <f t="shared" si="22"/>
        <v>OK</v>
      </c>
      <c r="R715" t="str">
        <f t="shared" si="23"/>
        <v>Available</v>
      </c>
    </row>
    <row r="716" spans="1:18">
      <c r="A716" t="str">
        <f>TRIM(CLEAN(Raw_Data!A716))</f>
        <v>MEM0715</v>
      </c>
      <c r="B716" t="str">
        <f ca="1">TRIM(Raw_Data!B716)</f>
        <v>Anu George</v>
      </c>
      <c r="C716" t="str">
        <f ca="1">_xlfn.XLOOKUP(D716, Branch_Master!A:A, Branch_Master!B:B)</f>
        <v>Kochi</v>
      </c>
      <c r="D716" t="str">
        <f ca="1">TRIM(Raw_Data!D716)</f>
        <v>BR01</v>
      </c>
      <c r="E716" t="str">
        <f ca="1">PROPER(TRIM(Raw_Data!E716))</f>
        <v>Premium</v>
      </c>
      <c r="F716" s="2">
        <f>IFERROR(DATEVALUE(Raw_Data!F716), Raw_Data!F716)</f>
        <v>45426</v>
      </c>
      <c r="G716" s="2">
        <f>IFERROR(
    IF(
        IFERROR(DATEVALUE(Raw_Data!G716), Raw_Data!G716) &lt;
        IFERROR(DATEVALUE(Raw_Data!F716), Raw_Data!F716),
        IFERROR(DATEVALUE(Raw_Data!F716), Raw_Data!F716) + 30,
        IFERROR(DATEVALUE(Raw_Data!G716), Raw_Data!G716)
    ),
    ""
)</f>
        <v>45791</v>
      </c>
      <c r="H716">
        <f>IFERROR(VALUE(Raw_Data!H716), "")</f>
        <v>3500</v>
      </c>
      <c r="I716">
        <f ca="1">IFERROR(VALUE(Raw_Data!I716), "")</f>
        <v>10500</v>
      </c>
      <c r="J716">
        <f>IFERROR(
    VALUE(SUBSTITUTE(Raw_Data!J716," visits","")),
    ""
)</f>
        <v>25</v>
      </c>
      <c r="K716" t="str">
        <f ca="1">IF(TRIM(Raw_Data!K716)="","No",PROPER(TRIM(Raw_Data!K716)))</f>
        <v>No</v>
      </c>
      <c r="L716" t="str">
        <f ca="1">PROPER(TRIM(Raw_Data!L716))</f>
        <v>General Fitness</v>
      </c>
      <c r="M716" t="s">
        <v>151</v>
      </c>
      <c r="N716" s="2">
        <f>IFERROR(DATEVALUE(Raw_Data!N716), Raw_Data!N716)</f>
        <v>45980</v>
      </c>
      <c r="O716" s="2"/>
      <c r="P716" t="str">
        <f>IF(COUNTIF($A$2:A716,A716)&gt;1,"Duplicate","Unique")</f>
        <v>Unique</v>
      </c>
      <c r="Q716" t="str">
        <f t="shared" si="22"/>
        <v>OK</v>
      </c>
      <c r="R716" t="str">
        <f t="shared" si="23"/>
        <v>Available</v>
      </c>
    </row>
    <row r="717" spans="1:18">
      <c r="A717" t="str">
        <f>TRIM(CLEAN(Raw_Data!A717))</f>
        <v>MEM0716</v>
      </c>
      <c r="B717" t="str">
        <f ca="1">TRIM(Raw_Data!B717)</f>
        <v>Meera Das</v>
      </c>
      <c r="C717" t="str">
        <f ca="1">_xlfn.XLOOKUP(D717, Branch_Master!A:A, Branch_Master!B:B)</f>
        <v>Mumbai</v>
      </c>
      <c r="D717" t="str">
        <f ca="1">TRIM(Raw_Data!D717)</f>
        <v>BR05</v>
      </c>
      <c r="E717" t="str">
        <f ca="1">PROPER(TRIM(Raw_Data!E717))</f>
        <v>Standard</v>
      </c>
      <c r="F717" s="2">
        <f>IFERROR(DATEVALUE(Raw_Data!F717), Raw_Data!F717)</f>
        <v>45427</v>
      </c>
      <c r="G717" s="2">
        <f>IFERROR(
    IF(
        IFERROR(DATEVALUE(Raw_Data!G717), Raw_Data!G717) &lt;
        IFERROR(DATEVALUE(Raw_Data!F717), Raw_Data!F717),
        IFERROR(DATEVALUE(Raw_Data!F717), Raw_Data!F717) + 30,
        IFERROR(DATEVALUE(Raw_Data!G717), Raw_Data!G717)
    ),
    ""
)</f>
        <v>45517</v>
      </c>
      <c r="H717">
        <f>IFERROR(VALUE(Raw_Data!H717), "")</f>
        <v>2000</v>
      </c>
      <c r="I717">
        <f ca="1">IFERROR(VALUE(Raw_Data!I717), "")</f>
        <v>20000</v>
      </c>
      <c r="J717">
        <f>IFERROR(
    VALUE(SUBSTITUTE(Raw_Data!J717," visits","")),
    ""
)</f>
        <v>4</v>
      </c>
      <c r="K717" t="str">
        <f ca="1">IF(TRIM(Raw_Data!K717)="","No",PROPER(TRIM(Raw_Data!K717)))</f>
        <v>No</v>
      </c>
      <c r="L717" t="str">
        <f ca="1">PROPER(TRIM(Raw_Data!L717))</f>
        <v>General Fitness</v>
      </c>
      <c r="M717" t="s">
        <v>152</v>
      </c>
      <c r="N717" s="2">
        <f>IFERROR(DATEVALUE(Raw_Data!N717), Raw_Data!N717)</f>
        <v>45898</v>
      </c>
      <c r="O717" s="2"/>
      <c r="P717" t="str">
        <f>IF(COUNTIF($A$2:A717,A717)&gt;1,"Duplicate","Unique")</f>
        <v>Unique</v>
      </c>
      <c r="Q717" t="str">
        <f t="shared" si="22"/>
        <v>Cancelled but Active</v>
      </c>
      <c r="R717" t="str">
        <f t="shared" si="23"/>
        <v>Available</v>
      </c>
    </row>
    <row r="718" spans="1:18">
      <c r="A718" t="str">
        <f>TRIM(CLEAN(Raw_Data!A718))</f>
        <v>MEM0717</v>
      </c>
      <c r="B718" t="str">
        <f ca="1">TRIM(Raw_Data!B718)</f>
        <v>Akash Bhat</v>
      </c>
      <c r="C718" t="str">
        <f ca="1">_xlfn.XLOOKUP(D718, Branch_Master!A:A, Branch_Master!B:B)</f>
        <v>Chennai</v>
      </c>
      <c r="D718" t="str">
        <f ca="1">TRIM(Raw_Data!D718)</f>
        <v>BR03</v>
      </c>
      <c r="E718" t="str">
        <f ca="1">PROPER(TRIM(Raw_Data!E718))</f>
        <v>Basic</v>
      </c>
      <c r="F718" s="2">
        <f>IFERROR(DATEVALUE(Raw_Data!F718), Raw_Data!F718)</f>
        <v>45303</v>
      </c>
      <c r="G718" s="2">
        <f>IFERROR(
    IF(
        IFERROR(DATEVALUE(Raw_Data!G718), Raw_Data!G718) &lt;
        IFERROR(DATEVALUE(Raw_Data!F718), Raw_Data!F718),
        IFERROR(DATEVALUE(Raw_Data!F718), Raw_Data!F718) + 30,
        IFERROR(DATEVALUE(Raw_Data!G718), Raw_Data!G718)
    ),
    ""
)</f>
        <v>45393</v>
      </c>
      <c r="H718">
        <f>IFERROR(VALUE(Raw_Data!H718), "")</f>
        <v>2000</v>
      </c>
      <c r="I718">
        <f ca="1">IFERROR(VALUE(Raw_Data!I718), "")</f>
        <v>20000</v>
      </c>
      <c r="J718">
        <f>IFERROR(
    VALUE(SUBSTITUTE(Raw_Data!J718," visits","")),
    ""
)</f>
        <v>6</v>
      </c>
      <c r="K718" t="str">
        <f ca="1">IF(TRIM(Raw_Data!K718)="","No",PROPER(TRIM(Raw_Data!K718)))</f>
        <v>Yes</v>
      </c>
      <c r="L718" t="str">
        <f ca="1">PROPER(TRIM(Raw_Data!L718))</f>
        <v>Muscle Gain</v>
      </c>
      <c r="M718" t="s">
        <v>151</v>
      </c>
      <c r="N718" s="2">
        <f>IFERROR(DATEVALUE(Raw_Data!N718), Raw_Data!N718)</f>
        <v>45700</v>
      </c>
      <c r="O718" s="2"/>
      <c r="P718" t="str">
        <f>IF(COUNTIF($A$2:A718,A718)&gt;1,"Duplicate","Unique")</f>
        <v>Unique</v>
      </c>
      <c r="Q718" t="str">
        <f t="shared" si="22"/>
        <v>OK</v>
      </c>
      <c r="R718" t="str">
        <f t="shared" si="23"/>
        <v>Available</v>
      </c>
    </row>
    <row r="719" spans="1:18">
      <c r="A719" t="str">
        <f>TRIM(CLEAN(Raw_Data!A719))</f>
        <v>MEM0718</v>
      </c>
      <c r="B719" t="str">
        <f ca="1">TRIM(Raw_Data!B719)</f>
        <v>Lakshmi Shetty</v>
      </c>
      <c r="C719" t="str">
        <f ca="1">_xlfn.XLOOKUP(D719, Branch_Master!A:A, Branch_Master!B:B)</f>
        <v>Kochi</v>
      </c>
      <c r="D719" t="str">
        <f ca="1">TRIM(Raw_Data!D719)</f>
        <v>BR01</v>
      </c>
      <c r="E719" t="str">
        <f ca="1">PROPER(TRIM(Raw_Data!E719))</f>
        <v>Basic</v>
      </c>
      <c r="F719" s="2">
        <f>IFERROR(DATEVALUE(Raw_Data!F719), Raw_Data!F719)</f>
        <v>45456</v>
      </c>
      <c r="G719" s="2">
        <f>IFERROR(
    IF(
        IFERROR(DATEVALUE(Raw_Data!G719), Raw_Data!G719) &lt;
        IFERROR(DATEVALUE(Raw_Data!F719), Raw_Data!F719),
        IFERROR(DATEVALUE(Raw_Data!F719), Raw_Data!F719) + 30,
        IFERROR(DATEVALUE(Raw_Data!G719), Raw_Data!G719)
    ),
    ""
)</f>
        <v>45486</v>
      </c>
      <c r="H719">
        <f>IFERROR(VALUE(Raw_Data!H719), "")</f>
        <v>3500</v>
      </c>
      <c r="I719">
        <f ca="1">IFERROR(VALUE(Raw_Data!I719), "")</f>
        <v>10500</v>
      </c>
      <c r="J719">
        <f>IFERROR(
    VALUE(SUBSTITUTE(Raw_Data!J719," visits","")),
    ""
)</f>
        <v>14</v>
      </c>
      <c r="K719" t="str">
        <f ca="1">IF(TRIM(Raw_Data!K719)="","No",PROPER(TRIM(Raw_Data!K719)))</f>
        <v>Yes</v>
      </c>
      <c r="L719" t="str">
        <f ca="1">PROPER(TRIM(Raw_Data!L719))</f>
        <v>General Fitness</v>
      </c>
      <c r="M719" t="s">
        <v>151</v>
      </c>
      <c r="N719" s="2">
        <f>IFERROR(DATEVALUE(Raw_Data!N719), Raw_Data!N719)</f>
        <v>45997</v>
      </c>
      <c r="O719" s="2"/>
      <c r="P719" t="str">
        <f>IF(COUNTIF($A$2:A719,A719)&gt;1,"Duplicate","Unique")</f>
        <v>Unique</v>
      </c>
      <c r="Q719" t="str">
        <f t="shared" si="22"/>
        <v>OK</v>
      </c>
      <c r="R719" t="str">
        <f t="shared" si="23"/>
        <v>Available</v>
      </c>
    </row>
    <row r="720" spans="1:18">
      <c r="A720" t="str">
        <f>TRIM(CLEAN(Raw_Data!A720))</f>
        <v>MEM0719</v>
      </c>
      <c r="B720" t="str">
        <f ca="1">TRIM(Raw_Data!B720)</f>
        <v>Shreya Lewis</v>
      </c>
      <c r="C720" t="str">
        <f ca="1">_xlfn.XLOOKUP(D720, Branch_Master!A:A, Branch_Master!B:B)</f>
        <v>Hyderabad</v>
      </c>
      <c r="D720" t="str">
        <f ca="1">TRIM(Raw_Data!D720)</f>
        <v>BR04</v>
      </c>
      <c r="E720" t="str">
        <f ca="1">PROPER(TRIM(Raw_Data!E720))</f>
        <v>Basic</v>
      </c>
      <c r="F720" s="2">
        <f>IFERROR(DATEVALUE(Raw_Data!F720), Raw_Data!F720)</f>
        <v>45386</v>
      </c>
      <c r="G720" s="2">
        <f>IFERROR(
    IF(
        IFERROR(DATEVALUE(Raw_Data!G720), Raw_Data!G720) &lt;
        IFERROR(DATEVALUE(Raw_Data!F720), Raw_Data!F720),
        IFERROR(DATEVALUE(Raw_Data!F720), Raw_Data!F720) + 30,
        IFERROR(DATEVALUE(Raw_Data!G720), Raw_Data!G720)
    ),
    ""
)</f>
        <v>45751</v>
      </c>
      <c r="H720">
        <f>IFERROR(VALUE(Raw_Data!H720), "")</f>
        <v>1000</v>
      </c>
      <c r="I720">
        <f ca="1">IFERROR(VALUE(Raw_Data!I720), "")</f>
        <v>8000</v>
      </c>
      <c r="J720">
        <f>IFERROR(
    VALUE(SUBSTITUTE(Raw_Data!J720," visits","")),
    ""
)</f>
        <v>5</v>
      </c>
      <c r="K720" t="str">
        <f ca="1">IF(TRIM(Raw_Data!K720)="","No",PROPER(TRIM(Raw_Data!K720)))</f>
        <v>Yes</v>
      </c>
      <c r="L720" t="str">
        <f ca="1">PROPER(TRIM(Raw_Data!L720))</f>
        <v>General Fitness</v>
      </c>
      <c r="M720" t="s">
        <v>151</v>
      </c>
      <c r="N720" s="2">
        <f>IFERROR(DATEVALUE(Raw_Data!N720), Raw_Data!N720)</f>
        <v>45964</v>
      </c>
      <c r="O720" s="2"/>
      <c r="P720" t="str">
        <f>IF(COUNTIF($A$2:A720,A720)&gt;1,"Duplicate","Unique")</f>
        <v>Unique</v>
      </c>
      <c r="Q720" t="str">
        <f t="shared" si="22"/>
        <v>OK</v>
      </c>
      <c r="R720" t="str">
        <f t="shared" si="23"/>
        <v>Available</v>
      </c>
    </row>
    <row r="721" spans="1:18">
      <c r="A721" t="str">
        <f>TRIM(CLEAN(Raw_Data!A721))</f>
        <v>MEM0720</v>
      </c>
      <c r="B721" t="str">
        <f ca="1">TRIM(Raw_Data!B721)</f>
        <v>Rohit Patel</v>
      </c>
      <c r="C721" t="str">
        <f ca="1">_xlfn.XLOOKUP(D721, Branch_Master!A:A, Branch_Master!B:B)</f>
        <v>Calicut</v>
      </c>
      <c r="D721" t="str">
        <f ca="1">TRIM(Raw_Data!D721)</f>
        <v>BR07</v>
      </c>
      <c r="E721" t="str">
        <f ca="1">PROPER(TRIM(Raw_Data!E721))</f>
        <v>Standard</v>
      </c>
      <c r="F721" s="2">
        <f>IFERROR(DATEVALUE(Raw_Data!F721), Raw_Data!F721)</f>
        <v>45920</v>
      </c>
      <c r="G721" s="2">
        <f>IFERROR(
    IF(
        IFERROR(DATEVALUE(Raw_Data!G721), Raw_Data!G721) &lt;
        IFERROR(DATEVALUE(Raw_Data!F721), Raw_Data!F721),
        IFERROR(DATEVALUE(Raw_Data!F721), Raw_Data!F721) + 30,
        IFERROR(DATEVALUE(Raw_Data!G721), Raw_Data!G721)
    ),
    ""
)</f>
        <v>45950</v>
      </c>
      <c r="H721">
        <f>IFERROR(VALUE(Raw_Data!H721), "")</f>
        <v>1000</v>
      </c>
      <c r="I721">
        <f ca="1">IFERROR(VALUE(Raw_Data!I721), "")</f>
        <v>10000</v>
      </c>
      <c r="J721">
        <f>IFERROR(
    VALUE(SUBSTITUTE(Raw_Data!J721," visits","")),
    ""
)</f>
        <v>3</v>
      </c>
      <c r="K721" t="str">
        <f ca="1">IF(TRIM(Raw_Data!K721)="","No",PROPER(TRIM(Raw_Data!K721)))</f>
        <v>Yes</v>
      </c>
      <c r="L721" t="str">
        <f ca="1">PROPER(TRIM(Raw_Data!L721))</f>
        <v>Muscle Gain</v>
      </c>
      <c r="M721" t="s">
        <v>151</v>
      </c>
      <c r="N721" s="2">
        <f>IFERROR(DATEVALUE(Raw_Data!N721), Raw_Data!N721)</f>
        <v>45998</v>
      </c>
      <c r="O721" s="2"/>
      <c r="P721" t="str">
        <f>IF(COUNTIF($A$2:A721,A721)&gt;1,"Duplicate","Unique")</f>
        <v>Unique</v>
      </c>
      <c r="Q721" t="str">
        <f t="shared" si="22"/>
        <v>OK</v>
      </c>
      <c r="R721" t="str">
        <f t="shared" si="23"/>
        <v>Available</v>
      </c>
    </row>
    <row r="722" spans="1:18">
      <c r="A722" t="str">
        <f>TRIM(CLEAN(Raw_Data!A722))</f>
        <v>MEM0721</v>
      </c>
      <c r="B722" t="str">
        <f ca="1">TRIM(Raw_Data!B722)</f>
        <v>Swathi Banerjee</v>
      </c>
      <c r="C722" t="str">
        <f ca="1">_xlfn.XLOOKUP(D722, Branch_Master!A:A, Branch_Master!B:B)</f>
        <v>Bangalore</v>
      </c>
      <c r="D722" t="str">
        <f ca="1">TRIM(Raw_Data!D722)</f>
        <v>BR02</v>
      </c>
      <c r="E722" t="str">
        <f ca="1">PROPER(TRIM(Raw_Data!E722))</f>
        <v>Basic</v>
      </c>
      <c r="F722" s="2">
        <f>IFERROR(DATEVALUE(Raw_Data!F722), Raw_Data!F722)</f>
        <v>45042</v>
      </c>
      <c r="G722" s="2">
        <f>IFERROR(
    IF(
        IFERROR(DATEVALUE(Raw_Data!G722), Raw_Data!G722) &lt;
        IFERROR(DATEVALUE(Raw_Data!F722), Raw_Data!F722),
        IFERROR(DATEVALUE(Raw_Data!F722), Raw_Data!F722) + 30,
        IFERROR(DATEVALUE(Raw_Data!G722), Raw_Data!G722)
    ),
    ""
)</f>
        <v>45072</v>
      </c>
      <c r="H722">
        <f>IFERROR(VALUE(Raw_Data!H722), "")</f>
        <v>1000</v>
      </c>
      <c r="I722">
        <f ca="1">IFERROR(VALUE(Raw_Data!I722), "")</f>
        <v>8000</v>
      </c>
      <c r="J722">
        <f>IFERROR(
    VALUE(SUBSTITUTE(Raw_Data!J722," visits","")),
    ""
)</f>
        <v>14</v>
      </c>
      <c r="K722" t="str">
        <f ca="1">IF(TRIM(Raw_Data!K722)="","No",PROPER(TRIM(Raw_Data!K722)))</f>
        <v>No</v>
      </c>
      <c r="L722" t="str">
        <f ca="1">PROPER(TRIM(Raw_Data!L722))</f>
        <v>Weight Loss</v>
      </c>
      <c r="M722" t="s">
        <v>151</v>
      </c>
      <c r="N722" s="2">
        <f>IFERROR(DATEVALUE(Raw_Data!N722), Raw_Data!N722)</f>
        <v>45919</v>
      </c>
      <c r="O722" s="2"/>
      <c r="P722" t="str">
        <f>IF(COUNTIF($A$2:A722,A722)&gt;1,"Duplicate","Unique")</f>
        <v>Unique</v>
      </c>
      <c r="Q722" t="str">
        <f t="shared" si="22"/>
        <v>OK</v>
      </c>
      <c r="R722" t="str">
        <f t="shared" si="23"/>
        <v>Available</v>
      </c>
    </row>
    <row r="723" spans="1:18">
      <c r="A723" t="str">
        <f>TRIM(CLEAN(Raw_Data!A723))</f>
        <v>MEM0722</v>
      </c>
      <c r="B723" t="str">
        <f ca="1">TRIM(Raw_Data!B723)</f>
        <v>Varun Patel</v>
      </c>
      <c r="C723" t="str">
        <f ca="1">_xlfn.XLOOKUP(D723, Branch_Master!A:A, Branch_Master!B:B)</f>
        <v>Calicut</v>
      </c>
      <c r="D723" t="str">
        <f ca="1">TRIM(Raw_Data!D723)</f>
        <v>BR07</v>
      </c>
      <c r="E723" t="str">
        <f ca="1">PROPER(TRIM(Raw_Data!E723))</f>
        <v>Standard</v>
      </c>
      <c r="F723" s="2">
        <f>IFERROR(DATEVALUE(Raw_Data!F723), Raw_Data!F723)</f>
        <v>45310</v>
      </c>
      <c r="G723" s="2">
        <f>IFERROR(
    IF(
        IFERROR(DATEVALUE(Raw_Data!G723), Raw_Data!G723) &lt;
        IFERROR(DATEVALUE(Raw_Data!F723), Raw_Data!F723),
        IFERROR(DATEVALUE(Raw_Data!F723), Raw_Data!F723) + 30,
        IFERROR(DATEVALUE(Raw_Data!G723), Raw_Data!G723)
    ),
    ""
)</f>
        <v>45340</v>
      </c>
      <c r="H723">
        <f>IFERROR(VALUE(Raw_Data!H723), "")</f>
        <v>3500</v>
      </c>
      <c r="I723">
        <f ca="1">IFERROR(VALUE(Raw_Data!I723), "")</f>
        <v>10500</v>
      </c>
      <c r="J723">
        <f>IFERROR(
    VALUE(SUBSTITUTE(Raw_Data!J723," visits","")),
    ""
)</f>
        <v>6</v>
      </c>
      <c r="K723" t="str">
        <f ca="1">IF(TRIM(Raw_Data!K723)="","No",PROPER(TRIM(Raw_Data!K723)))</f>
        <v>Yes</v>
      </c>
      <c r="L723" t="str">
        <f ca="1">PROPER(TRIM(Raw_Data!L723))</f>
        <v>Weight Loss</v>
      </c>
      <c r="M723" t="s">
        <v>151</v>
      </c>
      <c r="N723" s="2">
        <f>IFERROR(DATEVALUE(Raw_Data!N723), Raw_Data!N723)</f>
        <v>45632</v>
      </c>
      <c r="O723" s="2"/>
      <c r="P723" t="str">
        <f>IF(COUNTIF($A$2:A723,A723)&gt;1,"Duplicate","Unique")</f>
        <v>Unique</v>
      </c>
      <c r="Q723" t="str">
        <f t="shared" si="22"/>
        <v>OK</v>
      </c>
      <c r="R723" t="str">
        <f t="shared" si="23"/>
        <v>Available</v>
      </c>
    </row>
    <row r="724" spans="1:18">
      <c r="A724" t="str">
        <f>TRIM(CLEAN(Raw_Data!A724))</f>
        <v>MEM0723</v>
      </c>
      <c r="B724" t="str">
        <f ca="1">TRIM(Raw_Data!B724)</f>
        <v>Fatima Nair</v>
      </c>
      <c r="C724" t="str">
        <f ca="1">_xlfn.XLOOKUP(D724, Branch_Master!A:A, Branch_Master!B:B)</f>
        <v>Trivandrum</v>
      </c>
      <c r="D724" t="str">
        <f ca="1">TRIM(Raw_Data!D724)</f>
        <v>BR06</v>
      </c>
      <c r="E724" t="str">
        <f ca="1">PROPER(TRIM(Raw_Data!E724))</f>
        <v>Standard</v>
      </c>
      <c r="F724" s="2">
        <f>IFERROR(DATEVALUE(Raw_Data!F724), Raw_Data!F724)</f>
        <v>45575</v>
      </c>
      <c r="G724" s="2">
        <f>IFERROR(
    IF(
        IFERROR(DATEVALUE(Raw_Data!G724), Raw_Data!G724) &lt;
        IFERROR(DATEVALUE(Raw_Data!F724), Raw_Data!F724),
        IFERROR(DATEVALUE(Raw_Data!F724), Raw_Data!F724) + 30,
        IFERROR(DATEVALUE(Raw_Data!G724), Raw_Data!G724)
    ),
    ""
)</f>
        <v>45665</v>
      </c>
      <c r="H724">
        <f>IFERROR(VALUE(Raw_Data!H724), "")</f>
        <v>2000</v>
      </c>
      <c r="I724">
        <f ca="1">IFERROR(VALUE(Raw_Data!I724), "")</f>
        <v>4000</v>
      </c>
      <c r="J724">
        <f>IFERROR(
    VALUE(SUBSTITUTE(Raw_Data!J724," visits","")),
    ""
)</f>
        <v>6</v>
      </c>
      <c r="K724" t="str">
        <f ca="1">IF(TRIM(Raw_Data!K724)="","No",PROPER(TRIM(Raw_Data!K724)))</f>
        <v>Yes</v>
      </c>
      <c r="L724" t="str">
        <f ca="1">PROPER(TRIM(Raw_Data!L724))</f>
        <v>Weight Loss</v>
      </c>
      <c r="M724" t="s">
        <v>152</v>
      </c>
      <c r="N724" s="2">
        <f>IFERROR(DATEVALUE(Raw_Data!N724), Raw_Data!N724)</f>
        <v>45744</v>
      </c>
      <c r="O724" s="2"/>
      <c r="P724" t="str">
        <f>IF(COUNTIF($A$2:A724,A724)&gt;1,"Duplicate","Unique")</f>
        <v>Unique</v>
      </c>
      <c r="Q724" t="str">
        <f t="shared" si="22"/>
        <v>Cancelled but Active</v>
      </c>
      <c r="R724" t="str">
        <f t="shared" si="23"/>
        <v>Available</v>
      </c>
    </row>
    <row r="725" spans="1:18">
      <c r="A725" t="str">
        <f>TRIM(CLEAN(Raw_Data!A725))</f>
        <v>MEM0724</v>
      </c>
      <c r="B725" t="str">
        <f ca="1">TRIM(Raw_Data!B725)</f>
        <v>Shreya Thomas</v>
      </c>
      <c r="C725" t="str">
        <f ca="1">_xlfn.XLOOKUP(D725, Branch_Master!A:A, Branch_Master!B:B)</f>
        <v>Chennai</v>
      </c>
      <c r="D725" t="str">
        <f ca="1">TRIM(Raw_Data!D725)</f>
        <v>BR03</v>
      </c>
      <c r="E725" t="str">
        <f ca="1">PROPER(TRIM(Raw_Data!E725))</f>
        <v>Standard</v>
      </c>
      <c r="F725" s="2">
        <f>IFERROR(DATEVALUE(Raw_Data!F725), Raw_Data!F725)</f>
        <v>46045</v>
      </c>
      <c r="G725" s="2">
        <f>IFERROR(
    IF(
        IFERROR(DATEVALUE(Raw_Data!G725), Raw_Data!G725) &lt;
        IFERROR(DATEVALUE(Raw_Data!F725), Raw_Data!F725),
        IFERROR(DATEVALUE(Raw_Data!F725), Raw_Data!F725) + 30,
        IFERROR(DATEVALUE(Raw_Data!G725), Raw_Data!G725)
    ),
    ""
)</f>
        <v>46410</v>
      </c>
      <c r="H725">
        <f>IFERROR(VALUE(Raw_Data!H725), "")</f>
        <v>3500</v>
      </c>
      <c r="I725">
        <f ca="1">IFERROR(VALUE(Raw_Data!I725), "")</f>
        <v>3500</v>
      </c>
      <c r="J725">
        <f>IFERROR(
    VALUE(SUBSTITUTE(Raw_Data!J725," visits","")),
    ""
)</f>
        <v>13</v>
      </c>
      <c r="K725" t="str">
        <f ca="1">IF(TRIM(Raw_Data!K725)="","No",PROPER(TRIM(Raw_Data!K725)))</f>
        <v>Yes</v>
      </c>
      <c r="L725" t="str">
        <f ca="1">PROPER(TRIM(Raw_Data!L725))</f>
        <v>Muscle Gain</v>
      </c>
      <c r="M725" t="s">
        <v>151</v>
      </c>
      <c r="N725" s="2">
        <f>IFERROR(DATEVALUE(Raw_Data!N725), Raw_Data!N725)</f>
        <v>46087</v>
      </c>
      <c r="O725" s="2"/>
      <c r="P725" t="str">
        <f>IF(COUNTIF($A$2:A725,A725)&gt;1,"Duplicate","Unique")</f>
        <v>Unique</v>
      </c>
      <c r="Q725" t="str">
        <f t="shared" si="22"/>
        <v>OK</v>
      </c>
      <c r="R725" t="str">
        <f t="shared" si="23"/>
        <v>Available</v>
      </c>
    </row>
    <row r="726" spans="1:18">
      <c r="A726" t="str">
        <f>TRIM(CLEAN(Raw_Data!A726))</f>
        <v>MEM0725</v>
      </c>
      <c r="B726" t="str">
        <f ca="1">TRIM(Raw_Data!B726)</f>
        <v>Swathi Verma</v>
      </c>
      <c r="C726" t="str">
        <f ca="1">_xlfn.XLOOKUP(D726, Branch_Master!A:A, Branch_Master!B:B)</f>
        <v>Kochi</v>
      </c>
      <c r="D726" t="str">
        <f ca="1">TRIM(Raw_Data!D726)</f>
        <v>BR01</v>
      </c>
      <c r="E726" t="str">
        <f ca="1">PROPER(TRIM(Raw_Data!E726))</f>
        <v>Basic</v>
      </c>
      <c r="F726" s="2">
        <f>IFERROR(DATEVALUE(Raw_Data!F726), Raw_Data!F726)</f>
        <v>45927</v>
      </c>
      <c r="G726" s="2">
        <f>IFERROR(
    IF(
        IFERROR(DATEVALUE(Raw_Data!G726), Raw_Data!G726) &lt;
        IFERROR(DATEVALUE(Raw_Data!F726), Raw_Data!F726),
        IFERROR(DATEVALUE(Raw_Data!F726), Raw_Data!F726) + 30,
        IFERROR(DATEVALUE(Raw_Data!G726), Raw_Data!G726)
    ),
    ""
)</f>
        <v>46017</v>
      </c>
      <c r="H726">
        <f>IFERROR(VALUE(Raw_Data!H726), "")</f>
        <v>1000</v>
      </c>
      <c r="I726">
        <f ca="1">IFERROR(VALUE(Raw_Data!I726), "")</f>
        <v>5000</v>
      </c>
      <c r="J726">
        <f>IFERROR(
    VALUE(SUBSTITUTE(Raw_Data!J726," visits","")),
    ""
)</f>
        <v>24</v>
      </c>
      <c r="K726" t="str">
        <f ca="1">IF(TRIM(Raw_Data!K726)="","No",PROPER(TRIM(Raw_Data!K726)))</f>
        <v>Yes</v>
      </c>
      <c r="L726" t="str">
        <f ca="1">PROPER(TRIM(Raw_Data!L726))</f>
        <v>General Fitness</v>
      </c>
      <c r="M726" t="s">
        <v>151</v>
      </c>
      <c r="N726" s="2">
        <f>IFERROR(DATEVALUE(Raw_Data!N726), Raw_Data!N726)</f>
        <v>45972</v>
      </c>
      <c r="O726" s="2"/>
      <c r="P726" t="str">
        <f>IF(COUNTIF($A$2:A726,A726)&gt;1,"Duplicate","Unique")</f>
        <v>Unique</v>
      </c>
      <c r="Q726" t="str">
        <f t="shared" si="22"/>
        <v>OK</v>
      </c>
      <c r="R726" t="str">
        <f t="shared" si="23"/>
        <v>Available</v>
      </c>
    </row>
    <row r="727" spans="1:18">
      <c r="A727" t="str">
        <f>TRIM(CLEAN(Raw_Data!A727))</f>
        <v>MEM0726</v>
      </c>
      <c r="B727" t="str">
        <f ca="1">TRIM(Raw_Data!B727)</f>
        <v>Anjali Bhat</v>
      </c>
      <c r="C727" t="str">
        <f ca="1">_xlfn.XLOOKUP(D727, Branch_Master!A:A, Branch_Master!B:B)</f>
        <v>Mumbai</v>
      </c>
      <c r="D727" t="str">
        <f ca="1">TRIM(Raw_Data!D727)</f>
        <v>BR05</v>
      </c>
      <c r="E727" t="str">
        <f ca="1">PROPER(TRIM(Raw_Data!E727))</f>
        <v>Basic</v>
      </c>
      <c r="F727" s="2">
        <f>IFERROR(DATEVALUE(Raw_Data!F727), Raw_Data!F727)</f>
        <v>45762</v>
      </c>
      <c r="G727" s="2">
        <f>IFERROR(
    IF(
        IFERROR(DATEVALUE(Raw_Data!G727), Raw_Data!G727) &lt;
        IFERROR(DATEVALUE(Raw_Data!F727), Raw_Data!F727),
        IFERROR(DATEVALUE(Raw_Data!F727), Raw_Data!F727) + 30,
        IFERROR(DATEVALUE(Raw_Data!G727), Raw_Data!G727)
    ),
    ""
)</f>
        <v>45792</v>
      </c>
      <c r="H727">
        <f>IFERROR(VALUE(Raw_Data!H727), "")</f>
        <v>1000</v>
      </c>
      <c r="I727">
        <f ca="1">IFERROR(VALUE(Raw_Data!I727), "")</f>
        <v>4000</v>
      </c>
      <c r="J727">
        <f>IFERROR(
    VALUE(SUBSTITUTE(Raw_Data!J727," visits","")),
    ""
)</f>
        <v>17</v>
      </c>
      <c r="K727" t="str">
        <f ca="1">IF(TRIM(Raw_Data!K727)="","No",PROPER(TRIM(Raw_Data!K727)))</f>
        <v>No</v>
      </c>
      <c r="L727" t="str">
        <f ca="1">PROPER(TRIM(Raw_Data!L727))</f>
        <v>Muscle Gain</v>
      </c>
      <c r="M727" t="s">
        <v>151</v>
      </c>
      <c r="N727" s="2">
        <f>IFERROR(DATEVALUE(Raw_Data!N727), Raw_Data!N727)</f>
        <v>45808</v>
      </c>
      <c r="O727" s="2"/>
      <c r="P727" t="str">
        <f>IF(COUNTIF($A$2:A727,A727)&gt;1,"Duplicate","Unique")</f>
        <v>Unique</v>
      </c>
      <c r="Q727" t="str">
        <f t="shared" si="22"/>
        <v>OK</v>
      </c>
      <c r="R727" t="str">
        <f t="shared" si="23"/>
        <v>Available</v>
      </c>
    </row>
    <row r="728" spans="1:18">
      <c r="A728" t="str">
        <f>TRIM(CLEAN(Raw_Data!A728))</f>
        <v>MEM0727</v>
      </c>
      <c r="B728" t="str">
        <f ca="1">TRIM(Raw_Data!B728)</f>
        <v>Tanvi Varghese</v>
      </c>
      <c r="C728" t="str">
        <f ca="1">_xlfn.XLOOKUP(D728, Branch_Master!A:A, Branch_Master!B:B)</f>
        <v>Bangalore</v>
      </c>
      <c r="D728" t="str">
        <f ca="1">TRIM(Raw_Data!D728)</f>
        <v>BR02</v>
      </c>
      <c r="E728" t="str">
        <f ca="1">PROPER(TRIM(Raw_Data!E728))</f>
        <v>Basic</v>
      </c>
      <c r="F728" s="2">
        <f>IFERROR(DATEVALUE(Raw_Data!F728), Raw_Data!F728)</f>
        <v>45120</v>
      </c>
      <c r="G728" s="2">
        <f>IFERROR(
    IF(
        IFERROR(DATEVALUE(Raw_Data!G728), Raw_Data!G728) &lt;
        IFERROR(DATEVALUE(Raw_Data!F728), Raw_Data!F728),
        IFERROR(DATEVALUE(Raw_Data!F728), Raw_Data!F728) + 30,
        IFERROR(DATEVALUE(Raw_Data!G728), Raw_Data!G728)
    ),
    ""
)</f>
        <v>45150</v>
      </c>
      <c r="H728">
        <f>IFERROR(VALUE(Raw_Data!H728), "")</f>
        <v>2000</v>
      </c>
      <c r="I728">
        <f ca="1">IFERROR(VALUE(Raw_Data!I728), "")</f>
        <v>14000</v>
      </c>
      <c r="J728">
        <f>IFERROR(
    VALUE(SUBSTITUTE(Raw_Data!J728," visits","")),
    ""
)</f>
        <v>16</v>
      </c>
      <c r="K728" t="str">
        <f ca="1">IF(TRIM(Raw_Data!K728)="","No",PROPER(TRIM(Raw_Data!K728)))</f>
        <v>No</v>
      </c>
      <c r="L728" t="str">
        <f ca="1">PROPER(TRIM(Raw_Data!L728))</f>
        <v>General Fitness</v>
      </c>
      <c r="M728" t="s">
        <v>151</v>
      </c>
      <c r="N728" s="2">
        <f>IFERROR(DATEVALUE(Raw_Data!N728), Raw_Data!N728)</f>
        <v>46083</v>
      </c>
      <c r="O728" s="2"/>
      <c r="P728" t="str">
        <f>IF(COUNTIF($A$2:A728,A728)&gt;1,"Duplicate","Unique")</f>
        <v>Unique</v>
      </c>
      <c r="Q728" t="str">
        <f t="shared" si="22"/>
        <v>OK</v>
      </c>
      <c r="R728" t="str">
        <f t="shared" si="23"/>
        <v>Available</v>
      </c>
    </row>
    <row r="729" spans="1:18">
      <c r="A729" t="str">
        <f>TRIM(CLEAN(Raw_Data!A729))</f>
        <v>MEM0728</v>
      </c>
      <c r="B729" t="str">
        <f ca="1">TRIM(Raw_Data!B729)</f>
        <v>Ayesha Shetty</v>
      </c>
      <c r="C729" t="str">
        <f ca="1">_xlfn.XLOOKUP(D729, Branch_Master!A:A, Branch_Master!B:B)</f>
        <v>Calicut</v>
      </c>
      <c r="D729" t="str">
        <f ca="1">TRIM(Raw_Data!D729)</f>
        <v>BR07</v>
      </c>
      <c r="E729" t="str">
        <f ca="1">PROPER(TRIM(Raw_Data!E729))</f>
        <v>Premium</v>
      </c>
      <c r="F729" s="2">
        <f>IFERROR(DATEVALUE(Raw_Data!F729), Raw_Data!F729)</f>
        <v>45928</v>
      </c>
      <c r="G729" s="2">
        <f>IFERROR(
    IF(
        IFERROR(DATEVALUE(Raw_Data!G729), Raw_Data!G729) &lt;
        IFERROR(DATEVALUE(Raw_Data!F729), Raw_Data!F729),
        IFERROR(DATEVALUE(Raw_Data!F729), Raw_Data!F729) + 30,
        IFERROR(DATEVALUE(Raw_Data!G729), Raw_Data!G729)
    ),
    ""
)</f>
        <v>46018</v>
      </c>
      <c r="H729">
        <f>IFERROR(VALUE(Raw_Data!H729), "")</f>
        <v>3500</v>
      </c>
      <c r="I729">
        <f ca="1">IFERROR(VALUE(Raw_Data!I729), "")</f>
        <v>38500</v>
      </c>
      <c r="J729">
        <f>IFERROR(
    VALUE(SUBSTITUTE(Raw_Data!J729," visits","")),
    ""
)</f>
        <v>7</v>
      </c>
      <c r="K729" t="str">
        <f ca="1">IF(TRIM(Raw_Data!K729)="","No",PROPER(TRIM(Raw_Data!K729)))</f>
        <v>Yes</v>
      </c>
      <c r="L729" t="str">
        <f ca="1">PROPER(TRIM(Raw_Data!L729))</f>
        <v>General Fitness</v>
      </c>
      <c r="M729" t="s">
        <v>151</v>
      </c>
      <c r="N729" s="2">
        <f>IFERROR(DATEVALUE(Raw_Data!N729), Raw_Data!N729)</f>
        <v>46099</v>
      </c>
      <c r="O729" s="2"/>
      <c r="P729" t="str">
        <f>IF(COUNTIF($A$2:A729,A729)&gt;1,"Duplicate","Unique")</f>
        <v>Unique</v>
      </c>
      <c r="Q729" t="str">
        <f t="shared" si="22"/>
        <v>OK</v>
      </c>
      <c r="R729" t="str">
        <f t="shared" si="23"/>
        <v>Available</v>
      </c>
    </row>
    <row r="730" spans="1:18">
      <c r="A730" t="str">
        <f>TRIM(CLEAN(Raw_Data!A730))</f>
        <v>MEM0729</v>
      </c>
      <c r="B730" t="str">
        <f ca="1">TRIM(Raw_Data!B730)</f>
        <v>Rohit Chatterjee</v>
      </c>
      <c r="C730" t="str">
        <f ca="1">_xlfn.XLOOKUP(D730, Branch_Master!A:A, Branch_Master!B:B)</f>
        <v>Calicut</v>
      </c>
      <c r="D730" t="str">
        <f ca="1">TRIM(Raw_Data!D730)</f>
        <v>BR07</v>
      </c>
      <c r="E730" t="str">
        <f ca="1">PROPER(TRIM(Raw_Data!E730))</f>
        <v>Basic</v>
      </c>
      <c r="F730" s="2">
        <f>IFERROR(DATEVALUE(Raw_Data!F730), Raw_Data!F730)</f>
        <v>45419</v>
      </c>
      <c r="G730" s="2">
        <f>IFERROR(
    IF(
        IFERROR(DATEVALUE(Raw_Data!G730), Raw_Data!G730) &lt;
        IFERROR(DATEVALUE(Raw_Data!F730), Raw_Data!F730),
        IFERROR(DATEVALUE(Raw_Data!F730), Raw_Data!F730) + 30,
        IFERROR(DATEVALUE(Raw_Data!G730), Raw_Data!G730)
    ),
    ""
)</f>
        <v>45509</v>
      </c>
      <c r="H730">
        <f>IFERROR(VALUE(Raw_Data!H730), "")</f>
        <v>2000</v>
      </c>
      <c r="I730">
        <f ca="1">IFERROR(VALUE(Raw_Data!I730), "")</f>
        <v>4000</v>
      </c>
      <c r="J730">
        <f>IFERROR(
    VALUE(SUBSTITUTE(Raw_Data!J730," visits","")),
    ""
)</f>
        <v>18</v>
      </c>
      <c r="K730" t="str">
        <f ca="1">IF(TRIM(Raw_Data!K730)="","No",PROPER(TRIM(Raw_Data!K730)))</f>
        <v>No</v>
      </c>
      <c r="L730" t="str">
        <f ca="1">PROPER(TRIM(Raw_Data!L730))</f>
        <v>Muscle Gain</v>
      </c>
      <c r="M730" t="s">
        <v>151</v>
      </c>
      <c r="N730" s="2">
        <f>IFERROR(DATEVALUE(Raw_Data!N730), Raw_Data!N730)</f>
        <v>45759</v>
      </c>
      <c r="O730" s="2"/>
      <c r="P730" t="str">
        <f>IF(COUNTIF($A$2:A730,A730)&gt;1,"Duplicate","Unique")</f>
        <v>Unique</v>
      </c>
      <c r="Q730" t="str">
        <f t="shared" si="22"/>
        <v>OK</v>
      </c>
      <c r="R730" t="str">
        <f t="shared" si="23"/>
        <v>Available</v>
      </c>
    </row>
    <row r="731" spans="1:18">
      <c r="A731" t="str">
        <f>TRIM(CLEAN(Raw_Data!A731))</f>
        <v>MEM0730</v>
      </c>
      <c r="B731" t="str">
        <f ca="1">TRIM(Raw_Data!B731)</f>
        <v>Divya Shetty</v>
      </c>
      <c r="C731" t="str">
        <f ca="1">_xlfn.XLOOKUP(D731, Branch_Master!A:A, Branch_Master!B:B)</f>
        <v>Kochi</v>
      </c>
      <c r="D731" t="str">
        <f ca="1">TRIM(Raw_Data!D731)</f>
        <v>BR01</v>
      </c>
      <c r="E731" t="str">
        <f ca="1">PROPER(TRIM(Raw_Data!E731))</f>
        <v>Basic</v>
      </c>
      <c r="F731" s="2">
        <f>IFERROR(DATEVALUE(Raw_Data!F731), Raw_Data!F731)</f>
        <v>45680</v>
      </c>
      <c r="G731" s="2">
        <f>IFERROR(
    IF(
        IFERROR(DATEVALUE(Raw_Data!G731), Raw_Data!G731) &lt;
        IFERROR(DATEVALUE(Raw_Data!F731), Raw_Data!F731),
        IFERROR(DATEVALUE(Raw_Data!F731), Raw_Data!F731) + 30,
        IFERROR(DATEVALUE(Raw_Data!G731), Raw_Data!G731)
    ),
    ""
)</f>
        <v>46045</v>
      </c>
      <c r="H731">
        <f>IFERROR(VALUE(Raw_Data!H731), "")</f>
        <v>1000</v>
      </c>
      <c r="I731">
        <f ca="1">IFERROR(VALUE(Raw_Data!I731), "")</f>
        <v>7000</v>
      </c>
      <c r="J731">
        <f>IFERROR(
    VALUE(SUBSTITUTE(Raw_Data!J731," visits","")),
    ""
)</f>
        <v>25</v>
      </c>
      <c r="K731" t="str">
        <f ca="1">IF(TRIM(Raw_Data!K731)="","No",PROPER(TRIM(Raw_Data!K731)))</f>
        <v>Yes</v>
      </c>
      <c r="L731" t="str">
        <f ca="1">PROPER(TRIM(Raw_Data!L731))</f>
        <v>General Fitness</v>
      </c>
      <c r="M731" t="s">
        <v>152</v>
      </c>
      <c r="N731" s="2">
        <f>IFERROR(DATEVALUE(Raw_Data!N731), Raw_Data!N731)</f>
        <v>45926</v>
      </c>
      <c r="O731" s="2"/>
      <c r="P731" t="str">
        <f>IF(COUNTIF($A$2:A731,A731)&gt;1,"Duplicate","Unique")</f>
        <v>Unique</v>
      </c>
      <c r="Q731" t="str">
        <f t="shared" si="22"/>
        <v>Cancelled but Active</v>
      </c>
      <c r="R731" t="str">
        <f t="shared" si="23"/>
        <v>Available</v>
      </c>
    </row>
    <row r="732" spans="1:18">
      <c r="A732" t="str">
        <f>TRIM(CLEAN(Raw_Data!A732))</f>
        <v>MEM0731</v>
      </c>
      <c r="B732" t="str">
        <f ca="1">TRIM(Raw_Data!B732)</f>
        <v>Akash Patel</v>
      </c>
      <c r="C732" t="str">
        <f ca="1">_xlfn.XLOOKUP(D732, Branch_Master!A:A, Branch_Master!B:B)</f>
        <v>Trivandrum</v>
      </c>
      <c r="D732" t="str">
        <f ca="1">TRIM(Raw_Data!D732)</f>
        <v>BR06</v>
      </c>
      <c r="E732" t="str">
        <f ca="1">PROPER(TRIM(Raw_Data!E732))</f>
        <v>Standard</v>
      </c>
      <c r="F732" s="2">
        <f>IFERROR(DATEVALUE(Raw_Data!F732), Raw_Data!F732)</f>
        <v>45271</v>
      </c>
      <c r="G732" s="2">
        <f>IFERROR(
    IF(
        IFERROR(DATEVALUE(Raw_Data!G732), Raw_Data!G732) &lt;
        IFERROR(DATEVALUE(Raw_Data!F732), Raw_Data!F732),
        IFERROR(DATEVALUE(Raw_Data!F732), Raw_Data!F732) + 30,
        IFERROR(DATEVALUE(Raw_Data!G732), Raw_Data!G732)
    ),
    ""
)</f>
        <v>45636</v>
      </c>
      <c r="H732">
        <f>IFERROR(VALUE(Raw_Data!H732), "")</f>
        <v>2000</v>
      </c>
      <c r="I732">
        <f ca="1">IFERROR(VALUE(Raw_Data!I732), "")</f>
        <v>10000</v>
      </c>
      <c r="J732">
        <f>IFERROR(
    VALUE(SUBSTITUTE(Raw_Data!J732," visits","")),
    ""
)</f>
        <v>3</v>
      </c>
      <c r="K732" t="str">
        <f ca="1">IF(TRIM(Raw_Data!K732)="","No",PROPER(TRIM(Raw_Data!K732)))</f>
        <v>Yes</v>
      </c>
      <c r="L732" t="str">
        <f ca="1">PROPER(TRIM(Raw_Data!L732))</f>
        <v>Muscle Gain</v>
      </c>
      <c r="M732" t="s">
        <v>152</v>
      </c>
      <c r="N732" s="2">
        <f>IFERROR(DATEVALUE(Raw_Data!N732), Raw_Data!N732)</f>
        <v>45350</v>
      </c>
      <c r="O732" s="2"/>
      <c r="P732" t="str">
        <f>IF(COUNTIF($A$2:A732,A732)&gt;1,"Duplicate","Unique")</f>
        <v>Unique</v>
      </c>
      <c r="Q732" t="str">
        <f t="shared" si="22"/>
        <v>Cancelled but Active</v>
      </c>
      <c r="R732" t="str">
        <f t="shared" si="23"/>
        <v>Available</v>
      </c>
    </row>
    <row r="733" spans="1:18">
      <c r="A733" t="str">
        <f>TRIM(CLEAN(Raw_Data!A733))</f>
        <v>MEM0732</v>
      </c>
      <c r="B733" t="str">
        <f ca="1">TRIM(Raw_Data!B733)</f>
        <v>Anjali Nambiar</v>
      </c>
      <c r="C733" t="str">
        <f ca="1">_xlfn.XLOOKUP(D733, Branch_Master!A:A, Branch_Master!B:B)</f>
        <v>Mumbai</v>
      </c>
      <c r="D733" t="str">
        <f ca="1">TRIM(Raw_Data!D733)</f>
        <v>BR05</v>
      </c>
      <c r="E733" t="str">
        <f ca="1">PROPER(TRIM(Raw_Data!E733))</f>
        <v>Basic</v>
      </c>
      <c r="F733" s="2">
        <f>IFERROR(DATEVALUE(Raw_Data!F733), Raw_Data!F733)</f>
        <v>46040</v>
      </c>
      <c r="G733" s="2">
        <f>IFERROR(
    IF(
        IFERROR(DATEVALUE(Raw_Data!G733), Raw_Data!G733) &lt;
        IFERROR(DATEVALUE(Raw_Data!F733), Raw_Data!F733),
        IFERROR(DATEVALUE(Raw_Data!F733), Raw_Data!F733) + 30,
        IFERROR(DATEVALUE(Raw_Data!G733), Raw_Data!G733)
    ),
    ""
)</f>
        <v>46070</v>
      </c>
      <c r="H733">
        <f>IFERROR(VALUE(Raw_Data!H733), "")</f>
        <v>3500</v>
      </c>
      <c r="I733">
        <f ca="1">IFERROR(VALUE(Raw_Data!I733), "")</f>
        <v>17500</v>
      </c>
      <c r="J733">
        <f>IFERROR(
    VALUE(SUBSTITUTE(Raw_Data!J733," visits","")),
    ""
)</f>
        <v>7</v>
      </c>
      <c r="K733" t="str">
        <f ca="1">IF(TRIM(Raw_Data!K733)="","No",PROPER(TRIM(Raw_Data!K733)))</f>
        <v>No</v>
      </c>
      <c r="L733" t="str">
        <f ca="1">PROPER(TRIM(Raw_Data!L733))</f>
        <v>General Fitness</v>
      </c>
      <c r="M733" t="s">
        <v>151</v>
      </c>
      <c r="N733" s="2">
        <f>IFERROR(DATEVALUE(Raw_Data!N733), Raw_Data!N733)</f>
        <v>46096</v>
      </c>
      <c r="O733" s="2"/>
      <c r="P733" t="str">
        <f>IF(COUNTIF($A$2:A733,A733)&gt;1,"Duplicate","Unique")</f>
        <v>Unique</v>
      </c>
      <c r="Q733" t="str">
        <f t="shared" si="22"/>
        <v>OK</v>
      </c>
      <c r="R733" t="str">
        <f t="shared" si="23"/>
        <v>Available</v>
      </c>
    </row>
    <row r="734" spans="1:18">
      <c r="A734" t="str">
        <f>TRIM(CLEAN(Raw_Data!A734))</f>
        <v>MEM0733</v>
      </c>
      <c r="B734" t="str">
        <f ca="1">TRIM(Raw_Data!B734)</f>
        <v>Kavya George</v>
      </c>
      <c r="C734" t="str">
        <f ca="1">_xlfn.XLOOKUP(D734, Branch_Master!A:A, Branch_Master!B:B)</f>
        <v>Chennai</v>
      </c>
      <c r="D734" t="str">
        <f ca="1">TRIM(Raw_Data!D734)</f>
        <v>BR03</v>
      </c>
      <c r="E734" t="str">
        <f ca="1">PROPER(TRIM(Raw_Data!E734))</f>
        <v>Premium</v>
      </c>
      <c r="F734" s="2">
        <f>IFERROR(DATEVALUE(Raw_Data!F734), Raw_Data!F734)</f>
        <v>45819</v>
      </c>
      <c r="G734" s="2">
        <f>IFERROR(
    IF(
        IFERROR(DATEVALUE(Raw_Data!G734), Raw_Data!G734) &lt;
        IFERROR(DATEVALUE(Raw_Data!F734), Raw_Data!F734),
        IFERROR(DATEVALUE(Raw_Data!F734), Raw_Data!F734) + 30,
        IFERROR(DATEVALUE(Raw_Data!G734), Raw_Data!G734)
    ),
    ""
)</f>
        <v>45909</v>
      </c>
      <c r="H734">
        <f>IFERROR(VALUE(Raw_Data!H734), "")</f>
        <v>1000</v>
      </c>
      <c r="I734">
        <f ca="1">IFERROR(VALUE(Raw_Data!I734), "")</f>
        <v>1000</v>
      </c>
      <c r="J734">
        <f>IFERROR(
    VALUE(SUBSTITUTE(Raw_Data!J734," visits","")),
    ""
)</f>
        <v>14</v>
      </c>
      <c r="K734" t="str">
        <f ca="1">IF(TRIM(Raw_Data!K734)="","No",PROPER(TRIM(Raw_Data!K734)))</f>
        <v>Yes</v>
      </c>
      <c r="L734" t="str">
        <f ca="1">PROPER(TRIM(Raw_Data!L734))</f>
        <v>Muscle Gain</v>
      </c>
      <c r="M734" t="s">
        <v>151</v>
      </c>
      <c r="N734" s="2">
        <f>IFERROR(DATEVALUE(Raw_Data!N734), Raw_Data!N734)</f>
        <v>46006</v>
      </c>
      <c r="O734" s="2"/>
      <c r="P734" t="str">
        <f>IF(COUNTIF($A$2:A734,A734)&gt;1,"Duplicate","Unique")</f>
        <v>Unique</v>
      </c>
      <c r="Q734" t="str">
        <f t="shared" si="22"/>
        <v>OK</v>
      </c>
      <c r="R734" t="str">
        <f t="shared" si="23"/>
        <v>Available</v>
      </c>
    </row>
    <row r="735" spans="1:18">
      <c r="A735" t="str">
        <f>TRIM(CLEAN(Raw_Data!A735))</f>
        <v>MEM0734</v>
      </c>
      <c r="B735" t="str">
        <f ca="1">TRIM(Raw_Data!B735)</f>
        <v>Ayesha Lewis</v>
      </c>
      <c r="C735" t="str">
        <f ca="1">_xlfn.XLOOKUP(D735, Branch_Master!A:A, Branch_Master!B:B)</f>
        <v>Calicut</v>
      </c>
      <c r="D735" t="str">
        <f ca="1">TRIM(Raw_Data!D735)</f>
        <v>BR07</v>
      </c>
      <c r="E735" t="str">
        <f ca="1">PROPER(TRIM(Raw_Data!E735))</f>
        <v>Basic</v>
      </c>
      <c r="F735" s="2">
        <f>IFERROR(DATEVALUE(Raw_Data!F735), Raw_Data!F735)</f>
        <v>45615</v>
      </c>
      <c r="G735" s="2">
        <f>IFERROR(
    IF(
        IFERROR(DATEVALUE(Raw_Data!G735), Raw_Data!G735) &lt;
        IFERROR(DATEVALUE(Raw_Data!F735), Raw_Data!F735),
        IFERROR(DATEVALUE(Raw_Data!F735), Raw_Data!F735) + 30,
        IFERROR(DATEVALUE(Raw_Data!G735), Raw_Data!G735)
    ),
    ""
)</f>
        <v>45705</v>
      </c>
      <c r="H735">
        <f>IFERROR(VALUE(Raw_Data!H735), "")</f>
        <v>3500</v>
      </c>
      <c r="I735">
        <f ca="1">IFERROR(VALUE(Raw_Data!I735), "")</f>
        <v>35000</v>
      </c>
      <c r="J735">
        <f>IFERROR(
    VALUE(SUBSTITUTE(Raw_Data!J735," visits","")),
    ""
)</f>
        <v>17</v>
      </c>
      <c r="K735" t="str">
        <f ca="1">IF(TRIM(Raw_Data!K735)="","No",PROPER(TRIM(Raw_Data!K735)))</f>
        <v>No</v>
      </c>
      <c r="L735" t="str">
        <f ca="1">PROPER(TRIM(Raw_Data!L735))</f>
        <v>Weight Loss</v>
      </c>
      <c r="M735" t="s">
        <v>151</v>
      </c>
      <c r="N735" s="2">
        <f>IFERROR(DATEVALUE(Raw_Data!N735), Raw_Data!N735)</f>
        <v>46120</v>
      </c>
      <c r="O735" s="2"/>
      <c r="P735" t="str">
        <f>IF(COUNTIF($A$2:A735,A735)&gt;1,"Duplicate","Unique")</f>
        <v>Unique</v>
      </c>
      <c r="Q735" t="str">
        <f t="shared" si="22"/>
        <v>OK</v>
      </c>
      <c r="R735" t="str">
        <f t="shared" si="23"/>
        <v>Available</v>
      </c>
    </row>
    <row r="736" spans="1:18">
      <c r="A736" t="str">
        <f>TRIM(CLEAN(Raw_Data!A736))</f>
        <v>MEM0735</v>
      </c>
      <c r="B736" t="str">
        <f ca="1">TRIM(Raw_Data!B736)</f>
        <v>Meera Reddy</v>
      </c>
      <c r="C736" t="str">
        <f ca="1">_xlfn.XLOOKUP(D736, Branch_Master!A:A, Branch_Master!B:B)</f>
        <v>Hyderabad</v>
      </c>
      <c r="D736" t="str">
        <f ca="1">TRIM(Raw_Data!D736)</f>
        <v>BR04</v>
      </c>
      <c r="E736" t="str">
        <f ca="1">PROPER(TRIM(Raw_Data!E736))</f>
        <v>Premium</v>
      </c>
      <c r="F736" s="2">
        <f>IFERROR(DATEVALUE(Raw_Data!F736), Raw_Data!F736)</f>
        <v>45993</v>
      </c>
      <c r="G736" s="2">
        <f>IFERROR(
    IF(
        IFERROR(DATEVALUE(Raw_Data!G736), Raw_Data!G736) &lt;
        IFERROR(DATEVALUE(Raw_Data!F736), Raw_Data!F736),
        IFERROR(DATEVALUE(Raw_Data!F736), Raw_Data!F736) + 30,
        IFERROR(DATEVALUE(Raw_Data!G736), Raw_Data!G736)
    ),
    ""
)</f>
        <v>46083</v>
      </c>
      <c r="H736">
        <f>IFERROR(VALUE(Raw_Data!H736), "")</f>
        <v>1000</v>
      </c>
      <c r="I736">
        <f ca="1">IFERROR(VALUE(Raw_Data!I736), "")</f>
        <v>11000</v>
      </c>
      <c r="J736">
        <f>IFERROR(
    VALUE(SUBSTITUTE(Raw_Data!J736," visits","")),
    ""
)</f>
        <v>18</v>
      </c>
      <c r="K736" t="str">
        <f ca="1">IF(TRIM(Raw_Data!K736)="","No",PROPER(TRIM(Raw_Data!K736)))</f>
        <v>Yes</v>
      </c>
      <c r="L736" t="str">
        <f ca="1">PROPER(TRIM(Raw_Data!L736))</f>
        <v>Muscle Gain</v>
      </c>
      <c r="M736" t="s">
        <v>151</v>
      </c>
      <c r="N736" s="2">
        <f>IFERROR(DATEVALUE(Raw_Data!N736), Raw_Data!N736)</f>
        <v>46068</v>
      </c>
      <c r="O736" s="2"/>
      <c r="P736" t="str">
        <f>IF(COUNTIF($A$2:A736,A736)&gt;1,"Duplicate","Unique")</f>
        <v>Unique</v>
      </c>
      <c r="Q736" t="str">
        <f t="shared" si="22"/>
        <v>OK</v>
      </c>
      <c r="R736" t="str">
        <f t="shared" si="23"/>
        <v>Available</v>
      </c>
    </row>
    <row r="737" spans="1:18">
      <c r="A737" t="str">
        <f>TRIM(CLEAN(Raw_Data!A737))</f>
        <v>MEM0736</v>
      </c>
      <c r="B737" t="str">
        <f ca="1">TRIM(Raw_Data!B737)</f>
        <v>Kavya Das</v>
      </c>
      <c r="C737" t="str">
        <f ca="1">_xlfn.XLOOKUP(D737, Branch_Master!A:A, Branch_Master!B:B)</f>
        <v>Trivandrum</v>
      </c>
      <c r="D737" t="str">
        <f ca="1">TRIM(Raw_Data!D737)</f>
        <v>BR06</v>
      </c>
      <c r="E737" t="str">
        <f ca="1">PROPER(TRIM(Raw_Data!E737))</f>
        <v>Basic</v>
      </c>
      <c r="F737" s="2">
        <f>IFERROR(DATEVALUE(Raw_Data!F737), Raw_Data!F737)</f>
        <v>45545</v>
      </c>
      <c r="G737" s="2">
        <f>IFERROR(
    IF(
        IFERROR(DATEVALUE(Raw_Data!G737), Raw_Data!G737) &lt;
        IFERROR(DATEVALUE(Raw_Data!F737), Raw_Data!F737),
        IFERROR(DATEVALUE(Raw_Data!F737), Raw_Data!F737) + 30,
        IFERROR(DATEVALUE(Raw_Data!G737), Raw_Data!G737)
    ),
    ""
)</f>
        <v>45635</v>
      </c>
      <c r="H737">
        <f>IFERROR(VALUE(Raw_Data!H737), "")</f>
        <v>2000</v>
      </c>
      <c r="I737">
        <f ca="1">IFERROR(VALUE(Raw_Data!I737), "")</f>
        <v>10000</v>
      </c>
      <c r="J737">
        <f>IFERROR(
    VALUE(SUBSTITUTE(Raw_Data!J737," visits","")),
    ""
)</f>
        <v>6</v>
      </c>
      <c r="K737" t="str">
        <f ca="1">IF(TRIM(Raw_Data!K737)="","No",PROPER(TRIM(Raw_Data!K737)))</f>
        <v>No</v>
      </c>
      <c r="L737" t="str">
        <f ca="1">PROPER(TRIM(Raw_Data!L737))</f>
        <v>Muscle Gain</v>
      </c>
      <c r="M737" t="s">
        <v>151</v>
      </c>
      <c r="N737" s="2">
        <f>IFERROR(DATEVALUE(Raw_Data!N737), Raw_Data!N737)</f>
        <v>45843</v>
      </c>
      <c r="O737" s="2"/>
      <c r="P737" t="str">
        <f>IF(COUNTIF($A$2:A737,A737)&gt;1,"Duplicate","Unique")</f>
        <v>Unique</v>
      </c>
      <c r="Q737" t="str">
        <f t="shared" si="22"/>
        <v>OK</v>
      </c>
      <c r="R737" t="str">
        <f t="shared" si="23"/>
        <v>Available</v>
      </c>
    </row>
    <row r="738" spans="1:18">
      <c r="A738" t="str">
        <f>TRIM(CLEAN(Raw_Data!A738))</f>
        <v>MEM0737</v>
      </c>
      <c r="B738" t="str">
        <f ca="1">TRIM(Raw_Data!B738)</f>
        <v>Divya Joseph</v>
      </c>
      <c r="C738" t="str">
        <f ca="1">_xlfn.XLOOKUP(D738, Branch_Master!A:A, Branch_Master!B:B)</f>
        <v>Mumbai</v>
      </c>
      <c r="D738" t="str">
        <f ca="1">TRIM(Raw_Data!D738)</f>
        <v>BR05</v>
      </c>
      <c r="E738" t="str">
        <f ca="1">PROPER(TRIM(Raw_Data!E738))</f>
        <v>Premium</v>
      </c>
      <c r="F738" s="2">
        <f>IFERROR(DATEVALUE(Raw_Data!F738), Raw_Data!F738)</f>
        <v>45976</v>
      </c>
      <c r="G738" s="2">
        <f>IFERROR(
    IF(
        IFERROR(DATEVALUE(Raw_Data!G738), Raw_Data!G738) &lt;
        IFERROR(DATEVALUE(Raw_Data!F738), Raw_Data!F738),
        IFERROR(DATEVALUE(Raw_Data!F738), Raw_Data!F738) + 30,
        IFERROR(DATEVALUE(Raw_Data!G738), Raw_Data!G738)
    ),
    ""
)</f>
        <v>46066</v>
      </c>
      <c r="H738">
        <f>IFERROR(VALUE(Raw_Data!H738), "")</f>
        <v>2000</v>
      </c>
      <c r="I738">
        <f ca="1">IFERROR(VALUE(Raw_Data!I738), "")</f>
        <v>14000</v>
      </c>
      <c r="J738">
        <f>IFERROR(
    VALUE(SUBSTITUTE(Raw_Data!J738," visits","")),
    ""
)</f>
        <v>15</v>
      </c>
      <c r="K738" t="str">
        <f ca="1">IF(TRIM(Raw_Data!K738)="","No",PROPER(TRIM(Raw_Data!K738)))</f>
        <v>No</v>
      </c>
      <c r="L738" t="str">
        <f ca="1">PROPER(TRIM(Raw_Data!L738))</f>
        <v>General Fitness</v>
      </c>
      <c r="M738" t="s">
        <v>151</v>
      </c>
      <c r="N738" s="2">
        <f>IFERROR(DATEVALUE(Raw_Data!N738), Raw_Data!N738)</f>
        <v>46107</v>
      </c>
      <c r="O738" s="2"/>
      <c r="P738" t="str">
        <f>IF(COUNTIF($A$2:A738,A738)&gt;1,"Duplicate","Unique")</f>
        <v>Unique</v>
      </c>
      <c r="Q738" t="str">
        <f t="shared" si="22"/>
        <v>OK</v>
      </c>
      <c r="R738" t="str">
        <f t="shared" si="23"/>
        <v>Available</v>
      </c>
    </row>
    <row r="739" spans="1:18">
      <c r="A739" t="str">
        <f>TRIM(CLEAN(Raw_Data!A739))</f>
        <v>MEM0738</v>
      </c>
      <c r="B739" t="str">
        <f ca="1">TRIM(Raw_Data!B739)</f>
        <v>Rahul Singh</v>
      </c>
      <c r="C739" t="str">
        <f ca="1">_xlfn.XLOOKUP(D739, Branch_Master!A:A, Branch_Master!B:B)</f>
        <v>Bangalore</v>
      </c>
      <c r="D739" t="str">
        <f ca="1">TRIM(Raw_Data!D739)</f>
        <v>BR02</v>
      </c>
      <c r="E739" t="str">
        <f ca="1">PROPER(TRIM(Raw_Data!E739))</f>
        <v>Basic</v>
      </c>
      <c r="F739" s="2">
        <f>IFERROR(DATEVALUE(Raw_Data!F739), Raw_Data!F739)</f>
        <v>45670</v>
      </c>
      <c r="G739" s="2">
        <f>IFERROR(
    IF(
        IFERROR(DATEVALUE(Raw_Data!G739), Raw_Data!G739) &lt;
        IFERROR(DATEVALUE(Raw_Data!F739), Raw_Data!F739),
        IFERROR(DATEVALUE(Raw_Data!F739), Raw_Data!F739) + 30,
        IFERROR(DATEVALUE(Raw_Data!G739), Raw_Data!G739)
    ),
    ""
)</f>
        <v>45700</v>
      </c>
      <c r="H739">
        <f>IFERROR(VALUE(Raw_Data!H739), "")</f>
        <v>1000</v>
      </c>
      <c r="I739">
        <f ca="1">IFERROR(VALUE(Raw_Data!I739), "")</f>
        <v>11000</v>
      </c>
      <c r="J739">
        <f>IFERROR(
    VALUE(SUBSTITUTE(Raw_Data!J739," visits","")),
    ""
)</f>
        <v>22</v>
      </c>
      <c r="K739" t="str">
        <f ca="1">IF(TRIM(Raw_Data!K739)="","No",PROPER(TRIM(Raw_Data!K739)))</f>
        <v>Yes</v>
      </c>
      <c r="L739" t="str">
        <f ca="1">PROPER(TRIM(Raw_Data!L739))</f>
        <v>Muscle Gain</v>
      </c>
      <c r="M739" t="s">
        <v>151</v>
      </c>
      <c r="N739" s="2">
        <f>IFERROR(DATEVALUE(Raw_Data!N739), Raw_Data!N739)</f>
        <v>45772</v>
      </c>
      <c r="O739" s="2"/>
      <c r="P739" t="str">
        <f>IF(COUNTIF($A$2:A739,A739)&gt;1,"Duplicate","Unique")</f>
        <v>Unique</v>
      </c>
      <c r="Q739" t="str">
        <f t="shared" si="22"/>
        <v>OK</v>
      </c>
      <c r="R739" t="str">
        <f t="shared" si="23"/>
        <v>Available</v>
      </c>
    </row>
    <row r="740" spans="1:18">
      <c r="A740" t="str">
        <f>TRIM(CLEAN(Raw_Data!A740))</f>
        <v>MEM0739</v>
      </c>
      <c r="B740" t="str">
        <f ca="1">TRIM(Raw_Data!B740)</f>
        <v>Lakshmi Pillai</v>
      </c>
      <c r="C740" t="str">
        <f ca="1">_xlfn.XLOOKUP(D740, Branch_Master!A:A, Branch_Master!B:B)</f>
        <v>Kochi</v>
      </c>
      <c r="D740" t="str">
        <f ca="1">TRIM(Raw_Data!D740)</f>
        <v>BR01</v>
      </c>
      <c r="E740" t="str">
        <f ca="1">PROPER(TRIM(Raw_Data!E740))</f>
        <v>Standard</v>
      </c>
      <c r="F740" s="2">
        <f>IFERROR(DATEVALUE(Raw_Data!F740), Raw_Data!F740)</f>
        <v>45559</v>
      </c>
      <c r="G740" s="2">
        <f>IFERROR(
    IF(
        IFERROR(DATEVALUE(Raw_Data!G740), Raw_Data!G740) &lt;
        IFERROR(DATEVALUE(Raw_Data!F740), Raw_Data!F740),
        IFERROR(DATEVALUE(Raw_Data!F740), Raw_Data!F740) + 30,
        IFERROR(DATEVALUE(Raw_Data!G740), Raw_Data!G740)
    ),
    ""
)</f>
        <v>45589</v>
      </c>
      <c r="H740">
        <f>IFERROR(VALUE(Raw_Data!H740), "")</f>
        <v>3500</v>
      </c>
      <c r="I740">
        <f ca="1">IFERROR(VALUE(Raw_Data!I740), "")</f>
        <v>21000</v>
      </c>
      <c r="J740">
        <f>IFERROR(
    VALUE(SUBSTITUTE(Raw_Data!J740," visits","")),
    ""
)</f>
        <v>15</v>
      </c>
      <c r="K740" t="str">
        <f ca="1">IF(TRIM(Raw_Data!K740)="","No",PROPER(TRIM(Raw_Data!K740)))</f>
        <v>No</v>
      </c>
      <c r="L740" t="str">
        <f ca="1">PROPER(TRIM(Raw_Data!L740))</f>
        <v>General Fitness</v>
      </c>
      <c r="M740" t="s">
        <v>151</v>
      </c>
      <c r="N740" s="2">
        <f>IFERROR(DATEVALUE(Raw_Data!N740), Raw_Data!N740)</f>
        <v>45902</v>
      </c>
      <c r="O740" s="2"/>
      <c r="P740" t="str">
        <f>IF(COUNTIF($A$2:A740,A740)&gt;1,"Duplicate","Unique")</f>
        <v>Unique</v>
      </c>
      <c r="Q740" t="str">
        <f t="shared" si="22"/>
        <v>OK</v>
      </c>
      <c r="R740" t="str">
        <f t="shared" si="23"/>
        <v>Available</v>
      </c>
    </row>
    <row r="741" spans="1:18">
      <c r="A741" t="str">
        <f>TRIM(CLEAN(Raw_Data!A741))</f>
        <v>MEM0740</v>
      </c>
      <c r="B741" t="str">
        <f ca="1">TRIM(Raw_Data!B741)</f>
        <v>Arjun Shetty</v>
      </c>
      <c r="C741" t="str">
        <f ca="1">_xlfn.XLOOKUP(D741, Branch_Master!A:A, Branch_Master!B:B)</f>
        <v>Bangalore</v>
      </c>
      <c r="D741" t="str">
        <f ca="1">TRIM(Raw_Data!D741)</f>
        <v>BR02</v>
      </c>
      <c r="E741" t="str">
        <f ca="1">PROPER(TRIM(Raw_Data!E741))</f>
        <v>Premium</v>
      </c>
      <c r="F741" s="2">
        <f>IFERROR(DATEVALUE(Raw_Data!F741), Raw_Data!F741)</f>
        <v>45012</v>
      </c>
      <c r="G741" s="2">
        <f>IFERROR(
    IF(
        IFERROR(DATEVALUE(Raw_Data!G741), Raw_Data!G741) &lt;
        IFERROR(DATEVALUE(Raw_Data!F741), Raw_Data!F741),
        IFERROR(DATEVALUE(Raw_Data!F741), Raw_Data!F741) + 30,
        IFERROR(DATEVALUE(Raw_Data!G741), Raw_Data!G741)
    ),
    ""
)</f>
        <v>45042</v>
      </c>
      <c r="H741">
        <f>IFERROR(VALUE(Raw_Data!H741), "")</f>
        <v>1000</v>
      </c>
      <c r="I741">
        <f ca="1">IFERROR(VALUE(Raw_Data!I741), "")</f>
        <v>5000</v>
      </c>
      <c r="J741">
        <f>IFERROR(
    VALUE(SUBSTITUTE(Raw_Data!J741," visits","")),
    ""
)</f>
        <v>9</v>
      </c>
      <c r="K741" t="str">
        <f ca="1">IF(TRIM(Raw_Data!K741)="","No",PROPER(TRIM(Raw_Data!K741)))</f>
        <v>No</v>
      </c>
      <c r="L741" t="str">
        <f ca="1">PROPER(TRIM(Raw_Data!L741))</f>
        <v>Muscle Gain</v>
      </c>
      <c r="M741" t="s">
        <v>151</v>
      </c>
      <c r="N741" s="2">
        <f>IFERROR(DATEVALUE(Raw_Data!N741), Raw_Data!N741)</f>
        <v>45019</v>
      </c>
      <c r="O741" s="2"/>
      <c r="P741" t="str">
        <f>IF(COUNTIF($A$2:A741,A741)&gt;1,"Duplicate","Unique")</f>
        <v>Unique</v>
      </c>
      <c r="Q741" t="str">
        <f t="shared" si="22"/>
        <v>OK</v>
      </c>
      <c r="R741" t="str">
        <f t="shared" si="23"/>
        <v>Available</v>
      </c>
    </row>
    <row r="742" spans="1:18">
      <c r="A742" t="str">
        <f>TRIM(CLEAN(Raw_Data!A742))</f>
        <v>MEM0741</v>
      </c>
      <c r="B742" t="str">
        <f ca="1">TRIM(Raw_Data!B742)</f>
        <v>Ankit Singh</v>
      </c>
      <c r="C742" t="str">
        <f ca="1">_xlfn.XLOOKUP(D742, Branch_Master!A:A, Branch_Master!B:B)</f>
        <v>Chennai</v>
      </c>
      <c r="D742" t="str">
        <f ca="1">TRIM(Raw_Data!D742)</f>
        <v>BR03</v>
      </c>
      <c r="E742" t="str">
        <f ca="1">PROPER(TRIM(Raw_Data!E742))</f>
        <v>Basic</v>
      </c>
      <c r="F742" s="2">
        <f>IFERROR(DATEVALUE(Raw_Data!F742), Raw_Data!F742)</f>
        <v>45773</v>
      </c>
      <c r="G742" s="2">
        <f>IFERROR(
    IF(
        IFERROR(DATEVALUE(Raw_Data!G742), Raw_Data!G742) &lt;
        IFERROR(DATEVALUE(Raw_Data!F742), Raw_Data!F742),
        IFERROR(DATEVALUE(Raw_Data!F742), Raw_Data!F742) + 30,
        IFERROR(DATEVALUE(Raw_Data!G742), Raw_Data!G742)
    ),
    ""
)</f>
        <v>46138</v>
      </c>
      <c r="H742">
        <f>IFERROR(VALUE(Raw_Data!H742), "")</f>
        <v>2000</v>
      </c>
      <c r="I742">
        <f ca="1">IFERROR(VALUE(Raw_Data!I742), "")</f>
        <v>22000</v>
      </c>
      <c r="J742">
        <f>IFERROR(
    VALUE(SUBSTITUTE(Raw_Data!J742," visits","")),
    ""
)</f>
        <v>22</v>
      </c>
      <c r="K742" t="str">
        <f ca="1">IF(TRIM(Raw_Data!K742)="","No",PROPER(TRIM(Raw_Data!K742)))</f>
        <v>Yes</v>
      </c>
      <c r="L742" t="str">
        <f ca="1">PROPER(TRIM(Raw_Data!L742))</f>
        <v>Muscle Gain</v>
      </c>
      <c r="M742" t="s">
        <v>151</v>
      </c>
      <c r="N742" s="2">
        <f>IFERROR(DATEVALUE(Raw_Data!N742), Raw_Data!N742)</f>
        <v>45998</v>
      </c>
      <c r="O742" s="2"/>
      <c r="P742" t="str">
        <f>IF(COUNTIF($A$2:A742,A742)&gt;1,"Duplicate","Unique")</f>
        <v>Unique</v>
      </c>
      <c r="Q742" t="str">
        <f t="shared" si="22"/>
        <v>OK</v>
      </c>
      <c r="R742" t="str">
        <f t="shared" si="23"/>
        <v>Available</v>
      </c>
    </row>
    <row r="743" spans="1:18">
      <c r="A743" t="str">
        <f>TRIM(CLEAN(Raw_Data!A743))</f>
        <v>MEM0742</v>
      </c>
      <c r="B743" t="str">
        <f ca="1">TRIM(Raw_Data!B743)</f>
        <v>Sanjay Fernandes</v>
      </c>
      <c r="C743" t="str">
        <f ca="1">_xlfn.XLOOKUP(D743, Branch_Master!A:A, Branch_Master!B:B)</f>
        <v>Bangalore</v>
      </c>
      <c r="D743" t="str">
        <f ca="1">TRIM(Raw_Data!D743)</f>
        <v>BR02</v>
      </c>
      <c r="E743" t="str">
        <f ca="1">PROPER(TRIM(Raw_Data!E743))</f>
        <v>Standard</v>
      </c>
      <c r="F743" s="2">
        <f>IFERROR(DATEVALUE(Raw_Data!F743), Raw_Data!F743)</f>
        <v>45656</v>
      </c>
      <c r="G743" s="2">
        <f>IFERROR(
    IF(
        IFERROR(DATEVALUE(Raw_Data!G743), Raw_Data!G743) &lt;
        IFERROR(DATEVALUE(Raw_Data!F743), Raw_Data!F743),
        IFERROR(DATEVALUE(Raw_Data!F743), Raw_Data!F743) + 30,
        IFERROR(DATEVALUE(Raw_Data!G743), Raw_Data!G743)
    ),
    ""
)</f>
        <v>45746</v>
      </c>
      <c r="H743">
        <f>IFERROR(VALUE(Raw_Data!H743), "")</f>
        <v>3500</v>
      </c>
      <c r="I743">
        <f ca="1">IFERROR(VALUE(Raw_Data!I743), "")</f>
        <v>10500</v>
      </c>
      <c r="J743">
        <f>IFERROR(
    VALUE(SUBSTITUTE(Raw_Data!J743," visits","")),
    ""
)</f>
        <v>10</v>
      </c>
      <c r="K743" t="str">
        <f ca="1">IF(TRIM(Raw_Data!K743)="","No",PROPER(TRIM(Raw_Data!K743)))</f>
        <v>No</v>
      </c>
      <c r="L743" t="str">
        <f ca="1">PROPER(TRIM(Raw_Data!L743))</f>
        <v>General Fitness</v>
      </c>
      <c r="M743" t="s">
        <v>151</v>
      </c>
      <c r="N743" s="2">
        <f>IFERROR(DATEVALUE(Raw_Data!N743), Raw_Data!N743)</f>
        <v>45881</v>
      </c>
      <c r="O743" s="2"/>
      <c r="P743" t="str">
        <f>IF(COUNTIF($A$2:A743,A743)&gt;1,"Duplicate","Unique")</f>
        <v>Unique</v>
      </c>
      <c r="Q743" t="str">
        <f t="shared" si="22"/>
        <v>OK</v>
      </c>
      <c r="R743" t="str">
        <f t="shared" si="23"/>
        <v>Available</v>
      </c>
    </row>
    <row r="744" spans="1:18">
      <c r="A744" t="str">
        <f>TRIM(CLEAN(Raw_Data!A744))</f>
        <v>MEM0743</v>
      </c>
      <c r="B744" t="str">
        <f ca="1">TRIM(Raw_Data!B744)</f>
        <v>Siddharth Bhat</v>
      </c>
      <c r="C744" t="str">
        <f ca="1">_xlfn.XLOOKUP(D744, Branch_Master!A:A, Branch_Master!B:B)</f>
        <v>Hyderabad</v>
      </c>
      <c r="D744" t="str">
        <f ca="1">TRIM(Raw_Data!D744)</f>
        <v>BR04</v>
      </c>
      <c r="E744" t="str">
        <f ca="1">PROPER(TRIM(Raw_Data!E744))</f>
        <v>Basic</v>
      </c>
      <c r="F744" s="2">
        <f>IFERROR(DATEVALUE(Raw_Data!F744), Raw_Data!F744)</f>
        <v>45065</v>
      </c>
      <c r="G744" s="2">
        <f>IFERROR(
    IF(
        IFERROR(DATEVALUE(Raw_Data!G744), Raw_Data!G744) &lt;
        IFERROR(DATEVALUE(Raw_Data!F744), Raw_Data!F744),
        IFERROR(DATEVALUE(Raw_Data!F744), Raw_Data!F744) + 30,
        IFERROR(DATEVALUE(Raw_Data!G744), Raw_Data!G744)
    ),
    ""
)</f>
        <v>45155</v>
      </c>
      <c r="H744">
        <f>IFERROR(VALUE(Raw_Data!H744), "")</f>
        <v>3500</v>
      </c>
      <c r="I744">
        <f ca="1">IFERROR(VALUE(Raw_Data!I744), "")</f>
        <v>38500</v>
      </c>
      <c r="J744">
        <f>IFERROR(
    VALUE(SUBSTITUTE(Raw_Data!J744," visits","")),
    ""
)</f>
        <v>20</v>
      </c>
      <c r="K744" t="str">
        <f ca="1">IF(TRIM(Raw_Data!K744)="","No",PROPER(TRIM(Raw_Data!K744)))</f>
        <v>No</v>
      </c>
      <c r="L744" t="str">
        <f ca="1">PROPER(TRIM(Raw_Data!L744))</f>
        <v>Muscle Gain</v>
      </c>
      <c r="M744" t="s">
        <v>151</v>
      </c>
      <c r="N744" s="2">
        <f>IFERROR(DATEVALUE(Raw_Data!N744), Raw_Data!N744)</f>
        <v>45312</v>
      </c>
      <c r="O744" s="2"/>
      <c r="P744" t="str">
        <f>IF(COUNTIF($A$2:A744,A744)&gt;1,"Duplicate","Unique")</f>
        <v>Unique</v>
      </c>
      <c r="Q744" t="str">
        <f t="shared" si="22"/>
        <v>OK</v>
      </c>
      <c r="R744" t="str">
        <f t="shared" si="23"/>
        <v>Available</v>
      </c>
    </row>
    <row r="745" spans="1:18">
      <c r="A745" t="str">
        <f>TRIM(CLEAN(Raw_Data!A745))</f>
        <v>MEM0744</v>
      </c>
      <c r="B745" t="str">
        <f ca="1">TRIM(Raw_Data!B745)</f>
        <v>Swathi Patel</v>
      </c>
      <c r="C745" t="str">
        <f ca="1">_xlfn.XLOOKUP(D745, Branch_Master!A:A, Branch_Master!B:B)</f>
        <v>Bangalore</v>
      </c>
      <c r="D745" t="str">
        <f ca="1">TRIM(Raw_Data!D745)</f>
        <v>BR02</v>
      </c>
      <c r="E745" t="str">
        <f ca="1">PROPER(TRIM(Raw_Data!E745))</f>
        <v>Premium</v>
      </c>
      <c r="F745" s="2">
        <f>IFERROR(DATEVALUE(Raw_Data!F745), Raw_Data!F745)</f>
        <v>45369</v>
      </c>
      <c r="G745" s="2">
        <f>IFERROR(
    IF(
        IFERROR(DATEVALUE(Raw_Data!G745), Raw_Data!G745) &lt;
        IFERROR(DATEVALUE(Raw_Data!F745), Raw_Data!F745),
        IFERROR(DATEVALUE(Raw_Data!F745), Raw_Data!F745) + 30,
        IFERROR(DATEVALUE(Raw_Data!G745), Raw_Data!G745)
    ),
    ""
)</f>
        <v>45734</v>
      </c>
      <c r="H745">
        <f>IFERROR(VALUE(Raw_Data!H745), "")</f>
        <v>3500</v>
      </c>
      <c r="I745">
        <f ca="1">IFERROR(VALUE(Raw_Data!I745), "")</f>
        <v>24500</v>
      </c>
      <c r="J745">
        <f>IFERROR(
    VALUE(SUBSTITUTE(Raw_Data!J745," visits","")),
    ""
)</f>
        <v>16</v>
      </c>
      <c r="K745" t="str">
        <f ca="1">IF(TRIM(Raw_Data!K745)="","No",PROPER(TRIM(Raw_Data!K745)))</f>
        <v>No</v>
      </c>
      <c r="L745" t="str">
        <f ca="1">PROPER(TRIM(Raw_Data!L745))</f>
        <v>Weight Loss</v>
      </c>
      <c r="M745" t="s">
        <v>151</v>
      </c>
      <c r="N745" s="2">
        <f>IFERROR(DATEVALUE(Raw_Data!N745), Raw_Data!N745)</f>
        <v>45933</v>
      </c>
      <c r="O745" s="2"/>
      <c r="P745" t="str">
        <f>IF(COUNTIF($A$2:A745,A745)&gt;1,"Duplicate","Unique")</f>
        <v>Unique</v>
      </c>
      <c r="Q745" t="str">
        <f t="shared" si="22"/>
        <v>OK</v>
      </c>
      <c r="R745" t="str">
        <f t="shared" si="23"/>
        <v>Available</v>
      </c>
    </row>
    <row r="746" spans="1:18">
      <c r="A746" t="str">
        <f>TRIM(CLEAN(Raw_Data!A746))</f>
        <v>MEM0745</v>
      </c>
      <c r="B746" t="str">
        <f ca="1">TRIM(Raw_Data!B746)</f>
        <v>Ishita Varghese</v>
      </c>
      <c r="C746" t="str">
        <f ca="1">_xlfn.XLOOKUP(D746, Branch_Master!A:A, Branch_Master!B:B)</f>
        <v>Hyderabad</v>
      </c>
      <c r="D746" t="str">
        <f ca="1">TRIM(Raw_Data!D746)</f>
        <v>BR04</v>
      </c>
      <c r="E746" t="str">
        <f ca="1">PROPER(TRIM(Raw_Data!E746))</f>
        <v>Premium</v>
      </c>
      <c r="F746" s="2">
        <f>IFERROR(DATEVALUE(Raw_Data!F746), Raw_Data!F746)</f>
        <v>45452</v>
      </c>
      <c r="G746" s="2">
        <f>IFERROR(
    IF(
        IFERROR(DATEVALUE(Raw_Data!G746), Raw_Data!G746) &lt;
        IFERROR(DATEVALUE(Raw_Data!F746), Raw_Data!F746),
        IFERROR(DATEVALUE(Raw_Data!F746), Raw_Data!F746) + 30,
        IFERROR(DATEVALUE(Raw_Data!G746), Raw_Data!G746)
    ),
    ""
)</f>
        <v>45817</v>
      </c>
      <c r="H746">
        <f>IFERROR(VALUE(Raw_Data!H746), "")</f>
        <v>2000</v>
      </c>
      <c r="I746">
        <f ca="1">IFERROR(VALUE(Raw_Data!I746), "")</f>
        <v>12000</v>
      </c>
      <c r="J746">
        <f>IFERROR(
    VALUE(SUBSTITUTE(Raw_Data!J746," visits","")),
    ""
)</f>
        <v>3</v>
      </c>
      <c r="K746" t="str">
        <f ca="1">IF(TRIM(Raw_Data!K746)="","No",PROPER(TRIM(Raw_Data!K746)))</f>
        <v>Yes</v>
      </c>
      <c r="L746" t="str">
        <f ca="1">PROPER(TRIM(Raw_Data!L746))</f>
        <v>Weight Loss</v>
      </c>
      <c r="M746" t="s">
        <v>151</v>
      </c>
      <c r="N746" s="2">
        <f>IFERROR(DATEVALUE(Raw_Data!N746), Raw_Data!N746)</f>
        <v>45476</v>
      </c>
      <c r="O746" s="2"/>
      <c r="P746" t="str">
        <f>IF(COUNTIF($A$2:A746,A746)&gt;1,"Duplicate","Unique")</f>
        <v>Unique</v>
      </c>
      <c r="Q746" t="str">
        <f t="shared" si="22"/>
        <v>OK</v>
      </c>
      <c r="R746" t="str">
        <f t="shared" si="23"/>
        <v>Available</v>
      </c>
    </row>
    <row r="747" spans="1:18">
      <c r="A747" t="str">
        <f>TRIM(CLEAN(Raw_Data!A747))</f>
        <v>MEM0746</v>
      </c>
      <c r="B747" t="str">
        <f ca="1">TRIM(Raw_Data!B747)</f>
        <v>Divya D’Souza</v>
      </c>
      <c r="C747" t="str">
        <f ca="1">_xlfn.XLOOKUP(D747, Branch_Master!A:A, Branch_Master!B:B)</f>
        <v>Mumbai</v>
      </c>
      <c r="D747" t="str">
        <f ca="1">TRIM(Raw_Data!D747)</f>
        <v>BR05</v>
      </c>
      <c r="E747" t="str">
        <f ca="1">PROPER(TRIM(Raw_Data!E747))</f>
        <v>Premium</v>
      </c>
      <c r="F747" s="2">
        <f>IFERROR(DATEVALUE(Raw_Data!F747), Raw_Data!F747)</f>
        <v>45878</v>
      </c>
      <c r="G747" s="2">
        <f>IFERROR(
    IF(
        IFERROR(DATEVALUE(Raw_Data!G747), Raw_Data!G747) &lt;
        IFERROR(DATEVALUE(Raw_Data!F747), Raw_Data!F747),
        IFERROR(DATEVALUE(Raw_Data!F747), Raw_Data!F747) + 30,
        IFERROR(DATEVALUE(Raw_Data!G747), Raw_Data!G747)
    ),
    ""
)</f>
        <v>46243</v>
      </c>
      <c r="H747">
        <f>IFERROR(VALUE(Raw_Data!H747), "")</f>
        <v>3500</v>
      </c>
      <c r="I747">
        <f ca="1">IFERROR(VALUE(Raw_Data!I747), "")</f>
        <v>21000</v>
      </c>
      <c r="J747">
        <f>IFERROR(
    VALUE(SUBSTITUTE(Raw_Data!J747," visits","")),
    ""
)</f>
        <v>16</v>
      </c>
      <c r="K747" t="str">
        <f ca="1">IF(TRIM(Raw_Data!K747)="","No",PROPER(TRIM(Raw_Data!K747)))</f>
        <v>No</v>
      </c>
      <c r="L747" t="str">
        <f ca="1">PROPER(TRIM(Raw_Data!L747))</f>
        <v>Weight Loss</v>
      </c>
      <c r="M747" t="s">
        <v>151</v>
      </c>
      <c r="N747" s="2">
        <f>IFERROR(DATEVALUE(Raw_Data!N747), Raw_Data!N747)</f>
        <v>46030</v>
      </c>
      <c r="O747" s="2"/>
      <c r="P747" t="str">
        <f>IF(COUNTIF($A$2:A747,A747)&gt;1,"Duplicate","Unique")</f>
        <v>Unique</v>
      </c>
      <c r="Q747" t="str">
        <f t="shared" si="22"/>
        <v>OK</v>
      </c>
      <c r="R747" t="str">
        <f t="shared" si="23"/>
        <v>Available</v>
      </c>
    </row>
    <row r="748" spans="1:18">
      <c r="A748" t="str">
        <f>TRIM(CLEAN(Raw_Data!A748))</f>
        <v>MEM0747</v>
      </c>
      <c r="B748" t="str">
        <f ca="1">TRIM(Raw_Data!B748)</f>
        <v>Akash Nambiar</v>
      </c>
      <c r="C748" t="str">
        <f ca="1">_xlfn.XLOOKUP(D748, Branch_Master!A:A, Branch_Master!B:B)</f>
        <v>Bangalore</v>
      </c>
      <c r="D748" t="str">
        <f ca="1">TRIM(Raw_Data!D748)</f>
        <v>BR02</v>
      </c>
      <c r="E748" t="str">
        <f ca="1">PROPER(TRIM(Raw_Data!E748))</f>
        <v>Premium</v>
      </c>
      <c r="F748" s="2">
        <f>IFERROR(DATEVALUE(Raw_Data!F748), Raw_Data!F748)</f>
        <v>45769</v>
      </c>
      <c r="G748" s="2">
        <f>IFERROR(
    IF(
        IFERROR(DATEVALUE(Raw_Data!G748), Raw_Data!G748) &lt;
        IFERROR(DATEVALUE(Raw_Data!F748), Raw_Data!F748),
        IFERROR(DATEVALUE(Raw_Data!F748), Raw_Data!F748) + 30,
        IFERROR(DATEVALUE(Raw_Data!G748), Raw_Data!G748)
    ),
    ""
)</f>
        <v>45859</v>
      </c>
      <c r="H748">
        <f>IFERROR(VALUE(Raw_Data!H748), "")</f>
        <v>1000</v>
      </c>
      <c r="I748">
        <f ca="1">IFERROR(VALUE(Raw_Data!I748), "")</f>
        <v>3000</v>
      </c>
      <c r="J748">
        <f>IFERROR(
    VALUE(SUBSTITUTE(Raw_Data!J748," visits","")),
    ""
)</f>
        <v>17</v>
      </c>
      <c r="K748" t="str">
        <f ca="1">IF(TRIM(Raw_Data!K748)="","No",PROPER(TRIM(Raw_Data!K748)))</f>
        <v>Yes</v>
      </c>
      <c r="L748" t="str">
        <f ca="1">PROPER(TRIM(Raw_Data!L748))</f>
        <v>Weight Loss</v>
      </c>
      <c r="M748" t="s">
        <v>151</v>
      </c>
      <c r="N748" s="2">
        <f>IFERROR(DATEVALUE(Raw_Data!N748), Raw_Data!N748)</f>
        <v>45814</v>
      </c>
      <c r="O748" s="2"/>
      <c r="P748" t="str">
        <f>IF(COUNTIF($A$2:A748,A748)&gt;1,"Duplicate","Unique")</f>
        <v>Unique</v>
      </c>
      <c r="Q748" t="str">
        <f t="shared" si="22"/>
        <v>OK</v>
      </c>
      <c r="R748" t="str">
        <f t="shared" si="23"/>
        <v>Available</v>
      </c>
    </row>
    <row r="749" spans="1:18">
      <c r="A749" t="str">
        <f>TRIM(CLEAN(Raw_Data!A749))</f>
        <v>MEM0748</v>
      </c>
      <c r="B749" t="str">
        <f ca="1">TRIM(Raw_Data!B749)</f>
        <v>Neha Banerjee</v>
      </c>
      <c r="C749" t="str">
        <f ca="1">_xlfn.XLOOKUP(D749, Branch_Master!A:A, Branch_Master!B:B)</f>
        <v>Mumbai</v>
      </c>
      <c r="D749" t="str">
        <f ca="1">TRIM(Raw_Data!D749)</f>
        <v>BR05</v>
      </c>
      <c r="E749" t="str">
        <f ca="1">PROPER(TRIM(Raw_Data!E749))</f>
        <v>Basic</v>
      </c>
      <c r="F749" s="2">
        <f>IFERROR(DATEVALUE(Raw_Data!F749), Raw_Data!F749)</f>
        <v>45208</v>
      </c>
      <c r="G749" s="2">
        <f>IFERROR(
    IF(
        IFERROR(DATEVALUE(Raw_Data!G749), Raw_Data!G749) &lt;
        IFERROR(DATEVALUE(Raw_Data!F749), Raw_Data!F749),
        IFERROR(DATEVALUE(Raw_Data!F749), Raw_Data!F749) + 30,
        IFERROR(DATEVALUE(Raw_Data!G749), Raw_Data!G749)
    ),
    ""
)</f>
        <v>45573</v>
      </c>
      <c r="H749">
        <f>IFERROR(VALUE(Raw_Data!H749), "")</f>
        <v>1000</v>
      </c>
      <c r="I749">
        <f ca="1">IFERROR(VALUE(Raw_Data!I749), "")</f>
        <v>9000</v>
      </c>
      <c r="J749">
        <f>IFERROR(
    VALUE(SUBSTITUTE(Raw_Data!J749," visits","")),
    ""
)</f>
        <v>20</v>
      </c>
      <c r="K749" t="str">
        <f ca="1">IF(TRIM(Raw_Data!K749)="","No",PROPER(TRIM(Raw_Data!K749)))</f>
        <v>No</v>
      </c>
      <c r="L749" t="str">
        <f ca="1">PROPER(TRIM(Raw_Data!L749))</f>
        <v>Weight Loss</v>
      </c>
      <c r="M749" t="s">
        <v>151</v>
      </c>
      <c r="N749" s="2">
        <f>IFERROR(DATEVALUE(Raw_Data!N749), Raw_Data!N749)</f>
        <v>45540</v>
      </c>
      <c r="O749" s="2"/>
      <c r="P749" t="str">
        <f>IF(COUNTIF($A$2:A749,A749)&gt;1,"Duplicate","Unique")</f>
        <v>Unique</v>
      </c>
      <c r="Q749" t="str">
        <f t="shared" si="22"/>
        <v>OK</v>
      </c>
      <c r="R749" t="str">
        <f t="shared" si="23"/>
        <v>Available</v>
      </c>
    </row>
    <row r="750" spans="1:18">
      <c r="A750" t="str">
        <f>TRIM(CLEAN(Raw_Data!A750))</f>
        <v>MEM0749</v>
      </c>
      <c r="B750" t="str">
        <f ca="1">TRIM(Raw_Data!B750)</f>
        <v>Kavya Gupta</v>
      </c>
      <c r="C750" t="str">
        <f ca="1">_xlfn.XLOOKUP(D750, Branch_Master!A:A, Branch_Master!B:B)</f>
        <v>Mumbai</v>
      </c>
      <c r="D750" t="str">
        <f ca="1">TRIM(Raw_Data!D750)</f>
        <v>BR05</v>
      </c>
      <c r="E750" t="str">
        <f ca="1">PROPER(TRIM(Raw_Data!E750))</f>
        <v>Basic</v>
      </c>
      <c r="F750" s="2">
        <f>IFERROR(DATEVALUE(Raw_Data!F750), Raw_Data!F750)</f>
        <v>45263</v>
      </c>
      <c r="G750" s="2">
        <f>IFERROR(
    IF(
        IFERROR(DATEVALUE(Raw_Data!G750), Raw_Data!G750) &lt;
        IFERROR(DATEVALUE(Raw_Data!F750), Raw_Data!F750),
        IFERROR(DATEVALUE(Raw_Data!F750), Raw_Data!F750) + 30,
        IFERROR(DATEVALUE(Raw_Data!G750), Raw_Data!G750)
    ),
    ""
)</f>
        <v>45353</v>
      </c>
      <c r="H750">
        <f>IFERROR(VALUE(Raw_Data!H750), "")</f>
        <v>1000</v>
      </c>
      <c r="I750">
        <f ca="1">IFERROR(VALUE(Raw_Data!I750), "")</f>
        <v>12000</v>
      </c>
      <c r="J750">
        <f>IFERROR(
    VALUE(SUBSTITUTE(Raw_Data!J750," visits","")),
    ""
)</f>
        <v>1</v>
      </c>
      <c r="K750" t="str">
        <f ca="1">IF(TRIM(Raw_Data!K750)="","No",PROPER(TRIM(Raw_Data!K750)))</f>
        <v>Yes</v>
      </c>
      <c r="L750" t="str">
        <f ca="1">PROPER(TRIM(Raw_Data!L750))</f>
        <v>Weight Loss</v>
      </c>
      <c r="M750" t="s">
        <v>152</v>
      </c>
      <c r="N750" s="2">
        <f>IFERROR(DATEVALUE(Raw_Data!N750), Raw_Data!N750)</f>
        <v>45308</v>
      </c>
      <c r="O750" s="2"/>
      <c r="P750" t="str">
        <f>IF(COUNTIF($A$2:A750,A750)&gt;1,"Duplicate","Unique")</f>
        <v>Unique</v>
      </c>
      <c r="Q750" t="str">
        <f t="shared" si="22"/>
        <v>Cancelled but Active</v>
      </c>
      <c r="R750" t="str">
        <f t="shared" si="23"/>
        <v>Available</v>
      </c>
    </row>
    <row r="751" spans="1:18">
      <c r="A751" t="str">
        <f>TRIM(CLEAN(Raw_Data!A751))</f>
        <v>MEM0750</v>
      </c>
      <c r="B751" t="str">
        <f ca="1">TRIM(Raw_Data!B751)</f>
        <v>Shreya George</v>
      </c>
      <c r="C751" t="str">
        <f ca="1">_xlfn.XLOOKUP(D751, Branch_Master!A:A, Branch_Master!B:B)</f>
        <v>Calicut</v>
      </c>
      <c r="D751" t="str">
        <f ca="1">TRIM(Raw_Data!D751)</f>
        <v>BR07</v>
      </c>
      <c r="E751" t="str">
        <f ca="1">PROPER(TRIM(Raw_Data!E751))</f>
        <v>Basic</v>
      </c>
      <c r="F751" s="2">
        <f>IFERROR(DATEVALUE(Raw_Data!F751), Raw_Data!F751)</f>
        <v>45214</v>
      </c>
      <c r="G751" s="2">
        <f>IFERROR(
    IF(
        IFERROR(DATEVALUE(Raw_Data!G751), Raw_Data!G751) &lt;
        IFERROR(DATEVALUE(Raw_Data!F751), Raw_Data!F751),
        IFERROR(DATEVALUE(Raw_Data!F751), Raw_Data!F751) + 30,
        IFERROR(DATEVALUE(Raw_Data!G751), Raw_Data!G751)
    ),
    ""
)</f>
        <v>45244</v>
      </c>
      <c r="H751">
        <f>IFERROR(VALUE(Raw_Data!H751), "")</f>
        <v>3500</v>
      </c>
      <c r="I751">
        <f ca="1">IFERROR(VALUE(Raw_Data!I751), "")</f>
        <v>31500</v>
      </c>
      <c r="J751">
        <f>IFERROR(
    VALUE(SUBSTITUTE(Raw_Data!J751," visits","")),
    ""
)</f>
        <v>21</v>
      </c>
      <c r="K751" t="str">
        <f ca="1">IF(TRIM(Raw_Data!K751)="","No",PROPER(TRIM(Raw_Data!K751)))</f>
        <v>No</v>
      </c>
      <c r="L751" t="str">
        <f ca="1">PROPER(TRIM(Raw_Data!L751))</f>
        <v>Muscle Gain</v>
      </c>
      <c r="M751" t="s">
        <v>151</v>
      </c>
      <c r="N751" s="2">
        <f>IFERROR(DATEVALUE(Raw_Data!N751), Raw_Data!N751)</f>
        <v>45855</v>
      </c>
      <c r="O751" s="2"/>
      <c r="P751" t="str">
        <f>IF(COUNTIF($A$2:A751,A751)&gt;1,"Duplicate","Unique")</f>
        <v>Unique</v>
      </c>
      <c r="Q751" t="str">
        <f t="shared" si="22"/>
        <v>OK</v>
      </c>
      <c r="R751" t="str">
        <f t="shared" si="23"/>
        <v>Available</v>
      </c>
    </row>
    <row r="752" spans="1:18">
      <c r="A752" t="str">
        <f>TRIM(CLEAN(Raw_Data!A752))</f>
        <v>MEM0751</v>
      </c>
      <c r="B752" t="str">
        <f ca="1">TRIM(Raw_Data!B752)</f>
        <v>Meera Singh</v>
      </c>
      <c r="C752" t="str">
        <f ca="1">_xlfn.XLOOKUP(D752, Branch_Master!A:A, Branch_Master!B:B)</f>
        <v>Bangalore</v>
      </c>
      <c r="D752" t="str">
        <f ca="1">TRIM(Raw_Data!D752)</f>
        <v>BR02</v>
      </c>
      <c r="E752" t="str">
        <f ca="1">PROPER(TRIM(Raw_Data!E752))</f>
        <v>Standard</v>
      </c>
      <c r="F752" s="2">
        <f>IFERROR(DATEVALUE(Raw_Data!F752), Raw_Data!F752)</f>
        <v>45577</v>
      </c>
      <c r="G752" s="2">
        <f>IFERROR(
    IF(
        IFERROR(DATEVALUE(Raw_Data!G752), Raw_Data!G752) &lt;
        IFERROR(DATEVALUE(Raw_Data!F752), Raw_Data!F752),
        IFERROR(DATEVALUE(Raw_Data!F752), Raw_Data!F752) + 30,
        IFERROR(DATEVALUE(Raw_Data!G752), Raw_Data!G752)
    ),
    ""
)</f>
        <v>45667</v>
      </c>
      <c r="H752">
        <f>IFERROR(VALUE(Raw_Data!H752), "")</f>
        <v>1000</v>
      </c>
      <c r="I752">
        <f ca="1">IFERROR(VALUE(Raw_Data!I752), "")</f>
        <v>6000</v>
      </c>
      <c r="J752">
        <f>IFERROR(
    VALUE(SUBSTITUTE(Raw_Data!J752," visits","")),
    ""
)</f>
        <v>10</v>
      </c>
      <c r="K752" t="str">
        <f ca="1">IF(TRIM(Raw_Data!K752)="","No",PROPER(TRIM(Raw_Data!K752)))</f>
        <v>Yes</v>
      </c>
      <c r="L752" t="str">
        <f ca="1">PROPER(TRIM(Raw_Data!L752))</f>
        <v>General Fitness</v>
      </c>
      <c r="M752" t="s">
        <v>151</v>
      </c>
      <c r="N752" s="2">
        <f>IFERROR(DATEVALUE(Raw_Data!N752), Raw_Data!N752)</f>
        <v>45745</v>
      </c>
      <c r="O752" s="2"/>
      <c r="P752" t="str">
        <f>IF(COUNTIF($A$2:A752,A752)&gt;1,"Duplicate","Unique")</f>
        <v>Unique</v>
      </c>
      <c r="Q752" t="str">
        <f t="shared" si="22"/>
        <v>OK</v>
      </c>
      <c r="R752" t="str">
        <f t="shared" si="23"/>
        <v>Available</v>
      </c>
    </row>
    <row r="753" spans="1:18">
      <c r="A753" t="str">
        <f>TRIM(CLEAN(Raw_Data!A753))</f>
        <v>MEM0752</v>
      </c>
      <c r="B753" t="str">
        <f ca="1">TRIM(Raw_Data!B753)</f>
        <v>Ayesha Fernandes</v>
      </c>
      <c r="C753" t="str">
        <f ca="1">_xlfn.XLOOKUP(D753, Branch_Master!A:A, Branch_Master!B:B)</f>
        <v>Hyderabad</v>
      </c>
      <c r="D753" t="str">
        <f ca="1">TRIM(Raw_Data!D753)</f>
        <v>BR04</v>
      </c>
      <c r="E753" t="str">
        <f ca="1">PROPER(TRIM(Raw_Data!E753))</f>
        <v>Basic</v>
      </c>
      <c r="F753" s="2">
        <f>IFERROR(DATEVALUE(Raw_Data!F753), Raw_Data!F753)</f>
        <v>45371</v>
      </c>
      <c r="G753" s="2">
        <f>IFERROR(
    IF(
        IFERROR(DATEVALUE(Raw_Data!G753), Raw_Data!G753) &lt;
        IFERROR(DATEVALUE(Raw_Data!F753), Raw_Data!F753),
        IFERROR(DATEVALUE(Raw_Data!F753), Raw_Data!F753) + 30,
        IFERROR(DATEVALUE(Raw_Data!G753), Raw_Data!G753)
    ),
    ""
)</f>
        <v>45401</v>
      </c>
      <c r="H753">
        <f>IFERROR(VALUE(Raw_Data!H753), "")</f>
        <v>1000</v>
      </c>
      <c r="I753">
        <f ca="1">IFERROR(VALUE(Raw_Data!I753), "")</f>
        <v>1000</v>
      </c>
      <c r="J753">
        <f>IFERROR(
    VALUE(SUBSTITUTE(Raw_Data!J753," visits","")),
    ""
)</f>
        <v>16</v>
      </c>
      <c r="K753" t="str">
        <f ca="1">IF(TRIM(Raw_Data!K753)="","No",PROPER(TRIM(Raw_Data!K753)))</f>
        <v>No</v>
      </c>
      <c r="L753" t="str">
        <f ca="1">PROPER(TRIM(Raw_Data!L753))</f>
        <v>Muscle Gain</v>
      </c>
      <c r="M753" t="s">
        <v>151</v>
      </c>
      <c r="N753" s="2">
        <f>IFERROR(DATEVALUE(Raw_Data!N753), Raw_Data!N753)</f>
        <v>46070</v>
      </c>
      <c r="O753" s="2"/>
      <c r="P753" t="str">
        <f>IF(COUNTIF($A$2:A753,A753)&gt;1,"Duplicate","Unique")</f>
        <v>Unique</v>
      </c>
      <c r="Q753" t="str">
        <f t="shared" si="22"/>
        <v>OK</v>
      </c>
      <c r="R753" t="str">
        <f t="shared" si="23"/>
        <v>Available</v>
      </c>
    </row>
    <row r="754" spans="1:18">
      <c r="A754" t="str">
        <f>TRIM(CLEAN(Raw_Data!A754))</f>
        <v>MEM0753</v>
      </c>
      <c r="B754" t="str">
        <f ca="1">TRIM(Raw_Data!B754)</f>
        <v>Arjun Lewis</v>
      </c>
      <c r="C754" t="str">
        <f ca="1">_xlfn.XLOOKUP(D754, Branch_Master!A:A, Branch_Master!B:B)</f>
        <v>Mumbai</v>
      </c>
      <c r="D754" t="str">
        <f ca="1">TRIM(Raw_Data!D754)</f>
        <v>BR05</v>
      </c>
      <c r="E754" t="str">
        <f ca="1">PROPER(TRIM(Raw_Data!E754))</f>
        <v>Premium</v>
      </c>
      <c r="F754" s="2">
        <f>IFERROR(DATEVALUE(Raw_Data!F754), Raw_Data!F754)</f>
        <v>45986</v>
      </c>
      <c r="G754" s="2">
        <f>IFERROR(
    IF(
        IFERROR(DATEVALUE(Raw_Data!G754), Raw_Data!G754) &lt;
        IFERROR(DATEVALUE(Raw_Data!F754), Raw_Data!F754),
        IFERROR(DATEVALUE(Raw_Data!F754), Raw_Data!F754) + 30,
        IFERROR(DATEVALUE(Raw_Data!G754), Raw_Data!G754)
    ),
    ""
)</f>
        <v>46016</v>
      </c>
      <c r="H754">
        <f>IFERROR(VALUE(Raw_Data!H754), "")</f>
        <v>2000</v>
      </c>
      <c r="I754">
        <f ca="1">IFERROR(VALUE(Raw_Data!I754), "")</f>
        <v>18000</v>
      </c>
      <c r="J754">
        <f>IFERROR(
    VALUE(SUBSTITUTE(Raw_Data!J754," visits","")),
    ""
)</f>
        <v>24</v>
      </c>
      <c r="K754" t="str">
        <f ca="1">IF(TRIM(Raw_Data!K754)="","No",PROPER(TRIM(Raw_Data!K754)))</f>
        <v>Yes</v>
      </c>
      <c r="L754" t="str">
        <f ca="1">PROPER(TRIM(Raw_Data!L754))</f>
        <v>Muscle Gain</v>
      </c>
      <c r="M754" t="s">
        <v>151</v>
      </c>
      <c r="N754" s="2">
        <f>IFERROR(DATEVALUE(Raw_Data!N754), Raw_Data!N754)</f>
        <v>46069</v>
      </c>
      <c r="O754" s="2"/>
      <c r="P754" t="str">
        <f>IF(COUNTIF($A$2:A754,A754)&gt;1,"Duplicate","Unique")</f>
        <v>Unique</v>
      </c>
      <c r="Q754" t="str">
        <f t="shared" si="22"/>
        <v>OK</v>
      </c>
      <c r="R754" t="str">
        <f t="shared" si="23"/>
        <v>Available</v>
      </c>
    </row>
    <row r="755" spans="1:18">
      <c r="A755" t="str">
        <f>TRIM(CLEAN(Raw_Data!A755))</f>
        <v>MEM0754</v>
      </c>
      <c r="B755" t="str">
        <f ca="1">TRIM(Raw_Data!B755)</f>
        <v>Anjali Malhotra</v>
      </c>
      <c r="C755" t="str">
        <f ca="1">_xlfn.XLOOKUP(D755, Branch_Master!A:A, Branch_Master!B:B)</f>
        <v>Chennai</v>
      </c>
      <c r="D755" t="str">
        <f ca="1">TRIM(Raw_Data!D755)</f>
        <v>BR03</v>
      </c>
      <c r="E755" t="str">
        <f ca="1">PROPER(TRIM(Raw_Data!E755))</f>
        <v>Premium</v>
      </c>
      <c r="F755" s="2">
        <f>IFERROR(DATEVALUE(Raw_Data!F755), Raw_Data!F755)</f>
        <v>45722</v>
      </c>
      <c r="G755" s="2">
        <f>IFERROR(
    IF(
        IFERROR(DATEVALUE(Raw_Data!G755), Raw_Data!G755) &lt;
        IFERROR(DATEVALUE(Raw_Data!F755), Raw_Data!F755),
        IFERROR(DATEVALUE(Raw_Data!F755), Raw_Data!F755) + 30,
        IFERROR(DATEVALUE(Raw_Data!G755), Raw_Data!G755)
    ),
    ""
)</f>
        <v>45752</v>
      </c>
      <c r="H755">
        <f>IFERROR(VALUE(Raw_Data!H755), "")</f>
        <v>1000</v>
      </c>
      <c r="I755">
        <f ca="1">IFERROR(VALUE(Raw_Data!I755), "")</f>
        <v>8000</v>
      </c>
      <c r="J755">
        <f>IFERROR(
    VALUE(SUBSTITUTE(Raw_Data!J755," visits","")),
    ""
)</f>
        <v>11</v>
      </c>
      <c r="K755" t="str">
        <f ca="1">IF(TRIM(Raw_Data!K755)="","No",PROPER(TRIM(Raw_Data!K755)))</f>
        <v>No</v>
      </c>
      <c r="L755" t="str">
        <f ca="1">PROPER(TRIM(Raw_Data!L755))</f>
        <v>General Fitness</v>
      </c>
      <c r="M755" t="s">
        <v>151</v>
      </c>
      <c r="N755" s="2">
        <f>IFERROR(DATEVALUE(Raw_Data!N755), Raw_Data!N755)</f>
        <v>45837</v>
      </c>
      <c r="O755" s="2"/>
      <c r="P755" t="str">
        <f>IF(COUNTIF($A$2:A755,A755)&gt;1,"Duplicate","Unique")</f>
        <v>Unique</v>
      </c>
      <c r="Q755" t="str">
        <f t="shared" si="22"/>
        <v>OK</v>
      </c>
      <c r="R755" t="str">
        <f t="shared" si="23"/>
        <v>Available</v>
      </c>
    </row>
    <row r="756" spans="1:18">
      <c r="A756" t="str">
        <f>TRIM(CLEAN(Raw_Data!A756))</f>
        <v>MEM0755</v>
      </c>
      <c r="B756" t="str">
        <f ca="1">TRIM(Raw_Data!B756)</f>
        <v>Ayesha Reddy</v>
      </c>
      <c r="C756" t="str">
        <f ca="1">_xlfn.XLOOKUP(D756, Branch_Master!A:A, Branch_Master!B:B)</f>
        <v>Kochi</v>
      </c>
      <c r="D756" t="str">
        <f ca="1">TRIM(Raw_Data!D756)</f>
        <v>BR01</v>
      </c>
      <c r="E756" t="str">
        <f ca="1">PROPER(TRIM(Raw_Data!E756))</f>
        <v>Premium</v>
      </c>
      <c r="F756" s="2">
        <f>IFERROR(DATEVALUE(Raw_Data!F756), Raw_Data!F756)</f>
        <v>45466</v>
      </c>
      <c r="G756" s="2">
        <f>IFERROR(
    IF(
        IFERROR(DATEVALUE(Raw_Data!G756), Raw_Data!G756) &lt;
        IFERROR(DATEVALUE(Raw_Data!F756), Raw_Data!F756),
        IFERROR(DATEVALUE(Raw_Data!F756), Raw_Data!F756) + 30,
        IFERROR(DATEVALUE(Raw_Data!G756), Raw_Data!G756)
    ),
    ""
)</f>
        <v>45556</v>
      </c>
      <c r="H756">
        <f>IFERROR(VALUE(Raw_Data!H756), "")</f>
        <v>2000</v>
      </c>
      <c r="I756">
        <f ca="1">IFERROR(VALUE(Raw_Data!I756), "")</f>
        <v>18000</v>
      </c>
      <c r="J756">
        <f>IFERROR(
    VALUE(SUBSTITUTE(Raw_Data!J756," visits","")),
    ""
)</f>
        <v>9</v>
      </c>
      <c r="K756" t="str">
        <f ca="1">IF(TRIM(Raw_Data!K756)="","No",PROPER(TRIM(Raw_Data!K756)))</f>
        <v>No</v>
      </c>
      <c r="L756" t="str">
        <f ca="1">PROPER(TRIM(Raw_Data!L756))</f>
        <v>General Fitness</v>
      </c>
      <c r="M756" t="s">
        <v>151</v>
      </c>
      <c r="N756" s="2">
        <f>IFERROR(DATEVALUE(Raw_Data!N756), Raw_Data!N756)</f>
        <v>45768</v>
      </c>
      <c r="O756" s="2"/>
      <c r="P756" t="str">
        <f>IF(COUNTIF($A$2:A756,A756)&gt;1,"Duplicate","Unique")</f>
        <v>Unique</v>
      </c>
      <c r="Q756" t="str">
        <f t="shared" si="22"/>
        <v>OK</v>
      </c>
      <c r="R756" t="str">
        <f t="shared" si="23"/>
        <v>Available</v>
      </c>
    </row>
    <row r="757" spans="1:18">
      <c r="A757" t="str">
        <f>TRIM(CLEAN(Raw_Data!A757))</f>
        <v>MEM0756</v>
      </c>
      <c r="B757" t="str">
        <f ca="1">TRIM(Raw_Data!B757)</f>
        <v>Sanjay George</v>
      </c>
      <c r="C757" t="str">
        <f ca="1">_xlfn.XLOOKUP(D757, Branch_Master!A:A, Branch_Master!B:B)</f>
        <v>Bangalore</v>
      </c>
      <c r="D757" t="str">
        <f ca="1">TRIM(Raw_Data!D757)</f>
        <v>BR02</v>
      </c>
      <c r="E757" t="str">
        <f ca="1">PROPER(TRIM(Raw_Data!E757))</f>
        <v>Basic</v>
      </c>
      <c r="F757" s="2">
        <f>IFERROR(DATEVALUE(Raw_Data!F757), Raw_Data!F757)</f>
        <v>45117</v>
      </c>
      <c r="G757" s="2">
        <f>IFERROR(
    IF(
        IFERROR(DATEVALUE(Raw_Data!G757), Raw_Data!G757) &lt;
        IFERROR(DATEVALUE(Raw_Data!F757), Raw_Data!F757),
        IFERROR(DATEVALUE(Raw_Data!F757), Raw_Data!F757) + 30,
        IFERROR(DATEVALUE(Raw_Data!G757), Raw_Data!G757)
    ),
    ""
)</f>
        <v>45207</v>
      </c>
      <c r="H757">
        <f>IFERROR(VALUE(Raw_Data!H757), "")</f>
        <v>3500</v>
      </c>
      <c r="I757">
        <f ca="1">IFERROR(VALUE(Raw_Data!I757), "")</f>
        <v>3500</v>
      </c>
      <c r="J757">
        <f>IFERROR(
    VALUE(SUBSTITUTE(Raw_Data!J757," visits","")),
    ""
)</f>
        <v>24</v>
      </c>
      <c r="K757" t="str">
        <f ca="1">IF(TRIM(Raw_Data!K757)="","No",PROPER(TRIM(Raw_Data!K757)))</f>
        <v>No</v>
      </c>
      <c r="L757" t="str">
        <f ca="1">PROPER(TRIM(Raw_Data!L757))</f>
        <v>General Fitness</v>
      </c>
      <c r="M757" t="s">
        <v>151</v>
      </c>
      <c r="N757" s="2">
        <f>IFERROR(DATEVALUE(Raw_Data!N757), Raw_Data!N757)</f>
        <v>45562</v>
      </c>
      <c r="O757" s="2"/>
      <c r="P757" t="str">
        <f>IF(COUNTIF($A$2:A757,A757)&gt;1,"Duplicate","Unique")</f>
        <v>Unique</v>
      </c>
      <c r="Q757" t="str">
        <f t="shared" si="22"/>
        <v>OK</v>
      </c>
      <c r="R757" t="str">
        <f t="shared" si="23"/>
        <v>Available</v>
      </c>
    </row>
    <row r="758" spans="1:18">
      <c r="A758" t="str">
        <f>TRIM(CLEAN(Raw_Data!A758))</f>
        <v>MEM0757</v>
      </c>
      <c r="B758" t="str">
        <f ca="1">TRIM(Raw_Data!B758)</f>
        <v>Rahul Varghese</v>
      </c>
      <c r="C758" t="str">
        <f ca="1">_xlfn.XLOOKUP(D758, Branch_Master!A:A, Branch_Master!B:B)</f>
        <v>Hyderabad</v>
      </c>
      <c r="D758" t="str">
        <f ca="1">TRIM(Raw_Data!D758)</f>
        <v>BR04</v>
      </c>
      <c r="E758" t="str">
        <f ca="1">PROPER(TRIM(Raw_Data!E758))</f>
        <v>Standard</v>
      </c>
      <c r="F758" s="2">
        <f>IFERROR(DATEVALUE(Raw_Data!F758), Raw_Data!F758)</f>
        <v>45443</v>
      </c>
      <c r="G758" s="2">
        <f>IFERROR(
    IF(
        IFERROR(DATEVALUE(Raw_Data!G758), Raw_Data!G758) &lt;
        IFERROR(DATEVALUE(Raw_Data!F758), Raw_Data!F758),
        IFERROR(DATEVALUE(Raw_Data!F758), Raw_Data!F758) + 30,
        IFERROR(DATEVALUE(Raw_Data!G758), Raw_Data!G758)
    ),
    ""
)</f>
        <v>45808</v>
      </c>
      <c r="H758">
        <f>IFERROR(VALUE(Raw_Data!H758), "")</f>
        <v>3500</v>
      </c>
      <c r="I758">
        <f ca="1">IFERROR(VALUE(Raw_Data!I758), "")</f>
        <v>21000</v>
      </c>
      <c r="J758">
        <f>IFERROR(
    VALUE(SUBSTITUTE(Raw_Data!J758," visits","")),
    ""
)</f>
        <v>9</v>
      </c>
      <c r="K758" t="str">
        <f ca="1">IF(TRIM(Raw_Data!K758)="","No",PROPER(TRIM(Raw_Data!K758)))</f>
        <v>No</v>
      </c>
      <c r="L758" t="str">
        <f ca="1">PROPER(TRIM(Raw_Data!L758))</f>
        <v>Weight Loss</v>
      </c>
      <c r="M758" t="s">
        <v>151</v>
      </c>
      <c r="N758" s="2">
        <f>IFERROR(DATEVALUE(Raw_Data!N758), Raw_Data!N758)</f>
        <v>45607</v>
      </c>
      <c r="O758" s="2"/>
      <c r="P758" t="str">
        <f>IF(COUNTIF($A$2:A758,A758)&gt;1,"Duplicate","Unique")</f>
        <v>Unique</v>
      </c>
      <c r="Q758" t="str">
        <f t="shared" si="22"/>
        <v>OK</v>
      </c>
      <c r="R758" t="str">
        <f t="shared" si="23"/>
        <v>Available</v>
      </c>
    </row>
    <row r="759" spans="1:18">
      <c r="A759" t="str">
        <f>TRIM(CLEAN(Raw_Data!A759))</f>
        <v>MEM0758</v>
      </c>
      <c r="B759" t="str">
        <f ca="1">TRIM(Raw_Data!B759)</f>
        <v>Anjali Desai</v>
      </c>
      <c r="C759" t="str">
        <f ca="1">_xlfn.XLOOKUP(D759, Branch_Master!A:A, Branch_Master!B:B)</f>
        <v>Kochi</v>
      </c>
      <c r="D759" t="str">
        <f ca="1">TRIM(Raw_Data!D759)</f>
        <v>BR01</v>
      </c>
      <c r="E759" t="str">
        <f ca="1">PROPER(TRIM(Raw_Data!E759))</f>
        <v>Standard</v>
      </c>
      <c r="F759" s="2">
        <f>IFERROR(DATEVALUE(Raw_Data!F759), Raw_Data!F759)</f>
        <v>45091</v>
      </c>
      <c r="G759" s="2">
        <f>IFERROR(
    IF(
        IFERROR(DATEVALUE(Raw_Data!G759), Raw_Data!G759) &lt;
        IFERROR(DATEVALUE(Raw_Data!F759), Raw_Data!F759),
        IFERROR(DATEVALUE(Raw_Data!F759), Raw_Data!F759) + 30,
        IFERROR(DATEVALUE(Raw_Data!G759), Raw_Data!G759)
    ),
    ""
)</f>
        <v>45181</v>
      </c>
      <c r="H759">
        <f>IFERROR(VALUE(Raw_Data!H759), "")</f>
        <v>3500</v>
      </c>
      <c r="I759">
        <f ca="1">IFERROR(VALUE(Raw_Data!I759), "")</f>
        <v>21000</v>
      </c>
      <c r="J759">
        <f>IFERROR(
    VALUE(SUBSTITUTE(Raw_Data!J759," visits","")),
    ""
)</f>
        <v>6</v>
      </c>
      <c r="K759" t="str">
        <f ca="1">IF(TRIM(Raw_Data!K759)="","No",PROPER(TRIM(Raw_Data!K759)))</f>
        <v>Yes</v>
      </c>
      <c r="L759" t="str">
        <f ca="1">PROPER(TRIM(Raw_Data!L759))</f>
        <v>Weight Loss</v>
      </c>
      <c r="M759" t="s">
        <v>151</v>
      </c>
      <c r="N759" s="2">
        <f>IFERROR(DATEVALUE(Raw_Data!N759), Raw_Data!N759)</f>
        <v>46042</v>
      </c>
      <c r="O759" s="2"/>
      <c r="P759" t="str">
        <f>IF(COUNTIF($A$2:A759,A759)&gt;1,"Duplicate","Unique")</f>
        <v>Unique</v>
      </c>
      <c r="Q759" t="str">
        <f t="shared" si="22"/>
        <v>OK</v>
      </c>
      <c r="R759" t="str">
        <f t="shared" si="23"/>
        <v>Available</v>
      </c>
    </row>
    <row r="760" spans="1:18">
      <c r="A760" t="str">
        <f>TRIM(CLEAN(Raw_Data!A760))</f>
        <v>MEM0759</v>
      </c>
      <c r="B760" t="str">
        <f ca="1">TRIM(Raw_Data!B760)</f>
        <v>Fatima Shetty</v>
      </c>
      <c r="C760" t="str">
        <f ca="1">_xlfn.XLOOKUP(D760, Branch_Master!A:A, Branch_Master!B:B)</f>
        <v>Chennai</v>
      </c>
      <c r="D760" t="str">
        <f ca="1">TRIM(Raw_Data!D760)</f>
        <v>BR03</v>
      </c>
      <c r="E760" t="str">
        <f ca="1">PROPER(TRIM(Raw_Data!E760))</f>
        <v>Premium</v>
      </c>
      <c r="F760" s="2">
        <f>IFERROR(DATEVALUE(Raw_Data!F760), Raw_Data!F760)</f>
        <v>45220</v>
      </c>
      <c r="G760" s="2">
        <f>IFERROR(
    IF(
        IFERROR(DATEVALUE(Raw_Data!G760), Raw_Data!G760) &lt;
        IFERROR(DATEVALUE(Raw_Data!F760), Raw_Data!F760),
        IFERROR(DATEVALUE(Raw_Data!F760), Raw_Data!F760) + 30,
        IFERROR(DATEVALUE(Raw_Data!G760), Raw_Data!G760)
    ),
    ""
)</f>
        <v>45585</v>
      </c>
      <c r="H760">
        <f>IFERROR(VALUE(Raw_Data!H760), "")</f>
        <v>3500</v>
      </c>
      <c r="I760">
        <f ca="1">IFERROR(VALUE(Raw_Data!I760), "")</f>
        <v>35000</v>
      </c>
      <c r="J760">
        <f>IFERROR(
    VALUE(SUBSTITUTE(Raw_Data!J760," visits","")),
    ""
)</f>
        <v>11</v>
      </c>
      <c r="K760" t="str">
        <f ca="1">IF(TRIM(Raw_Data!K760)="","No",PROPER(TRIM(Raw_Data!K760)))</f>
        <v>No</v>
      </c>
      <c r="L760" t="str">
        <f ca="1">PROPER(TRIM(Raw_Data!L760))</f>
        <v>General Fitness</v>
      </c>
      <c r="M760" t="s">
        <v>151</v>
      </c>
      <c r="N760" s="2">
        <f>IFERROR(DATEVALUE(Raw_Data!N760), Raw_Data!N760)</f>
        <v>45525</v>
      </c>
      <c r="O760" s="2"/>
      <c r="P760" t="str">
        <f>IF(COUNTIF($A$2:A760,A760)&gt;1,"Duplicate","Unique")</f>
        <v>Unique</v>
      </c>
      <c r="Q760" t="str">
        <f t="shared" si="22"/>
        <v>OK</v>
      </c>
      <c r="R760" t="str">
        <f t="shared" si="23"/>
        <v>Available</v>
      </c>
    </row>
    <row r="761" spans="1:18">
      <c r="A761" t="str">
        <f>TRIM(CLEAN(Raw_Data!A761))</f>
        <v>MEM0760</v>
      </c>
      <c r="B761" t="str">
        <f ca="1">TRIM(Raw_Data!B761)</f>
        <v>Ayesha Chatterjee</v>
      </c>
      <c r="C761" t="str">
        <f ca="1">_xlfn.XLOOKUP(D761, Branch_Master!A:A, Branch_Master!B:B)</f>
        <v>Mumbai</v>
      </c>
      <c r="D761" t="str">
        <f ca="1">TRIM(Raw_Data!D761)</f>
        <v>BR05</v>
      </c>
      <c r="E761" t="str">
        <f ca="1">PROPER(TRIM(Raw_Data!E761))</f>
        <v>Basic</v>
      </c>
      <c r="F761" s="2">
        <f>IFERROR(DATEVALUE(Raw_Data!F761), Raw_Data!F761)</f>
        <v>45234</v>
      </c>
      <c r="G761" s="2">
        <f>IFERROR(
    IF(
        IFERROR(DATEVALUE(Raw_Data!G761), Raw_Data!G761) &lt;
        IFERROR(DATEVALUE(Raw_Data!F761), Raw_Data!F761),
        IFERROR(DATEVALUE(Raw_Data!F761), Raw_Data!F761) + 30,
        IFERROR(DATEVALUE(Raw_Data!G761), Raw_Data!G761)
    ),
    ""
)</f>
        <v>45264</v>
      </c>
      <c r="H761">
        <f>IFERROR(VALUE(Raw_Data!H761), "")</f>
        <v>3500</v>
      </c>
      <c r="I761">
        <f ca="1">IFERROR(VALUE(Raw_Data!I761), "")</f>
        <v>31500</v>
      </c>
      <c r="J761">
        <f>IFERROR(
    VALUE(SUBSTITUTE(Raw_Data!J761," visits","")),
    ""
)</f>
        <v>18</v>
      </c>
      <c r="K761" t="str">
        <f ca="1">IF(TRIM(Raw_Data!K761)="","No",PROPER(TRIM(Raw_Data!K761)))</f>
        <v>No</v>
      </c>
      <c r="L761" t="str">
        <f ca="1">PROPER(TRIM(Raw_Data!L761))</f>
        <v>General Fitness</v>
      </c>
      <c r="M761" t="s">
        <v>151</v>
      </c>
      <c r="N761" s="2">
        <f>IFERROR(DATEVALUE(Raw_Data!N761), Raw_Data!N761)</f>
        <v>46050</v>
      </c>
      <c r="O761" s="2"/>
      <c r="P761" t="str">
        <f>IF(COUNTIF($A$2:A761,A761)&gt;1,"Duplicate","Unique")</f>
        <v>Unique</v>
      </c>
      <c r="Q761" t="str">
        <f t="shared" si="22"/>
        <v>OK</v>
      </c>
      <c r="R761" t="str">
        <f t="shared" si="23"/>
        <v>Available</v>
      </c>
    </row>
    <row r="762" spans="1:18">
      <c r="A762" t="str">
        <f>TRIM(CLEAN(Raw_Data!A762))</f>
        <v>MEM0761</v>
      </c>
      <c r="B762" t="str">
        <f ca="1">TRIM(Raw_Data!B762)</f>
        <v>Akash Lewis</v>
      </c>
      <c r="C762" t="str">
        <f ca="1">_xlfn.XLOOKUP(D762, Branch_Master!A:A, Branch_Master!B:B)</f>
        <v>Kochi</v>
      </c>
      <c r="D762" t="str">
        <f ca="1">TRIM(Raw_Data!D762)</f>
        <v>BR01</v>
      </c>
      <c r="E762" t="str">
        <f ca="1">PROPER(TRIM(Raw_Data!E762))</f>
        <v>Standard</v>
      </c>
      <c r="F762" s="2">
        <f>IFERROR(DATEVALUE(Raw_Data!F762), Raw_Data!F762)</f>
        <v>45604</v>
      </c>
      <c r="G762" s="2">
        <f>IFERROR(
    IF(
        IFERROR(DATEVALUE(Raw_Data!G762), Raw_Data!G762) &lt;
        IFERROR(DATEVALUE(Raw_Data!F762), Raw_Data!F762),
        IFERROR(DATEVALUE(Raw_Data!F762), Raw_Data!F762) + 30,
        IFERROR(DATEVALUE(Raw_Data!G762), Raw_Data!G762)
    ),
    ""
)</f>
        <v>45694</v>
      </c>
      <c r="H762">
        <f>IFERROR(VALUE(Raw_Data!H762), "")</f>
        <v>1000</v>
      </c>
      <c r="I762">
        <f ca="1">IFERROR(VALUE(Raw_Data!I762), "")</f>
        <v>10000</v>
      </c>
      <c r="J762">
        <f>IFERROR(
    VALUE(SUBSTITUTE(Raw_Data!J762," visits","")),
    ""
)</f>
        <v>11</v>
      </c>
      <c r="K762" t="str">
        <f ca="1">IF(TRIM(Raw_Data!K762)="","No",PROPER(TRIM(Raw_Data!K762)))</f>
        <v>No</v>
      </c>
      <c r="L762" t="str">
        <f ca="1">PROPER(TRIM(Raw_Data!L762))</f>
        <v>Muscle Gain</v>
      </c>
      <c r="M762" t="s">
        <v>151</v>
      </c>
      <c r="N762" s="2">
        <f>IFERROR(DATEVALUE(Raw_Data!N762), Raw_Data!N762)</f>
        <v>46110</v>
      </c>
      <c r="O762" s="2"/>
      <c r="P762" t="str">
        <f>IF(COUNTIF($A$2:A762,A762)&gt;1,"Duplicate","Unique")</f>
        <v>Unique</v>
      </c>
      <c r="Q762" t="str">
        <f t="shared" si="22"/>
        <v>OK</v>
      </c>
      <c r="R762" t="str">
        <f t="shared" si="23"/>
        <v>Available</v>
      </c>
    </row>
    <row r="763" spans="1:18">
      <c r="A763" t="str">
        <f>TRIM(CLEAN(Raw_Data!A763))</f>
        <v>MEM0762</v>
      </c>
      <c r="B763" t="str">
        <f ca="1">TRIM(Raw_Data!B763)</f>
        <v>Tanvi Reddy</v>
      </c>
      <c r="C763" t="str">
        <f ca="1">_xlfn.XLOOKUP(D763, Branch_Master!A:A, Branch_Master!B:B)</f>
        <v>Trivandrum</v>
      </c>
      <c r="D763" t="str">
        <f ca="1">TRIM(Raw_Data!D763)</f>
        <v>BR06</v>
      </c>
      <c r="E763" t="str">
        <f ca="1">PROPER(TRIM(Raw_Data!E763))</f>
        <v>Premium</v>
      </c>
      <c r="F763" s="2">
        <f>IFERROR(DATEVALUE(Raw_Data!F763), Raw_Data!F763)</f>
        <v>45509</v>
      </c>
      <c r="G763" s="2">
        <f>IFERROR(
    IF(
        IFERROR(DATEVALUE(Raw_Data!G763), Raw_Data!G763) &lt;
        IFERROR(DATEVALUE(Raw_Data!F763), Raw_Data!F763),
        IFERROR(DATEVALUE(Raw_Data!F763), Raw_Data!F763) + 30,
        IFERROR(DATEVALUE(Raw_Data!G763), Raw_Data!G763)
    ),
    ""
)</f>
        <v>45874</v>
      </c>
      <c r="H763">
        <f>IFERROR(VALUE(Raw_Data!H763), "")</f>
        <v>1000</v>
      </c>
      <c r="I763">
        <f ca="1">IFERROR(VALUE(Raw_Data!I763), "")</f>
        <v>12000</v>
      </c>
      <c r="J763">
        <f>IFERROR(
    VALUE(SUBSTITUTE(Raw_Data!J763," visits","")),
    ""
)</f>
        <v>3</v>
      </c>
      <c r="K763" t="str">
        <f ca="1">IF(TRIM(Raw_Data!K763)="","No",PROPER(TRIM(Raw_Data!K763)))</f>
        <v>No</v>
      </c>
      <c r="L763" t="str">
        <f ca="1">PROPER(TRIM(Raw_Data!L763))</f>
        <v>Weight Loss</v>
      </c>
      <c r="M763" t="s">
        <v>152</v>
      </c>
      <c r="N763" s="2">
        <f>IFERROR(DATEVALUE(Raw_Data!N763), Raw_Data!N763)</f>
        <v>45541</v>
      </c>
      <c r="O763" s="2"/>
      <c r="P763" t="str">
        <f>IF(COUNTIF($A$2:A763,A763)&gt;1,"Duplicate","Unique")</f>
        <v>Unique</v>
      </c>
      <c r="Q763" t="str">
        <f t="shared" si="22"/>
        <v>Cancelled but Active</v>
      </c>
      <c r="R763" t="str">
        <f t="shared" si="23"/>
        <v>Available</v>
      </c>
    </row>
    <row r="764" spans="1:18">
      <c r="A764" t="str">
        <f>TRIM(CLEAN(Raw_Data!A764))</f>
        <v>MEM0763</v>
      </c>
      <c r="B764" t="str">
        <f ca="1">TRIM(Raw_Data!B764)</f>
        <v>Harish Singh</v>
      </c>
      <c r="C764" t="str">
        <f ca="1">_xlfn.XLOOKUP(D764, Branch_Master!A:A, Branch_Master!B:B)</f>
        <v>Calicut</v>
      </c>
      <c r="D764" t="str">
        <f ca="1">TRIM(Raw_Data!D764)</f>
        <v>BR07</v>
      </c>
      <c r="E764" t="str">
        <f ca="1">PROPER(TRIM(Raw_Data!E764))</f>
        <v>Standard</v>
      </c>
      <c r="F764" s="2">
        <f>IFERROR(DATEVALUE(Raw_Data!F764), Raw_Data!F764)</f>
        <v>44953</v>
      </c>
      <c r="G764" s="2">
        <f>IFERROR(
    IF(
        IFERROR(DATEVALUE(Raw_Data!G764), Raw_Data!G764) &lt;
        IFERROR(DATEVALUE(Raw_Data!F764), Raw_Data!F764),
        IFERROR(DATEVALUE(Raw_Data!F764), Raw_Data!F764) + 30,
        IFERROR(DATEVALUE(Raw_Data!G764), Raw_Data!G764)
    ),
    ""
)</f>
        <v>45043</v>
      </c>
      <c r="H764">
        <f>IFERROR(VALUE(Raw_Data!H764), "")</f>
        <v>2000</v>
      </c>
      <c r="I764">
        <f ca="1">IFERROR(VALUE(Raw_Data!I764), "")</f>
        <v>12000</v>
      </c>
      <c r="J764">
        <f>IFERROR(
    VALUE(SUBSTITUTE(Raw_Data!J764," visits","")),
    ""
)</f>
        <v>5</v>
      </c>
      <c r="K764" t="str">
        <f ca="1">IF(TRIM(Raw_Data!K764)="","No",PROPER(TRIM(Raw_Data!K764)))</f>
        <v>No</v>
      </c>
      <c r="L764" t="str">
        <f ca="1">PROPER(TRIM(Raw_Data!L764))</f>
        <v>Muscle Gain</v>
      </c>
      <c r="M764" t="s">
        <v>152</v>
      </c>
      <c r="N764" s="2">
        <f>IFERROR(DATEVALUE(Raw_Data!N764), Raw_Data!N764)</f>
        <v>45030</v>
      </c>
      <c r="O764" s="2"/>
      <c r="P764" t="str">
        <f>IF(COUNTIF($A$2:A764,A764)&gt;1,"Duplicate","Unique")</f>
        <v>Unique</v>
      </c>
      <c r="Q764" t="str">
        <f t="shared" si="22"/>
        <v>Cancelled but Active</v>
      </c>
      <c r="R764" t="str">
        <f t="shared" si="23"/>
        <v>Available</v>
      </c>
    </row>
    <row r="765" spans="1:18">
      <c r="A765" t="str">
        <f>TRIM(CLEAN(Raw_Data!A765))</f>
        <v>MEM0764</v>
      </c>
      <c r="B765" t="str">
        <f ca="1">TRIM(Raw_Data!B765)</f>
        <v>Anu Singh</v>
      </c>
      <c r="C765" t="str">
        <f ca="1">_xlfn.XLOOKUP(D765, Branch_Master!A:A, Branch_Master!B:B)</f>
        <v>Bangalore</v>
      </c>
      <c r="D765" t="str">
        <f ca="1">TRIM(Raw_Data!D765)</f>
        <v>BR02</v>
      </c>
      <c r="E765" t="str">
        <f ca="1">PROPER(TRIM(Raw_Data!E765))</f>
        <v>Basic</v>
      </c>
      <c r="F765" s="2">
        <f>IFERROR(DATEVALUE(Raw_Data!F765), Raw_Data!F765)</f>
        <v>45127</v>
      </c>
      <c r="G765" s="2">
        <f>IFERROR(
    IF(
        IFERROR(DATEVALUE(Raw_Data!G765), Raw_Data!G765) &lt;
        IFERROR(DATEVALUE(Raw_Data!F765), Raw_Data!F765),
        IFERROR(DATEVALUE(Raw_Data!F765), Raw_Data!F765) + 30,
        IFERROR(DATEVALUE(Raw_Data!G765), Raw_Data!G765)
    ),
    ""
)</f>
        <v>45217</v>
      </c>
      <c r="H765">
        <f>IFERROR(VALUE(Raw_Data!H765), "")</f>
        <v>2000</v>
      </c>
      <c r="I765">
        <f ca="1">IFERROR(VALUE(Raw_Data!I765), "")</f>
        <v>10000</v>
      </c>
      <c r="J765">
        <f>IFERROR(
    VALUE(SUBSTITUTE(Raw_Data!J765," visits","")),
    ""
)</f>
        <v>16</v>
      </c>
      <c r="K765" t="str">
        <f ca="1">IF(TRIM(Raw_Data!K765)="","No",PROPER(TRIM(Raw_Data!K765)))</f>
        <v>Yes</v>
      </c>
      <c r="L765" t="str">
        <f ca="1">PROPER(TRIM(Raw_Data!L765))</f>
        <v>Weight Loss</v>
      </c>
      <c r="M765" t="s">
        <v>151</v>
      </c>
      <c r="N765" s="2">
        <f>IFERROR(DATEVALUE(Raw_Data!N765), Raw_Data!N765)</f>
        <v>45819</v>
      </c>
      <c r="O765" s="2"/>
      <c r="P765" t="str">
        <f>IF(COUNTIF($A$2:A765,A765)&gt;1,"Duplicate","Unique")</f>
        <v>Unique</v>
      </c>
      <c r="Q765" t="str">
        <f t="shared" si="22"/>
        <v>OK</v>
      </c>
      <c r="R765" t="str">
        <f t="shared" si="23"/>
        <v>Available</v>
      </c>
    </row>
    <row r="766" spans="1:18">
      <c r="A766" t="str">
        <f>TRIM(CLEAN(Raw_Data!A766))</f>
        <v>MEM0765</v>
      </c>
      <c r="B766" t="str">
        <f ca="1">TRIM(Raw_Data!B766)</f>
        <v>Nikhil Pillai</v>
      </c>
      <c r="C766" t="str">
        <f ca="1">_xlfn.XLOOKUP(D766, Branch_Master!A:A, Branch_Master!B:B)</f>
        <v>Chennai</v>
      </c>
      <c r="D766" t="str">
        <f ca="1">TRIM(Raw_Data!D766)</f>
        <v>BR03</v>
      </c>
      <c r="E766" t="str">
        <f ca="1">PROPER(TRIM(Raw_Data!E766))</f>
        <v>Premium</v>
      </c>
      <c r="F766" s="2">
        <f>IFERROR(DATEVALUE(Raw_Data!F766), Raw_Data!F766)</f>
        <v>45587</v>
      </c>
      <c r="G766" s="2">
        <f>IFERROR(
    IF(
        IFERROR(DATEVALUE(Raw_Data!G766), Raw_Data!G766) &lt;
        IFERROR(DATEVALUE(Raw_Data!F766), Raw_Data!F766),
        IFERROR(DATEVALUE(Raw_Data!F766), Raw_Data!F766) + 30,
        IFERROR(DATEVALUE(Raw_Data!G766), Raw_Data!G766)
    ),
    ""
)</f>
        <v>45952</v>
      </c>
      <c r="H766">
        <f>IFERROR(VALUE(Raw_Data!H766), "")</f>
        <v>3500</v>
      </c>
      <c r="I766">
        <f ca="1">IFERROR(VALUE(Raw_Data!I766), "")</f>
        <v>7000</v>
      </c>
      <c r="J766">
        <f>IFERROR(
    VALUE(SUBSTITUTE(Raw_Data!J766," visits","")),
    ""
)</f>
        <v>13</v>
      </c>
      <c r="K766" t="str">
        <f ca="1">IF(TRIM(Raw_Data!K766)="","No",PROPER(TRIM(Raw_Data!K766)))</f>
        <v>No</v>
      </c>
      <c r="L766" t="str">
        <f ca="1">PROPER(TRIM(Raw_Data!L766))</f>
        <v>Weight Loss</v>
      </c>
      <c r="M766" t="s">
        <v>151</v>
      </c>
      <c r="N766" s="2">
        <f>IFERROR(DATEVALUE(Raw_Data!N766), Raw_Data!N766)</f>
        <v>45705</v>
      </c>
      <c r="O766" s="2"/>
      <c r="P766" t="str">
        <f>IF(COUNTIF($A$2:A766,A766)&gt;1,"Duplicate","Unique")</f>
        <v>Unique</v>
      </c>
      <c r="Q766" t="str">
        <f t="shared" si="22"/>
        <v>OK</v>
      </c>
      <c r="R766" t="str">
        <f t="shared" si="23"/>
        <v>Available</v>
      </c>
    </row>
    <row r="767" spans="1:18">
      <c r="A767" t="str">
        <f>TRIM(CLEAN(Raw_Data!A767))</f>
        <v>MEM0766</v>
      </c>
      <c r="B767" t="str">
        <f ca="1">TRIM(Raw_Data!B767)</f>
        <v>Rahul Joshi</v>
      </c>
      <c r="C767" t="str">
        <f ca="1">_xlfn.XLOOKUP(D767, Branch_Master!A:A, Branch_Master!B:B)</f>
        <v>Bangalore</v>
      </c>
      <c r="D767" t="str">
        <f ca="1">TRIM(Raw_Data!D767)</f>
        <v>BR02</v>
      </c>
      <c r="E767" t="str">
        <f ca="1">PROPER(TRIM(Raw_Data!E767))</f>
        <v>Basic</v>
      </c>
      <c r="F767" s="2">
        <f>IFERROR(DATEVALUE(Raw_Data!F767), Raw_Data!F767)</f>
        <v>45178</v>
      </c>
      <c r="G767" s="2">
        <f>IFERROR(
    IF(
        IFERROR(DATEVALUE(Raw_Data!G767), Raw_Data!G767) &lt;
        IFERROR(DATEVALUE(Raw_Data!F767), Raw_Data!F767),
        IFERROR(DATEVALUE(Raw_Data!F767), Raw_Data!F767) + 30,
        IFERROR(DATEVALUE(Raw_Data!G767), Raw_Data!G767)
    ),
    ""
)</f>
        <v>45208</v>
      </c>
      <c r="H767">
        <f>IFERROR(VALUE(Raw_Data!H767), "")</f>
        <v>1000</v>
      </c>
      <c r="I767">
        <f ca="1">IFERROR(VALUE(Raw_Data!I767), "")</f>
        <v>1000</v>
      </c>
      <c r="J767">
        <f>IFERROR(
    VALUE(SUBSTITUTE(Raw_Data!J767," visits","")),
    ""
)</f>
        <v>9</v>
      </c>
      <c r="K767" t="str">
        <f ca="1">IF(TRIM(Raw_Data!K767)="","No",PROPER(TRIM(Raw_Data!K767)))</f>
        <v>No</v>
      </c>
      <c r="L767" t="str">
        <f ca="1">PROPER(TRIM(Raw_Data!L767))</f>
        <v>General Fitness</v>
      </c>
      <c r="M767" t="s">
        <v>152</v>
      </c>
      <c r="N767" s="2">
        <f>IFERROR(DATEVALUE(Raw_Data!N767), Raw_Data!N767)</f>
        <v>45337</v>
      </c>
      <c r="O767" s="2"/>
      <c r="P767" t="str">
        <f>IF(COUNTIF($A$2:A767,A767)&gt;1,"Duplicate","Unique")</f>
        <v>Unique</v>
      </c>
      <c r="Q767" t="str">
        <f t="shared" si="22"/>
        <v>Cancelled but Active</v>
      </c>
      <c r="R767" t="str">
        <f t="shared" si="23"/>
        <v>Available</v>
      </c>
    </row>
    <row r="768" spans="1:18">
      <c r="A768" t="str">
        <f>TRIM(CLEAN(Raw_Data!A768))</f>
        <v>MEM0767</v>
      </c>
      <c r="B768" t="str">
        <f ca="1">TRIM(Raw_Data!B768)</f>
        <v>Sanjay Chatterjee</v>
      </c>
      <c r="C768" t="str">
        <f ca="1">_xlfn.XLOOKUP(D768, Branch_Master!A:A, Branch_Master!B:B)</f>
        <v>Chennai</v>
      </c>
      <c r="D768" t="str">
        <f ca="1">TRIM(Raw_Data!D768)</f>
        <v>BR03</v>
      </c>
      <c r="E768" t="str">
        <f ca="1">PROPER(TRIM(Raw_Data!E768))</f>
        <v>Standard</v>
      </c>
      <c r="F768" s="2">
        <f>IFERROR(DATEVALUE(Raw_Data!F768), Raw_Data!F768)</f>
        <v>45022</v>
      </c>
      <c r="G768" s="2">
        <f>IFERROR(
    IF(
        IFERROR(DATEVALUE(Raw_Data!G768), Raw_Data!G768) &lt;
        IFERROR(DATEVALUE(Raw_Data!F768), Raw_Data!F768),
        IFERROR(DATEVALUE(Raw_Data!F768), Raw_Data!F768) + 30,
        IFERROR(DATEVALUE(Raw_Data!G768), Raw_Data!G768)
    ),
    ""
)</f>
        <v>45387</v>
      </c>
      <c r="H768">
        <f>IFERROR(VALUE(Raw_Data!H768), "")</f>
        <v>3500</v>
      </c>
      <c r="I768">
        <f ca="1">IFERROR(VALUE(Raw_Data!I768), "")</f>
        <v>14000</v>
      </c>
      <c r="J768">
        <f>IFERROR(
    VALUE(SUBSTITUTE(Raw_Data!J768," visits","")),
    ""
)</f>
        <v>5</v>
      </c>
      <c r="K768" t="str">
        <f ca="1">IF(TRIM(Raw_Data!K768)="","No",PROPER(TRIM(Raw_Data!K768)))</f>
        <v>No</v>
      </c>
      <c r="L768" t="str">
        <f ca="1">PROPER(TRIM(Raw_Data!L768))</f>
        <v>General Fitness</v>
      </c>
      <c r="M768" t="s">
        <v>151</v>
      </c>
      <c r="N768" s="2">
        <f>IFERROR(DATEVALUE(Raw_Data!N768), Raw_Data!N768)</f>
        <v>45940</v>
      </c>
      <c r="O768" s="2"/>
      <c r="P768" t="str">
        <f>IF(COUNTIF($A$2:A768,A768)&gt;1,"Duplicate","Unique")</f>
        <v>Unique</v>
      </c>
      <c r="Q768" t="str">
        <f t="shared" si="22"/>
        <v>OK</v>
      </c>
      <c r="R768" t="str">
        <f t="shared" si="23"/>
        <v>Available</v>
      </c>
    </row>
    <row r="769" spans="1:18">
      <c r="A769" t="str">
        <f>TRIM(CLEAN(Raw_Data!A769))</f>
        <v>MEM0768</v>
      </c>
      <c r="B769" t="str">
        <f ca="1">TRIM(Raw_Data!B769)</f>
        <v>Karthik Khan</v>
      </c>
      <c r="C769" t="str">
        <f ca="1">_xlfn.XLOOKUP(D769, Branch_Master!A:A, Branch_Master!B:B)</f>
        <v>Mumbai</v>
      </c>
      <c r="D769" t="str">
        <f ca="1">TRIM(Raw_Data!D769)</f>
        <v>BR05</v>
      </c>
      <c r="E769" t="str">
        <f ca="1">PROPER(TRIM(Raw_Data!E769))</f>
        <v>Basic</v>
      </c>
      <c r="F769" s="2">
        <f>IFERROR(DATEVALUE(Raw_Data!F769), Raw_Data!F769)</f>
        <v>45211</v>
      </c>
      <c r="G769" s="2">
        <f>IFERROR(
    IF(
        IFERROR(DATEVALUE(Raw_Data!G769), Raw_Data!G769) &lt;
        IFERROR(DATEVALUE(Raw_Data!F769), Raw_Data!F769),
        IFERROR(DATEVALUE(Raw_Data!F769), Raw_Data!F769) + 30,
        IFERROR(DATEVALUE(Raw_Data!G769), Raw_Data!G769)
    ),
    ""
)</f>
        <v>45576</v>
      </c>
      <c r="H769">
        <f>IFERROR(VALUE(Raw_Data!H769), "")</f>
        <v>1000</v>
      </c>
      <c r="I769">
        <f ca="1">IFERROR(VALUE(Raw_Data!I769), "")</f>
        <v>10000</v>
      </c>
      <c r="J769">
        <f>IFERROR(
    VALUE(SUBSTITUTE(Raw_Data!J769," visits","")),
    ""
)</f>
        <v>11</v>
      </c>
      <c r="K769" t="str">
        <f ca="1">IF(TRIM(Raw_Data!K769)="","No",PROPER(TRIM(Raw_Data!K769)))</f>
        <v>Yes</v>
      </c>
      <c r="L769" t="str">
        <f ca="1">PROPER(TRIM(Raw_Data!L769))</f>
        <v>Weight Loss</v>
      </c>
      <c r="M769" t="s">
        <v>151</v>
      </c>
      <c r="N769" s="2">
        <f>IFERROR(DATEVALUE(Raw_Data!N769), Raw_Data!N769)</f>
        <v>45831</v>
      </c>
      <c r="O769" s="2"/>
      <c r="P769" t="str">
        <f>IF(COUNTIF($A$2:A769,A769)&gt;1,"Duplicate","Unique")</f>
        <v>Unique</v>
      </c>
      <c r="Q769" t="str">
        <f t="shared" si="22"/>
        <v>OK</v>
      </c>
      <c r="R769" t="str">
        <f t="shared" si="23"/>
        <v>Available</v>
      </c>
    </row>
    <row r="770" spans="1:18">
      <c r="A770" t="str">
        <f>TRIM(CLEAN(Raw_Data!A770))</f>
        <v>MEM0769</v>
      </c>
      <c r="B770" t="str">
        <f ca="1">TRIM(Raw_Data!B770)</f>
        <v>Pooja Shetty</v>
      </c>
      <c r="C770" t="str">
        <f ca="1">_xlfn.XLOOKUP(D770, Branch_Master!A:A, Branch_Master!B:B)</f>
        <v>Hyderabad</v>
      </c>
      <c r="D770" t="str">
        <f ca="1">TRIM(Raw_Data!D770)</f>
        <v>BR04</v>
      </c>
      <c r="E770" t="str">
        <f ca="1">PROPER(TRIM(Raw_Data!E770))</f>
        <v>Standard</v>
      </c>
      <c r="F770" s="2">
        <f>IFERROR(DATEVALUE(Raw_Data!F770), Raw_Data!F770)</f>
        <v>45107</v>
      </c>
      <c r="G770" s="2">
        <f>IFERROR(
    IF(
        IFERROR(DATEVALUE(Raw_Data!G770), Raw_Data!G770) &lt;
        IFERROR(DATEVALUE(Raw_Data!F770), Raw_Data!F770),
        IFERROR(DATEVALUE(Raw_Data!F770), Raw_Data!F770) + 30,
        IFERROR(DATEVALUE(Raw_Data!G770), Raw_Data!G770)
    ),
    ""
)</f>
        <v>45137</v>
      </c>
      <c r="H770">
        <f>IFERROR(VALUE(Raw_Data!H770), "")</f>
        <v>2000</v>
      </c>
      <c r="I770">
        <f ca="1">IFERROR(VALUE(Raw_Data!I770), "")</f>
        <v>18000</v>
      </c>
      <c r="J770">
        <f>IFERROR(
    VALUE(SUBSTITUTE(Raw_Data!J770," visits","")),
    ""
)</f>
        <v>21</v>
      </c>
      <c r="K770" t="str">
        <f ca="1">IF(TRIM(Raw_Data!K770)="","No",PROPER(TRIM(Raw_Data!K770)))</f>
        <v>Yes</v>
      </c>
      <c r="L770" t="str">
        <f ca="1">PROPER(TRIM(Raw_Data!L770))</f>
        <v>Weight Loss</v>
      </c>
      <c r="M770" t="s">
        <v>151</v>
      </c>
      <c r="N770" s="2">
        <f>IFERROR(DATEVALUE(Raw_Data!N770), Raw_Data!N770)</f>
        <v>45157</v>
      </c>
      <c r="O770" s="2"/>
      <c r="P770" t="str">
        <f>IF(COUNTIF($A$2:A770,A770)&gt;1,"Duplicate","Unique")</f>
        <v>Unique</v>
      </c>
      <c r="Q770" t="str">
        <f t="shared" si="22"/>
        <v>OK</v>
      </c>
      <c r="R770" t="str">
        <f t="shared" si="23"/>
        <v>Available</v>
      </c>
    </row>
    <row r="771" spans="1:18">
      <c r="A771" t="str">
        <f>TRIM(CLEAN(Raw_Data!A771))</f>
        <v>MEM0770</v>
      </c>
      <c r="B771" t="str">
        <f ca="1">TRIM(Raw_Data!B771)</f>
        <v>Priya Verma</v>
      </c>
      <c r="C771" t="str">
        <f ca="1">_xlfn.XLOOKUP(D771, Branch_Master!A:A, Branch_Master!B:B)</f>
        <v>Kochi</v>
      </c>
      <c r="D771" t="str">
        <f ca="1">TRIM(Raw_Data!D771)</f>
        <v>BR01</v>
      </c>
      <c r="E771" t="str">
        <f ca="1">PROPER(TRIM(Raw_Data!E771))</f>
        <v>Basic</v>
      </c>
      <c r="F771" s="2">
        <f>IFERROR(DATEVALUE(Raw_Data!F771), Raw_Data!F771)</f>
        <v>45955</v>
      </c>
      <c r="G771" s="2">
        <f>IFERROR(
    IF(
        IFERROR(DATEVALUE(Raw_Data!G771), Raw_Data!G771) &lt;
        IFERROR(DATEVALUE(Raw_Data!F771), Raw_Data!F771),
        IFERROR(DATEVALUE(Raw_Data!F771), Raw_Data!F771) + 30,
        IFERROR(DATEVALUE(Raw_Data!G771), Raw_Data!G771)
    ),
    ""
)</f>
        <v>45985</v>
      </c>
      <c r="H771">
        <f>IFERROR(VALUE(Raw_Data!H771), "")</f>
        <v>3500</v>
      </c>
      <c r="I771">
        <f ca="1">IFERROR(VALUE(Raw_Data!I771), "")</f>
        <v>42000</v>
      </c>
      <c r="J771">
        <f>IFERROR(
    VALUE(SUBSTITUTE(Raw_Data!J771," visits","")),
    ""
)</f>
        <v>12</v>
      </c>
      <c r="K771" t="str">
        <f ca="1">IF(TRIM(Raw_Data!K771)="","No",PROPER(TRIM(Raw_Data!K771)))</f>
        <v>No</v>
      </c>
      <c r="L771" t="str">
        <f ca="1">PROPER(TRIM(Raw_Data!L771))</f>
        <v>General Fitness</v>
      </c>
      <c r="M771" t="s">
        <v>151</v>
      </c>
      <c r="N771" s="2">
        <f>IFERROR(DATEVALUE(Raw_Data!N771), Raw_Data!N771)</f>
        <v>45970</v>
      </c>
      <c r="O771" s="2"/>
      <c r="P771" t="str">
        <f>IF(COUNTIF($A$2:A771,A771)&gt;1,"Duplicate","Unique")</f>
        <v>Unique</v>
      </c>
      <c r="Q771" t="str">
        <f t="shared" ref="Q771:Q819" si="24">IF(G771&lt;F771,"Expiry Error",
IF(AND(M771="Cancelled",N771&lt;&gt;""),"Cancelled but Active",
IF(J771&gt;30,"Invalid Attendance","OK")))</f>
        <v>OK</v>
      </c>
      <c r="R771" t="str">
        <f t="shared" ref="R771:R819" si="25">IF(N771="","Missing","Available")</f>
        <v>Available</v>
      </c>
    </row>
    <row r="772" spans="1:18">
      <c r="A772" t="str">
        <f>TRIM(CLEAN(Raw_Data!A772))</f>
        <v>MEM0771</v>
      </c>
      <c r="B772" t="str">
        <f ca="1">TRIM(Raw_Data!B772)</f>
        <v>Ishita Bhat</v>
      </c>
      <c r="C772" t="str">
        <f ca="1">_xlfn.XLOOKUP(D772, Branch_Master!A:A, Branch_Master!B:B)</f>
        <v>Mumbai</v>
      </c>
      <c r="D772" t="str">
        <f ca="1">TRIM(Raw_Data!D772)</f>
        <v>BR05</v>
      </c>
      <c r="E772" t="str">
        <f ca="1">PROPER(TRIM(Raw_Data!E772))</f>
        <v>Basic</v>
      </c>
      <c r="F772" s="2">
        <f>IFERROR(DATEVALUE(Raw_Data!F772), Raw_Data!F772)</f>
        <v>45851</v>
      </c>
      <c r="G772" s="2">
        <f>IFERROR(
    IF(
        IFERROR(DATEVALUE(Raw_Data!G772), Raw_Data!G772) &lt;
        IFERROR(DATEVALUE(Raw_Data!F772), Raw_Data!F772),
        IFERROR(DATEVALUE(Raw_Data!F772), Raw_Data!F772) + 30,
        IFERROR(DATEVALUE(Raw_Data!G772), Raw_Data!G772)
    ),
    ""
)</f>
        <v>45881</v>
      </c>
      <c r="H772">
        <f>IFERROR(VALUE(Raw_Data!H772), "")</f>
        <v>1000</v>
      </c>
      <c r="I772">
        <f ca="1">IFERROR(VALUE(Raw_Data!I772), "")</f>
        <v>7000</v>
      </c>
      <c r="J772">
        <f>IFERROR(
    VALUE(SUBSTITUTE(Raw_Data!J772," visits","")),
    ""
)</f>
        <v>18</v>
      </c>
      <c r="K772" t="str">
        <f ca="1">IF(TRIM(Raw_Data!K772)="","No",PROPER(TRIM(Raw_Data!K772)))</f>
        <v>Yes</v>
      </c>
      <c r="L772" t="str">
        <f ca="1">PROPER(TRIM(Raw_Data!L772))</f>
        <v>Weight Loss</v>
      </c>
      <c r="M772" t="s">
        <v>151</v>
      </c>
      <c r="N772" s="2">
        <f>IFERROR(DATEVALUE(Raw_Data!N772), Raw_Data!N772)</f>
        <v>45918</v>
      </c>
      <c r="O772" s="2"/>
      <c r="P772" t="str">
        <f>IF(COUNTIF($A$2:A772,A772)&gt;1,"Duplicate","Unique")</f>
        <v>Unique</v>
      </c>
      <c r="Q772" t="str">
        <f t="shared" si="24"/>
        <v>OK</v>
      </c>
      <c r="R772" t="str">
        <f t="shared" si="25"/>
        <v>Available</v>
      </c>
    </row>
    <row r="773" spans="1:18">
      <c r="A773" t="str">
        <f>TRIM(CLEAN(Raw_Data!A773))</f>
        <v>MEM0772</v>
      </c>
      <c r="B773" t="str">
        <f ca="1">TRIM(Raw_Data!B773)</f>
        <v>Sneha Naidu</v>
      </c>
      <c r="C773" t="str">
        <f ca="1">_xlfn.XLOOKUP(D773, Branch_Master!A:A, Branch_Master!B:B)</f>
        <v>Hyderabad</v>
      </c>
      <c r="D773" t="str">
        <f ca="1">TRIM(Raw_Data!D773)</f>
        <v>BR04</v>
      </c>
      <c r="E773" t="str">
        <f ca="1">PROPER(TRIM(Raw_Data!E773))</f>
        <v>Standard</v>
      </c>
      <c r="F773" s="2">
        <f>IFERROR(DATEVALUE(Raw_Data!F773), Raw_Data!F773)</f>
        <v>45146</v>
      </c>
      <c r="G773" s="2">
        <f>IFERROR(
    IF(
        IFERROR(DATEVALUE(Raw_Data!G773), Raw_Data!G773) &lt;
        IFERROR(DATEVALUE(Raw_Data!F773), Raw_Data!F773),
        IFERROR(DATEVALUE(Raw_Data!F773), Raw_Data!F773) + 30,
        IFERROR(DATEVALUE(Raw_Data!G773), Raw_Data!G773)
    ),
    ""
)</f>
        <v>45236</v>
      </c>
      <c r="H773">
        <f>IFERROR(VALUE(Raw_Data!H773), "")</f>
        <v>2000</v>
      </c>
      <c r="I773">
        <f ca="1">IFERROR(VALUE(Raw_Data!I773), "")</f>
        <v>10000</v>
      </c>
      <c r="J773">
        <f>IFERROR(
    VALUE(SUBSTITUTE(Raw_Data!J773," visits","")),
    ""
)</f>
        <v>15</v>
      </c>
      <c r="K773" t="str">
        <f ca="1">IF(TRIM(Raw_Data!K773)="","No",PROPER(TRIM(Raw_Data!K773)))</f>
        <v>No</v>
      </c>
      <c r="L773" t="str">
        <f ca="1">PROPER(TRIM(Raw_Data!L773))</f>
        <v>Muscle Gain</v>
      </c>
      <c r="M773" t="s">
        <v>152</v>
      </c>
      <c r="N773" s="2">
        <f>IFERROR(DATEVALUE(Raw_Data!N773), Raw_Data!N773)</f>
        <v>45535</v>
      </c>
      <c r="O773" s="2"/>
      <c r="P773" t="str">
        <f>IF(COUNTIF($A$2:A773,A773)&gt;1,"Duplicate","Unique")</f>
        <v>Unique</v>
      </c>
      <c r="Q773" t="str">
        <f t="shared" si="24"/>
        <v>Cancelled but Active</v>
      </c>
      <c r="R773" t="str">
        <f t="shared" si="25"/>
        <v>Available</v>
      </c>
    </row>
    <row r="774" spans="1:18">
      <c r="A774" t="str">
        <f>TRIM(CLEAN(Raw_Data!A774))</f>
        <v>MEM0773</v>
      </c>
      <c r="B774" t="str">
        <f ca="1">TRIM(Raw_Data!B774)</f>
        <v>Divya Singh</v>
      </c>
      <c r="C774" t="str">
        <f ca="1">_xlfn.XLOOKUP(D774, Branch_Master!A:A, Branch_Master!B:B)</f>
        <v>Chennai</v>
      </c>
      <c r="D774" t="str">
        <f ca="1">TRIM(Raw_Data!D774)</f>
        <v>BR03</v>
      </c>
      <c r="E774" t="str">
        <f ca="1">PROPER(TRIM(Raw_Data!E774))</f>
        <v>Standard</v>
      </c>
      <c r="F774" s="2">
        <f>IFERROR(DATEVALUE(Raw_Data!F774), Raw_Data!F774)</f>
        <v>46053</v>
      </c>
      <c r="G774" s="2">
        <f>IFERROR(
    IF(
        IFERROR(DATEVALUE(Raw_Data!G774), Raw_Data!G774) &lt;
        IFERROR(DATEVALUE(Raw_Data!F774), Raw_Data!F774),
        IFERROR(DATEVALUE(Raw_Data!F774), Raw_Data!F774) + 30,
        IFERROR(DATEVALUE(Raw_Data!G774), Raw_Data!G774)
    ),
    ""
)</f>
        <v>46083</v>
      </c>
      <c r="H774">
        <f>IFERROR(VALUE(Raw_Data!H774), "")</f>
        <v>1000</v>
      </c>
      <c r="I774">
        <f ca="1">IFERROR(VALUE(Raw_Data!I774), "")</f>
        <v>4000</v>
      </c>
      <c r="J774">
        <f>IFERROR(
    VALUE(SUBSTITUTE(Raw_Data!J774," visits","")),
    ""
)</f>
        <v>2</v>
      </c>
      <c r="K774" t="str">
        <f ca="1">IF(TRIM(Raw_Data!K774)="","No",PROPER(TRIM(Raw_Data!K774)))</f>
        <v>Yes</v>
      </c>
      <c r="L774" t="str">
        <f ca="1">PROPER(TRIM(Raw_Data!L774))</f>
        <v>Weight Loss</v>
      </c>
      <c r="M774" t="s">
        <v>152</v>
      </c>
      <c r="N774" s="2">
        <f>IFERROR(DATEVALUE(Raw_Data!N774), Raw_Data!N774)</f>
        <v>46081</v>
      </c>
      <c r="O774" s="2"/>
      <c r="P774" t="str">
        <f>IF(COUNTIF($A$2:A774,A774)&gt;1,"Duplicate","Unique")</f>
        <v>Unique</v>
      </c>
      <c r="Q774" t="str">
        <f t="shared" si="24"/>
        <v>Cancelled but Active</v>
      </c>
      <c r="R774" t="str">
        <f t="shared" si="25"/>
        <v>Available</v>
      </c>
    </row>
    <row r="775" spans="1:18">
      <c r="A775" t="str">
        <f>TRIM(CLEAN(Raw_Data!A775))</f>
        <v>MEM0774</v>
      </c>
      <c r="B775" t="str">
        <f ca="1">TRIM(Raw_Data!B775)</f>
        <v>Kavya Fernandes</v>
      </c>
      <c r="C775" t="str">
        <f ca="1">_xlfn.XLOOKUP(D775, Branch_Master!A:A, Branch_Master!B:B)</f>
        <v>Hyderabad</v>
      </c>
      <c r="D775" t="str">
        <f ca="1">TRIM(Raw_Data!D775)</f>
        <v>BR04</v>
      </c>
      <c r="E775" t="str">
        <f ca="1">PROPER(TRIM(Raw_Data!E775))</f>
        <v>Premium</v>
      </c>
      <c r="F775" s="2">
        <f>IFERROR(DATEVALUE(Raw_Data!F775), Raw_Data!F775)</f>
        <v>45281</v>
      </c>
      <c r="G775" s="2">
        <f>IFERROR(
    IF(
        IFERROR(DATEVALUE(Raw_Data!G775), Raw_Data!G775) &lt;
        IFERROR(DATEVALUE(Raw_Data!F775), Raw_Data!F775),
        IFERROR(DATEVALUE(Raw_Data!F775), Raw_Data!F775) + 30,
        IFERROR(DATEVALUE(Raw_Data!G775), Raw_Data!G775)
    ),
    ""
)</f>
        <v>45311</v>
      </c>
      <c r="H775">
        <f>IFERROR(VALUE(Raw_Data!H775), "")</f>
        <v>2000</v>
      </c>
      <c r="I775">
        <f ca="1">IFERROR(VALUE(Raw_Data!I775), "")</f>
        <v>14000</v>
      </c>
      <c r="J775">
        <f>IFERROR(
    VALUE(SUBSTITUTE(Raw_Data!J775," visits","")),
    ""
)</f>
        <v>21</v>
      </c>
      <c r="K775" t="str">
        <f ca="1">IF(TRIM(Raw_Data!K775)="","No",PROPER(TRIM(Raw_Data!K775)))</f>
        <v>Yes</v>
      </c>
      <c r="L775" t="str">
        <f ca="1">PROPER(TRIM(Raw_Data!L775))</f>
        <v>Weight Loss</v>
      </c>
      <c r="M775" t="s">
        <v>151</v>
      </c>
      <c r="N775" s="2">
        <f>IFERROR(DATEVALUE(Raw_Data!N775), Raw_Data!N775)</f>
        <v>45424</v>
      </c>
      <c r="O775" s="2"/>
      <c r="P775" t="str">
        <f>IF(COUNTIF($A$2:A775,A775)&gt;1,"Duplicate","Unique")</f>
        <v>Unique</v>
      </c>
      <c r="Q775" t="str">
        <f t="shared" si="24"/>
        <v>OK</v>
      </c>
      <c r="R775" t="str">
        <f t="shared" si="25"/>
        <v>Available</v>
      </c>
    </row>
    <row r="776" spans="1:18">
      <c r="A776" t="str">
        <f>TRIM(CLEAN(Raw_Data!A776))</f>
        <v>MEM0775</v>
      </c>
      <c r="B776" t="str">
        <f ca="1">TRIM(Raw_Data!B776)</f>
        <v>Nisha Desai</v>
      </c>
      <c r="C776" t="str">
        <f ca="1">_xlfn.XLOOKUP(D776, Branch_Master!A:A, Branch_Master!B:B)</f>
        <v>Bangalore</v>
      </c>
      <c r="D776" t="str">
        <f ca="1">TRIM(Raw_Data!D776)</f>
        <v>BR02</v>
      </c>
      <c r="E776" t="str">
        <f ca="1">PROPER(TRIM(Raw_Data!E776))</f>
        <v>Premium</v>
      </c>
      <c r="F776" s="2">
        <f>IFERROR(DATEVALUE(Raw_Data!F776), Raw_Data!F776)</f>
        <v>45667</v>
      </c>
      <c r="G776" s="2">
        <f>IFERROR(
    IF(
        IFERROR(DATEVALUE(Raw_Data!G776), Raw_Data!G776) &lt;
        IFERROR(DATEVALUE(Raw_Data!F776), Raw_Data!F776),
        IFERROR(DATEVALUE(Raw_Data!F776), Raw_Data!F776) + 30,
        IFERROR(DATEVALUE(Raw_Data!G776), Raw_Data!G776)
    ),
    ""
)</f>
        <v>45697</v>
      </c>
      <c r="H776">
        <f>IFERROR(VALUE(Raw_Data!H776), "")</f>
        <v>3500</v>
      </c>
      <c r="I776">
        <f ca="1">IFERROR(VALUE(Raw_Data!I776), "")</f>
        <v>7000</v>
      </c>
      <c r="J776">
        <f>IFERROR(
    VALUE(SUBSTITUTE(Raw_Data!J776," visits","")),
    ""
)</f>
        <v>8</v>
      </c>
      <c r="K776" t="str">
        <f ca="1">IF(TRIM(Raw_Data!K776)="","No",PROPER(TRIM(Raw_Data!K776)))</f>
        <v>Yes</v>
      </c>
      <c r="L776" t="str">
        <f ca="1">PROPER(TRIM(Raw_Data!L776))</f>
        <v>Weight Loss</v>
      </c>
      <c r="M776" t="s">
        <v>151</v>
      </c>
      <c r="N776" s="2">
        <f>IFERROR(DATEVALUE(Raw_Data!N776), Raw_Data!N776)</f>
        <v>45911</v>
      </c>
      <c r="O776" s="2"/>
      <c r="P776" t="str">
        <f>IF(COUNTIF($A$2:A776,A776)&gt;1,"Duplicate","Unique")</f>
        <v>Unique</v>
      </c>
      <c r="Q776" t="str">
        <f t="shared" si="24"/>
        <v>OK</v>
      </c>
      <c r="R776" t="str">
        <f t="shared" si="25"/>
        <v>Available</v>
      </c>
    </row>
    <row r="777" spans="1:18">
      <c r="A777" t="str">
        <f>TRIM(CLEAN(Raw_Data!A777))</f>
        <v>MEM0776</v>
      </c>
      <c r="B777" t="str">
        <f ca="1">TRIM(Raw_Data!B777)</f>
        <v>Deepak Fernandes</v>
      </c>
      <c r="C777" t="str">
        <f ca="1">_xlfn.XLOOKUP(D777, Branch_Master!A:A, Branch_Master!B:B)</f>
        <v>Trivandrum</v>
      </c>
      <c r="D777" t="str">
        <f ca="1">TRIM(Raw_Data!D777)</f>
        <v>BR06</v>
      </c>
      <c r="E777" t="str">
        <f ca="1">PROPER(TRIM(Raw_Data!E777))</f>
        <v>Basic</v>
      </c>
      <c r="F777" s="2">
        <f>IFERROR(DATEVALUE(Raw_Data!F777), Raw_Data!F777)</f>
        <v>45042</v>
      </c>
      <c r="G777" s="2">
        <f>IFERROR(
    IF(
        IFERROR(DATEVALUE(Raw_Data!G777), Raw_Data!G777) &lt;
        IFERROR(DATEVALUE(Raw_Data!F777), Raw_Data!F777),
        IFERROR(DATEVALUE(Raw_Data!F777), Raw_Data!F777) + 30,
        IFERROR(DATEVALUE(Raw_Data!G777), Raw_Data!G777)
    ),
    ""
)</f>
        <v>45072</v>
      </c>
      <c r="H777">
        <f>IFERROR(VALUE(Raw_Data!H777), "")</f>
        <v>3500</v>
      </c>
      <c r="I777">
        <f ca="1">IFERROR(VALUE(Raw_Data!I777), "")</f>
        <v>31500</v>
      </c>
      <c r="J777">
        <f>IFERROR(
    VALUE(SUBSTITUTE(Raw_Data!J777," visits","")),
    ""
)</f>
        <v>21</v>
      </c>
      <c r="K777" t="str">
        <f ca="1">IF(TRIM(Raw_Data!K777)="","No",PROPER(TRIM(Raw_Data!K777)))</f>
        <v>No</v>
      </c>
      <c r="L777" t="str">
        <f ca="1">PROPER(TRIM(Raw_Data!L777))</f>
        <v>Muscle Gain</v>
      </c>
      <c r="M777" t="s">
        <v>151</v>
      </c>
      <c r="N777" s="2">
        <f>IFERROR(DATEVALUE(Raw_Data!N777), Raw_Data!N777)</f>
        <v>45194</v>
      </c>
      <c r="O777" s="2"/>
      <c r="P777" t="str">
        <f>IF(COUNTIF($A$2:A777,A777)&gt;1,"Duplicate","Unique")</f>
        <v>Unique</v>
      </c>
      <c r="Q777" t="str">
        <f t="shared" si="24"/>
        <v>OK</v>
      </c>
      <c r="R777" t="str">
        <f t="shared" si="25"/>
        <v>Available</v>
      </c>
    </row>
    <row r="778" spans="1:18">
      <c r="A778" t="str">
        <f>TRIM(CLEAN(Raw_Data!A778))</f>
        <v>MEM0777</v>
      </c>
      <c r="B778" t="str">
        <f ca="1">TRIM(Raw_Data!B778)</f>
        <v>Deepak Chatterjee</v>
      </c>
      <c r="C778" t="str">
        <f ca="1">_xlfn.XLOOKUP(D778, Branch_Master!A:A, Branch_Master!B:B)</f>
        <v>Hyderabad</v>
      </c>
      <c r="D778" t="str">
        <f ca="1">TRIM(Raw_Data!D778)</f>
        <v>BR04</v>
      </c>
      <c r="E778" t="str">
        <f ca="1">PROPER(TRIM(Raw_Data!E778))</f>
        <v>Premium</v>
      </c>
      <c r="F778" s="2">
        <f>IFERROR(DATEVALUE(Raw_Data!F778), Raw_Data!F778)</f>
        <v>44947</v>
      </c>
      <c r="G778" s="2">
        <f>IFERROR(
    IF(
        IFERROR(DATEVALUE(Raw_Data!G778), Raw_Data!G778) &lt;
        IFERROR(DATEVALUE(Raw_Data!F778), Raw_Data!F778),
        IFERROR(DATEVALUE(Raw_Data!F778), Raw_Data!F778) + 30,
        IFERROR(DATEVALUE(Raw_Data!G778), Raw_Data!G778)
    ),
    ""
)</f>
        <v>45037</v>
      </c>
      <c r="H778">
        <f>IFERROR(VALUE(Raw_Data!H778), "")</f>
        <v>2000</v>
      </c>
      <c r="I778">
        <f ca="1">IFERROR(VALUE(Raw_Data!I778), "")</f>
        <v>6000</v>
      </c>
      <c r="J778">
        <f>IFERROR(
    VALUE(SUBSTITUTE(Raw_Data!J778," visits","")),
    ""
)</f>
        <v>15</v>
      </c>
      <c r="K778" t="str">
        <f ca="1">IF(TRIM(Raw_Data!K778)="","No",PROPER(TRIM(Raw_Data!K778)))</f>
        <v>Yes</v>
      </c>
      <c r="L778" t="str">
        <f ca="1">PROPER(TRIM(Raw_Data!L778))</f>
        <v>General Fitness</v>
      </c>
      <c r="M778" t="s">
        <v>151</v>
      </c>
      <c r="N778" s="2">
        <f>IFERROR(DATEVALUE(Raw_Data!N778), Raw_Data!N778)</f>
        <v>45235</v>
      </c>
      <c r="O778" s="2"/>
      <c r="P778" t="str">
        <f>IF(COUNTIF($A$2:A778,A778)&gt;1,"Duplicate","Unique")</f>
        <v>Unique</v>
      </c>
      <c r="Q778" t="str">
        <f t="shared" si="24"/>
        <v>OK</v>
      </c>
      <c r="R778" t="str">
        <f t="shared" si="25"/>
        <v>Available</v>
      </c>
    </row>
    <row r="779" spans="1:18">
      <c r="A779" t="str">
        <f>TRIM(CLEAN(Raw_Data!A779))</f>
        <v>MEM0778</v>
      </c>
      <c r="B779" t="str">
        <f ca="1">TRIM(Raw_Data!B779)</f>
        <v>Ayesha Mathew</v>
      </c>
      <c r="C779" t="str">
        <f ca="1">_xlfn.XLOOKUP(D779, Branch_Master!A:A, Branch_Master!B:B)</f>
        <v>Hyderabad</v>
      </c>
      <c r="D779" t="str">
        <f ca="1">TRIM(Raw_Data!D779)</f>
        <v>BR04</v>
      </c>
      <c r="E779" t="str">
        <f ca="1">PROPER(TRIM(Raw_Data!E779))</f>
        <v>Standard</v>
      </c>
      <c r="F779" s="2">
        <f>IFERROR(DATEVALUE(Raw_Data!F779), Raw_Data!F779)</f>
        <v>45166</v>
      </c>
      <c r="G779" s="2">
        <f>IFERROR(
    IF(
        IFERROR(DATEVALUE(Raw_Data!G779), Raw_Data!G779) &lt;
        IFERROR(DATEVALUE(Raw_Data!F779), Raw_Data!F779),
        IFERROR(DATEVALUE(Raw_Data!F779), Raw_Data!F779) + 30,
        IFERROR(DATEVALUE(Raw_Data!G779), Raw_Data!G779)
    ),
    ""
)</f>
        <v>45196</v>
      </c>
      <c r="H779">
        <f>IFERROR(VALUE(Raw_Data!H779), "")</f>
        <v>1000</v>
      </c>
      <c r="I779">
        <f ca="1">IFERROR(VALUE(Raw_Data!I779), "")</f>
        <v>4000</v>
      </c>
      <c r="J779">
        <f>IFERROR(
    VALUE(SUBSTITUTE(Raw_Data!J779," visits","")),
    ""
)</f>
        <v>24</v>
      </c>
      <c r="K779" t="str">
        <f ca="1">IF(TRIM(Raw_Data!K779)="","No",PROPER(TRIM(Raw_Data!K779)))</f>
        <v>Yes</v>
      </c>
      <c r="L779" t="str">
        <f ca="1">PROPER(TRIM(Raw_Data!L779))</f>
        <v>Muscle Gain</v>
      </c>
      <c r="M779" t="s">
        <v>151</v>
      </c>
      <c r="N779" s="2">
        <f>IFERROR(DATEVALUE(Raw_Data!N779), Raw_Data!N779)</f>
        <v>46118</v>
      </c>
      <c r="O779" s="2"/>
      <c r="P779" t="str">
        <f>IF(COUNTIF($A$2:A779,A779)&gt;1,"Duplicate","Unique")</f>
        <v>Unique</v>
      </c>
      <c r="Q779" t="str">
        <f t="shared" si="24"/>
        <v>OK</v>
      </c>
      <c r="R779" t="str">
        <f t="shared" si="25"/>
        <v>Available</v>
      </c>
    </row>
    <row r="780" spans="1:18">
      <c r="A780" t="str">
        <f>TRIM(CLEAN(Raw_Data!A780))</f>
        <v>MEM0779</v>
      </c>
      <c r="B780" t="str">
        <f ca="1">TRIM(Raw_Data!B780)</f>
        <v>Varun Kapoor</v>
      </c>
      <c r="C780" t="str">
        <f ca="1">_xlfn.XLOOKUP(D780, Branch_Master!A:A, Branch_Master!B:B)</f>
        <v>Bangalore</v>
      </c>
      <c r="D780" t="str">
        <f ca="1">TRIM(Raw_Data!D780)</f>
        <v>BR02</v>
      </c>
      <c r="E780" t="str">
        <f ca="1">PROPER(TRIM(Raw_Data!E780))</f>
        <v>Basic</v>
      </c>
      <c r="F780" s="2">
        <f>IFERROR(DATEVALUE(Raw_Data!F780), Raw_Data!F780)</f>
        <v>45258</v>
      </c>
      <c r="G780" s="2">
        <f>IFERROR(
    IF(
        IFERROR(DATEVALUE(Raw_Data!G780), Raw_Data!G780) &lt;
        IFERROR(DATEVALUE(Raw_Data!F780), Raw_Data!F780),
        IFERROR(DATEVALUE(Raw_Data!F780), Raw_Data!F780) + 30,
        IFERROR(DATEVALUE(Raw_Data!G780), Raw_Data!G780)
    ),
    ""
)</f>
        <v>45348</v>
      </c>
      <c r="H780">
        <f>IFERROR(VALUE(Raw_Data!H780), "")</f>
        <v>3500</v>
      </c>
      <c r="I780">
        <f ca="1">IFERROR(VALUE(Raw_Data!I780), "")</f>
        <v>28000</v>
      </c>
      <c r="J780">
        <f>IFERROR(
    VALUE(SUBSTITUTE(Raw_Data!J780," visits","")),
    ""
)</f>
        <v>18</v>
      </c>
      <c r="K780" t="str">
        <f ca="1">IF(TRIM(Raw_Data!K780)="","No",PROPER(TRIM(Raw_Data!K780)))</f>
        <v>No</v>
      </c>
      <c r="L780" t="str">
        <f ca="1">PROPER(TRIM(Raw_Data!L780))</f>
        <v>Weight Loss</v>
      </c>
      <c r="M780" t="s">
        <v>151</v>
      </c>
      <c r="N780" s="2">
        <f>IFERROR(DATEVALUE(Raw_Data!N780), Raw_Data!N780)</f>
        <v>45898</v>
      </c>
      <c r="O780" s="2"/>
      <c r="P780" t="str">
        <f>IF(COUNTIF($A$2:A780,A780)&gt;1,"Duplicate","Unique")</f>
        <v>Unique</v>
      </c>
      <c r="Q780" t="str">
        <f t="shared" si="24"/>
        <v>OK</v>
      </c>
      <c r="R780" t="str">
        <f t="shared" si="25"/>
        <v>Available</v>
      </c>
    </row>
    <row r="781" spans="1:18">
      <c r="A781" t="str">
        <f>TRIM(CLEAN(Raw_Data!A781))</f>
        <v>MEM0780</v>
      </c>
      <c r="B781" t="str">
        <f ca="1">TRIM(Raw_Data!B781)</f>
        <v>Ankit Joshi</v>
      </c>
      <c r="C781" t="str">
        <f ca="1">_xlfn.XLOOKUP(D781, Branch_Master!A:A, Branch_Master!B:B)</f>
        <v>Bangalore</v>
      </c>
      <c r="D781" t="str">
        <f ca="1">TRIM(Raw_Data!D781)</f>
        <v>BR02</v>
      </c>
      <c r="E781" t="str">
        <f ca="1">PROPER(TRIM(Raw_Data!E781))</f>
        <v>Basic</v>
      </c>
      <c r="F781" s="2">
        <f>IFERROR(DATEVALUE(Raw_Data!F781), Raw_Data!F781)</f>
        <v>45117</v>
      </c>
      <c r="G781" s="2">
        <f>IFERROR(
    IF(
        IFERROR(DATEVALUE(Raw_Data!G781), Raw_Data!G781) &lt;
        IFERROR(DATEVALUE(Raw_Data!F781), Raw_Data!F781),
        IFERROR(DATEVALUE(Raw_Data!F781), Raw_Data!F781) + 30,
        IFERROR(DATEVALUE(Raw_Data!G781), Raw_Data!G781)
    ),
    ""
)</f>
        <v>45147</v>
      </c>
      <c r="H781">
        <f>IFERROR(VALUE(Raw_Data!H781), "")</f>
        <v>2000</v>
      </c>
      <c r="I781">
        <f ca="1">IFERROR(VALUE(Raw_Data!I781), "")</f>
        <v>2000</v>
      </c>
      <c r="J781">
        <f>IFERROR(
    VALUE(SUBSTITUTE(Raw_Data!J781," visits","")),
    ""
)</f>
        <v>2</v>
      </c>
      <c r="K781" t="str">
        <f ca="1">IF(TRIM(Raw_Data!K781)="","No",PROPER(TRIM(Raw_Data!K781)))</f>
        <v>No</v>
      </c>
      <c r="L781" t="str">
        <f ca="1">PROPER(TRIM(Raw_Data!L781))</f>
        <v>Weight Loss</v>
      </c>
      <c r="M781" t="s">
        <v>152</v>
      </c>
      <c r="N781" s="2">
        <f>IFERROR(DATEVALUE(Raw_Data!N781), Raw_Data!N781)</f>
        <v>45309</v>
      </c>
      <c r="O781" s="2"/>
      <c r="P781" t="str">
        <f>IF(COUNTIF($A$2:A781,A781)&gt;1,"Duplicate","Unique")</f>
        <v>Unique</v>
      </c>
      <c r="Q781" t="str">
        <f t="shared" si="24"/>
        <v>Cancelled but Active</v>
      </c>
      <c r="R781" t="str">
        <f t="shared" si="25"/>
        <v>Available</v>
      </c>
    </row>
    <row r="782" spans="1:18">
      <c r="A782" t="str">
        <f>TRIM(CLEAN(Raw_Data!A782))</f>
        <v>MEM0781</v>
      </c>
      <c r="B782" t="str">
        <f ca="1">TRIM(Raw_Data!B782)</f>
        <v>Nisha Varghese</v>
      </c>
      <c r="C782" t="str">
        <f ca="1">_xlfn.XLOOKUP(D782, Branch_Master!A:A, Branch_Master!B:B)</f>
        <v>Trivandrum</v>
      </c>
      <c r="D782" t="str">
        <f ca="1">TRIM(Raw_Data!D782)</f>
        <v>BR06</v>
      </c>
      <c r="E782" t="str">
        <f ca="1">PROPER(TRIM(Raw_Data!E782))</f>
        <v>Premium</v>
      </c>
      <c r="F782" s="2">
        <f>IFERROR(DATEVALUE(Raw_Data!F782), Raw_Data!F782)</f>
        <v>44958</v>
      </c>
      <c r="G782" s="2">
        <f>IFERROR(
    IF(
        IFERROR(DATEVALUE(Raw_Data!G782), Raw_Data!G782) &lt;
        IFERROR(DATEVALUE(Raw_Data!F782), Raw_Data!F782),
        IFERROR(DATEVALUE(Raw_Data!F782), Raw_Data!F782) + 30,
        IFERROR(DATEVALUE(Raw_Data!G782), Raw_Data!G782)
    ),
    ""
)</f>
        <v>44988</v>
      </c>
      <c r="H782">
        <f>IFERROR(VALUE(Raw_Data!H782), "")</f>
        <v>3500</v>
      </c>
      <c r="I782">
        <f ca="1">IFERROR(VALUE(Raw_Data!I782), "")</f>
        <v>28000</v>
      </c>
      <c r="J782">
        <f>IFERROR(
    VALUE(SUBSTITUTE(Raw_Data!J782," visits","")),
    ""
)</f>
        <v>7</v>
      </c>
      <c r="K782" t="str">
        <f ca="1">IF(TRIM(Raw_Data!K782)="","No",PROPER(TRIM(Raw_Data!K782)))</f>
        <v>No</v>
      </c>
      <c r="L782" t="str">
        <f ca="1">PROPER(TRIM(Raw_Data!L782))</f>
        <v>Weight Loss</v>
      </c>
      <c r="M782" t="s">
        <v>151</v>
      </c>
      <c r="N782" s="2">
        <f>IFERROR(DATEVALUE(Raw_Data!N782), Raw_Data!N782)</f>
        <v>45056</v>
      </c>
      <c r="O782" s="2"/>
      <c r="P782" t="str">
        <f>IF(COUNTIF($A$2:A782,A782)&gt;1,"Duplicate","Unique")</f>
        <v>Unique</v>
      </c>
      <c r="Q782" t="str">
        <f t="shared" si="24"/>
        <v>OK</v>
      </c>
      <c r="R782" t="str">
        <f t="shared" si="25"/>
        <v>Available</v>
      </c>
    </row>
    <row r="783" spans="1:18">
      <c r="A783" t="str">
        <f>TRIM(CLEAN(Raw_Data!A783))</f>
        <v>MEM0782</v>
      </c>
      <c r="B783" t="str">
        <f ca="1">TRIM(Raw_Data!B783)</f>
        <v>Meera Nambiar</v>
      </c>
      <c r="C783" t="str">
        <f ca="1">_xlfn.XLOOKUP(D783, Branch_Master!A:A, Branch_Master!B:B)</f>
        <v>Calicut</v>
      </c>
      <c r="D783" t="str">
        <f ca="1">TRIM(Raw_Data!D783)</f>
        <v>BR07</v>
      </c>
      <c r="E783" t="str">
        <f ca="1">PROPER(TRIM(Raw_Data!E783))</f>
        <v>Premium</v>
      </c>
      <c r="F783" s="2">
        <f>IFERROR(DATEVALUE(Raw_Data!F783), Raw_Data!F783)</f>
        <v>45144</v>
      </c>
      <c r="G783" s="2">
        <f>IFERROR(
    IF(
        IFERROR(DATEVALUE(Raw_Data!G783), Raw_Data!G783) &lt;
        IFERROR(DATEVALUE(Raw_Data!F783), Raw_Data!F783),
        IFERROR(DATEVALUE(Raw_Data!F783), Raw_Data!F783) + 30,
        IFERROR(DATEVALUE(Raw_Data!G783), Raw_Data!G783)
    ),
    ""
)</f>
        <v>45174</v>
      </c>
      <c r="H783">
        <f>IFERROR(VALUE(Raw_Data!H783), "")</f>
        <v>1000</v>
      </c>
      <c r="I783">
        <f ca="1">IFERROR(VALUE(Raw_Data!I783), "")</f>
        <v>1000</v>
      </c>
      <c r="J783">
        <f>IFERROR(
    VALUE(SUBSTITUTE(Raw_Data!J783," visits","")),
    ""
)</f>
        <v>17</v>
      </c>
      <c r="K783" t="str">
        <f ca="1">IF(TRIM(Raw_Data!K783)="","No",PROPER(TRIM(Raw_Data!K783)))</f>
        <v>No</v>
      </c>
      <c r="L783" t="str">
        <f ca="1">PROPER(TRIM(Raw_Data!L783))</f>
        <v>General Fitness</v>
      </c>
      <c r="M783" t="s">
        <v>151</v>
      </c>
      <c r="N783" s="2">
        <f>IFERROR(DATEVALUE(Raw_Data!N783), Raw_Data!N783)</f>
        <v>45711</v>
      </c>
      <c r="O783" s="2"/>
      <c r="P783" t="str">
        <f>IF(COUNTIF($A$2:A783,A783)&gt;1,"Duplicate","Unique")</f>
        <v>Unique</v>
      </c>
      <c r="Q783" t="str">
        <f t="shared" si="24"/>
        <v>OK</v>
      </c>
      <c r="R783" t="str">
        <f t="shared" si="25"/>
        <v>Available</v>
      </c>
    </row>
    <row r="784" spans="1:18">
      <c r="A784" t="str">
        <f>TRIM(CLEAN(Raw_Data!A784))</f>
        <v>MEM0783</v>
      </c>
      <c r="B784" t="str">
        <f ca="1">TRIM(Raw_Data!B784)</f>
        <v>Nisha Desai</v>
      </c>
      <c r="C784" t="str">
        <f ca="1">_xlfn.XLOOKUP(D784, Branch_Master!A:A, Branch_Master!B:B)</f>
        <v>Bangalore</v>
      </c>
      <c r="D784" t="str">
        <f ca="1">TRIM(Raw_Data!D784)</f>
        <v>BR02</v>
      </c>
      <c r="E784" t="str">
        <f ca="1">PROPER(TRIM(Raw_Data!E784))</f>
        <v>Premium</v>
      </c>
      <c r="F784" s="2">
        <f>IFERROR(DATEVALUE(Raw_Data!F784), Raw_Data!F784)</f>
        <v>45997</v>
      </c>
      <c r="G784" s="2">
        <f>IFERROR(
    IF(
        IFERROR(DATEVALUE(Raw_Data!G784), Raw_Data!G784) &lt;
        IFERROR(DATEVALUE(Raw_Data!F784), Raw_Data!F784),
        IFERROR(DATEVALUE(Raw_Data!F784), Raw_Data!F784) + 30,
        IFERROR(DATEVALUE(Raw_Data!G784), Raw_Data!G784)
    ),
    ""
)</f>
        <v>46362</v>
      </c>
      <c r="H784">
        <f>IFERROR(VALUE(Raw_Data!H784), "")</f>
        <v>2000</v>
      </c>
      <c r="I784">
        <f ca="1">IFERROR(VALUE(Raw_Data!I784), "")</f>
        <v>16000</v>
      </c>
      <c r="J784">
        <f>IFERROR(
    VALUE(SUBSTITUTE(Raw_Data!J784," visits","")),
    ""
)</f>
        <v>9</v>
      </c>
      <c r="K784" t="str">
        <f ca="1">IF(TRIM(Raw_Data!K784)="","No",PROPER(TRIM(Raw_Data!K784)))</f>
        <v>No</v>
      </c>
      <c r="L784" t="str">
        <f ca="1">PROPER(TRIM(Raw_Data!L784))</f>
        <v>Muscle Gain</v>
      </c>
      <c r="M784" t="s">
        <v>151</v>
      </c>
      <c r="N784" s="2">
        <f>IFERROR(DATEVALUE(Raw_Data!N784), Raw_Data!N784)</f>
        <v>46016</v>
      </c>
      <c r="O784" s="2"/>
      <c r="P784" t="str">
        <f>IF(COUNTIF($A$2:A784,A784)&gt;1,"Duplicate","Unique")</f>
        <v>Unique</v>
      </c>
      <c r="Q784" t="str">
        <f t="shared" si="24"/>
        <v>OK</v>
      </c>
      <c r="R784" t="str">
        <f t="shared" si="25"/>
        <v>Available</v>
      </c>
    </row>
    <row r="785" spans="1:18">
      <c r="A785" t="str">
        <f>TRIM(CLEAN(Raw_Data!A785))</f>
        <v>MEM0784</v>
      </c>
      <c r="B785" t="str">
        <f ca="1">TRIM(Raw_Data!B785)</f>
        <v>Rahul Agarwal</v>
      </c>
      <c r="C785" t="str">
        <f ca="1">_xlfn.XLOOKUP(D785, Branch_Master!A:A, Branch_Master!B:B)</f>
        <v>Trivandrum</v>
      </c>
      <c r="D785" t="str">
        <f ca="1">TRIM(Raw_Data!D785)</f>
        <v>BR06</v>
      </c>
      <c r="E785" t="str">
        <f ca="1">PROPER(TRIM(Raw_Data!E785))</f>
        <v>Basic</v>
      </c>
      <c r="F785" s="2">
        <f>IFERROR(DATEVALUE(Raw_Data!F785), Raw_Data!F785)</f>
        <v>45298</v>
      </c>
      <c r="G785" s="2">
        <f>IFERROR(
    IF(
        IFERROR(DATEVALUE(Raw_Data!G785), Raw_Data!G785) &lt;
        IFERROR(DATEVALUE(Raw_Data!F785), Raw_Data!F785),
        IFERROR(DATEVALUE(Raw_Data!F785), Raw_Data!F785) + 30,
        IFERROR(DATEVALUE(Raw_Data!G785), Raw_Data!G785)
    ),
    ""
)</f>
        <v>45663</v>
      </c>
      <c r="H785">
        <f>IFERROR(VALUE(Raw_Data!H785), "")</f>
        <v>2000</v>
      </c>
      <c r="I785">
        <f ca="1">IFERROR(VALUE(Raw_Data!I785), "")</f>
        <v>20000</v>
      </c>
      <c r="J785">
        <f>IFERROR(
    VALUE(SUBSTITUTE(Raw_Data!J785," visits","")),
    ""
)</f>
        <v>4</v>
      </c>
      <c r="K785" t="str">
        <f ca="1">IF(TRIM(Raw_Data!K785)="","No",PROPER(TRIM(Raw_Data!K785)))</f>
        <v>Yes</v>
      </c>
      <c r="L785" t="str">
        <f ca="1">PROPER(TRIM(Raw_Data!L785))</f>
        <v>General Fitness</v>
      </c>
      <c r="M785" t="s">
        <v>152</v>
      </c>
      <c r="N785" s="2">
        <f>IFERROR(DATEVALUE(Raw_Data!N785), Raw_Data!N785)</f>
        <v>45611</v>
      </c>
      <c r="O785" s="2"/>
      <c r="P785" t="str">
        <f>IF(COUNTIF($A$2:A785,A785)&gt;1,"Duplicate","Unique")</f>
        <v>Unique</v>
      </c>
      <c r="Q785" t="str">
        <f t="shared" si="24"/>
        <v>Cancelled but Active</v>
      </c>
      <c r="R785" t="str">
        <f t="shared" si="25"/>
        <v>Available</v>
      </c>
    </row>
    <row r="786" spans="1:18">
      <c r="A786" t="str">
        <f>TRIM(CLEAN(Raw_Data!A786))</f>
        <v>MEM0785</v>
      </c>
      <c r="B786" t="str">
        <f ca="1">TRIM(Raw_Data!B786)</f>
        <v>Anu Desai</v>
      </c>
      <c r="C786" t="str">
        <f ca="1">_xlfn.XLOOKUP(D786, Branch_Master!A:A, Branch_Master!B:B)</f>
        <v>Calicut</v>
      </c>
      <c r="D786" t="str">
        <f ca="1">TRIM(Raw_Data!D786)</f>
        <v>BR07</v>
      </c>
      <c r="E786" t="str">
        <f ca="1">PROPER(TRIM(Raw_Data!E786))</f>
        <v>Standard</v>
      </c>
      <c r="F786" s="2">
        <f>IFERROR(DATEVALUE(Raw_Data!F786), Raw_Data!F786)</f>
        <v>45563</v>
      </c>
      <c r="G786" s="2">
        <f>IFERROR(
    IF(
        IFERROR(DATEVALUE(Raw_Data!G786), Raw_Data!G786) &lt;
        IFERROR(DATEVALUE(Raw_Data!F786), Raw_Data!F786),
        IFERROR(DATEVALUE(Raw_Data!F786), Raw_Data!F786) + 30,
        IFERROR(DATEVALUE(Raw_Data!G786), Raw_Data!G786)
    ),
    ""
)</f>
        <v>45653</v>
      </c>
      <c r="H786">
        <f>IFERROR(VALUE(Raw_Data!H786), "")</f>
        <v>2000</v>
      </c>
      <c r="I786">
        <f ca="1">IFERROR(VALUE(Raw_Data!I786), "")</f>
        <v>6000</v>
      </c>
      <c r="J786">
        <f>IFERROR(
    VALUE(SUBSTITUTE(Raw_Data!J786," visits","")),
    ""
)</f>
        <v>21</v>
      </c>
      <c r="K786" t="str">
        <f ca="1">IF(TRIM(Raw_Data!K786)="","No",PROPER(TRIM(Raw_Data!K786)))</f>
        <v>Yes</v>
      </c>
      <c r="L786" t="str">
        <f ca="1">PROPER(TRIM(Raw_Data!L786))</f>
        <v>Muscle Gain</v>
      </c>
      <c r="M786" t="s">
        <v>151</v>
      </c>
      <c r="N786" s="2">
        <f>IFERROR(DATEVALUE(Raw_Data!N786), Raw_Data!N786)</f>
        <v>46088</v>
      </c>
      <c r="O786" s="2"/>
      <c r="P786" t="str">
        <f>IF(COUNTIF($A$2:A786,A786)&gt;1,"Duplicate","Unique")</f>
        <v>Unique</v>
      </c>
      <c r="Q786" t="str">
        <f t="shared" si="24"/>
        <v>OK</v>
      </c>
      <c r="R786" t="str">
        <f t="shared" si="25"/>
        <v>Available</v>
      </c>
    </row>
    <row r="787" spans="1:18">
      <c r="A787" t="str">
        <f>TRIM(CLEAN(Raw_Data!A787))</f>
        <v>MEM0786</v>
      </c>
      <c r="B787" t="str">
        <f ca="1">TRIM(Raw_Data!B787)</f>
        <v>Varun Verma</v>
      </c>
      <c r="C787" t="str">
        <f ca="1">_xlfn.XLOOKUP(D787, Branch_Master!A:A, Branch_Master!B:B)</f>
        <v>Mumbai</v>
      </c>
      <c r="D787" t="str">
        <f ca="1">TRIM(Raw_Data!D787)</f>
        <v>BR05</v>
      </c>
      <c r="E787" t="str">
        <f ca="1">PROPER(TRIM(Raw_Data!E787))</f>
        <v>Premium</v>
      </c>
      <c r="F787" s="2">
        <f>IFERROR(DATEVALUE(Raw_Data!F787), Raw_Data!F787)</f>
        <v>46043</v>
      </c>
      <c r="G787" s="2">
        <f>IFERROR(
    IF(
        IFERROR(DATEVALUE(Raw_Data!G787), Raw_Data!G787) &lt;
        IFERROR(DATEVALUE(Raw_Data!F787), Raw_Data!F787),
        IFERROR(DATEVALUE(Raw_Data!F787), Raw_Data!F787) + 30,
        IFERROR(DATEVALUE(Raw_Data!G787), Raw_Data!G787)
    ),
    ""
)</f>
        <v>46073</v>
      </c>
      <c r="H787">
        <f>IFERROR(VALUE(Raw_Data!H787), "")</f>
        <v>1000</v>
      </c>
      <c r="I787">
        <f ca="1">IFERROR(VALUE(Raw_Data!I787), "")</f>
        <v>1000</v>
      </c>
      <c r="J787">
        <f>IFERROR(
    VALUE(SUBSTITUTE(Raw_Data!J787," visits","")),
    ""
)</f>
        <v>5</v>
      </c>
      <c r="K787" t="str">
        <f ca="1">IF(TRIM(Raw_Data!K787)="","No",PROPER(TRIM(Raw_Data!K787)))</f>
        <v>Yes</v>
      </c>
      <c r="L787" t="str">
        <f ca="1">PROPER(TRIM(Raw_Data!L787))</f>
        <v>Weight Loss</v>
      </c>
      <c r="M787" t="s">
        <v>152</v>
      </c>
      <c r="N787" s="2">
        <f>IFERROR(DATEVALUE(Raw_Data!N787), Raw_Data!N787)</f>
        <v>46116</v>
      </c>
      <c r="O787" s="2"/>
      <c r="P787" t="str">
        <f>IF(COUNTIF($A$2:A787,A787)&gt;1,"Duplicate","Unique")</f>
        <v>Unique</v>
      </c>
      <c r="Q787" t="str">
        <f t="shared" si="24"/>
        <v>Cancelled but Active</v>
      </c>
      <c r="R787" t="str">
        <f t="shared" si="25"/>
        <v>Available</v>
      </c>
    </row>
    <row r="788" spans="1:18">
      <c r="A788" t="str">
        <f>TRIM(CLEAN(Raw_Data!A788))</f>
        <v>MEM0787</v>
      </c>
      <c r="B788" t="str">
        <f ca="1">TRIM(Raw_Data!B788)</f>
        <v>Ishita Nair</v>
      </c>
      <c r="C788" t="str">
        <f ca="1">_xlfn.XLOOKUP(D788, Branch_Master!A:A, Branch_Master!B:B)</f>
        <v>Calicut</v>
      </c>
      <c r="D788" t="str">
        <f ca="1">TRIM(Raw_Data!D788)</f>
        <v>BR07</v>
      </c>
      <c r="E788" t="str">
        <f ca="1">PROPER(TRIM(Raw_Data!E788))</f>
        <v>Standard</v>
      </c>
      <c r="F788" s="2">
        <f>IFERROR(DATEVALUE(Raw_Data!F788), Raw_Data!F788)</f>
        <v>45957</v>
      </c>
      <c r="G788" s="2">
        <f>IFERROR(
    IF(
        IFERROR(DATEVALUE(Raw_Data!G788), Raw_Data!G788) &lt;
        IFERROR(DATEVALUE(Raw_Data!F788), Raw_Data!F788),
        IFERROR(DATEVALUE(Raw_Data!F788), Raw_Data!F788) + 30,
        IFERROR(DATEVALUE(Raw_Data!G788), Raw_Data!G788)
    ),
    ""
)</f>
        <v>46322</v>
      </c>
      <c r="H788">
        <f>IFERROR(VALUE(Raw_Data!H788), "")</f>
        <v>2000</v>
      </c>
      <c r="I788">
        <f ca="1">IFERROR(VALUE(Raw_Data!I788), "")</f>
        <v>14000</v>
      </c>
      <c r="J788">
        <f>IFERROR(
    VALUE(SUBSTITUTE(Raw_Data!J788," visits","")),
    ""
)</f>
        <v>5</v>
      </c>
      <c r="K788" t="str">
        <f ca="1">IF(TRIM(Raw_Data!K788)="","No",PROPER(TRIM(Raw_Data!K788)))</f>
        <v>No</v>
      </c>
      <c r="L788" t="str">
        <f ca="1">PROPER(TRIM(Raw_Data!L788))</f>
        <v>General Fitness</v>
      </c>
      <c r="M788" t="s">
        <v>151</v>
      </c>
      <c r="N788" s="2">
        <f>IFERROR(DATEVALUE(Raw_Data!N788), Raw_Data!N788)</f>
        <v>46101</v>
      </c>
      <c r="O788" s="2"/>
      <c r="P788" t="str">
        <f>IF(COUNTIF($A$2:A788,A788)&gt;1,"Duplicate","Unique")</f>
        <v>Unique</v>
      </c>
      <c r="Q788" t="str">
        <f t="shared" si="24"/>
        <v>OK</v>
      </c>
      <c r="R788" t="str">
        <f t="shared" si="25"/>
        <v>Available</v>
      </c>
    </row>
    <row r="789" spans="1:18">
      <c r="A789" t="str">
        <f>TRIM(CLEAN(Raw_Data!A789))</f>
        <v>MEM0788</v>
      </c>
      <c r="B789" t="str">
        <f ca="1">TRIM(Raw_Data!B789)</f>
        <v>Deepak Mathew</v>
      </c>
      <c r="C789" t="str">
        <f ca="1">_xlfn.XLOOKUP(D789, Branch_Master!A:A, Branch_Master!B:B)</f>
        <v>Hyderabad</v>
      </c>
      <c r="D789" t="str">
        <f ca="1">TRIM(Raw_Data!D789)</f>
        <v>BR04</v>
      </c>
      <c r="E789" t="str">
        <f ca="1">PROPER(TRIM(Raw_Data!E789))</f>
        <v>Standard</v>
      </c>
      <c r="F789" s="2">
        <f>IFERROR(DATEVALUE(Raw_Data!F789), Raw_Data!F789)</f>
        <v>45614</v>
      </c>
      <c r="G789" s="2">
        <f>IFERROR(
    IF(
        IFERROR(DATEVALUE(Raw_Data!G789), Raw_Data!G789) &lt;
        IFERROR(DATEVALUE(Raw_Data!F789), Raw_Data!F789),
        IFERROR(DATEVALUE(Raw_Data!F789), Raw_Data!F789) + 30,
        IFERROR(DATEVALUE(Raw_Data!G789), Raw_Data!G789)
    ),
    ""
)</f>
        <v>45644</v>
      </c>
      <c r="H789">
        <f>IFERROR(VALUE(Raw_Data!H789), "")</f>
        <v>3500</v>
      </c>
      <c r="I789">
        <f ca="1">IFERROR(VALUE(Raw_Data!I789), "")</f>
        <v>21000</v>
      </c>
      <c r="J789">
        <f>IFERROR(
    VALUE(SUBSTITUTE(Raw_Data!J789," visits","")),
    ""
)</f>
        <v>11</v>
      </c>
      <c r="K789" t="str">
        <f ca="1">IF(TRIM(Raw_Data!K789)="","No",PROPER(TRIM(Raw_Data!K789)))</f>
        <v>No</v>
      </c>
      <c r="L789" t="str">
        <f ca="1">PROPER(TRIM(Raw_Data!L789))</f>
        <v>Muscle Gain</v>
      </c>
      <c r="M789" t="s">
        <v>151</v>
      </c>
      <c r="N789" s="2">
        <f>IFERROR(DATEVALUE(Raw_Data!N789), Raw_Data!N789)</f>
        <v>45717</v>
      </c>
      <c r="O789" s="2"/>
      <c r="P789" t="str">
        <f>IF(COUNTIF($A$2:A789,A789)&gt;1,"Duplicate","Unique")</f>
        <v>Unique</v>
      </c>
      <c r="Q789" t="str">
        <f t="shared" si="24"/>
        <v>OK</v>
      </c>
      <c r="R789" t="str">
        <f t="shared" si="25"/>
        <v>Available</v>
      </c>
    </row>
    <row r="790" spans="1:18">
      <c r="A790" t="str">
        <f>TRIM(CLEAN(Raw_Data!A790))</f>
        <v>MEM0789</v>
      </c>
      <c r="B790" t="str">
        <f ca="1">TRIM(Raw_Data!B790)</f>
        <v>Karthik Kapoor</v>
      </c>
      <c r="C790" t="str">
        <f ca="1">_xlfn.XLOOKUP(D790, Branch_Master!A:A, Branch_Master!B:B)</f>
        <v>Kochi</v>
      </c>
      <c r="D790" t="str">
        <f ca="1">TRIM(Raw_Data!D790)</f>
        <v>BR01</v>
      </c>
      <c r="E790" t="str">
        <f ca="1">PROPER(TRIM(Raw_Data!E790))</f>
        <v>Standard</v>
      </c>
      <c r="F790" s="2">
        <f>IFERROR(DATEVALUE(Raw_Data!F790), Raw_Data!F790)</f>
        <v>45175</v>
      </c>
      <c r="G790" s="2">
        <f>IFERROR(
    IF(
        IFERROR(DATEVALUE(Raw_Data!G790), Raw_Data!G790) &lt;
        IFERROR(DATEVALUE(Raw_Data!F790), Raw_Data!F790),
        IFERROR(DATEVALUE(Raw_Data!F790), Raw_Data!F790) + 30,
        IFERROR(DATEVALUE(Raw_Data!G790), Raw_Data!G790)
    ),
    ""
)</f>
        <v>45205</v>
      </c>
      <c r="H790">
        <f>IFERROR(VALUE(Raw_Data!H790), "")</f>
        <v>2000</v>
      </c>
      <c r="I790">
        <f ca="1">IFERROR(VALUE(Raw_Data!I790), "")</f>
        <v>10000</v>
      </c>
      <c r="J790">
        <f>IFERROR(
    VALUE(SUBSTITUTE(Raw_Data!J790," visits","")),
    ""
)</f>
        <v>21</v>
      </c>
      <c r="K790" t="str">
        <f ca="1">IF(TRIM(Raw_Data!K790)="","No",PROPER(TRIM(Raw_Data!K790)))</f>
        <v>No</v>
      </c>
      <c r="L790" t="str">
        <f ca="1">PROPER(TRIM(Raw_Data!L790))</f>
        <v>General Fitness</v>
      </c>
      <c r="M790" t="s">
        <v>151</v>
      </c>
      <c r="N790" s="2">
        <f>IFERROR(DATEVALUE(Raw_Data!N790), Raw_Data!N790)</f>
        <v>45934</v>
      </c>
      <c r="O790" s="2"/>
      <c r="P790" t="str">
        <f>IF(COUNTIF($A$2:A790,A790)&gt;1,"Duplicate","Unique")</f>
        <v>Unique</v>
      </c>
      <c r="Q790" t="str">
        <f t="shared" si="24"/>
        <v>OK</v>
      </c>
      <c r="R790" t="str">
        <f t="shared" si="25"/>
        <v>Available</v>
      </c>
    </row>
    <row r="791" spans="1:18">
      <c r="A791" t="str">
        <f>TRIM(CLEAN(Raw_Data!A791))</f>
        <v>MEM0790</v>
      </c>
      <c r="B791" t="str">
        <f ca="1">TRIM(Raw_Data!B791)</f>
        <v>Swathi Kapoor</v>
      </c>
      <c r="C791" t="str">
        <f ca="1">_xlfn.XLOOKUP(D791, Branch_Master!A:A, Branch_Master!B:B)</f>
        <v>Trivandrum</v>
      </c>
      <c r="D791" t="str">
        <f ca="1">TRIM(Raw_Data!D791)</f>
        <v>BR06</v>
      </c>
      <c r="E791" t="str">
        <f ca="1">PROPER(TRIM(Raw_Data!E791))</f>
        <v>Premium</v>
      </c>
      <c r="F791" s="2">
        <f>IFERROR(DATEVALUE(Raw_Data!F791), Raw_Data!F791)</f>
        <v>45936</v>
      </c>
      <c r="G791" s="2">
        <f>IFERROR(
    IF(
        IFERROR(DATEVALUE(Raw_Data!G791), Raw_Data!G791) &lt;
        IFERROR(DATEVALUE(Raw_Data!F791), Raw_Data!F791),
        IFERROR(DATEVALUE(Raw_Data!F791), Raw_Data!F791) + 30,
        IFERROR(DATEVALUE(Raw_Data!G791), Raw_Data!G791)
    ),
    ""
)</f>
        <v>46301</v>
      </c>
      <c r="H791">
        <f>IFERROR(VALUE(Raw_Data!H791), "")</f>
        <v>1000</v>
      </c>
      <c r="I791">
        <f ca="1">IFERROR(VALUE(Raw_Data!I791), "")</f>
        <v>11000</v>
      </c>
      <c r="J791">
        <f>IFERROR(
    VALUE(SUBSTITUTE(Raw_Data!J791," visits","")),
    ""
)</f>
        <v>1</v>
      </c>
      <c r="K791" t="str">
        <f ca="1">IF(TRIM(Raw_Data!K791)="","No",PROPER(TRIM(Raw_Data!K791)))</f>
        <v>No</v>
      </c>
      <c r="L791" t="str">
        <f ca="1">PROPER(TRIM(Raw_Data!L791))</f>
        <v>Muscle Gain</v>
      </c>
      <c r="M791" t="s">
        <v>152</v>
      </c>
      <c r="N791" s="2">
        <f>IFERROR(DATEVALUE(Raw_Data!N791), Raw_Data!N791)</f>
        <v>46124</v>
      </c>
      <c r="O791" s="2"/>
      <c r="P791" t="str">
        <f>IF(COUNTIF($A$2:A791,A791)&gt;1,"Duplicate","Unique")</f>
        <v>Unique</v>
      </c>
      <c r="Q791" t="str">
        <f t="shared" si="24"/>
        <v>Cancelled but Active</v>
      </c>
      <c r="R791" t="str">
        <f t="shared" si="25"/>
        <v>Available</v>
      </c>
    </row>
    <row r="792" spans="1:18">
      <c r="A792" t="str">
        <f>TRIM(CLEAN(Raw_Data!A792))</f>
        <v>MEM0791</v>
      </c>
      <c r="B792" t="str">
        <f ca="1">TRIM(Raw_Data!B792)</f>
        <v>Aditya D’Souza</v>
      </c>
      <c r="C792" t="str">
        <f ca="1">_xlfn.XLOOKUP(D792, Branch_Master!A:A, Branch_Master!B:B)</f>
        <v>Trivandrum</v>
      </c>
      <c r="D792" t="str">
        <f ca="1">TRIM(Raw_Data!D792)</f>
        <v>BR06</v>
      </c>
      <c r="E792" t="str">
        <f ca="1">PROPER(TRIM(Raw_Data!E792))</f>
        <v>Standard</v>
      </c>
      <c r="F792" s="2">
        <f>IFERROR(DATEVALUE(Raw_Data!F792), Raw_Data!F792)</f>
        <v>45364</v>
      </c>
      <c r="G792" s="2">
        <f>IFERROR(
    IF(
        IFERROR(DATEVALUE(Raw_Data!G792), Raw_Data!G792) &lt;
        IFERROR(DATEVALUE(Raw_Data!F792), Raw_Data!F792),
        IFERROR(DATEVALUE(Raw_Data!F792), Raw_Data!F792) + 30,
        IFERROR(DATEVALUE(Raw_Data!G792), Raw_Data!G792)
    ),
    ""
)</f>
        <v>45454</v>
      </c>
      <c r="H792">
        <f>IFERROR(VALUE(Raw_Data!H792), "")</f>
        <v>1000</v>
      </c>
      <c r="I792">
        <f ca="1">IFERROR(VALUE(Raw_Data!I792), "")</f>
        <v>2000</v>
      </c>
      <c r="J792">
        <f>IFERROR(
    VALUE(SUBSTITUTE(Raw_Data!J792," visits","")),
    ""
)</f>
        <v>6</v>
      </c>
      <c r="K792" t="str">
        <f ca="1">IF(TRIM(Raw_Data!K792)="","No",PROPER(TRIM(Raw_Data!K792)))</f>
        <v>No</v>
      </c>
      <c r="L792" t="str">
        <f ca="1">PROPER(TRIM(Raw_Data!L792))</f>
        <v>Weight Loss</v>
      </c>
      <c r="M792" t="s">
        <v>151</v>
      </c>
      <c r="N792" s="2">
        <f>IFERROR(DATEVALUE(Raw_Data!N792), Raw_Data!N792)</f>
        <v>45731</v>
      </c>
      <c r="O792" s="2"/>
      <c r="P792" t="str">
        <f>IF(COUNTIF($A$2:A792,A792)&gt;1,"Duplicate","Unique")</f>
        <v>Unique</v>
      </c>
      <c r="Q792" t="str">
        <f t="shared" si="24"/>
        <v>OK</v>
      </c>
      <c r="R792" t="str">
        <f t="shared" si="25"/>
        <v>Available</v>
      </c>
    </row>
    <row r="793" spans="1:18">
      <c r="A793" t="str">
        <f>TRIM(CLEAN(Raw_Data!A793))</f>
        <v>MEM0792</v>
      </c>
      <c r="B793" t="str">
        <f ca="1">TRIM(Raw_Data!B793)</f>
        <v>Nikhil Sharma</v>
      </c>
      <c r="C793" t="str">
        <f ca="1">_xlfn.XLOOKUP(D793, Branch_Master!A:A, Branch_Master!B:B)</f>
        <v>Calicut</v>
      </c>
      <c r="D793" t="str">
        <f ca="1">TRIM(Raw_Data!D793)</f>
        <v>BR07</v>
      </c>
      <c r="E793" t="str">
        <f ca="1">PROPER(TRIM(Raw_Data!E793))</f>
        <v>Standard</v>
      </c>
      <c r="F793" s="2">
        <f>IFERROR(DATEVALUE(Raw_Data!F793), Raw_Data!F793)</f>
        <v>45132</v>
      </c>
      <c r="G793" s="2">
        <f>IFERROR(
    IF(
        IFERROR(DATEVALUE(Raw_Data!G793), Raw_Data!G793) &lt;
        IFERROR(DATEVALUE(Raw_Data!F793), Raw_Data!F793),
        IFERROR(DATEVALUE(Raw_Data!F793), Raw_Data!F793) + 30,
        IFERROR(DATEVALUE(Raw_Data!G793), Raw_Data!G793)
    ),
    ""
)</f>
        <v>45222</v>
      </c>
      <c r="H793">
        <f>IFERROR(VALUE(Raw_Data!H793), "")</f>
        <v>3500</v>
      </c>
      <c r="I793">
        <f ca="1">IFERROR(VALUE(Raw_Data!I793), "")</f>
        <v>28000</v>
      </c>
      <c r="J793">
        <f>IFERROR(
    VALUE(SUBSTITUTE(Raw_Data!J793," visits","")),
    ""
)</f>
        <v>5</v>
      </c>
      <c r="K793" t="str">
        <f ca="1">IF(TRIM(Raw_Data!K793)="","No",PROPER(TRIM(Raw_Data!K793)))</f>
        <v>No</v>
      </c>
      <c r="L793" t="str">
        <f ca="1">PROPER(TRIM(Raw_Data!L793))</f>
        <v>General Fitness</v>
      </c>
      <c r="M793" t="s">
        <v>152</v>
      </c>
      <c r="N793" s="2">
        <f>IFERROR(DATEVALUE(Raw_Data!N793), Raw_Data!N793)</f>
        <v>46083</v>
      </c>
      <c r="O793" s="2"/>
      <c r="P793" t="str">
        <f>IF(COUNTIF($A$2:A793,A793)&gt;1,"Duplicate","Unique")</f>
        <v>Unique</v>
      </c>
      <c r="Q793" t="str">
        <f t="shared" si="24"/>
        <v>Cancelled but Active</v>
      </c>
      <c r="R793" t="str">
        <f t="shared" si="25"/>
        <v>Available</v>
      </c>
    </row>
    <row r="794" spans="1:18">
      <c r="A794" t="str">
        <f>TRIM(CLEAN(Raw_Data!A794))</f>
        <v>MEM0793</v>
      </c>
      <c r="B794" t="str">
        <f ca="1">TRIM(Raw_Data!B794)</f>
        <v>Aditya Desai</v>
      </c>
      <c r="C794" t="str">
        <f ca="1">_xlfn.XLOOKUP(D794, Branch_Master!A:A, Branch_Master!B:B)</f>
        <v>Hyderabad</v>
      </c>
      <c r="D794" t="str">
        <f ca="1">TRIM(Raw_Data!D794)</f>
        <v>BR04</v>
      </c>
      <c r="E794" t="str">
        <f ca="1">PROPER(TRIM(Raw_Data!E794))</f>
        <v>Basic</v>
      </c>
      <c r="F794" s="2">
        <f>IFERROR(DATEVALUE(Raw_Data!F794), Raw_Data!F794)</f>
        <v>45285</v>
      </c>
      <c r="G794" s="2">
        <f>IFERROR(
    IF(
        IFERROR(DATEVALUE(Raw_Data!G794), Raw_Data!G794) &lt;
        IFERROR(DATEVALUE(Raw_Data!F794), Raw_Data!F794),
        IFERROR(DATEVALUE(Raw_Data!F794), Raw_Data!F794) + 30,
        IFERROR(DATEVALUE(Raw_Data!G794), Raw_Data!G794)
    ),
    ""
)</f>
        <v>45650</v>
      </c>
      <c r="H794">
        <f>IFERROR(VALUE(Raw_Data!H794), "")</f>
        <v>2000</v>
      </c>
      <c r="I794">
        <f ca="1">IFERROR(VALUE(Raw_Data!I794), "")</f>
        <v>6000</v>
      </c>
      <c r="J794">
        <f>IFERROR(
    VALUE(SUBSTITUTE(Raw_Data!J794," visits","")),
    ""
)</f>
        <v>2</v>
      </c>
      <c r="K794" t="str">
        <f ca="1">IF(TRIM(Raw_Data!K794)="","No",PROPER(TRIM(Raw_Data!K794)))</f>
        <v>No</v>
      </c>
      <c r="L794" t="str">
        <f ca="1">PROPER(TRIM(Raw_Data!L794))</f>
        <v>Weight Loss</v>
      </c>
      <c r="M794" t="s">
        <v>151</v>
      </c>
      <c r="N794" s="2">
        <f>IFERROR(DATEVALUE(Raw_Data!N794), Raw_Data!N794)</f>
        <v>45316</v>
      </c>
      <c r="O794" s="2"/>
      <c r="P794" t="str">
        <f>IF(COUNTIF($A$2:A794,A794)&gt;1,"Duplicate","Unique")</f>
        <v>Unique</v>
      </c>
      <c r="Q794" t="str">
        <f t="shared" si="24"/>
        <v>OK</v>
      </c>
      <c r="R794" t="str">
        <f t="shared" si="25"/>
        <v>Available</v>
      </c>
    </row>
    <row r="795" spans="1:18">
      <c r="A795" t="str">
        <f>TRIM(CLEAN(Raw_Data!A795))</f>
        <v>MEM0794</v>
      </c>
      <c r="B795" t="str">
        <f ca="1">TRIM(Raw_Data!B795)</f>
        <v>Vivek Shaikh</v>
      </c>
      <c r="C795" t="str">
        <f ca="1">_xlfn.XLOOKUP(D795, Branch_Master!A:A, Branch_Master!B:B)</f>
        <v>Calicut</v>
      </c>
      <c r="D795" t="str">
        <f ca="1">TRIM(Raw_Data!D795)</f>
        <v>BR07</v>
      </c>
      <c r="E795" t="str">
        <f ca="1">PROPER(TRIM(Raw_Data!E795))</f>
        <v>Premium</v>
      </c>
      <c r="F795" s="2">
        <f>IFERROR(DATEVALUE(Raw_Data!F795), Raw_Data!F795)</f>
        <v>45861</v>
      </c>
      <c r="G795" s="2">
        <f>IFERROR(
    IF(
        IFERROR(DATEVALUE(Raw_Data!G795), Raw_Data!G795) &lt;
        IFERROR(DATEVALUE(Raw_Data!F795), Raw_Data!F795),
        IFERROR(DATEVALUE(Raw_Data!F795), Raw_Data!F795) + 30,
        IFERROR(DATEVALUE(Raw_Data!G795), Raw_Data!G795)
    ),
    ""
)</f>
        <v>45951</v>
      </c>
      <c r="H795">
        <f>IFERROR(VALUE(Raw_Data!H795), "")</f>
        <v>3500</v>
      </c>
      <c r="I795">
        <f ca="1">IFERROR(VALUE(Raw_Data!I795), "")</f>
        <v>35000</v>
      </c>
      <c r="J795">
        <f>IFERROR(
    VALUE(SUBSTITUTE(Raw_Data!J795," visits","")),
    ""
)</f>
        <v>9</v>
      </c>
      <c r="K795" t="str">
        <f ca="1">IF(TRIM(Raw_Data!K795)="","No",PROPER(TRIM(Raw_Data!K795)))</f>
        <v>No</v>
      </c>
      <c r="L795" t="str">
        <f ca="1">PROPER(TRIM(Raw_Data!L795))</f>
        <v>Weight Loss</v>
      </c>
      <c r="M795" t="s">
        <v>151</v>
      </c>
      <c r="N795" s="2">
        <f>IFERROR(DATEVALUE(Raw_Data!N795), Raw_Data!N795)</f>
        <v>45949</v>
      </c>
      <c r="O795" s="2"/>
      <c r="P795" t="str">
        <f>IF(COUNTIF($A$2:A795,A795)&gt;1,"Duplicate","Unique")</f>
        <v>Unique</v>
      </c>
      <c r="Q795" t="str">
        <f t="shared" si="24"/>
        <v>OK</v>
      </c>
      <c r="R795" t="str">
        <f t="shared" si="25"/>
        <v>Available</v>
      </c>
    </row>
    <row r="796" spans="1:18">
      <c r="A796" t="str">
        <f>TRIM(CLEAN(Raw_Data!A796))</f>
        <v>MEM0795</v>
      </c>
      <c r="B796" t="str">
        <f ca="1">TRIM(Raw_Data!B796)</f>
        <v>Sneha Chatterjee</v>
      </c>
      <c r="C796" t="str">
        <f ca="1">_xlfn.XLOOKUP(D796, Branch_Master!A:A, Branch_Master!B:B)</f>
        <v>Mumbai</v>
      </c>
      <c r="D796" t="str">
        <f ca="1">TRIM(Raw_Data!D796)</f>
        <v>BR05</v>
      </c>
      <c r="E796" t="str">
        <f ca="1">PROPER(TRIM(Raw_Data!E796))</f>
        <v>Basic</v>
      </c>
      <c r="F796" s="2">
        <f>IFERROR(DATEVALUE(Raw_Data!F796), Raw_Data!F796)</f>
        <v>45194</v>
      </c>
      <c r="G796" s="2">
        <f>IFERROR(
    IF(
        IFERROR(DATEVALUE(Raw_Data!G796), Raw_Data!G796) &lt;
        IFERROR(DATEVALUE(Raw_Data!F796), Raw_Data!F796),
        IFERROR(DATEVALUE(Raw_Data!F796), Raw_Data!F796) + 30,
        IFERROR(DATEVALUE(Raw_Data!G796), Raw_Data!G796)
    ),
    ""
)</f>
        <v>45224</v>
      </c>
      <c r="H796">
        <f>IFERROR(VALUE(Raw_Data!H796), "")</f>
        <v>3500</v>
      </c>
      <c r="I796">
        <f ca="1">IFERROR(VALUE(Raw_Data!I796), "")</f>
        <v>38500</v>
      </c>
      <c r="J796">
        <f>IFERROR(
    VALUE(SUBSTITUTE(Raw_Data!J796," visits","")),
    ""
)</f>
        <v>3</v>
      </c>
      <c r="K796" t="str">
        <f ca="1">IF(TRIM(Raw_Data!K796)="","No",PROPER(TRIM(Raw_Data!K796)))</f>
        <v>No</v>
      </c>
      <c r="L796" t="str">
        <f ca="1">PROPER(TRIM(Raw_Data!L796))</f>
        <v>Weight Loss</v>
      </c>
      <c r="M796" t="s">
        <v>151</v>
      </c>
      <c r="N796" s="2">
        <f>IFERROR(DATEVALUE(Raw_Data!N796), Raw_Data!N796)</f>
        <v>45710</v>
      </c>
      <c r="O796" s="2"/>
      <c r="P796" t="str">
        <f>IF(COUNTIF($A$2:A796,A796)&gt;1,"Duplicate","Unique")</f>
        <v>Unique</v>
      </c>
      <c r="Q796" t="str">
        <f t="shared" si="24"/>
        <v>OK</v>
      </c>
      <c r="R796" t="str">
        <f t="shared" si="25"/>
        <v>Available</v>
      </c>
    </row>
    <row r="797" spans="1:18">
      <c r="A797" t="str">
        <f>TRIM(CLEAN(Raw_Data!A797))</f>
        <v>MEM0796</v>
      </c>
      <c r="B797" t="str">
        <f ca="1">TRIM(Raw_Data!B797)</f>
        <v>Manoj Iyer</v>
      </c>
      <c r="C797" t="str">
        <f ca="1">_xlfn.XLOOKUP(D797, Branch_Master!A:A, Branch_Master!B:B)</f>
        <v>Bangalore</v>
      </c>
      <c r="D797" t="str">
        <f ca="1">TRIM(Raw_Data!D797)</f>
        <v>BR02</v>
      </c>
      <c r="E797" t="str">
        <f ca="1">PROPER(TRIM(Raw_Data!E797))</f>
        <v>Standard</v>
      </c>
      <c r="F797" s="2">
        <f>IFERROR(DATEVALUE(Raw_Data!F797), Raw_Data!F797)</f>
        <v>45964</v>
      </c>
      <c r="G797" s="2">
        <f>IFERROR(
    IF(
        IFERROR(DATEVALUE(Raw_Data!G797), Raw_Data!G797) &lt;
        IFERROR(DATEVALUE(Raw_Data!F797), Raw_Data!F797),
        IFERROR(DATEVALUE(Raw_Data!F797), Raw_Data!F797) + 30,
        IFERROR(DATEVALUE(Raw_Data!G797), Raw_Data!G797)
    ),
    ""
)</f>
        <v>46329</v>
      </c>
      <c r="H797">
        <f>IFERROR(VALUE(Raw_Data!H797), "")</f>
        <v>2000</v>
      </c>
      <c r="I797">
        <f ca="1">IFERROR(VALUE(Raw_Data!I797), "")</f>
        <v>14000</v>
      </c>
      <c r="J797">
        <f>IFERROR(
    VALUE(SUBSTITUTE(Raw_Data!J797," visits","")),
    ""
)</f>
        <v>23</v>
      </c>
      <c r="K797" t="str">
        <f ca="1">IF(TRIM(Raw_Data!K797)="","No",PROPER(TRIM(Raw_Data!K797)))</f>
        <v>No</v>
      </c>
      <c r="L797" t="str">
        <f ca="1">PROPER(TRIM(Raw_Data!L797))</f>
        <v>Weight Loss</v>
      </c>
      <c r="M797" t="s">
        <v>151</v>
      </c>
      <c r="N797" s="2">
        <f>IFERROR(DATEVALUE(Raw_Data!N797), Raw_Data!N797)</f>
        <v>46108</v>
      </c>
      <c r="O797" s="2"/>
      <c r="P797" t="str">
        <f>IF(COUNTIF($A$2:A797,A797)&gt;1,"Duplicate","Unique")</f>
        <v>Unique</v>
      </c>
      <c r="Q797" t="str">
        <f t="shared" si="24"/>
        <v>OK</v>
      </c>
      <c r="R797" t="str">
        <f t="shared" si="25"/>
        <v>Available</v>
      </c>
    </row>
    <row r="798" spans="1:18">
      <c r="A798" t="str">
        <f>TRIM(CLEAN(Raw_Data!A798))</f>
        <v>MEM0797</v>
      </c>
      <c r="B798" t="str">
        <f ca="1">TRIM(Raw_Data!B798)</f>
        <v>Siddharth Banerjee</v>
      </c>
      <c r="C798" t="str">
        <f ca="1">_xlfn.XLOOKUP(D798, Branch_Master!A:A, Branch_Master!B:B)</f>
        <v>Calicut</v>
      </c>
      <c r="D798" t="str">
        <f ca="1">TRIM(Raw_Data!D798)</f>
        <v>BR07</v>
      </c>
      <c r="E798" t="str">
        <f ca="1">PROPER(TRIM(Raw_Data!E798))</f>
        <v>Standard</v>
      </c>
      <c r="F798" s="2">
        <f>IFERROR(DATEVALUE(Raw_Data!F798), Raw_Data!F798)</f>
        <v>45108</v>
      </c>
      <c r="G798" s="2">
        <f>IFERROR(
    IF(
        IFERROR(DATEVALUE(Raw_Data!G798), Raw_Data!G798) &lt;
        IFERROR(DATEVALUE(Raw_Data!F798), Raw_Data!F798),
        IFERROR(DATEVALUE(Raw_Data!F798), Raw_Data!F798) + 30,
        IFERROR(DATEVALUE(Raw_Data!G798), Raw_Data!G798)
    ),
    ""
)</f>
        <v>45473</v>
      </c>
      <c r="H798">
        <f>IFERROR(VALUE(Raw_Data!H798), "")</f>
        <v>2000</v>
      </c>
      <c r="I798">
        <f ca="1">IFERROR(VALUE(Raw_Data!I798), "")</f>
        <v>8000</v>
      </c>
      <c r="J798">
        <f>IFERROR(
    VALUE(SUBSTITUTE(Raw_Data!J798," visits","")),
    ""
)</f>
        <v>16</v>
      </c>
      <c r="K798" t="str">
        <f ca="1">IF(TRIM(Raw_Data!K798)="","No",PROPER(TRIM(Raw_Data!K798)))</f>
        <v>No</v>
      </c>
      <c r="L798" t="str">
        <f ca="1">PROPER(TRIM(Raw_Data!L798))</f>
        <v>Muscle Gain</v>
      </c>
      <c r="M798" t="s">
        <v>151</v>
      </c>
      <c r="N798" s="2">
        <f>IFERROR(DATEVALUE(Raw_Data!N798), Raw_Data!N798)</f>
        <v>45559</v>
      </c>
      <c r="O798" s="2"/>
      <c r="P798" t="str">
        <f>IF(COUNTIF($A$2:A798,A798)&gt;1,"Duplicate","Unique")</f>
        <v>Unique</v>
      </c>
      <c r="Q798" t="str">
        <f t="shared" si="24"/>
        <v>OK</v>
      </c>
      <c r="R798" t="str">
        <f t="shared" si="25"/>
        <v>Available</v>
      </c>
    </row>
    <row r="799" spans="1:18">
      <c r="A799" t="str">
        <f>TRIM(CLEAN(Raw_Data!A799))</f>
        <v>MEM0798</v>
      </c>
      <c r="B799" t="str">
        <f ca="1">TRIM(Raw_Data!B799)</f>
        <v>Arjun Verma</v>
      </c>
      <c r="C799" t="str">
        <f ca="1">_xlfn.XLOOKUP(D799, Branch_Master!A:A, Branch_Master!B:B)</f>
        <v>Hyderabad</v>
      </c>
      <c r="D799" t="str">
        <f ca="1">TRIM(Raw_Data!D799)</f>
        <v>BR04</v>
      </c>
      <c r="E799" t="str">
        <f ca="1">PROPER(TRIM(Raw_Data!E799))</f>
        <v>Standard</v>
      </c>
      <c r="F799" s="2">
        <f>IFERROR(DATEVALUE(Raw_Data!F799), Raw_Data!F799)</f>
        <v>45627</v>
      </c>
      <c r="G799" s="2">
        <f>IFERROR(
    IF(
        IFERROR(DATEVALUE(Raw_Data!G799), Raw_Data!G799) &lt;
        IFERROR(DATEVALUE(Raw_Data!F799), Raw_Data!F799),
        IFERROR(DATEVALUE(Raw_Data!F799), Raw_Data!F799) + 30,
        IFERROR(DATEVALUE(Raw_Data!G799), Raw_Data!G799)
    ),
    ""
)</f>
        <v>45657</v>
      </c>
      <c r="H799">
        <f>IFERROR(VALUE(Raw_Data!H799), "")</f>
        <v>2000</v>
      </c>
      <c r="I799">
        <f ca="1">IFERROR(VALUE(Raw_Data!I799), "")</f>
        <v>20000</v>
      </c>
      <c r="J799">
        <f>IFERROR(
    VALUE(SUBSTITUTE(Raw_Data!J799," visits","")),
    ""
)</f>
        <v>4</v>
      </c>
      <c r="K799" t="str">
        <f ca="1">IF(TRIM(Raw_Data!K799)="","No",PROPER(TRIM(Raw_Data!K799)))</f>
        <v>No</v>
      </c>
      <c r="L799" t="str">
        <f ca="1">PROPER(TRIM(Raw_Data!L799))</f>
        <v>Muscle Gain</v>
      </c>
      <c r="M799" t="s">
        <v>151</v>
      </c>
      <c r="N799" s="2">
        <f>IFERROR(DATEVALUE(Raw_Data!N799), Raw_Data!N799)</f>
        <v>45680</v>
      </c>
      <c r="O799" s="2"/>
      <c r="P799" t="str">
        <f>IF(COUNTIF($A$2:A799,A799)&gt;1,"Duplicate","Unique")</f>
        <v>Unique</v>
      </c>
      <c r="Q799" t="str">
        <f t="shared" si="24"/>
        <v>OK</v>
      </c>
      <c r="R799" t="str">
        <f t="shared" si="25"/>
        <v>Available</v>
      </c>
    </row>
    <row r="800" spans="1:18">
      <c r="A800" t="str">
        <f>TRIM(CLEAN(Raw_Data!A800))</f>
        <v>MEM0799</v>
      </c>
      <c r="B800" t="str">
        <f ca="1">TRIM(Raw_Data!B800)</f>
        <v>Aditya Thomas</v>
      </c>
      <c r="C800" t="str">
        <f ca="1">_xlfn.XLOOKUP(D800, Branch_Master!A:A, Branch_Master!B:B)</f>
        <v>Hyderabad</v>
      </c>
      <c r="D800" t="str">
        <f ca="1">TRIM(Raw_Data!D800)</f>
        <v>BR04</v>
      </c>
      <c r="E800" t="str">
        <f ca="1">PROPER(TRIM(Raw_Data!E800))</f>
        <v>Basic</v>
      </c>
      <c r="F800" s="2">
        <f>IFERROR(DATEVALUE(Raw_Data!F800), Raw_Data!F800)</f>
        <v>45192</v>
      </c>
      <c r="G800" s="2">
        <f>IFERROR(
    IF(
        IFERROR(DATEVALUE(Raw_Data!G800), Raw_Data!G800) &lt;
        IFERROR(DATEVALUE(Raw_Data!F800), Raw_Data!F800),
        IFERROR(DATEVALUE(Raw_Data!F800), Raw_Data!F800) + 30,
        IFERROR(DATEVALUE(Raw_Data!G800), Raw_Data!G800)
    ),
    ""
)</f>
        <v>45282</v>
      </c>
      <c r="H800">
        <f>IFERROR(VALUE(Raw_Data!H800), "")</f>
        <v>1000</v>
      </c>
      <c r="I800">
        <f ca="1">IFERROR(VALUE(Raw_Data!I800), "")</f>
        <v>6000</v>
      </c>
      <c r="J800">
        <f>IFERROR(
    VALUE(SUBSTITUTE(Raw_Data!J800," visits","")),
    ""
)</f>
        <v>1</v>
      </c>
      <c r="K800" t="str">
        <f ca="1">IF(TRIM(Raw_Data!K800)="","No",PROPER(TRIM(Raw_Data!K800)))</f>
        <v>Yes</v>
      </c>
      <c r="L800" t="str">
        <f ca="1">PROPER(TRIM(Raw_Data!L800))</f>
        <v>General Fitness</v>
      </c>
      <c r="M800" t="s">
        <v>152</v>
      </c>
      <c r="N800" s="2">
        <f>IFERROR(DATEVALUE(Raw_Data!N800), Raw_Data!N800)</f>
        <v>45826</v>
      </c>
      <c r="O800" s="2"/>
      <c r="P800" t="str">
        <f>IF(COUNTIF($A$2:A800,A800)&gt;1,"Duplicate","Unique")</f>
        <v>Unique</v>
      </c>
      <c r="Q800" t="str">
        <f t="shared" si="24"/>
        <v>Cancelled but Active</v>
      </c>
      <c r="R800" t="str">
        <f t="shared" si="25"/>
        <v>Available</v>
      </c>
    </row>
    <row r="801" spans="1:18">
      <c r="A801" t="str">
        <f>TRIM(CLEAN(Raw_Data!A801))</f>
        <v>MEM0800</v>
      </c>
      <c r="B801" t="str">
        <f ca="1">TRIM(Raw_Data!B801)</f>
        <v>Ayesha Agarwal</v>
      </c>
      <c r="C801" t="str">
        <f ca="1">_xlfn.XLOOKUP(D801, Branch_Master!A:A, Branch_Master!B:B)</f>
        <v>Kochi</v>
      </c>
      <c r="D801" t="str">
        <f ca="1">TRIM(Raw_Data!D801)</f>
        <v>BR01</v>
      </c>
      <c r="E801" t="str">
        <f ca="1">PROPER(TRIM(Raw_Data!E801))</f>
        <v>Standard</v>
      </c>
      <c r="F801" s="2">
        <f>IFERROR(DATEVALUE(Raw_Data!F801), Raw_Data!F801)</f>
        <v>45975</v>
      </c>
      <c r="G801" s="2">
        <f>IFERROR(
    IF(
        IFERROR(DATEVALUE(Raw_Data!G801), Raw_Data!G801) &lt;
        IFERROR(DATEVALUE(Raw_Data!F801), Raw_Data!F801),
        IFERROR(DATEVALUE(Raw_Data!F801), Raw_Data!F801) + 30,
        IFERROR(DATEVALUE(Raw_Data!G801), Raw_Data!G801)
    ),
    ""
)</f>
        <v>46065</v>
      </c>
      <c r="H801">
        <f>IFERROR(VALUE(Raw_Data!H801), "")</f>
        <v>3500</v>
      </c>
      <c r="I801">
        <f ca="1">IFERROR(VALUE(Raw_Data!I801), "")</f>
        <v>35000</v>
      </c>
      <c r="J801">
        <f>IFERROR(
    VALUE(SUBSTITUTE(Raw_Data!J801," visits","")),
    ""
)</f>
        <v>4</v>
      </c>
      <c r="K801" t="str">
        <f ca="1">IF(TRIM(Raw_Data!K801)="","No",PROPER(TRIM(Raw_Data!K801)))</f>
        <v>No</v>
      </c>
      <c r="L801" t="str">
        <f ca="1">PROPER(TRIM(Raw_Data!L801))</f>
        <v>Muscle Gain</v>
      </c>
      <c r="M801" t="s">
        <v>152</v>
      </c>
      <c r="N801" s="2">
        <f>IFERROR(DATEVALUE(Raw_Data!N801), Raw_Data!N801)</f>
        <v>46096</v>
      </c>
      <c r="O801" s="2"/>
      <c r="P801" t="str">
        <f>IF(COUNTIF($A$2:A801,A801)&gt;1,"Duplicate","Unique")</f>
        <v>Unique</v>
      </c>
      <c r="Q801" t="str">
        <f t="shared" si="24"/>
        <v>Cancelled but Active</v>
      </c>
      <c r="R801" t="str">
        <f t="shared" si="25"/>
        <v>Available</v>
      </c>
    </row>
    <row r="802" spans="1:18">
      <c r="A802" t="str">
        <f>TRIM(CLEAN(Raw_Data!A802))</f>
        <v>MEM0801</v>
      </c>
      <c r="B802" t="str">
        <f ca="1">TRIM(CLEAN(Raw_Data!B802))</f>
        <v>Sanjay Lewis</v>
      </c>
      <c r="C802" t="str">
        <f ca="1">_xlfn.XLOOKUP(D802, Branch_Master!A:A, Branch_Master!B:B)</f>
        <v>Hyderabad</v>
      </c>
      <c r="D802" t="str">
        <f ca="1">TRIM(CLEAN(Raw_Data!D802))</f>
        <v>BR04</v>
      </c>
      <c r="E802" t="str">
        <f ca="1">PROPER(TRIM(Raw_Data!E802))</f>
        <v>Premium</v>
      </c>
      <c r="F802" s="2">
        <f>IFERROR(DATEVALUE(Raw_Data!F802), Raw_Data!F802)</f>
        <v>45630</v>
      </c>
      <c r="G802" s="2">
        <f>IFERROR(
    IF(
        IFERROR(DATEVALUE(Raw_Data!G802), Raw_Data!G802) &lt;
        IFERROR(DATEVALUE(Raw_Data!F802), Raw_Data!F802),
        IFERROR(DATEVALUE(Raw_Data!F802), Raw_Data!F802) + 30,
        IFERROR(DATEVALUE(Raw_Data!G802), Raw_Data!G802)
    ),
    ""
)</f>
        <v>45995</v>
      </c>
      <c r="H802">
        <f>IFERROR(VALUE(Raw_Data!H802), "")</f>
        <v>1000</v>
      </c>
      <c r="I802">
        <f ca="1">IFERROR(VALUE(Raw_Data!I802), "")</f>
        <v>5000</v>
      </c>
      <c r="J802" t="str">
        <f>IFERROR(
    VALUE(SUBSTITUTE(Raw_Data!J802," visits","")),
    ""
)</f>
        <v/>
      </c>
      <c r="K802" t="str">
        <f ca="1">TRIM(CLEAN(Raw_Data!K802))</f>
        <v>Yes</v>
      </c>
      <c r="L802" t="str">
        <f ca="1">TRIM(CLEAN(Raw_Data!L802))</f>
        <v>General Fitness</v>
      </c>
      <c r="M802" t="str">
        <f ca="1">TRIM(CLEAN(Raw_Data!M802))</f>
        <v>Cancelled</v>
      </c>
      <c r="N802" t="str">
        <f>TRIM(CLEAN(Raw_Data!N802))</f>
        <v>46022</v>
      </c>
      <c r="O802" s="2"/>
      <c r="P802" t="str">
        <f>IF(COUNTIF($A$2:A802,A802)&gt;1,"Duplicate","Unique")</f>
        <v>Unique</v>
      </c>
      <c r="Q802" t="str">
        <f t="shared" ca="1" si="24"/>
        <v>Cancelled but Active</v>
      </c>
      <c r="R802" t="str">
        <f t="shared" si="25"/>
        <v>Available</v>
      </c>
    </row>
    <row r="803" spans="1:18">
      <c r="A803" t="str">
        <f>TRIM(CLEAN(Raw_Data!A803))</f>
        <v>MEM0802</v>
      </c>
      <c r="B803" t="str">
        <f ca="1">TRIM(CLEAN(Raw_Data!B803))</f>
        <v>Lakshmi Iyer</v>
      </c>
      <c r="C803" t="str">
        <f ca="1">_xlfn.XLOOKUP(D803, Branch_Master!A:A, Branch_Master!B:B)</f>
        <v>Chennai</v>
      </c>
      <c r="D803" t="str">
        <f ca="1">TRIM(CLEAN(Raw_Data!D803))</f>
        <v>BR03</v>
      </c>
      <c r="E803" t="str">
        <f ca="1">PROPER(TRIM(Raw_Data!E803))</f>
        <v>Standard</v>
      </c>
      <c r="F803" s="2">
        <f>IFERROR(DATEVALUE(Raw_Data!F803), Raw_Data!F803)</f>
        <v>45794</v>
      </c>
      <c r="G803" s="2">
        <f>IFERROR(
    IF(
        IFERROR(DATEVALUE(Raw_Data!G803), Raw_Data!G803) &lt;
        IFERROR(DATEVALUE(Raw_Data!F803), Raw_Data!F803),
        IFERROR(DATEVALUE(Raw_Data!F803), Raw_Data!F803) + 30,
        IFERROR(DATEVALUE(Raw_Data!G803), Raw_Data!G803)
    ),
    ""
)</f>
        <v>45824</v>
      </c>
      <c r="H803">
        <f>IFERROR(VALUE(Raw_Data!H803), "")</f>
        <v>3500</v>
      </c>
      <c r="I803">
        <f ca="1">IFERROR(VALUE(Raw_Data!I803), "")</f>
        <v>38500</v>
      </c>
      <c r="J803" t="str">
        <f>IFERROR(
    VALUE(SUBSTITUTE(Raw_Data!J803," visits","")),
    ""
)</f>
        <v/>
      </c>
      <c r="K803" t="str">
        <f ca="1">TRIM(CLEAN(Raw_Data!K803))</f>
        <v>No</v>
      </c>
      <c r="L803" t="str">
        <f ca="1">TRIM(CLEAN(Raw_Data!L803))</f>
        <v>Muscle Gain</v>
      </c>
      <c r="M803" t="str">
        <f ca="1">TRIM(CLEAN(Raw_Data!M803))</f>
        <v>Cancelled</v>
      </c>
      <c r="N803" t="str">
        <f>TRIM(CLEAN(Raw_Data!N803))</f>
        <v>46050</v>
      </c>
      <c r="O803" s="2"/>
      <c r="P803" t="str">
        <f>IF(COUNTIF($A$2:A803,A803)&gt;1,"Duplicate","Unique")</f>
        <v>Unique</v>
      </c>
      <c r="Q803" t="str">
        <f t="shared" ca="1" si="24"/>
        <v>Cancelled but Active</v>
      </c>
      <c r="R803" t="str">
        <f t="shared" si="25"/>
        <v>Available</v>
      </c>
    </row>
    <row r="804" spans="1:18">
      <c r="A804" t="str">
        <f>TRIM(CLEAN(Raw_Data!A804))</f>
        <v>MEM0803</v>
      </c>
      <c r="B804" t="str">
        <f ca="1">TRIM(CLEAN(Raw_Data!B804))</f>
        <v>Siddharth Pillai</v>
      </c>
      <c r="C804" t="str">
        <f ca="1">_xlfn.XLOOKUP(D804, Branch_Master!A:A, Branch_Master!B:B)</f>
        <v>Bangalore</v>
      </c>
      <c r="D804" t="str">
        <f ca="1">TRIM(CLEAN(Raw_Data!D804))</f>
        <v>BR02</v>
      </c>
      <c r="E804" t="str">
        <f ca="1">PROPER(TRIM(Raw_Data!E804))</f>
        <v>Premium</v>
      </c>
      <c r="F804" s="2">
        <f>IFERROR(DATEVALUE(Raw_Data!F804), Raw_Data!F804)</f>
        <v>45919</v>
      </c>
      <c r="G804" s="2">
        <f>IFERROR(
    IF(
        IFERROR(DATEVALUE(Raw_Data!G804), Raw_Data!G804) &lt;
        IFERROR(DATEVALUE(Raw_Data!F804), Raw_Data!F804),
        IFERROR(DATEVALUE(Raw_Data!F804), Raw_Data!F804) + 30,
        IFERROR(DATEVALUE(Raw_Data!G804), Raw_Data!G804)
    ),
    ""
)</f>
        <v>45949</v>
      </c>
      <c r="H804">
        <f>IFERROR(VALUE(Raw_Data!H804), "")</f>
        <v>3500</v>
      </c>
      <c r="I804">
        <f ca="1">IFERROR(VALUE(Raw_Data!I804), "")</f>
        <v>28000</v>
      </c>
      <c r="J804" t="str">
        <f>IFERROR(
    VALUE(SUBSTITUTE(Raw_Data!J804," visits","")),
    ""
)</f>
        <v/>
      </c>
      <c r="K804" t="str">
        <f ca="1">TRIM(CLEAN(Raw_Data!K804))</f>
        <v>No</v>
      </c>
      <c r="L804" t="str">
        <f ca="1">TRIM(CLEAN(Raw_Data!L804))</f>
        <v>General Fitness</v>
      </c>
      <c r="M804" t="str">
        <f ca="1">TRIM(CLEAN(Raw_Data!M804))</f>
        <v>Cancelled</v>
      </c>
      <c r="N804" t="str">
        <f>TRIM(CLEAN(Raw_Data!N804))</f>
        <v>45257</v>
      </c>
      <c r="O804" s="2"/>
      <c r="P804" t="str">
        <f>IF(COUNTIF($A$2:A804,A804)&gt;1,"Duplicate","Unique")</f>
        <v>Unique</v>
      </c>
      <c r="Q804" t="str">
        <f t="shared" ca="1" si="24"/>
        <v>Cancelled but Active</v>
      </c>
      <c r="R804" t="str">
        <f t="shared" si="25"/>
        <v>Available</v>
      </c>
    </row>
    <row r="805" spans="1:18">
      <c r="A805" t="str">
        <f>TRIM(CLEAN(Raw_Data!A805))</f>
        <v>MEM0804</v>
      </c>
      <c r="B805" t="str">
        <f ca="1">TRIM(CLEAN(Raw_Data!B805))</f>
        <v>Pooja Desai</v>
      </c>
      <c r="C805" t="str">
        <f ca="1">_xlfn.XLOOKUP(D805, Branch_Master!A:A, Branch_Master!B:B)</f>
        <v>Trivandrum</v>
      </c>
      <c r="D805" t="str">
        <f ca="1">TRIM(CLEAN(Raw_Data!D805))</f>
        <v>BR06</v>
      </c>
      <c r="E805" t="str">
        <f ca="1">PROPER(TRIM(Raw_Data!E805))</f>
        <v>Premium</v>
      </c>
      <c r="F805" s="2">
        <f>IFERROR(DATEVALUE(Raw_Data!F805), Raw_Data!F805)</f>
        <v>45439</v>
      </c>
      <c r="G805" s="2">
        <f>IFERROR(
    IF(
        IFERROR(DATEVALUE(Raw_Data!G805), Raw_Data!G805) &lt;
        IFERROR(DATEVALUE(Raw_Data!F805), Raw_Data!F805),
        IFERROR(DATEVALUE(Raw_Data!F805), Raw_Data!F805) + 30,
        IFERROR(DATEVALUE(Raw_Data!G805), Raw_Data!G805)
    ),
    ""
)</f>
        <v>45804</v>
      </c>
      <c r="H805">
        <f>IFERROR(VALUE(Raw_Data!H805), "")</f>
        <v>3500</v>
      </c>
      <c r="I805">
        <f ca="1">IFERROR(VALUE(Raw_Data!I805), "")</f>
        <v>10500</v>
      </c>
      <c r="J805" t="str">
        <f>IFERROR(
    VALUE(SUBSTITUTE(Raw_Data!J805," visits","")),
    ""
)</f>
        <v/>
      </c>
      <c r="K805" t="str">
        <f ca="1">TRIM(CLEAN(Raw_Data!K805))</f>
        <v>No</v>
      </c>
      <c r="L805" t="str">
        <f ca="1">TRIM(CLEAN(Raw_Data!L805))</f>
        <v>Muscle Gain</v>
      </c>
      <c r="M805" t="str">
        <f ca="1">TRIM(CLEAN(Raw_Data!M805))</f>
        <v>Active</v>
      </c>
      <c r="N805" t="str">
        <f>TRIM(CLEAN(Raw_Data!N805))</f>
        <v>45937</v>
      </c>
      <c r="O805" s="2"/>
      <c r="P805" t="str">
        <f>IF(COUNTIF($A$2:A805,A805)&gt;1,"Duplicate","Unique")</f>
        <v>Unique</v>
      </c>
      <c r="Q805" t="str">
        <f t="shared" ca="1" si="24"/>
        <v>Invalid Attendance</v>
      </c>
      <c r="R805" t="str">
        <f t="shared" si="25"/>
        <v>Available</v>
      </c>
    </row>
    <row r="806" spans="1:18">
      <c r="A806" t="str">
        <f>TRIM(CLEAN(Raw_Data!A806))</f>
        <v>MEM0805</v>
      </c>
      <c r="B806" t="str">
        <f ca="1">TRIM(CLEAN(Raw_Data!B806))</f>
        <v>Harish Joshi</v>
      </c>
      <c r="C806" t="str">
        <f ca="1">_xlfn.XLOOKUP(D806, Branch_Master!A:A, Branch_Master!B:B)</f>
        <v>Trivandrum</v>
      </c>
      <c r="D806" t="str">
        <f ca="1">TRIM(CLEAN(Raw_Data!D806))</f>
        <v>BR06</v>
      </c>
      <c r="E806" t="str">
        <f ca="1">PROPER(TRIM(Raw_Data!E806))</f>
        <v>Premium</v>
      </c>
      <c r="F806" s="2">
        <f>IFERROR(DATEVALUE(Raw_Data!F806), Raw_Data!F806)</f>
        <v>45635</v>
      </c>
      <c r="G806" s="2">
        <f>IFERROR(
    IF(
        IFERROR(DATEVALUE(Raw_Data!G806), Raw_Data!G806) &lt;
        IFERROR(DATEVALUE(Raw_Data!F806), Raw_Data!F806),
        IFERROR(DATEVALUE(Raw_Data!F806), Raw_Data!F806) + 30,
        IFERROR(DATEVALUE(Raw_Data!G806), Raw_Data!G806)
    ),
    ""
)</f>
        <v>45725</v>
      </c>
      <c r="H806">
        <f>IFERROR(VALUE(Raw_Data!H806), "")</f>
        <v>1000</v>
      </c>
      <c r="I806">
        <f ca="1">IFERROR(VALUE(Raw_Data!I806), "")</f>
        <v>4000</v>
      </c>
      <c r="J806" t="str">
        <f>IFERROR(
    VALUE(SUBSTITUTE(Raw_Data!J806," visits","")),
    ""
)</f>
        <v/>
      </c>
      <c r="K806" t="str">
        <f ca="1">TRIM(CLEAN(Raw_Data!K806))</f>
        <v>Yes</v>
      </c>
      <c r="L806" t="str">
        <f ca="1">TRIM(CLEAN(Raw_Data!L806))</f>
        <v>General Fitness</v>
      </c>
      <c r="M806" t="str">
        <f ca="1">TRIM(CLEAN(Raw_Data!M806))</f>
        <v>Active</v>
      </c>
      <c r="N806" t="str">
        <f>TRIM(CLEAN(Raw_Data!N806))</f>
        <v>45960</v>
      </c>
      <c r="O806" s="2"/>
      <c r="P806" t="str">
        <f>IF(COUNTIF($A$2:A806,A806)&gt;1,"Duplicate","Unique")</f>
        <v>Unique</v>
      </c>
      <c r="Q806" t="str">
        <f t="shared" ca="1" si="24"/>
        <v>Invalid Attendance</v>
      </c>
      <c r="R806" t="str">
        <f t="shared" si="25"/>
        <v>Available</v>
      </c>
    </row>
    <row r="807" spans="1:18">
      <c r="A807" t="str">
        <f>TRIM(CLEAN(Raw_Data!A807))</f>
        <v>MEM0806</v>
      </c>
      <c r="B807" t="str">
        <f ca="1">TRIM(CLEAN(Raw_Data!B807))</f>
        <v>Zara Verma</v>
      </c>
      <c r="C807" t="str">
        <f ca="1">_xlfn.XLOOKUP(D807, Branch_Master!A:A, Branch_Master!B:B)</f>
        <v>Trivandrum</v>
      </c>
      <c r="D807" t="str">
        <f ca="1">TRIM(CLEAN(Raw_Data!D807))</f>
        <v>BR06</v>
      </c>
      <c r="E807" t="str">
        <f ca="1">PROPER(TRIM(Raw_Data!E807))</f>
        <v>Premium</v>
      </c>
      <c r="F807" s="2">
        <f>IFERROR(DATEVALUE(Raw_Data!F807), Raw_Data!F807)</f>
        <v>46018</v>
      </c>
      <c r="G807" s="2">
        <f>IFERROR(
    IF(
        IFERROR(DATEVALUE(Raw_Data!G807), Raw_Data!G807) &lt;
        IFERROR(DATEVALUE(Raw_Data!F807), Raw_Data!F807),
        IFERROR(DATEVALUE(Raw_Data!F807), Raw_Data!F807) + 30,
        IFERROR(DATEVALUE(Raw_Data!G807), Raw_Data!G807)
    ),
    ""
)</f>
        <v>46108</v>
      </c>
      <c r="H807">
        <f>IFERROR(VALUE(Raw_Data!H807), "")</f>
        <v>3500</v>
      </c>
      <c r="I807">
        <f ca="1">IFERROR(VALUE(Raw_Data!I807), "")</f>
        <v>17500</v>
      </c>
      <c r="J807" t="str">
        <f>IFERROR(
    VALUE(SUBSTITUTE(Raw_Data!J807," visits","")),
    ""
)</f>
        <v/>
      </c>
      <c r="K807" t="str">
        <f ca="1">TRIM(CLEAN(Raw_Data!K807))</f>
        <v>Yes</v>
      </c>
      <c r="L807" t="str">
        <f ca="1">TRIM(CLEAN(Raw_Data!L807))</f>
        <v>General Fitness</v>
      </c>
      <c r="M807" t="str">
        <f ca="1">TRIM(CLEAN(Raw_Data!M807))</f>
        <v>Cancelled</v>
      </c>
      <c r="N807" t="str">
        <f>TRIM(CLEAN(Raw_Data!N807))</f>
        <v>46011</v>
      </c>
      <c r="O807" s="2"/>
      <c r="P807" t="str">
        <f>IF(COUNTIF($A$2:A807,A807)&gt;1,"Duplicate","Unique")</f>
        <v>Unique</v>
      </c>
      <c r="Q807" t="str">
        <f t="shared" ca="1" si="24"/>
        <v>Cancelled but Active</v>
      </c>
      <c r="R807" t="str">
        <f t="shared" si="25"/>
        <v>Available</v>
      </c>
    </row>
    <row r="808" spans="1:18">
      <c r="A808" t="str">
        <f>TRIM(CLEAN(Raw_Data!A808))</f>
        <v>MEM0807</v>
      </c>
      <c r="B808" t="str">
        <f ca="1">TRIM(CLEAN(Raw_Data!B808))</f>
        <v>Akash Gupta</v>
      </c>
      <c r="C808" t="str">
        <f ca="1">_xlfn.XLOOKUP(D808, Branch_Master!A:A, Branch_Master!B:B)</f>
        <v>Chennai</v>
      </c>
      <c r="D808" t="str">
        <f ca="1">TRIM(CLEAN(Raw_Data!D808))</f>
        <v>BR03</v>
      </c>
      <c r="E808" t="str">
        <f ca="1">PROPER(TRIM(Raw_Data!E808))</f>
        <v>Standard</v>
      </c>
      <c r="F808" s="2">
        <f>IFERROR(DATEVALUE(Raw_Data!F808), Raw_Data!F808)</f>
        <v>45474</v>
      </c>
      <c r="G808" s="2">
        <f>IFERROR(
    IF(
        IFERROR(DATEVALUE(Raw_Data!G808), Raw_Data!G808) &lt;
        IFERROR(DATEVALUE(Raw_Data!F808), Raw_Data!F808),
        IFERROR(DATEVALUE(Raw_Data!F808), Raw_Data!F808) + 30,
        IFERROR(DATEVALUE(Raw_Data!G808), Raw_Data!G808)
    ),
    ""
)</f>
        <v>45504</v>
      </c>
      <c r="H808">
        <f>IFERROR(VALUE(Raw_Data!H808), "")</f>
        <v>3500</v>
      </c>
      <c r="I808">
        <f ca="1">IFERROR(VALUE(Raw_Data!I808), "")</f>
        <v>24500</v>
      </c>
      <c r="J808" t="str">
        <f>IFERROR(
    VALUE(SUBSTITUTE(Raw_Data!J808," visits","")),
    ""
)</f>
        <v/>
      </c>
      <c r="K808" t="str">
        <f ca="1">TRIM(CLEAN(Raw_Data!K808))</f>
        <v>Yes</v>
      </c>
      <c r="L808" t="str">
        <f ca="1">TRIM(CLEAN(Raw_Data!L808))</f>
        <v>Weight Loss</v>
      </c>
      <c r="M808" t="str">
        <f ca="1">TRIM(CLEAN(Raw_Data!M808))</f>
        <v>Active</v>
      </c>
      <c r="N808" t="str">
        <f>TRIM(CLEAN(Raw_Data!N808))</f>
        <v>45649</v>
      </c>
      <c r="O808" s="2"/>
      <c r="P808" t="str">
        <f>IF(COUNTIF($A$2:A808,A808)&gt;1,"Duplicate","Unique")</f>
        <v>Unique</v>
      </c>
      <c r="Q808" t="str">
        <f t="shared" ca="1" si="24"/>
        <v>Invalid Attendance</v>
      </c>
      <c r="R808" t="str">
        <f t="shared" si="25"/>
        <v>Available</v>
      </c>
    </row>
    <row r="809" spans="1:18">
      <c r="A809" t="str">
        <f>TRIM(CLEAN(Raw_Data!A809))</f>
        <v>MEM0808</v>
      </c>
      <c r="B809" t="str">
        <f ca="1">TRIM(CLEAN(Raw_Data!B809))</f>
        <v>Shreya Agarwal</v>
      </c>
      <c r="C809" t="str">
        <f ca="1">_xlfn.XLOOKUP(D809, Branch_Master!A:A, Branch_Master!B:B)</f>
        <v>Hyderabad</v>
      </c>
      <c r="D809" t="str">
        <f ca="1">TRIM(CLEAN(Raw_Data!D809))</f>
        <v>BR04</v>
      </c>
      <c r="E809" t="str">
        <f ca="1">PROPER(TRIM(Raw_Data!E809))</f>
        <v>Basic</v>
      </c>
      <c r="F809" s="2">
        <f>IFERROR(DATEVALUE(Raw_Data!F809), Raw_Data!F809)</f>
        <v>45948</v>
      </c>
      <c r="G809" s="2">
        <f>IFERROR(
    IF(
        IFERROR(DATEVALUE(Raw_Data!G809), Raw_Data!G809) &lt;
        IFERROR(DATEVALUE(Raw_Data!F809), Raw_Data!F809),
        IFERROR(DATEVALUE(Raw_Data!F809), Raw_Data!F809) + 30,
        IFERROR(DATEVALUE(Raw_Data!G809), Raw_Data!G809)
    ),
    ""
)</f>
        <v>46313</v>
      </c>
      <c r="H809">
        <f>IFERROR(VALUE(Raw_Data!H809), "")</f>
        <v>1000</v>
      </c>
      <c r="I809">
        <f ca="1">IFERROR(VALUE(Raw_Data!I809), "")</f>
        <v>8000</v>
      </c>
      <c r="J809" t="str">
        <f>IFERROR(
    VALUE(SUBSTITUTE(Raw_Data!J809," visits","")),
    ""
)</f>
        <v/>
      </c>
      <c r="K809" t="str">
        <f ca="1">TRIM(CLEAN(Raw_Data!K809))</f>
        <v>Yes</v>
      </c>
      <c r="L809" t="str">
        <f ca="1">TRIM(CLEAN(Raw_Data!L809))</f>
        <v>General Fitness</v>
      </c>
      <c r="M809" t="str">
        <f ca="1">TRIM(CLEAN(Raw_Data!M809))</f>
        <v>Active</v>
      </c>
      <c r="N809" t="str">
        <f>TRIM(CLEAN(Raw_Data!N809))</f>
        <v>46071</v>
      </c>
      <c r="O809" s="2"/>
      <c r="P809" t="str">
        <f>IF(COUNTIF($A$2:A809,A809)&gt;1,"Duplicate","Unique")</f>
        <v>Unique</v>
      </c>
      <c r="Q809" t="str">
        <f t="shared" ca="1" si="24"/>
        <v>Invalid Attendance</v>
      </c>
      <c r="R809" t="str">
        <f t="shared" si="25"/>
        <v>Available</v>
      </c>
    </row>
    <row r="810" spans="1:18">
      <c r="A810" t="str">
        <f>TRIM(CLEAN(Raw_Data!A810))</f>
        <v>MEM0809</v>
      </c>
      <c r="B810" t="str">
        <f ca="1">TRIM(CLEAN(Raw_Data!B810))</f>
        <v>Swathi Menon</v>
      </c>
      <c r="C810" t="str">
        <f ca="1">_xlfn.XLOOKUP(D810, Branch_Master!A:A, Branch_Master!B:B)</f>
        <v>Hyderabad</v>
      </c>
      <c r="D810" t="str">
        <f ca="1">TRIM(CLEAN(Raw_Data!D810))</f>
        <v>BR04</v>
      </c>
      <c r="E810" t="str">
        <f ca="1">PROPER(TRIM(Raw_Data!E810))</f>
        <v>Standard</v>
      </c>
      <c r="F810" s="2">
        <f>IFERROR(DATEVALUE(Raw_Data!F810), Raw_Data!F810)</f>
        <v>45098</v>
      </c>
      <c r="G810" s="2">
        <f>IFERROR(
    IF(
        IFERROR(DATEVALUE(Raw_Data!G810), Raw_Data!G810) &lt;
        IFERROR(DATEVALUE(Raw_Data!F810), Raw_Data!F810),
        IFERROR(DATEVALUE(Raw_Data!F810), Raw_Data!F810) + 30,
        IFERROR(DATEVALUE(Raw_Data!G810), Raw_Data!G810)
    ),
    ""
)</f>
        <v>45463</v>
      </c>
      <c r="H810">
        <f>IFERROR(VALUE(Raw_Data!H810), "")</f>
        <v>2000</v>
      </c>
      <c r="I810">
        <f ca="1">IFERROR(VALUE(Raw_Data!I810), "")</f>
        <v>4000</v>
      </c>
      <c r="J810" t="str">
        <f>IFERROR(
    VALUE(SUBSTITUTE(Raw_Data!J810," visits","")),
    ""
)</f>
        <v/>
      </c>
      <c r="K810" t="str">
        <f ca="1">TRIM(CLEAN(Raw_Data!K810))</f>
        <v>Yes</v>
      </c>
      <c r="L810" t="str">
        <f ca="1">TRIM(CLEAN(Raw_Data!L810))</f>
        <v>General Fitness</v>
      </c>
      <c r="M810" t="str">
        <f ca="1">TRIM(CLEAN(Raw_Data!M810))</f>
        <v>Active</v>
      </c>
      <c r="N810" t="str">
        <f>TRIM(CLEAN(Raw_Data!N810))</f>
        <v>45846</v>
      </c>
      <c r="O810" s="2"/>
      <c r="P810" t="str">
        <f>IF(COUNTIF($A$2:A810,A810)&gt;1,"Duplicate","Unique")</f>
        <v>Unique</v>
      </c>
      <c r="Q810" t="str">
        <f t="shared" ca="1" si="24"/>
        <v>Invalid Attendance</v>
      </c>
      <c r="R810" t="str">
        <f t="shared" si="25"/>
        <v>Available</v>
      </c>
    </row>
    <row r="811" spans="1:18">
      <c r="A811" t="str">
        <f>TRIM(CLEAN(Raw_Data!A811))</f>
        <v>MEM0810</v>
      </c>
      <c r="B811" t="str">
        <f ca="1">TRIM(CLEAN(Raw_Data!B811))</f>
        <v>Priya Bhat</v>
      </c>
      <c r="C811" t="str">
        <f ca="1">_xlfn.XLOOKUP(D811, Branch_Master!A:A, Branch_Master!B:B)</f>
        <v>Mumbai</v>
      </c>
      <c r="D811" t="str">
        <f ca="1">TRIM(CLEAN(Raw_Data!D811))</f>
        <v>BR05</v>
      </c>
      <c r="E811" t="str">
        <f ca="1">PROPER(TRIM(Raw_Data!E811))</f>
        <v>Basic</v>
      </c>
      <c r="F811" s="2">
        <f>IFERROR(DATEVALUE(Raw_Data!F811), Raw_Data!F811)</f>
        <v>45326</v>
      </c>
      <c r="G811" s="2">
        <f>IFERROR(
    IF(
        IFERROR(DATEVALUE(Raw_Data!G811), Raw_Data!G811) &lt;
        IFERROR(DATEVALUE(Raw_Data!F811), Raw_Data!F811),
        IFERROR(DATEVALUE(Raw_Data!F811), Raw_Data!F811) + 30,
        IFERROR(DATEVALUE(Raw_Data!G811), Raw_Data!G811)
    ),
    ""
)</f>
        <v>45416</v>
      </c>
      <c r="H811">
        <f>IFERROR(VALUE(Raw_Data!H811), "")</f>
        <v>3500</v>
      </c>
      <c r="I811">
        <f ca="1">IFERROR(VALUE(Raw_Data!I811), "")</f>
        <v>24500</v>
      </c>
      <c r="J811" t="str">
        <f>IFERROR(
    VALUE(SUBSTITUTE(Raw_Data!J811," visits","")),
    ""
)</f>
        <v/>
      </c>
      <c r="K811" t="str">
        <f ca="1">TRIM(CLEAN(Raw_Data!K811))</f>
        <v>Yes</v>
      </c>
      <c r="L811" t="str">
        <f ca="1">TRIM(CLEAN(Raw_Data!L811))</f>
        <v>Weight Loss</v>
      </c>
      <c r="M811" t="str">
        <f ca="1">TRIM(CLEAN(Raw_Data!M811))</f>
        <v>Active</v>
      </c>
      <c r="N811" t="str">
        <f>TRIM(CLEAN(Raw_Data!N811))</f>
        <v>45926</v>
      </c>
      <c r="O811" s="2"/>
      <c r="P811" t="str">
        <f>IF(COUNTIF($A$2:A811,A811)&gt;1,"Duplicate","Unique")</f>
        <v>Unique</v>
      </c>
      <c r="Q811" t="str">
        <f t="shared" ca="1" si="24"/>
        <v>Invalid Attendance</v>
      </c>
      <c r="R811" t="str">
        <f t="shared" si="25"/>
        <v>Available</v>
      </c>
    </row>
    <row r="812" spans="1:18">
      <c r="A812" t="str">
        <f>TRIM(CLEAN(Raw_Data!A812))</f>
        <v>MEM0811</v>
      </c>
      <c r="B812" t="str">
        <f ca="1">TRIM(CLEAN(Raw_Data!B812))</f>
        <v>Anjali Malhotra</v>
      </c>
      <c r="C812" t="str">
        <f ca="1">_xlfn.XLOOKUP(D812, Branch_Master!A:A, Branch_Master!B:B)</f>
        <v>Bangalore</v>
      </c>
      <c r="D812" t="str">
        <f ca="1">TRIM(CLEAN(Raw_Data!D812))</f>
        <v>BR02</v>
      </c>
      <c r="E812" t="str">
        <f ca="1">PROPER(TRIM(Raw_Data!E812))</f>
        <v>Premium</v>
      </c>
      <c r="F812" s="2">
        <f>IFERROR(DATEVALUE(Raw_Data!F812), Raw_Data!F812)</f>
        <v>45155</v>
      </c>
      <c r="G812" s="2">
        <f>IFERROR(
    IF(
        IFERROR(DATEVALUE(Raw_Data!G812), Raw_Data!G812) &lt;
        IFERROR(DATEVALUE(Raw_Data!F812), Raw_Data!F812),
        IFERROR(DATEVALUE(Raw_Data!F812), Raw_Data!F812) + 30,
        IFERROR(DATEVALUE(Raw_Data!G812), Raw_Data!G812)
    ),
    ""
)</f>
        <v>45245</v>
      </c>
      <c r="H812">
        <f>IFERROR(VALUE(Raw_Data!H812), "")</f>
        <v>2000</v>
      </c>
      <c r="I812">
        <f ca="1">IFERROR(VALUE(Raw_Data!I812), "")</f>
        <v>24000</v>
      </c>
      <c r="J812" t="str">
        <f>IFERROR(
    VALUE(SUBSTITUTE(Raw_Data!J812," visits","")),
    ""
)</f>
        <v/>
      </c>
      <c r="K812" t="str">
        <f ca="1">TRIM(CLEAN(Raw_Data!K812))</f>
        <v>No</v>
      </c>
      <c r="L812" t="str">
        <f ca="1">TRIM(CLEAN(Raw_Data!L812))</f>
        <v>Muscle Gain</v>
      </c>
      <c r="M812" t="str">
        <f ca="1">TRIM(CLEAN(Raw_Data!M812))</f>
        <v>Cancelled</v>
      </c>
      <c r="N812" t="str">
        <f>TRIM(CLEAN(Raw_Data!N812))</f>
        <v>45535</v>
      </c>
      <c r="O812" s="2"/>
      <c r="P812" t="str">
        <f>IF(COUNTIF($A$2:A812,A812)&gt;1,"Duplicate","Unique")</f>
        <v>Unique</v>
      </c>
      <c r="Q812" t="str">
        <f t="shared" ca="1" si="24"/>
        <v>Cancelled but Active</v>
      </c>
      <c r="R812" t="str">
        <f t="shared" si="25"/>
        <v>Available</v>
      </c>
    </row>
    <row r="813" spans="1:18">
      <c r="A813" t="str">
        <f>TRIM(CLEAN(Raw_Data!A813))</f>
        <v>MEM0812</v>
      </c>
      <c r="B813" t="str">
        <f ca="1">TRIM(CLEAN(Raw_Data!B813))</f>
        <v>Arjun Nair</v>
      </c>
      <c r="C813" t="str">
        <f ca="1">_xlfn.XLOOKUP(D813, Branch_Master!A:A, Branch_Master!B:B)</f>
        <v>Kochi</v>
      </c>
      <c r="D813" t="str">
        <f ca="1">TRIM(CLEAN(Raw_Data!D813))</f>
        <v>BR01</v>
      </c>
      <c r="E813" t="str">
        <f ca="1">PROPER(TRIM(Raw_Data!E813))</f>
        <v>Premium</v>
      </c>
      <c r="F813" s="2">
        <f>IFERROR(DATEVALUE(Raw_Data!F813), Raw_Data!F813)</f>
        <v>45951</v>
      </c>
      <c r="G813" s="2">
        <f>IFERROR(
    IF(
        IFERROR(DATEVALUE(Raw_Data!G813), Raw_Data!G813) &lt;
        IFERROR(DATEVALUE(Raw_Data!F813), Raw_Data!F813),
        IFERROR(DATEVALUE(Raw_Data!F813), Raw_Data!F813) + 30,
        IFERROR(DATEVALUE(Raw_Data!G813), Raw_Data!G813)
    ),
    ""
)</f>
        <v>45981</v>
      </c>
      <c r="H813">
        <f>IFERROR(VALUE(Raw_Data!H813), "")</f>
        <v>2000</v>
      </c>
      <c r="I813">
        <f ca="1">IFERROR(VALUE(Raw_Data!I813), "")</f>
        <v>10000</v>
      </c>
      <c r="J813" t="str">
        <f>IFERROR(
    VALUE(SUBSTITUTE(Raw_Data!J813," visits","")),
    ""
)</f>
        <v/>
      </c>
      <c r="K813" t="str">
        <f ca="1">TRIM(CLEAN(Raw_Data!K813))</f>
        <v>No</v>
      </c>
      <c r="L813" t="str">
        <f ca="1">TRIM(CLEAN(Raw_Data!L813))</f>
        <v>General Fitness</v>
      </c>
      <c r="M813" t="str">
        <f ca="1">TRIM(CLEAN(Raw_Data!M813))</f>
        <v>Cancelled</v>
      </c>
      <c r="N813" t="str">
        <f>TRIM(CLEAN(Raw_Data!N813))</f>
        <v>46031</v>
      </c>
      <c r="O813" s="2"/>
      <c r="P813" t="str">
        <f>IF(COUNTIF($A$2:A813,A813)&gt;1,"Duplicate","Unique")</f>
        <v>Unique</v>
      </c>
      <c r="Q813" t="str">
        <f t="shared" ca="1" si="24"/>
        <v>Cancelled but Active</v>
      </c>
      <c r="R813" t="str">
        <f t="shared" si="25"/>
        <v>Available</v>
      </c>
    </row>
    <row r="814" spans="1:18">
      <c r="A814" t="str">
        <f>TRIM(CLEAN(Raw_Data!A814))</f>
        <v>MEM0813</v>
      </c>
      <c r="B814" t="str">
        <f ca="1">TRIM(CLEAN(Raw_Data!B814))</f>
        <v>Aditya Singh</v>
      </c>
      <c r="C814" t="str">
        <f ca="1">_xlfn.XLOOKUP(D814, Branch_Master!A:A, Branch_Master!B:B)</f>
        <v>Bangalore</v>
      </c>
      <c r="D814" t="str">
        <f ca="1">TRIM(CLEAN(Raw_Data!D814))</f>
        <v>BR02</v>
      </c>
      <c r="E814" t="str">
        <f ca="1">PROPER(TRIM(Raw_Data!E814))</f>
        <v>Premium</v>
      </c>
      <c r="F814" s="2">
        <f>IFERROR(DATEVALUE(Raw_Data!F814), Raw_Data!F814)</f>
        <v>45765</v>
      </c>
      <c r="G814" s="2">
        <f>IFERROR(
    IF(
        IFERROR(DATEVALUE(Raw_Data!G814), Raw_Data!G814) &lt;
        IFERROR(DATEVALUE(Raw_Data!F814), Raw_Data!F814),
        IFERROR(DATEVALUE(Raw_Data!F814), Raw_Data!F814) + 30,
        IFERROR(DATEVALUE(Raw_Data!G814), Raw_Data!G814)
    ),
    ""
)</f>
        <v>46130</v>
      </c>
      <c r="H814">
        <f>IFERROR(VALUE(Raw_Data!H814), "")</f>
        <v>1000</v>
      </c>
      <c r="I814">
        <f ca="1">IFERROR(VALUE(Raw_Data!I814), "")</f>
        <v>11000</v>
      </c>
      <c r="J814" t="str">
        <f>IFERROR(
    VALUE(SUBSTITUTE(Raw_Data!J814," visits","")),
    ""
)</f>
        <v/>
      </c>
      <c r="K814" t="str">
        <f ca="1">TRIM(CLEAN(Raw_Data!K814))</f>
        <v>No</v>
      </c>
      <c r="L814" t="str">
        <f ca="1">TRIM(CLEAN(Raw_Data!L814))</f>
        <v>Weight Loss</v>
      </c>
      <c r="M814" t="str">
        <f ca="1">TRIM(CLEAN(Raw_Data!M814))</f>
        <v>Cancelled</v>
      </c>
      <c r="N814" t="str">
        <f>TRIM(CLEAN(Raw_Data!N814))</f>
        <v>45895</v>
      </c>
      <c r="O814" s="2"/>
      <c r="P814" t="str">
        <f>IF(COUNTIF($A$2:A814,A814)&gt;1,"Duplicate","Unique")</f>
        <v>Unique</v>
      </c>
      <c r="Q814" t="str">
        <f t="shared" ca="1" si="24"/>
        <v>Cancelled but Active</v>
      </c>
      <c r="R814" t="str">
        <f t="shared" si="25"/>
        <v>Available</v>
      </c>
    </row>
    <row r="815" spans="1:18">
      <c r="A815" t="str">
        <f>TRIM(CLEAN(Raw_Data!A815))</f>
        <v>MEM0814</v>
      </c>
      <c r="B815" t="str">
        <f ca="1">TRIM(CLEAN(Raw_Data!B815))</f>
        <v>Manoj Sharma</v>
      </c>
      <c r="C815" t="str">
        <f ca="1">_xlfn.XLOOKUP(D815, Branch_Master!A:A, Branch_Master!B:B)</f>
        <v>Hyderabad</v>
      </c>
      <c r="D815" t="str">
        <f ca="1">TRIM(CLEAN(Raw_Data!D815))</f>
        <v>BR04</v>
      </c>
      <c r="E815" t="str">
        <f ca="1">PROPER(TRIM(Raw_Data!E815))</f>
        <v>Basic</v>
      </c>
      <c r="F815" s="2">
        <f>IFERROR(DATEVALUE(Raw_Data!F815), Raw_Data!F815)</f>
        <v>45193</v>
      </c>
      <c r="G815" s="2">
        <f>IFERROR(
    IF(
        IFERROR(DATEVALUE(Raw_Data!G815), Raw_Data!G815) &lt;
        IFERROR(DATEVALUE(Raw_Data!F815), Raw_Data!F815),
        IFERROR(DATEVALUE(Raw_Data!F815), Raw_Data!F815) + 30,
        IFERROR(DATEVALUE(Raw_Data!G815), Raw_Data!G815)
    ),
    ""
)</f>
        <v>45558</v>
      </c>
      <c r="H815">
        <f>IFERROR(VALUE(Raw_Data!H815), "")</f>
        <v>1000</v>
      </c>
      <c r="I815">
        <f ca="1">IFERROR(VALUE(Raw_Data!I815), "")</f>
        <v>2000</v>
      </c>
      <c r="J815" t="str">
        <f>IFERROR(
    VALUE(SUBSTITUTE(Raw_Data!J815," visits","")),
    ""
)</f>
        <v/>
      </c>
      <c r="K815" t="str">
        <f ca="1">TRIM(CLEAN(Raw_Data!K815))</f>
        <v>No</v>
      </c>
      <c r="L815" t="str">
        <f ca="1">TRIM(CLEAN(Raw_Data!L815))</f>
        <v>Weight Loss</v>
      </c>
      <c r="M815" t="str">
        <f ca="1">TRIM(CLEAN(Raw_Data!M815))</f>
        <v>Cancelled</v>
      </c>
      <c r="N815" t="str">
        <f>TRIM(CLEAN(Raw_Data!N815))</f>
        <v>45802</v>
      </c>
      <c r="O815" s="2"/>
      <c r="P815" t="str">
        <f>IF(COUNTIF($A$2:A815,A815)&gt;1,"Duplicate","Unique")</f>
        <v>Unique</v>
      </c>
      <c r="Q815" t="str">
        <f t="shared" ca="1" si="24"/>
        <v>Cancelled but Active</v>
      </c>
      <c r="R815" t="str">
        <f t="shared" si="25"/>
        <v>Available</v>
      </c>
    </row>
    <row r="816" spans="1:18">
      <c r="A816" t="str">
        <f>TRIM(CLEAN(Raw_Data!A816))</f>
        <v>MEM0815</v>
      </c>
      <c r="B816" t="str">
        <f ca="1">TRIM(CLEAN(Raw_Data!B816))</f>
        <v>Karthik Shaikh</v>
      </c>
      <c r="C816" t="str">
        <f ca="1">_xlfn.XLOOKUP(D816, Branch_Master!A:A, Branch_Master!B:B)</f>
        <v>Bangalore</v>
      </c>
      <c r="D816" t="str">
        <f ca="1">TRIM(CLEAN(Raw_Data!D816))</f>
        <v>BR02</v>
      </c>
      <c r="E816" t="str">
        <f ca="1">PROPER(TRIM(Raw_Data!E816))</f>
        <v>Basic</v>
      </c>
      <c r="F816" s="2">
        <f>IFERROR(DATEVALUE(Raw_Data!F816), Raw_Data!F816)</f>
        <v>45427</v>
      </c>
      <c r="G816" s="2">
        <f>IFERROR(
    IF(
        IFERROR(DATEVALUE(Raw_Data!G816), Raw_Data!G816) &lt;
        IFERROR(DATEVALUE(Raw_Data!F816), Raw_Data!F816),
        IFERROR(DATEVALUE(Raw_Data!F816), Raw_Data!F816) + 30,
        IFERROR(DATEVALUE(Raw_Data!G816), Raw_Data!G816)
    ),
    ""
)</f>
        <v>45792</v>
      </c>
      <c r="H816">
        <f>IFERROR(VALUE(Raw_Data!H816), "")</f>
        <v>1000</v>
      </c>
      <c r="I816">
        <f ca="1">IFERROR(VALUE(Raw_Data!I816), "")</f>
        <v>12000</v>
      </c>
      <c r="J816" t="str">
        <f>IFERROR(
    VALUE(SUBSTITUTE(Raw_Data!J816," visits","")),
    ""
)</f>
        <v/>
      </c>
      <c r="K816" t="str">
        <f ca="1">TRIM(CLEAN(Raw_Data!K816))</f>
        <v>No</v>
      </c>
      <c r="L816" t="str">
        <f ca="1">TRIM(CLEAN(Raw_Data!L816))</f>
        <v>General Fitness</v>
      </c>
      <c r="M816" t="str">
        <f ca="1">TRIM(CLEAN(Raw_Data!M816))</f>
        <v>Active</v>
      </c>
      <c r="N816" t="str">
        <f>TRIM(CLEAN(Raw_Data!N816))</f>
        <v>46003</v>
      </c>
      <c r="O816" s="2"/>
      <c r="P816" t="str">
        <f>IF(COUNTIF($A$2:A816,A816)&gt;1,"Duplicate","Unique")</f>
        <v>Unique</v>
      </c>
      <c r="Q816" t="str">
        <f t="shared" ca="1" si="24"/>
        <v>Invalid Attendance</v>
      </c>
      <c r="R816" t="str">
        <f t="shared" si="25"/>
        <v>Available</v>
      </c>
    </row>
    <row r="817" spans="1:18">
      <c r="A817" t="str">
        <f>TRIM(CLEAN(Raw_Data!A817))</f>
        <v>MEM0816</v>
      </c>
      <c r="B817" t="str">
        <f ca="1">TRIM(CLEAN(Raw_Data!B817))</f>
        <v>Meera Mathew</v>
      </c>
      <c r="C817" t="str">
        <f ca="1">_xlfn.XLOOKUP(D817, Branch_Master!A:A, Branch_Master!B:B)</f>
        <v>Trivandrum</v>
      </c>
      <c r="D817" t="str">
        <f ca="1">TRIM(CLEAN(Raw_Data!D817))</f>
        <v>BR06</v>
      </c>
      <c r="E817" t="str">
        <f ca="1">PROPER(TRIM(Raw_Data!E817))</f>
        <v>Premium</v>
      </c>
      <c r="F817" s="2">
        <f>IFERROR(DATEVALUE(Raw_Data!F817), Raw_Data!F817)</f>
        <v>46036</v>
      </c>
      <c r="G817" s="2">
        <f>IFERROR(
    IF(
        IFERROR(DATEVALUE(Raw_Data!G817), Raw_Data!G817) &lt;
        IFERROR(DATEVALUE(Raw_Data!F817), Raw_Data!F817),
        IFERROR(DATEVALUE(Raw_Data!F817), Raw_Data!F817) + 30,
        IFERROR(DATEVALUE(Raw_Data!G817), Raw_Data!G817)
    ),
    ""
)</f>
        <v>46066</v>
      </c>
      <c r="H817">
        <f>IFERROR(VALUE(Raw_Data!H817), "")</f>
        <v>3500</v>
      </c>
      <c r="I817">
        <f ca="1">IFERROR(VALUE(Raw_Data!I817), "")</f>
        <v>42000</v>
      </c>
      <c r="J817" t="str">
        <f>IFERROR(
    VALUE(SUBSTITUTE(Raw_Data!J817," visits","")),
    ""
)</f>
        <v/>
      </c>
      <c r="K817" t="str">
        <f ca="1">TRIM(CLEAN(Raw_Data!K817))</f>
        <v>Yes</v>
      </c>
      <c r="L817" t="str">
        <f ca="1">TRIM(CLEAN(Raw_Data!L817))</f>
        <v>Weight Loss</v>
      </c>
      <c r="M817" t="str">
        <f ca="1">TRIM(CLEAN(Raw_Data!M817))</f>
        <v>Cancelled</v>
      </c>
      <c r="N817" t="str">
        <f>TRIM(CLEAN(Raw_Data!N817))</f>
        <v>45758</v>
      </c>
      <c r="O817" s="2"/>
      <c r="P817" t="str">
        <f>IF(COUNTIF($A$2:A817,A817)&gt;1,"Duplicate","Unique")</f>
        <v>Unique</v>
      </c>
      <c r="Q817" t="str">
        <f t="shared" ca="1" si="24"/>
        <v>Cancelled but Active</v>
      </c>
      <c r="R817" t="str">
        <f t="shared" si="25"/>
        <v>Available</v>
      </c>
    </row>
    <row r="818" spans="1:18">
      <c r="A818" t="str">
        <f>TRIM(CLEAN(Raw_Data!A818))</f>
        <v>MEM0817</v>
      </c>
      <c r="B818" t="str">
        <f ca="1">TRIM(CLEAN(Raw_Data!B818))</f>
        <v>Riya Nambiar</v>
      </c>
      <c r="C818" t="str">
        <f ca="1">_xlfn.XLOOKUP(D818, Branch_Master!A:A, Branch_Master!B:B)</f>
        <v>Mumbai</v>
      </c>
      <c r="D818" t="str">
        <f ca="1">TRIM(CLEAN(Raw_Data!D818))</f>
        <v>BR05</v>
      </c>
      <c r="E818" t="str">
        <f ca="1">PROPER(TRIM(Raw_Data!E818))</f>
        <v>Premium</v>
      </c>
      <c r="F818" s="2">
        <f>IFERROR(DATEVALUE(Raw_Data!F818), Raw_Data!F818)</f>
        <v>45631</v>
      </c>
      <c r="G818" s="2">
        <f>IFERROR(
    IF(
        IFERROR(DATEVALUE(Raw_Data!G818), Raw_Data!G818) &lt;
        IFERROR(DATEVALUE(Raw_Data!F818), Raw_Data!F818),
        IFERROR(DATEVALUE(Raw_Data!F818), Raw_Data!F818) + 30,
        IFERROR(DATEVALUE(Raw_Data!G818), Raw_Data!G818)
    ),
    ""
)</f>
        <v>45721</v>
      </c>
      <c r="H818">
        <f>IFERROR(VALUE(Raw_Data!H818), "")</f>
        <v>3500</v>
      </c>
      <c r="I818">
        <f ca="1">IFERROR(VALUE(Raw_Data!I818), "")</f>
        <v>28000</v>
      </c>
      <c r="J818" t="str">
        <f>IFERROR(
    VALUE(SUBSTITUTE(Raw_Data!J818," visits","")),
    ""
)</f>
        <v/>
      </c>
      <c r="K818" t="str">
        <f ca="1">TRIM(CLEAN(Raw_Data!K818))</f>
        <v>Yes</v>
      </c>
      <c r="L818" t="str">
        <f ca="1">TRIM(CLEAN(Raw_Data!L818))</f>
        <v>General Fitness</v>
      </c>
      <c r="M818" t="str">
        <f ca="1">TRIM(CLEAN(Raw_Data!M818))</f>
        <v>Active</v>
      </c>
      <c r="N818" t="str">
        <f>TRIM(CLEAN(Raw_Data!N818))</f>
        <v>45412</v>
      </c>
      <c r="O818" s="2"/>
      <c r="P818" t="str">
        <f>IF(COUNTIF($A$2:A818,A818)&gt;1,"Duplicate","Unique")</f>
        <v>Unique</v>
      </c>
      <c r="Q818" t="str">
        <f t="shared" ca="1" si="24"/>
        <v>Invalid Attendance</v>
      </c>
      <c r="R818" t="str">
        <f t="shared" si="25"/>
        <v>Available</v>
      </c>
    </row>
    <row r="819" spans="1:18">
      <c r="A819" t="str">
        <f>TRIM(CLEAN(Raw_Data!A819))</f>
        <v>MEM0818</v>
      </c>
      <c r="B819" t="str">
        <f ca="1">TRIM(CLEAN(Raw_Data!B819))</f>
        <v>Nikhil Malhotra</v>
      </c>
      <c r="C819" t="str">
        <f ca="1">_xlfn.XLOOKUP(D819, Branch_Master!A:A, Branch_Master!B:B)</f>
        <v>Trivandrum</v>
      </c>
      <c r="D819" t="str">
        <f ca="1">TRIM(CLEAN(Raw_Data!D819))</f>
        <v>BR06</v>
      </c>
      <c r="E819" t="str">
        <f ca="1">PROPER(TRIM(Raw_Data!E819))</f>
        <v>Premium</v>
      </c>
      <c r="F819" s="2">
        <f>IFERROR(DATEVALUE(Raw_Data!F819), Raw_Data!F819)</f>
        <v>45592</v>
      </c>
      <c r="G819" s="2">
        <f>IFERROR(
    IF(
        IFERROR(DATEVALUE(Raw_Data!G819), Raw_Data!G819) &lt;
        IFERROR(DATEVALUE(Raw_Data!F819), Raw_Data!F819),
        IFERROR(DATEVALUE(Raw_Data!F819), Raw_Data!F819) + 30,
        IFERROR(DATEVALUE(Raw_Data!G819), Raw_Data!G819)
    ),
    ""
)</f>
        <v>45957</v>
      </c>
      <c r="H819">
        <f>IFERROR(VALUE(Raw_Data!H819), "")</f>
        <v>3500</v>
      </c>
      <c r="I819">
        <f ca="1">IFERROR(VALUE(Raw_Data!I819), "")</f>
        <v>10500</v>
      </c>
      <c r="J819" t="str">
        <f>IFERROR(
    VALUE(SUBSTITUTE(Raw_Data!J819," visits","")),
    ""
)</f>
        <v/>
      </c>
      <c r="K819" t="str">
        <f ca="1">TRIM(CLEAN(Raw_Data!K819))</f>
        <v>Yes</v>
      </c>
      <c r="L819" t="str">
        <f ca="1">TRIM(CLEAN(Raw_Data!L819))</f>
        <v>Muscle Gain</v>
      </c>
      <c r="M819" t="str">
        <f ca="1">TRIM(CLEAN(Raw_Data!M819))</f>
        <v>Cancelled</v>
      </c>
      <c r="N819" t="str">
        <f>TRIM(CLEAN(Raw_Data!N819))</f>
        <v>46059</v>
      </c>
      <c r="O819" s="2"/>
      <c r="P819" t="str">
        <f>IF(COUNTIF($A$2:A819,A819)&gt;1,"Duplicate","Unique")</f>
        <v>Unique</v>
      </c>
      <c r="Q819" t="str">
        <f t="shared" ca="1" si="24"/>
        <v>Cancelled but Active</v>
      </c>
      <c r="R819" t="str">
        <f t="shared" si="25"/>
        <v>Available</v>
      </c>
    </row>
  </sheetData>
  <conditionalFormatting sqref="P2:P819">
    <cfRule type="containsText" dxfId="22" priority="5" operator="containsText" text="Unique">
      <formula>NOT(ISERROR(SEARCH("Unique",P2)))</formula>
    </cfRule>
    <cfRule type="containsText" dxfId="21" priority="6" operator="containsText" text="Duplicate">
      <formula>NOT(ISERROR(SEARCH("Duplicate",P2)))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5354757F-33A2-4DC2-BC5C-6CFF753D006B}">
            <xm:f>NOT(ISERROR(SEARCH($Q$790,Q2)))</xm:f>
            <xm:f>$Q$790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" operator="containsText" id="{7D74E694-8CD1-41E4-A582-0329EFA8A2AF}">
            <xm:f>NOT(ISERROR(SEARCH($Q$791,Q2)))</xm:f>
            <xm:f>$Q$791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Q2:Q819</xm:sqref>
        </x14:conditionalFormatting>
        <x14:conditionalFormatting xmlns:xm="http://schemas.microsoft.com/office/excel/2006/main">
          <x14:cfRule type="containsText" priority="1" operator="containsText" id="{AC12DE62-DADB-49DB-B6A0-EE7ABDE4C4EE}">
            <xm:f>NOT(ISERROR(SEARCH($R$794,R2)))</xm:f>
            <xm:f>$R$794</xm:f>
            <x14:dxf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D4ADB244-E0C9-4A28-A911-AED0F714746C}">
            <xm:f>NOT(ISERROR(SEARCH($R$793,R2)))</xm:f>
            <xm:f>$R$793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R2:R819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575B-4AA3-4186-B1FE-2375B13DAA00}">
  <dimension ref="A1:U819"/>
  <sheetViews>
    <sheetView topLeftCell="A21" workbookViewId="0"/>
  </sheetViews>
  <sheetFormatPr defaultRowHeight="15" customHeight="1"/>
  <cols>
    <col min="1" max="1" width="12.7109375" customWidth="1"/>
    <col min="2" max="2" width="14" bestFit="1" customWidth="1"/>
    <col min="3" max="3" width="18.7109375" customWidth="1"/>
    <col min="4" max="4" width="10.85546875" customWidth="1"/>
    <col min="5" max="5" width="12.7109375" customWidth="1"/>
    <col min="6" max="6" width="13.85546875" customWidth="1"/>
    <col min="7" max="7" width="16.140625" customWidth="1"/>
    <col min="8" max="8" width="12.85546875" customWidth="1"/>
    <col min="9" max="9" width="9.28515625" bestFit="1" customWidth="1"/>
    <col min="10" max="10" width="15" customWidth="1"/>
    <col min="11" max="11" width="21" bestFit="1" customWidth="1"/>
    <col min="12" max="12" width="12.85546875" bestFit="1" customWidth="1"/>
    <col min="13" max="13" width="13.42578125" customWidth="1"/>
    <col min="14" max="14" width="24" bestFit="1" customWidth="1"/>
    <col min="15" max="15" width="16.42578125" bestFit="1" customWidth="1"/>
    <col min="16" max="16" width="17.42578125" bestFit="1" customWidth="1"/>
    <col min="17" max="17" width="10" bestFit="1" customWidth="1"/>
    <col min="20" max="20" width="10.140625" bestFit="1" customWidth="1"/>
    <col min="21" max="21" width="16.7109375" bestFit="1" customWidth="1"/>
  </cols>
  <sheetData>
    <row r="1" spans="1:21">
      <c r="A1" s="10" t="s">
        <v>86</v>
      </c>
      <c r="B1" s="11" t="s">
        <v>89</v>
      </c>
      <c r="C1" s="11" t="s">
        <v>90</v>
      </c>
      <c r="D1" s="11" t="s">
        <v>91</v>
      </c>
      <c r="E1" s="11" t="s">
        <v>92</v>
      </c>
      <c r="F1" s="11" t="s">
        <v>93</v>
      </c>
      <c r="G1" s="11" t="s">
        <v>94</v>
      </c>
      <c r="H1" s="11" t="s">
        <v>95</v>
      </c>
      <c r="I1" s="11" t="s">
        <v>98</v>
      </c>
      <c r="J1" s="12" t="s">
        <v>99</v>
      </c>
      <c r="K1" t="s">
        <v>153</v>
      </c>
      <c r="L1" s="5" t="s">
        <v>154</v>
      </c>
      <c r="M1" t="s">
        <v>155</v>
      </c>
      <c r="N1" s="5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</row>
    <row r="2" spans="1:21">
      <c r="A2" s="13" t="str">
        <f>Cleaned_Data!A2</f>
        <v>MEM0001</v>
      </c>
      <c r="B2" s="14" t="str">
        <f ca="1">Cleaned_Data!D2</f>
        <v>BR07</v>
      </c>
      <c r="C2" s="14" t="str">
        <f ca="1">Cleaned_Data!E2</f>
        <v>Premium</v>
      </c>
      <c r="D2" s="15">
        <f>Cleaned_Data!F2</f>
        <v>45630</v>
      </c>
      <c r="E2" s="15">
        <f>Cleaned_Data!G2</f>
        <v>45660</v>
      </c>
      <c r="F2" s="14">
        <f>Cleaned_Data!H2</f>
        <v>1000</v>
      </c>
      <c r="G2" s="14">
        <f ca="1">Cleaned_Data!I2</f>
        <v>8000</v>
      </c>
      <c r="H2" s="14">
        <f>Cleaned_Data!J2</f>
        <v>18</v>
      </c>
      <c r="I2" s="14" t="str">
        <f>Cleaned_Data!M2</f>
        <v>Active</v>
      </c>
      <c r="J2" s="16">
        <f>Cleaned_Data!N2</f>
        <v>46022</v>
      </c>
      <c r="K2" t="str">
        <f>IF(H2&lt;5,"At Risk",
 IF(H2&lt;15,"Moderate",
 "Highly Active"))</f>
        <v>Highly Active</v>
      </c>
      <c r="L2" s="5" t="str">
        <f>IF(COUNTIF($A$2:A2,A2)&gt;1,"Duplicate","Unique")</f>
        <v>Unique</v>
      </c>
      <c r="M2" t="str">
        <f>TEXT(D2,"YYYY-MM")</f>
        <v>2024-12</v>
      </c>
      <c r="N2" s="2">
        <f ca="1">IFERROR(
   IF(
      J2&lt;&gt;"",
      IF(J2&gt;=D2, J2, D2),
      IF(
         I2="Active",
         TODAY(),
         IF(E2&gt;=D2, E2, D2)
      )
   ),
   D2
)</f>
        <v>46022</v>
      </c>
      <c r="O2" s="4">
        <f ca="1">IFERROR(
   IF(N2&gt;=D2,
      DATEDIF(D2, N2, "M"),
      0
   ),
   0
)</f>
        <v>12</v>
      </c>
      <c r="P2" s="4">
        <f ca="1">TODAY() - N2</f>
        <v>107</v>
      </c>
      <c r="Q2">
        <f ca="1">IF(P2&lt;=30,5,
 IF(P2&lt;=90,4,
 IF(P2&lt;=180,3,
 IF(P2&lt;=365,2,1))))</f>
        <v>3</v>
      </c>
      <c r="R2">
        <f>IF(H2&gt;=20,5,
 IF(H2&gt;=15,4,
 IF(H2&gt;=10,3,
 IF(H2&gt;=5,2,1))))</f>
        <v>4</v>
      </c>
      <c r="S2">
        <f ca="1">IF(G2&gt;=20000,5,
 IF(G2&gt;=10000,4,
 IF(G2&gt;=5000,3,
 IF(G2&gt;=2000,2,1))))</f>
        <v>3</v>
      </c>
      <c r="T2" t="str">
        <f ca="1">Q2 &amp; R2 &amp; S2</f>
        <v>343</v>
      </c>
      <c r="U2" t="str">
        <f ca="1">IF(AND(Q2&gt;=4,R2&gt;=4,S2&gt;=4),"Champion",
 IF(AND(Q2&gt;=3,R2&gt;=3,S2&gt;=3),"Loyal",
 IF(Q2&lt;=2,"At Risk",
 "Others")))</f>
        <v>Loyal</v>
      </c>
    </row>
    <row r="3" spans="1:21">
      <c r="A3" s="17" t="str">
        <f>Cleaned_Data!A3</f>
        <v>MEM0002</v>
      </c>
      <c r="B3" s="18" t="str">
        <f ca="1">Cleaned_Data!D3</f>
        <v>BR01</v>
      </c>
      <c r="C3" s="18" t="str">
        <f ca="1">Cleaned_Data!E3</f>
        <v>Basic</v>
      </c>
      <c r="D3" s="19">
        <f>Cleaned_Data!F3</f>
        <v>45446</v>
      </c>
      <c r="E3" s="19">
        <f>Cleaned_Data!G3</f>
        <v>45536</v>
      </c>
      <c r="F3" s="18">
        <f>Cleaned_Data!H3</f>
        <v>3500</v>
      </c>
      <c r="G3" s="18">
        <f ca="1">Cleaned_Data!I3</f>
        <v>17500</v>
      </c>
      <c r="H3" s="18">
        <f>Cleaned_Data!J3</f>
        <v>0</v>
      </c>
      <c r="I3" s="18" t="str">
        <f>Cleaned_Data!M3</f>
        <v>Cancelled</v>
      </c>
      <c r="J3" s="20">
        <f>Cleaned_Data!N3</f>
        <v>46050</v>
      </c>
      <c r="K3" t="str">
        <f t="shared" ref="K3:K66" si="0">IF(H3&lt;5,"At Risk",
 IF(H3&lt;15,"Moderate",
 "Highly Active"))</f>
        <v>At Risk</v>
      </c>
      <c r="L3" s="5" t="str">
        <f>IF(COUNTIF($A$2:A3,A3)&gt;1,"Duplicate","Unique")</f>
        <v>Unique</v>
      </c>
      <c r="M3" t="str">
        <f t="shared" ref="M3:M66" si="1">TEXT(D3,"YYYY-MM")</f>
        <v>2024-06</v>
      </c>
      <c r="N3" s="2">
        <f t="shared" ref="N3:N66" ca="1" si="2">IF(J3&lt;&gt;"",
    J3,
    IF(I3="Active", TODAY(), E3)
)</f>
        <v>46050</v>
      </c>
      <c r="O3" s="4">
        <f t="shared" ref="O3:O66" ca="1" si="3">IFERROR(
   IF(N3&gt;=D3,
      DATEDIF(D3, N3, "M"),
      0
   ),
   0
)</f>
        <v>19</v>
      </c>
      <c r="P3" s="4">
        <f t="shared" ref="P3:P66" ca="1" si="4">TODAY() - N3</f>
        <v>79</v>
      </c>
      <c r="Q3">
        <f t="shared" ref="Q3:Q66" ca="1" si="5">IF(P3&lt;=30,5,
 IF(P3&lt;=90,4,
 IF(P3&lt;=180,3,
 IF(P3&lt;=365,2,1))))</f>
        <v>4</v>
      </c>
      <c r="R3">
        <f t="shared" ref="R3:R66" si="6">IF(H3&gt;=20,5,
 IF(H3&gt;=15,4,
 IF(H3&gt;=10,3,
 IF(H3&gt;=5,2,1))))</f>
        <v>1</v>
      </c>
      <c r="S3">
        <f t="shared" ref="S3:S66" ca="1" si="7">IF(G3&gt;=20000,5,
 IF(G3&gt;=10000,4,
 IF(G3&gt;=5000,3,
 IF(G3&gt;=2000,2,1))))</f>
        <v>4</v>
      </c>
      <c r="T3" t="str">
        <f t="shared" ref="T3:T66" ca="1" si="8">Q3 &amp; R3 &amp; S3</f>
        <v>414</v>
      </c>
      <c r="U3" t="str">
        <f t="shared" ref="U3:U66" ca="1" si="9">IF(AND(Q3&gt;=4,R3&gt;=4,S3&gt;=4),"Champion",
 IF(AND(Q3&gt;=3,R3&gt;=3,S3&gt;=3),"Loyal",
 IF(Q3&lt;=2,"At Risk",
 "Others")))</f>
        <v>Others</v>
      </c>
    </row>
    <row r="4" spans="1:21">
      <c r="A4" s="13" t="str">
        <f>Cleaned_Data!A4</f>
        <v>MEM0003</v>
      </c>
      <c r="B4" s="14" t="str">
        <f ca="1">Cleaned_Data!D4</f>
        <v>BR05</v>
      </c>
      <c r="C4" s="14" t="str">
        <f ca="1">Cleaned_Data!E4</f>
        <v>Premium</v>
      </c>
      <c r="D4" s="15">
        <f>Cleaned_Data!F4</f>
        <v>44945</v>
      </c>
      <c r="E4" s="15">
        <f>Cleaned_Data!G4</f>
        <v>45035</v>
      </c>
      <c r="F4" s="14">
        <f>Cleaned_Data!H4</f>
        <v>3500</v>
      </c>
      <c r="G4" s="14">
        <f ca="1">Cleaned_Data!I4</f>
        <v>42000</v>
      </c>
      <c r="H4" s="14">
        <f>Cleaned_Data!J4</f>
        <v>1</v>
      </c>
      <c r="I4" s="14" t="str">
        <f>Cleaned_Data!M4</f>
        <v>Cancelled</v>
      </c>
      <c r="J4" s="16">
        <f>Cleaned_Data!N4</f>
        <v>45257</v>
      </c>
      <c r="K4" t="str">
        <f t="shared" si="0"/>
        <v>At Risk</v>
      </c>
      <c r="L4" s="5" t="str">
        <f>IF(COUNTIF($A$2:A4,A4)&gt;1,"Duplicate","Unique")</f>
        <v>Unique</v>
      </c>
      <c r="M4" t="str">
        <f t="shared" si="1"/>
        <v>2023-01</v>
      </c>
      <c r="N4" s="2">
        <f t="shared" ca="1" si="2"/>
        <v>45257</v>
      </c>
      <c r="O4" s="4">
        <f t="shared" ca="1" si="3"/>
        <v>10</v>
      </c>
      <c r="P4" s="4">
        <f t="shared" ca="1" si="4"/>
        <v>872</v>
      </c>
      <c r="Q4">
        <f t="shared" ca="1" si="5"/>
        <v>1</v>
      </c>
      <c r="R4">
        <f t="shared" si="6"/>
        <v>1</v>
      </c>
      <c r="S4">
        <f t="shared" ca="1" si="7"/>
        <v>5</v>
      </c>
      <c r="T4" t="str">
        <f t="shared" ca="1" si="8"/>
        <v>115</v>
      </c>
      <c r="U4" t="str">
        <f t="shared" ca="1" si="9"/>
        <v>At Risk</v>
      </c>
    </row>
    <row r="5" spans="1:21">
      <c r="A5" s="17" t="str">
        <f>Cleaned_Data!A5</f>
        <v>MEM0004</v>
      </c>
      <c r="B5" s="18" t="str">
        <f ca="1">Cleaned_Data!D5</f>
        <v>BR04</v>
      </c>
      <c r="C5" s="18" t="str">
        <f ca="1">Cleaned_Data!E5</f>
        <v>Premium</v>
      </c>
      <c r="D5" s="19">
        <f>Cleaned_Data!F5</f>
        <v>45342</v>
      </c>
      <c r="E5" s="19">
        <f>Cleaned_Data!G5</f>
        <v>45432</v>
      </c>
      <c r="F5" s="18">
        <f>Cleaned_Data!H5</f>
        <v>3500</v>
      </c>
      <c r="G5" s="18">
        <f ca="1">Cleaned_Data!I5</f>
        <v>14000</v>
      </c>
      <c r="H5" s="18">
        <f>Cleaned_Data!J5</f>
        <v>13</v>
      </c>
      <c r="I5" s="18" t="str">
        <f>Cleaned_Data!M5</f>
        <v>Active</v>
      </c>
      <c r="J5" s="20">
        <f>Cleaned_Data!N5</f>
        <v>45937</v>
      </c>
      <c r="K5" t="str">
        <f t="shared" si="0"/>
        <v>Moderate</v>
      </c>
      <c r="L5" s="5" t="str">
        <f>IF(COUNTIF($A$2:A5,A5)&gt;1,"Duplicate","Unique")</f>
        <v>Unique</v>
      </c>
      <c r="M5" t="str">
        <f t="shared" si="1"/>
        <v>2024-02</v>
      </c>
      <c r="N5" s="2">
        <f t="shared" ca="1" si="2"/>
        <v>45937</v>
      </c>
      <c r="O5" s="4">
        <f t="shared" ca="1" si="3"/>
        <v>19</v>
      </c>
      <c r="P5" s="4">
        <f t="shared" ca="1" si="4"/>
        <v>192</v>
      </c>
      <c r="Q5">
        <f ca="1">IF(P5&lt;=30,5,
 IF(P5&lt;=90,4,
 IF(P5&lt;=180,3,
 IF(P5&lt;=365,2,1))))</f>
        <v>2</v>
      </c>
      <c r="R5">
        <f t="shared" si="6"/>
        <v>3</v>
      </c>
      <c r="S5">
        <f t="shared" ca="1" si="7"/>
        <v>4</v>
      </c>
      <c r="T5" t="str">
        <f t="shared" ca="1" si="8"/>
        <v>234</v>
      </c>
      <c r="U5" t="str">
        <f t="shared" ca="1" si="9"/>
        <v>At Risk</v>
      </c>
    </row>
    <row r="6" spans="1:21">
      <c r="A6" s="13" t="str">
        <f>Cleaned_Data!A6</f>
        <v>MEM0005</v>
      </c>
      <c r="B6" s="14" t="str">
        <f ca="1">Cleaned_Data!D6</f>
        <v>BR04</v>
      </c>
      <c r="C6" s="14" t="str">
        <f ca="1">Cleaned_Data!E6</f>
        <v>Standard</v>
      </c>
      <c r="D6" s="15">
        <f>Cleaned_Data!F6</f>
        <v>45891</v>
      </c>
      <c r="E6" s="15">
        <f>Cleaned_Data!G6</f>
        <v>46256</v>
      </c>
      <c r="F6" s="14">
        <f>Cleaned_Data!H6</f>
        <v>1000</v>
      </c>
      <c r="G6" s="14">
        <f ca="1">Cleaned_Data!I6</f>
        <v>6000</v>
      </c>
      <c r="H6" s="14">
        <f>Cleaned_Data!J6</f>
        <v>20</v>
      </c>
      <c r="I6" s="14" t="str">
        <f>Cleaned_Data!M6</f>
        <v>Active</v>
      </c>
      <c r="J6" s="16">
        <f>Cleaned_Data!N6</f>
        <v>45960</v>
      </c>
      <c r="K6" t="str">
        <f t="shared" si="0"/>
        <v>Highly Active</v>
      </c>
      <c r="L6" s="5" t="str">
        <f>IF(COUNTIF($A$2:A6,A6)&gt;1,"Duplicate","Unique")</f>
        <v>Unique</v>
      </c>
      <c r="M6" t="str">
        <f t="shared" si="1"/>
        <v>2025-08</v>
      </c>
      <c r="N6" s="2">
        <f t="shared" ca="1" si="2"/>
        <v>45960</v>
      </c>
      <c r="O6" s="4">
        <f t="shared" ca="1" si="3"/>
        <v>2</v>
      </c>
      <c r="P6" s="4">
        <f t="shared" ca="1" si="4"/>
        <v>169</v>
      </c>
      <c r="Q6">
        <f t="shared" ca="1" si="5"/>
        <v>3</v>
      </c>
      <c r="R6">
        <f t="shared" si="6"/>
        <v>5</v>
      </c>
      <c r="S6">
        <f t="shared" ca="1" si="7"/>
        <v>3</v>
      </c>
      <c r="T6" t="str">
        <f t="shared" ca="1" si="8"/>
        <v>353</v>
      </c>
      <c r="U6" t="str">
        <f t="shared" ca="1" si="9"/>
        <v>Loyal</v>
      </c>
    </row>
    <row r="7" spans="1:21">
      <c r="A7" s="17" t="str">
        <f>Cleaned_Data!A7</f>
        <v>MEM0006</v>
      </c>
      <c r="B7" s="18" t="str">
        <f ca="1">Cleaned_Data!D7</f>
        <v>BR03</v>
      </c>
      <c r="C7" s="18" t="str">
        <f ca="1">Cleaned_Data!E7</f>
        <v>Standard</v>
      </c>
      <c r="D7" s="19">
        <f>Cleaned_Data!F7</f>
        <v>45669</v>
      </c>
      <c r="E7" s="19">
        <f>Cleaned_Data!G7</f>
        <v>46034</v>
      </c>
      <c r="F7" s="18">
        <f>Cleaned_Data!H7</f>
        <v>3500</v>
      </c>
      <c r="G7" s="18">
        <f ca="1">Cleaned_Data!I7</f>
        <v>31500</v>
      </c>
      <c r="H7" s="18">
        <f>Cleaned_Data!J7</f>
        <v>1</v>
      </c>
      <c r="I7" s="18" t="str">
        <f>Cleaned_Data!M7</f>
        <v>Cancelled</v>
      </c>
      <c r="J7" s="20">
        <f>Cleaned_Data!N7</f>
        <v>46011</v>
      </c>
      <c r="K7" t="str">
        <f t="shared" si="0"/>
        <v>At Risk</v>
      </c>
      <c r="L7" s="5" t="str">
        <f>IF(COUNTIF($A$2:A7,A7)&gt;1,"Duplicate","Unique")</f>
        <v>Unique</v>
      </c>
      <c r="M7" t="str">
        <f t="shared" si="1"/>
        <v>2025-01</v>
      </c>
      <c r="N7" s="2">
        <f ca="1">IF(J7&lt;&gt;"",
    J7,
    IF(I7="Active", TODAY(), E7)
)</f>
        <v>46011</v>
      </c>
      <c r="O7" s="4">
        <f t="shared" ca="1" si="3"/>
        <v>11</v>
      </c>
      <c r="P7" s="4">
        <f t="shared" ca="1" si="4"/>
        <v>118</v>
      </c>
      <c r="Q7">
        <f t="shared" ca="1" si="5"/>
        <v>3</v>
      </c>
      <c r="R7">
        <f t="shared" si="6"/>
        <v>1</v>
      </c>
      <c r="S7">
        <f t="shared" ca="1" si="7"/>
        <v>5</v>
      </c>
      <c r="T7" t="str">
        <f t="shared" ca="1" si="8"/>
        <v>315</v>
      </c>
      <c r="U7" t="str">
        <f t="shared" ca="1" si="9"/>
        <v>Others</v>
      </c>
    </row>
    <row r="8" spans="1:21">
      <c r="A8" s="13" t="str">
        <f>Cleaned_Data!A8</f>
        <v>MEM0007</v>
      </c>
      <c r="B8" s="14" t="str">
        <f ca="1">Cleaned_Data!D8</f>
        <v>BR01</v>
      </c>
      <c r="C8" s="14" t="str">
        <f ca="1">Cleaned_Data!E8</f>
        <v>Standard</v>
      </c>
      <c r="D8" s="15">
        <f>Cleaned_Data!F8</f>
        <v>45116</v>
      </c>
      <c r="E8" s="15">
        <f>Cleaned_Data!G8</f>
        <v>45146</v>
      </c>
      <c r="F8" s="14">
        <f>Cleaned_Data!H8</f>
        <v>3500</v>
      </c>
      <c r="G8" s="14">
        <f ca="1">Cleaned_Data!I8</f>
        <v>17500</v>
      </c>
      <c r="H8" s="14">
        <f>Cleaned_Data!J8</f>
        <v>7</v>
      </c>
      <c r="I8" s="14" t="str">
        <f>Cleaned_Data!M8</f>
        <v>Active</v>
      </c>
      <c r="J8" s="16">
        <f>Cleaned_Data!N8</f>
        <v>45649</v>
      </c>
      <c r="K8" t="str">
        <f t="shared" si="0"/>
        <v>Moderate</v>
      </c>
      <c r="L8" s="5" t="str">
        <f>IF(COUNTIF($A$2:A8,A8)&gt;1,"Duplicate","Unique")</f>
        <v>Unique</v>
      </c>
      <c r="M8" t="str">
        <f t="shared" si="1"/>
        <v>2023-07</v>
      </c>
      <c r="N8" s="2">
        <f t="shared" ca="1" si="2"/>
        <v>45649</v>
      </c>
      <c r="O8" s="4">
        <f t="shared" ca="1" si="3"/>
        <v>17</v>
      </c>
      <c r="P8" s="4">
        <f t="shared" ca="1" si="4"/>
        <v>480</v>
      </c>
      <c r="Q8">
        <f t="shared" ca="1" si="5"/>
        <v>1</v>
      </c>
      <c r="R8">
        <f t="shared" si="6"/>
        <v>2</v>
      </c>
      <c r="S8">
        <f t="shared" ca="1" si="7"/>
        <v>4</v>
      </c>
      <c r="T8" t="str">
        <f t="shared" ca="1" si="8"/>
        <v>124</v>
      </c>
      <c r="U8" t="str">
        <f t="shared" ca="1" si="9"/>
        <v>At Risk</v>
      </c>
    </row>
    <row r="9" spans="1:21">
      <c r="A9" s="17" t="str">
        <f>Cleaned_Data!A9</f>
        <v>MEM0008</v>
      </c>
      <c r="B9" s="18" t="str">
        <f ca="1">Cleaned_Data!D9</f>
        <v>BR01</v>
      </c>
      <c r="C9" s="18" t="str">
        <f ca="1">Cleaned_Data!E9</f>
        <v>Standard</v>
      </c>
      <c r="D9" s="19">
        <f>Cleaned_Data!F9</f>
        <v>45986</v>
      </c>
      <c r="E9" s="19">
        <f>Cleaned_Data!G9</f>
        <v>46076</v>
      </c>
      <c r="F9" s="18">
        <f>Cleaned_Data!H9</f>
        <v>1000</v>
      </c>
      <c r="G9" s="18">
        <f ca="1">Cleaned_Data!I9</f>
        <v>3000</v>
      </c>
      <c r="H9" s="18">
        <f>Cleaned_Data!J9</f>
        <v>8</v>
      </c>
      <c r="I9" s="18" t="str">
        <f>Cleaned_Data!M9</f>
        <v>Active</v>
      </c>
      <c r="J9" s="20">
        <f>Cleaned_Data!N9</f>
        <v>46071</v>
      </c>
      <c r="K9" t="str">
        <f t="shared" si="0"/>
        <v>Moderate</v>
      </c>
      <c r="L9" s="5" t="str">
        <f>IF(COUNTIF($A$2:A9,A9)&gt;1,"Duplicate","Unique")</f>
        <v>Unique</v>
      </c>
      <c r="M9" t="str">
        <f t="shared" si="1"/>
        <v>2025-11</v>
      </c>
      <c r="N9" s="2">
        <f t="shared" ca="1" si="2"/>
        <v>46071</v>
      </c>
      <c r="O9" s="4">
        <f t="shared" ca="1" si="3"/>
        <v>2</v>
      </c>
      <c r="P9" s="4">
        <f t="shared" ca="1" si="4"/>
        <v>58</v>
      </c>
      <c r="Q9">
        <f t="shared" ca="1" si="5"/>
        <v>4</v>
      </c>
      <c r="R9">
        <f t="shared" si="6"/>
        <v>2</v>
      </c>
      <c r="S9">
        <f t="shared" ca="1" si="7"/>
        <v>2</v>
      </c>
      <c r="T9" t="str">
        <f t="shared" ca="1" si="8"/>
        <v>422</v>
      </c>
      <c r="U9" t="str">
        <f t="shared" ca="1" si="9"/>
        <v>Others</v>
      </c>
    </row>
    <row r="10" spans="1:21">
      <c r="A10" s="13" t="str">
        <f>Cleaned_Data!A10</f>
        <v>MEM0009</v>
      </c>
      <c r="B10" s="14" t="str">
        <f ca="1">Cleaned_Data!D10</f>
        <v>BR06</v>
      </c>
      <c r="C10" s="14" t="str">
        <f ca="1">Cleaned_Data!E10</f>
        <v>Premium</v>
      </c>
      <c r="D10" s="15">
        <f>Cleaned_Data!F10</f>
        <v>45552</v>
      </c>
      <c r="E10" s="15">
        <f>Cleaned_Data!G10</f>
        <v>45582</v>
      </c>
      <c r="F10" s="14">
        <f>Cleaned_Data!H10</f>
        <v>2000</v>
      </c>
      <c r="G10" s="14">
        <f ca="1">Cleaned_Data!I10</f>
        <v>4000</v>
      </c>
      <c r="H10" s="14">
        <f>Cleaned_Data!J10</f>
        <v>14</v>
      </c>
      <c r="I10" s="14" t="str">
        <f>Cleaned_Data!M10</f>
        <v>Active</v>
      </c>
      <c r="J10" s="16">
        <f>Cleaned_Data!N10</f>
        <v>45846</v>
      </c>
      <c r="K10" t="str">
        <f t="shared" si="0"/>
        <v>Moderate</v>
      </c>
      <c r="L10" s="5" t="str">
        <f>IF(COUNTIF($A$2:A10,A10)&gt;1,"Duplicate","Unique")</f>
        <v>Unique</v>
      </c>
      <c r="M10" t="str">
        <f t="shared" si="1"/>
        <v>2024-09</v>
      </c>
      <c r="N10" s="2">
        <f t="shared" ca="1" si="2"/>
        <v>45846</v>
      </c>
      <c r="O10" s="4">
        <f t="shared" ca="1" si="3"/>
        <v>9</v>
      </c>
      <c r="P10" s="4">
        <f t="shared" ca="1" si="4"/>
        <v>283</v>
      </c>
      <c r="Q10">
        <f t="shared" ca="1" si="5"/>
        <v>2</v>
      </c>
      <c r="R10">
        <f t="shared" si="6"/>
        <v>3</v>
      </c>
      <c r="S10">
        <f t="shared" ca="1" si="7"/>
        <v>2</v>
      </c>
      <c r="T10" t="str">
        <f t="shared" ca="1" si="8"/>
        <v>232</v>
      </c>
      <c r="U10" t="str">
        <f t="shared" ca="1" si="9"/>
        <v>At Risk</v>
      </c>
    </row>
    <row r="11" spans="1:21">
      <c r="A11" s="17" t="str">
        <f>Cleaned_Data!A11</f>
        <v>MEM0010</v>
      </c>
      <c r="B11" s="18" t="str">
        <f ca="1">Cleaned_Data!D11</f>
        <v>BR03</v>
      </c>
      <c r="C11" s="18" t="str">
        <f ca="1">Cleaned_Data!E11</f>
        <v>Basic</v>
      </c>
      <c r="D11" s="19">
        <f>Cleaned_Data!F11</f>
        <v>45390</v>
      </c>
      <c r="E11" s="19">
        <f>Cleaned_Data!G11</f>
        <v>45420</v>
      </c>
      <c r="F11" s="18">
        <f>Cleaned_Data!H11</f>
        <v>3500</v>
      </c>
      <c r="G11" s="18">
        <f ca="1">Cleaned_Data!I11</f>
        <v>24500</v>
      </c>
      <c r="H11" s="18">
        <f>Cleaned_Data!J11</f>
        <v>15</v>
      </c>
      <c r="I11" s="18" t="str">
        <f>Cleaned_Data!M11</f>
        <v>Active</v>
      </c>
      <c r="J11" s="20">
        <f>Cleaned_Data!N11</f>
        <v>45926</v>
      </c>
      <c r="K11" t="str">
        <f t="shared" si="0"/>
        <v>Highly Active</v>
      </c>
      <c r="L11" s="5" t="str">
        <f>IF(COUNTIF($A$2:A11,A11)&gt;1,"Duplicate","Unique")</f>
        <v>Unique</v>
      </c>
      <c r="M11" t="str">
        <f t="shared" si="1"/>
        <v>2024-04</v>
      </c>
      <c r="N11" s="2">
        <f t="shared" ca="1" si="2"/>
        <v>45926</v>
      </c>
      <c r="O11" s="4">
        <f t="shared" ca="1" si="3"/>
        <v>17</v>
      </c>
      <c r="P11" s="4">
        <f t="shared" ca="1" si="4"/>
        <v>203</v>
      </c>
      <c r="Q11">
        <f t="shared" ca="1" si="5"/>
        <v>2</v>
      </c>
      <c r="R11">
        <f t="shared" si="6"/>
        <v>4</v>
      </c>
      <c r="S11">
        <f t="shared" ca="1" si="7"/>
        <v>5</v>
      </c>
      <c r="T11" t="str">
        <f t="shared" ca="1" si="8"/>
        <v>245</v>
      </c>
      <c r="U11" t="str">
        <f t="shared" ca="1" si="9"/>
        <v>At Risk</v>
      </c>
    </row>
    <row r="12" spans="1:21">
      <c r="A12" s="13" t="str">
        <f>Cleaned_Data!A12</f>
        <v>MEM0011</v>
      </c>
      <c r="B12" s="14" t="str">
        <f ca="1">Cleaned_Data!D12</f>
        <v>BR01</v>
      </c>
      <c r="C12" s="14" t="str">
        <f ca="1">Cleaned_Data!E12</f>
        <v>Standard</v>
      </c>
      <c r="D12" s="15">
        <f>Cleaned_Data!F12</f>
        <v>45093</v>
      </c>
      <c r="E12" s="15">
        <f>Cleaned_Data!G12</f>
        <v>45458</v>
      </c>
      <c r="F12" s="14">
        <f>Cleaned_Data!H12</f>
        <v>2000</v>
      </c>
      <c r="G12" s="14">
        <f ca="1">Cleaned_Data!I12</f>
        <v>2000</v>
      </c>
      <c r="H12" s="14">
        <f>Cleaned_Data!J12</f>
        <v>23</v>
      </c>
      <c r="I12" s="14" t="str">
        <f>Cleaned_Data!M12</f>
        <v>Active</v>
      </c>
      <c r="J12" s="16">
        <f>Cleaned_Data!N12</f>
        <v>45535</v>
      </c>
      <c r="K12" t="str">
        <f t="shared" si="0"/>
        <v>Highly Active</v>
      </c>
      <c r="L12" s="5" t="str">
        <f>IF(COUNTIF($A$2:A12,A12)&gt;1,"Duplicate","Unique")</f>
        <v>Unique</v>
      </c>
      <c r="M12" t="str">
        <f t="shared" si="1"/>
        <v>2023-06</v>
      </c>
      <c r="N12" s="2">
        <f t="shared" ca="1" si="2"/>
        <v>45535</v>
      </c>
      <c r="O12" s="4">
        <f t="shared" ca="1" si="3"/>
        <v>14</v>
      </c>
      <c r="P12" s="4">
        <f t="shared" ca="1" si="4"/>
        <v>594</v>
      </c>
      <c r="Q12">
        <f t="shared" ca="1" si="5"/>
        <v>1</v>
      </c>
      <c r="R12">
        <f t="shared" si="6"/>
        <v>5</v>
      </c>
      <c r="S12">
        <f t="shared" ca="1" si="7"/>
        <v>2</v>
      </c>
      <c r="T12" t="str">
        <f t="shared" ca="1" si="8"/>
        <v>152</v>
      </c>
      <c r="U12" t="str">
        <f t="shared" ca="1" si="9"/>
        <v>At Risk</v>
      </c>
    </row>
    <row r="13" spans="1:21">
      <c r="A13" s="17" t="str">
        <f>Cleaned_Data!A13</f>
        <v>MEM0012</v>
      </c>
      <c r="B13" s="18" t="str">
        <f ca="1">Cleaned_Data!D13</f>
        <v>BR06</v>
      </c>
      <c r="C13" s="18" t="str">
        <f ca="1">Cleaned_Data!E13</f>
        <v>Basic</v>
      </c>
      <c r="D13" s="19">
        <f>Cleaned_Data!F13</f>
        <v>45363</v>
      </c>
      <c r="E13" s="19">
        <f>Cleaned_Data!G13</f>
        <v>45728</v>
      </c>
      <c r="F13" s="18">
        <f>Cleaned_Data!H13</f>
        <v>2000</v>
      </c>
      <c r="G13" s="18">
        <f ca="1">Cleaned_Data!I13</f>
        <v>24000</v>
      </c>
      <c r="H13" s="18">
        <f>Cleaned_Data!J13</f>
        <v>14</v>
      </c>
      <c r="I13" s="18" t="str">
        <f>Cleaned_Data!M13</f>
        <v>Active</v>
      </c>
      <c r="J13" s="20">
        <f>Cleaned_Data!N13</f>
        <v>46031</v>
      </c>
      <c r="K13" t="str">
        <f t="shared" si="0"/>
        <v>Moderate</v>
      </c>
      <c r="L13" s="5" t="str">
        <f>IF(COUNTIF($A$2:A13,A13)&gt;1,"Duplicate","Unique")</f>
        <v>Unique</v>
      </c>
      <c r="M13" t="str">
        <f t="shared" si="1"/>
        <v>2024-03</v>
      </c>
      <c r="N13" s="2">
        <f t="shared" ca="1" si="2"/>
        <v>46031</v>
      </c>
      <c r="O13" s="4">
        <f t="shared" ca="1" si="3"/>
        <v>21</v>
      </c>
      <c r="P13" s="4">
        <f t="shared" ca="1" si="4"/>
        <v>98</v>
      </c>
      <c r="Q13">
        <f t="shared" ca="1" si="5"/>
        <v>3</v>
      </c>
      <c r="R13">
        <f t="shared" si="6"/>
        <v>3</v>
      </c>
      <c r="S13">
        <f t="shared" ca="1" si="7"/>
        <v>5</v>
      </c>
      <c r="T13" t="str">
        <f t="shared" ca="1" si="8"/>
        <v>335</v>
      </c>
      <c r="U13" t="str">
        <f t="shared" ca="1" si="9"/>
        <v>Loyal</v>
      </c>
    </row>
    <row r="14" spans="1:21">
      <c r="A14" s="13" t="str">
        <f>Cleaned_Data!A14</f>
        <v>MEM0013</v>
      </c>
      <c r="B14" s="14" t="str">
        <f ca="1">Cleaned_Data!D14</f>
        <v>BR05</v>
      </c>
      <c r="C14" s="14" t="str">
        <f ca="1">Cleaned_Data!E14</f>
        <v>Premium</v>
      </c>
      <c r="D14" s="15">
        <f>Cleaned_Data!F14</f>
        <v>45518</v>
      </c>
      <c r="E14" s="15">
        <f>Cleaned_Data!G14</f>
        <v>45548</v>
      </c>
      <c r="F14" s="14">
        <f>Cleaned_Data!H14</f>
        <v>1000</v>
      </c>
      <c r="G14" s="14">
        <f ca="1">Cleaned_Data!I14</f>
        <v>2000</v>
      </c>
      <c r="H14" s="14">
        <f>Cleaned_Data!J14</f>
        <v>15</v>
      </c>
      <c r="I14" s="14" t="str">
        <f>Cleaned_Data!M14</f>
        <v>Active</v>
      </c>
      <c r="J14" s="16">
        <f>Cleaned_Data!N14</f>
        <v>45895</v>
      </c>
      <c r="K14" t="str">
        <f t="shared" si="0"/>
        <v>Highly Active</v>
      </c>
      <c r="L14" s="5" t="str">
        <f>IF(COUNTIF($A$2:A14,A14)&gt;1,"Duplicate","Unique")</f>
        <v>Unique</v>
      </c>
      <c r="M14" t="str">
        <f t="shared" si="1"/>
        <v>2024-08</v>
      </c>
      <c r="N14" s="2">
        <f t="shared" ca="1" si="2"/>
        <v>45895</v>
      </c>
      <c r="O14" s="4">
        <f t="shared" ca="1" si="3"/>
        <v>12</v>
      </c>
      <c r="P14" s="4">
        <f t="shared" ca="1" si="4"/>
        <v>234</v>
      </c>
      <c r="Q14">
        <f t="shared" ca="1" si="5"/>
        <v>2</v>
      </c>
      <c r="R14">
        <f t="shared" si="6"/>
        <v>4</v>
      </c>
      <c r="S14">
        <f t="shared" ca="1" si="7"/>
        <v>2</v>
      </c>
      <c r="T14" t="str">
        <f t="shared" ca="1" si="8"/>
        <v>242</v>
      </c>
      <c r="U14" t="str">
        <f t="shared" ca="1" si="9"/>
        <v>At Risk</v>
      </c>
    </row>
    <row r="15" spans="1:21">
      <c r="A15" s="17" t="str">
        <f>Cleaned_Data!A15</f>
        <v>MEM0014</v>
      </c>
      <c r="B15" s="18" t="str">
        <f ca="1">Cleaned_Data!D15</f>
        <v>BR03</v>
      </c>
      <c r="C15" s="18" t="str">
        <f ca="1">Cleaned_Data!E15</f>
        <v>Premium</v>
      </c>
      <c r="D15" s="19">
        <f>Cleaned_Data!F15</f>
        <v>45394</v>
      </c>
      <c r="E15" s="19">
        <f>Cleaned_Data!G15</f>
        <v>45484</v>
      </c>
      <c r="F15" s="18">
        <f>Cleaned_Data!H15</f>
        <v>1000</v>
      </c>
      <c r="G15" s="18">
        <f ca="1">Cleaned_Data!I15</f>
        <v>9000</v>
      </c>
      <c r="H15" s="18">
        <f>Cleaned_Data!J15</f>
        <v>10</v>
      </c>
      <c r="I15" s="18" t="str">
        <f>Cleaned_Data!M15</f>
        <v>Active</v>
      </c>
      <c r="J15" s="20">
        <f>Cleaned_Data!N15</f>
        <v>45802</v>
      </c>
      <c r="K15" t="str">
        <f t="shared" si="0"/>
        <v>Moderate</v>
      </c>
      <c r="L15" s="5" t="str">
        <f>IF(COUNTIF($A$2:A15,A15)&gt;1,"Duplicate","Unique")</f>
        <v>Unique</v>
      </c>
      <c r="M15" t="str">
        <f t="shared" si="1"/>
        <v>2024-04</v>
      </c>
      <c r="N15" s="2">
        <f t="shared" ca="1" si="2"/>
        <v>45802</v>
      </c>
      <c r="O15" s="4">
        <f t="shared" ca="1" si="3"/>
        <v>13</v>
      </c>
      <c r="P15" s="4">
        <f t="shared" ca="1" si="4"/>
        <v>327</v>
      </c>
      <c r="Q15">
        <f t="shared" ca="1" si="5"/>
        <v>2</v>
      </c>
      <c r="R15">
        <f t="shared" si="6"/>
        <v>3</v>
      </c>
      <c r="S15">
        <f t="shared" ca="1" si="7"/>
        <v>3</v>
      </c>
      <c r="T15" t="str">
        <f t="shared" ca="1" si="8"/>
        <v>233</v>
      </c>
      <c r="U15" t="str">
        <f t="shared" ca="1" si="9"/>
        <v>At Risk</v>
      </c>
    </row>
    <row r="16" spans="1:21">
      <c r="A16" s="13" t="str">
        <f>Cleaned_Data!A16</f>
        <v>MEM0015</v>
      </c>
      <c r="B16" s="14" t="str">
        <f ca="1">Cleaned_Data!D16</f>
        <v>BR05</v>
      </c>
      <c r="C16" s="14" t="str">
        <f ca="1">Cleaned_Data!E16</f>
        <v>Standard</v>
      </c>
      <c r="D16" s="15">
        <f>Cleaned_Data!F16</f>
        <v>45496</v>
      </c>
      <c r="E16" s="15">
        <f>Cleaned_Data!G16</f>
        <v>45861</v>
      </c>
      <c r="F16" s="14">
        <f>Cleaned_Data!H16</f>
        <v>1000</v>
      </c>
      <c r="G16" s="14">
        <f ca="1">Cleaned_Data!I16</f>
        <v>8000</v>
      </c>
      <c r="H16" s="14">
        <f>Cleaned_Data!J16</f>
        <v>21</v>
      </c>
      <c r="I16" s="14" t="str">
        <f>Cleaned_Data!M16</f>
        <v>Active</v>
      </c>
      <c r="J16" s="16">
        <f>Cleaned_Data!N16</f>
        <v>46003</v>
      </c>
      <c r="K16" t="str">
        <f t="shared" si="0"/>
        <v>Highly Active</v>
      </c>
      <c r="L16" s="5" t="str">
        <f>IF(COUNTIF($A$2:A16,A16)&gt;1,"Duplicate","Unique")</f>
        <v>Unique</v>
      </c>
      <c r="M16" t="str">
        <f t="shared" si="1"/>
        <v>2024-07</v>
      </c>
      <c r="N16" s="2">
        <f t="shared" ca="1" si="2"/>
        <v>46003</v>
      </c>
      <c r="O16" s="4">
        <f t="shared" ca="1" si="3"/>
        <v>16</v>
      </c>
      <c r="P16" s="4">
        <f t="shared" ca="1" si="4"/>
        <v>126</v>
      </c>
      <c r="Q16">
        <f t="shared" ca="1" si="5"/>
        <v>3</v>
      </c>
      <c r="R16">
        <f t="shared" si="6"/>
        <v>5</v>
      </c>
      <c r="S16">
        <f t="shared" ca="1" si="7"/>
        <v>3</v>
      </c>
      <c r="T16" t="str">
        <f t="shared" ca="1" si="8"/>
        <v>353</v>
      </c>
      <c r="U16" t="str">
        <f t="shared" ca="1" si="9"/>
        <v>Loyal</v>
      </c>
    </row>
    <row r="17" spans="1:21">
      <c r="A17" s="17" t="str">
        <f>Cleaned_Data!A17</f>
        <v>MEM0016</v>
      </c>
      <c r="B17" s="18" t="str">
        <f ca="1">Cleaned_Data!D17</f>
        <v>BR01</v>
      </c>
      <c r="C17" s="18" t="str">
        <f ca="1">Cleaned_Data!E17</f>
        <v>Premium</v>
      </c>
      <c r="D17" s="19">
        <f>Cleaned_Data!F17</f>
        <v>45689</v>
      </c>
      <c r="E17" s="19">
        <f>Cleaned_Data!G17</f>
        <v>45719</v>
      </c>
      <c r="F17" s="18">
        <f>Cleaned_Data!H17</f>
        <v>3500</v>
      </c>
      <c r="G17" s="18">
        <f ca="1">Cleaned_Data!I17</f>
        <v>42000</v>
      </c>
      <c r="H17" s="18">
        <f>Cleaned_Data!J17</f>
        <v>6</v>
      </c>
      <c r="I17" s="18" t="str">
        <f>Cleaned_Data!M17</f>
        <v>Active</v>
      </c>
      <c r="J17" s="20">
        <f>Cleaned_Data!N17</f>
        <v>45758</v>
      </c>
      <c r="K17" t="str">
        <f t="shared" si="0"/>
        <v>Moderate</v>
      </c>
      <c r="L17" s="5" t="str">
        <f>IF(COUNTIF($A$2:A17,A17)&gt;1,"Duplicate","Unique")</f>
        <v>Unique</v>
      </c>
      <c r="M17" t="str">
        <f t="shared" si="1"/>
        <v>2025-02</v>
      </c>
      <c r="N17" s="2">
        <f t="shared" ca="1" si="2"/>
        <v>45758</v>
      </c>
      <c r="O17" s="4">
        <f t="shared" ca="1" si="3"/>
        <v>2</v>
      </c>
      <c r="P17" s="4">
        <f t="shared" ca="1" si="4"/>
        <v>371</v>
      </c>
      <c r="Q17">
        <f t="shared" ca="1" si="5"/>
        <v>1</v>
      </c>
      <c r="R17">
        <f t="shared" si="6"/>
        <v>2</v>
      </c>
      <c r="S17">
        <f t="shared" ca="1" si="7"/>
        <v>5</v>
      </c>
      <c r="T17" t="str">
        <f t="shared" ca="1" si="8"/>
        <v>125</v>
      </c>
      <c r="U17" t="str">
        <f t="shared" ca="1" si="9"/>
        <v>At Risk</v>
      </c>
    </row>
    <row r="18" spans="1:21">
      <c r="A18" s="13" t="str">
        <f>Cleaned_Data!A18</f>
        <v>MEM0017</v>
      </c>
      <c r="B18" s="14" t="str">
        <f ca="1">Cleaned_Data!D18</f>
        <v>BR04</v>
      </c>
      <c r="C18" s="14" t="str">
        <f ca="1">Cleaned_Data!E18</f>
        <v>Basic</v>
      </c>
      <c r="D18" s="15">
        <f>Cleaned_Data!F18</f>
        <v>45358</v>
      </c>
      <c r="E18" s="15">
        <f>Cleaned_Data!G18</f>
        <v>45723</v>
      </c>
      <c r="F18" s="14">
        <f>Cleaned_Data!H18</f>
        <v>3500</v>
      </c>
      <c r="G18" s="14">
        <f ca="1">Cleaned_Data!I18</f>
        <v>24500</v>
      </c>
      <c r="H18" s="14">
        <f>Cleaned_Data!J18</f>
        <v>16</v>
      </c>
      <c r="I18" s="14" t="str">
        <f>Cleaned_Data!M18</f>
        <v>Active</v>
      </c>
      <c r="J18" s="16">
        <f>Cleaned_Data!N18</f>
        <v>45412</v>
      </c>
      <c r="K18" t="str">
        <f t="shared" si="0"/>
        <v>Highly Active</v>
      </c>
      <c r="L18" s="5" t="str">
        <f>IF(COUNTIF($A$2:A18,A18)&gt;1,"Duplicate","Unique")</f>
        <v>Unique</v>
      </c>
      <c r="M18" t="str">
        <f t="shared" si="1"/>
        <v>2024-03</v>
      </c>
      <c r="N18" s="2">
        <f t="shared" ca="1" si="2"/>
        <v>45412</v>
      </c>
      <c r="O18" s="4">
        <f t="shared" ca="1" si="3"/>
        <v>1</v>
      </c>
      <c r="P18" s="4">
        <f t="shared" ca="1" si="4"/>
        <v>717</v>
      </c>
      <c r="Q18">
        <f t="shared" ca="1" si="5"/>
        <v>1</v>
      </c>
      <c r="R18">
        <f t="shared" si="6"/>
        <v>4</v>
      </c>
      <c r="S18">
        <f t="shared" ca="1" si="7"/>
        <v>5</v>
      </c>
      <c r="T18" t="str">
        <f t="shared" ca="1" si="8"/>
        <v>145</v>
      </c>
      <c r="U18" t="str">
        <f t="shared" ca="1" si="9"/>
        <v>At Risk</v>
      </c>
    </row>
    <row r="19" spans="1:21">
      <c r="A19" s="17" t="str">
        <f>Cleaned_Data!A19</f>
        <v>MEM0018</v>
      </c>
      <c r="B19" s="18" t="str">
        <f ca="1">Cleaned_Data!D19</f>
        <v>BR02</v>
      </c>
      <c r="C19" s="18" t="str">
        <f ca="1">Cleaned_Data!E19</f>
        <v>Premium</v>
      </c>
      <c r="D19" s="19">
        <f>Cleaned_Data!F19</f>
        <v>45872</v>
      </c>
      <c r="E19" s="19">
        <f>Cleaned_Data!G19</f>
        <v>46237</v>
      </c>
      <c r="F19" s="18">
        <f>Cleaned_Data!H19</f>
        <v>3500</v>
      </c>
      <c r="G19" s="18">
        <f ca="1">Cleaned_Data!I19</f>
        <v>38500</v>
      </c>
      <c r="H19" s="18">
        <f>Cleaned_Data!J19</f>
        <v>14</v>
      </c>
      <c r="I19" s="18" t="str">
        <f>Cleaned_Data!M19</f>
        <v>Cancelled</v>
      </c>
      <c r="J19" s="20">
        <f>Cleaned_Data!N19</f>
        <v>46059</v>
      </c>
      <c r="K19" t="str">
        <f t="shared" si="0"/>
        <v>Moderate</v>
      </c>
      <c r="L19" s="5" t="str">
        <f>IF(COUNTIF($A$2:A19,A19)&gt;1,"Duplicate","Unique")</f>
        <v>Unique</v>
      </c>
      <c r="M19" t="str">
        <f t="shared" si="1"/>
        <v>2025-08</v>
      </c>
      <c r="N19" s="2">
        <f t="shared" ca="1" si="2"/>
        <v>46059</v>
      </c>
      <c r="O19" s="4">
        <f t="shared" ca="1" si="3"/>
        <v>6</v>
      </c>
      <c r="P19" s="4">
        <f t="shared" ca="1" si="4"/>
        <v>70</v>
      </c>
      <c r="Q19">
        <f t="shared" ca="1" si="5"/>
        <v>4</v>
      </c>
      <c r="R19">
        <f t="shared" si="6"/>
        <v>3</v>
      </c>
      <c r="S19">
        <f t="shared" ca="1" si="7"/>
        <v>5</v>
      </c>
      <c r="T19" t="str">
        <f t="shared" ca="1" si="8"/>
        <v>435</v>
      </c>
      <c r="U19" t="str">
        <f t="shared" ca="1" si="9"/>
        <v>Loyal</v>
      </c>
    </row>
    <row r="20" spans="1:21">
      <c r="A20" s="13" t="str">
        <f>Cleaned_Data!A20</f>
        <v>MEM0019</v>
      </c>
      <c r="B20" s="14" t="str">
        <f ca="1">Cleaned_Data!D20</f>
        <v>BR07</v>
      </c>
      <c r="C20" s="21" t="str">
        <f ca="1">Cleaned_Data!E20</f>
        <v>Basic</v>
      </c>
      <c r="D20" s="22">
        <f>Cleaned_Data!F20</f>
        <v>45429</v>
      </c>
      <c r="E20" s="22">
        <f>Cleaned_Data!G20</f>
        <v>45459</v>
      </c>
      <c r="F20" s="21">
        <f>Cleaned_Data!H20</f>
        <v>3500</v>
      </c>
      <c r="G20" s="21">
        <f ca="1">Cleaned_Data!I20</f>
        <v>24500</v>
      </c>
      <c r="H20" s="21">
        <f>Cleaned_Data!J20</f>
        <v>23</v>
      </c>
      <c r="I20" s="21" t="str">
        <f>Cleaned_Data!M20</f>
        <v>Active</v>
      </c>
      <c r="J20" s="23">
        <f>Cleaned_Data!N20</f>
        <v>46072</v>
      </c>
      <c r="K20" t="str">
        <f t="shared" si="0"/>
        <v>Highly Active</v>
      </c>
      <c r="L20" s="5" t="str">
        <f>IF(COUNTIF($A$2:A20,A20)&gt;1,"Duplicate","Unique")</f>
        <v>Unique</v>
      </c>
      <c r="M20" t="str">
        <f t="shared" si="1"/>
        <v>2024-05</v>
      </c>
      <c r="N20" s="2">
        <f t="shared" ca="1" si="2"/>
        <v>46072</v>
      </c>
      <c r="O20" s="4">
        <f t="shared" ca="1" si="3"/>
        <v>21</v>
      </c>
      <c r="P20" s="4">
        <f t="shared" ca="1" si="4"/>
        <v>57</v>
      </c>
      <c r="Q20">
        <f t="shared" ca="1" si="5"/>
        <v>4</v>
      </c>
      <c r="R20">
        <f t="shared" si="6"/>
        <v>5</v>
      </c>
      <c r="S20">
        <f t="shared" ca="1" si="7"/>
        <v>5</v>
      </c>
      <c r="T20" t="str">
        <f t="shared" ca="1" si="8"/>
        <v>455</v>
      </c>
      <c r="U20" t="str">
        <f t="shared" ca="1" si="9"/>
        <v>Champion</v>
      </c>
    </row>
    <row r="21" spans="1:21">
      <c r="A21" s="17" t="str">
        <f>Cleaned_Data!A21</f>
        <v>MEM0020</v>
      </c>
      <c r="B21" s="18" t="str">
        <f ca="1">Cleaned_Data!D21</f>
        <v>BR06</v>
      </c>
      <c r="C21" s="18" t="str">
        <f ca="1">Cleaned_Data!E21</f>
        <v>Basic</v>
      </c>
      <c r="D21" s="19">
        <f>Cleaned_Data!F21</f>
        <v>44974</v>
      </c>
      <c r="E21" s="19">
        <f>Cleaned_Data!G21</f>
        <v>45004</v>
      </c>
      <c r="F21" s="18">
        <f>Cleaned_Data!H21</f>
        <v>2000</v>
      </c>
      <c r="G21" s="18">
        <f ca="1">Cleaned_Data!I21</f>
        <v>6000</v>
      </c>
      <c r="H21" s="18">
        <f>Cleaned_Data!J21</f>
        <v>19</v>
      </c>
      <c r="I21" s="18" t="str">
        <f>Cleaned_Data!M21</f>
        <v>Active</v>
      </c>
      <c r="J21" s="20">
        <f>Cleaned_Data!N21</f>
        <v>45123</v>
      </c>
      <c r="K21" t="str">
        <f t="shared" si="0"/>
        <v>Highly Active</v>
      </c>
      <c r="L21" s="5" t="str">
        <f>IF(COUNTIF($A$2:A21,A21)&gt;1,"Duplicate","Unique")</f>
        <v>Unique</v>
      </c>
      <c r="M21" t="str">
        <f t="shared" si="1"/>
        <v>2023-02</v>
      </c>
      <c r="N21" s="2">
        <f t="shared" ca="1" si="2"/>
        <v>45123</v>
      </c>
      <c r="O21" s="4">
        <f t="shared" ca="1" si="3"/>
        <v>4</v>
      </c>
      <c r="P21" s="4">
        <f t="shared" ca="1" si="4"/>
        <v>1006</v>
      </c>
      <c r="Q21">
        <f t="shared" ca="1" si="5"/>
        <v>1</v>
      </c>
      <c r="R21">
        <f t="shared" si="6"/>
        <v>4</v>
      </c>
      <c r="S21">
        <f t="shared" ca="1" si="7"/>
        <v>3</v>
      </c>
      <c r="T21" t="str">
        <f t="shared" ca="1" si="8"/>
        <v>143</v>
      </c>
      <c r="U21" t="str">
        <f t="shared" ca="1" si="9"/>
        <v>At Risk</v>
      </c>
    </row>
    <row r="22" spans="1:21">
      <c r="A22" s="13" t="str">
        <f>Cleaned_Data!A22</f>
        <v>MEM0021</v>
      </c>
      <c r="B22" s="14" t="str">
        <f ca="1">Cleaned_Data!D22</f>
        <v>BR07</v>
      </c>
      <c r="C22" s="14" t="str">
        <f ca="1">Cleaned_Data!E22</f>
        <v>Basic</v>
      </c>
      <c r="D22" s="15">
        <f>Cleaned_Data!F22</f>
        <v>45629</v>
      </c>
      <c r="E22" s="15">
        <f>Cleaned_Data!G22</f>
        <v>45659</v>
      </c>
      <c r="F22" s="14">
        <f>Cleaned_Data!H22</f>
        <v>3500</v>
      </c>
      <c r="G22" s="14">
        <f ca="1">Cleaned_Data!I22</f>
        <v>3500</v>
      </c>
      <c r="H22" s="14">
        <f>Cleaned_Data!J22</f>
        <v>17</v>
      </c>
      <c r="I22" s="14" t="str">
        <f>Cleaned_Data!M22</f>
        <v>Active</v>
      </c>
      <c r="J22" s="16">
        <f>Cleaned_Data!N22</f>
        <v>45950</v>
      </c>
      <c r="K22" t="str">
        <f t="shared" si="0"/>
        <v>Highly Active</v>
      </c>
      <c r="L22" s="5" t="str">
        <f>IF(COUNTIF($A$2:A22,A22)&gt;1,"Duplicate","Unique")</f>
        <v>Unique</v>
      </c>
      <c r="M22" t="str">
        <f t="shared" si="1"/>
        <v>2024-12</v>
      </c>
      <c r="N22" s="2">
        <f t="shared" ca="1" si="2"/>
        <v>45950</v>
      </c>
      <c r="O22" s="4">
        <f t="shared" ca="1" si="3"/>
        <v>10</v>
      </c>
      <c r="P22" s="4">
        <f t="shared" ca="1" si="4"/>
        <v>179</v>
      </c>
      <c r="Q22">
        <f t="shared" ca="1" si="5"/>
        <v>3</v>
      </c>
      <c r="R22">
        <f t="shared" si="6"/>
        <v>4</v>
      </c>
      <c r="S22">
        <f t="shared" ca="1" si="7"/>
        <v>2</v>
      </c>
      <c r="T22" t="str">
        <f t="shared" ca="1" si="8"/>
        <v>342</v>
      </c>
      <c r="U22" t="str">
        <f t="shared" ca="1" si="9"/>
        <v>Others</v>
      </c>
    </row>
    <row r="23" spans="1:21">
      <c r="A23" s="17" t="str">
        <f>Cleaned_Data!A23</f>
        <v>MEM0022</v>
      </c>
      <c r="B23" s="18" t="str">
        <f ca="1">Cleaned_Data!D23</f>
        <v>BR04</v>
      </c>
      <c r="C23" s="18" t="str">
        <f ca="1">Cleaned_Data!E23</f>
        <v>Basic</v>
      </c>
      <c r="D23" s="19">
        <f>Cleaned_Data!F23</f>
        <v>45326</v>
      </c>
      <c r="E23" s="19">
        <f>Cleaned_Data!G23</f>
        <v>45356</v>
      </c>
      <c r="F23" s="18">
        <f>Cleaned_Data!H23</f>
        <v>1000</v>
      </c>
      <c r="G23" s="18">
        <f ca="1">Cleaned_Data!I23</f>
        <v>2000</v>
      </c>
      <c r="H23" s="18">
        <f>Cleaned_Data!J23</f>
        <v>18</v>
      </c>
      <c r="I23" s="18" t="str">
        <f>Cleaned_Data!M23</f>
        <v>Active</v>
      </c>
      <c r="J23" s="20">
        <f>Cleaned_Data!N23</f>
        <v>45865</v>
      </c>
      <c r="K23" t="str">
        <f t="shared" si="0"/>
        <v>Highly Active</v>
      </c>
      <c r="L23" s="5" t="str">
        <f>IF(COUNTIF($A$2:A23,A23)&gt;1,"Duplicate","Unique")</f>
        <v>Unique</v>
      </c>
      <c r="M23" t="str">
        <f t="shared" si="1"/>
        <v>2024-02</v>
      </c>
      <c r="N23" s="2">
        <f t="shared" ca="1" si="2"/>
        <v>45865</v>
      </c>
      <c r="O23" s="4">
        <f t="shared" ca="1" si="3"/>
        <v>17</v>
      </c>
      <c r="P23" s="4">
        <f t="shared" ca="1" si="4"/>
        <v>264</v>
      </c>
      <c r="Q23">
        <f t="shared" ca="1" si="5"/>
        <v>2</v>
      </c>
      <c r="R23">
        <f t="shared" si="6"/>
        <v>4</v>
      </c>
      <c r="S23">
        <f t="shared" ca="1" si="7"/>
        <v>2</v>
      </c>
      <c r="T23" t="str">
        <f t="shared" ca="1" si="8"/>
        <v>242</v>
      </c>
      <c r="U23" t="str">
        <f t="shared" ca="1" si="9"/>
        <v>At Risk</v>
      </c>
    </row>
    <row r="24" spans="1:21">
      <c r="A24" s="13" t="str">
        <f>Cleaned_Data!A24</f>
        <v>MEM0023</v>
      </c>
      <c r="B24" s="14" t="str">
        <f ca="1">Cleaned_Data!D24</f>
        <v>BR07</v>
      </c>
      <c r="C24" s="14" t="str">
        <f ca="1">Cleaned_Data!E24</f>
        <v>Basic</v>
      </c>
      <c r="D24" s="15">
        <f>Cleaned_Data!F24</f>
        <v>45858</v>
      </c>
      <c r="E24" s="15">
        <f>Cleaned_Data!G24</f>
        <v>46223</v>
      </c>
      <c r="F24" s="14">
        <f>Cleaned_Data!H24</f>
        <v>1000</v>
      </c>
      <c r="G24" s="14">
        <f ca="1">Cleaned_Data!I24</f>
        <v>5000</v>
      </c>
      <c r="H24" s="14">
        <f>Cleaned_Data!J24</f>
        <v>9</v>
      </c>
      <c r="I24" s="14" t="str">
        <f>Cleaned_Data!M24</f>
        <v>Active</v>
      </c>
      <c r="J24" s="16">
        <f>Cleaned_Data!N24</f>
        <v>46102</v>
      </c>
      <c r="K24" t="str">
        <f t="shared" si="0"/>
        <v>Moderate</v>
      </c>
      <c r="L24" s="5" t="str">
        <f>IF(COUNTIF($A$2:A24,A24)&gt;1,"Duplicate","Unique")</f>
        <v>Unique</v>
      </c>
      <c r="M24" t="str">
        <f t="shared" si="1"/>
        <v>2025-07</v>
      </c>
      <c r="N24" s="2">
        <f t="shared" ca="1" si="2"/>
        <v>46102</v>
      </c>
      <c r="O24" s="4">
        <f t="shared" ca="1" si="3"/>
        <v>8</v>
      </c>
      <c r="P24" s="4">
        <f t="shared" ca="1" si="4"/>
        <v>27</v>
      </c>
      <c r="Q24">
        <f t="shared" ca="1" si="5"/>
        <v>5</v>
      </c>
      <c r="R24">
        <f t="shared" si="6"/>
        <v>2</v>
      </c>
      <c r="S24">
        <f t="shared" ca="1" si="7"/>
        <v>3</v>
      </c>
      <c r="T24" t="str">
        <f t="shared" ca="1" si="8"/>
        <v>523</v>
      </c>
      <c r="U24" t="str">
        <f t="shared" ca="1" si="9"/>
        <v>Others</v>
      </c>
    </row>
    <row r="25" spans="1:21">
      <c r="A25" s="17" t="str">
        <f>Cleaned_Data!A25</f>
        <v>MEM0024</v>
      </c>
      <c r="B25" s="18" t="str">
        <f ca="1">Cleaned_Data!D25</f>
        <v>BR03</v>
      </c>
      <c r="C25" s="18" t="str">
        <f ca="1">Cleaned_Data!E25</f>
        <v>Basic</v>
      </c>
      <c r="D25" s="19">
        <f>Cleaned_Data!F25</f>
        <v>45814</v>
      </c>
      <c r="E25" s="19">
        <f>Cleaned_Data!G25</f>
        <v>45904</v>
      </c>
      <c r="F25" s="18">
        <f>Cleaned_Data!H25</f>
        <v>1000</v>
      </c>
      <c r="G25" s="18">
        <f ca="1">Cleaned_Data!I25</f>
        <v>5000</v>
      </c>
      <c r="H25" s="18">
        <f>Cleaned_Data!J25</f>
        <v>4</v>
      </c>
      <c r="I25" s="18" t="str">
        <f>Cleaned_Data!M25</f>
        <v>Cancelled</v>
      </c>
      <c r="J25" s="20">
        <f>Cleaned_Data!N25</f>
        <v>45855</v>
      </c>
      <c r="K25" t="str">
        <f t="shared" si="0"/>
        <v>At Risk</v>
      </c>
      <c r="L25" s="5" t="str">
        <f>IF(COUNTIF($A$2:A25,A25)&gt;1,"Duplicate","Unique")</f>
        <v>Unique</v>
      </c>
      <c r="M25" t="str">
        <f t="shared" si="1"/>
        <v>2025-06</v>
      </c>
      <c r="N25" s="2">
        <f t="shared" ca="1" si="2"/>
        <v>45855</v>
      </c>
      <c r="O25" s="4">
        <f t="shared" ca="1" si="3"/>
        <v>1</v>
      </c>
      <c r="P25" s="4">
        <f t="shared" ca="1" si="4"/>
        <v>274</v>
      </c>
      <c r="Q25">
        <f t="shared" ca="1" si="5"/>
        <v>2</v>
      </c>
      <c r="R25">
        <f t="shared" si="6"/>
        <v>1</v>
      </c>
      <c r="S25">
        <f t="shared" ca="1" si="7"/>
        <v>3</v>
      </c>
      <c r="T25" t="str">
        <f t="shared" ca="1" si="8"/>
        <v>213</v>
      </c>
      <c r="U25" t="str">
        <f t="shared" ca="1" si="9"/>
        <v>At Risk</v>
      </c>
    </row>
    <row r="26" spans="1:21">
      <c r="A26" s="13" t="str">
        <f>Cleaned_Data!A26</f>
        <v>MEM0025</v>
      </c>
      <c r="B26" s="14" t="str">
        <f ca="1">Cleaned_Data!D26</f>
        <v>BR07</v>
      </c>
      <c r="C26" s="14" t="str">
        <f ca="1">Cleaned_Data!E26</f>
        <v>Standard</v>
      </c>
      <c r="D26" s="15">
        <f>Cleaned_Data!F26</f>
        <v>45963</v>
      </c>
      <c r="E26" s="15">
        <f>Cleaned_Data!G26</f>
        <v>46328</v>
      </c>
      <c r="F26" s="14">
        <f>Cleaned_Data!H26</f>
        <v>1000</v>
      </c>
      <c r="G26" s="14">
        <f ca="1">Cleaned_Data!I26</f>
        <v>4000</v>
      </c>
      <c r="H26" s="14">
        <f>Cleaned_Data!J26</f>
        <v>13</v>
      </c>
      <c r="I26" s="14" t="str">
        <f>Cleaned_Data!M26</f>
        <v>Active</v>
      </c>
      <c r="J26" s="16">
        <f>Cleaned_Data!N26</f>
        <v>46058</v>
      </c>
      <c r="K26" t="str">
        <f t="shared" si="0"/>
        <v>Moderate</v>
      </c>
      <c r="L26" s="5" t="str">
        <f>IF(COUNTIF($A$2:A26,A26)&gt;1,"Duplicate","Unique")</f>
        <v>Unique</v>
      </c>
      <c r="M26" t="str">
        <f t="shared" si="1"/>
        <v>2025-11</v>
      </c>
      <c r="N26" s="2">
        <f t="shared" ca="1" si="2"/>
        <v>46058</v>
      </c>
      <c r="O26" s="4">
        <f t="shared" ca="1" si="3"/>
        <v>3</v>
      </c>
      <c r="P26" s="4">
        <f t="shared" ca="1" si="4"/>
        <v>71</v>
      </c>
      <c r="Q26">
        <f t="shared" ca="1" si="5"/>
        <v>4</v>
      </c>
      <c r="R26">
        <f t="shared" si="6"/>
        <v>3</v>
      </c>
      <c r="S26">
        <f t="shared" ca="1" si="7"/>
        <v>2</v>
      </c>
      <c r="T26" t="str">
        <f t="shared" ca="1" si="8"/>
        <v>432</v>
      </c>
      <c r="U26" t="str">
        <f t="shared" ca="1" si="9"/>
        <v>Others</v>
      </c>
    </row>
    <row r="27" spans="1:21">
      <c r="A27" s="17" t="str">
        <f>Cleaned_Data!A27</f>
        <v>MEM0026</v>
      </c>
      <c r="B27" s="18" t="str">
        <f ca="1">Cleaned_Data!D27</f>
        <v>BR04</v>
      </c>
      <c r="C27" s="18" t="str">
        <f ca="1">Cleaned_Data!E27</f>
        <v>Premium</v>
      </c>
      <c r="D27" s="19">
        <f>Cleaned_Data!F27</f>
        <v>45571</v>
      </c>
      <c r="E27" s="19">
        <f>Cleaned_Data!G27</f>
        <v>45661</v>
      </c>
      <c r="F27" s="18">
        <f>Cleaned_Data!H27</f>
        <v>3500</v>
      </c>
      <c r="G27" s="18">
        <f ca="1">Cleaned_Data!I27</f>
        <v>21000</v>
      </c>
      <c r="H27" s="18">
        <f>Cleaned_Data!J27</f>
        <v>12</v>
      </c>
      <c r="I27" s="18" t="str">
        <f>Cleaned_Data!M27</f>
        <v>Active</v>
      </c>
      <c r="J27" s="20">
        <f>Cleaned_Data!N27</f>
        <v>45686</v>
      </c>
      <c r="K27" t="str">
        <f t="shared" si="0"/>
        <v>Moderate</v>
      </c>
      <c r="L27" s="5" t="str">
        <f>IF(COUNTIF($A$2:A27,A27)&gt;1,"Duplicate","Unique")</f>
        <v>Unique</v>
      </c>
      <c r="M27" t="str">
        <f t="shared" si="1"/>
        <v>2024-10</v>
      </c>
      <c r="N27" s="2">
        <f t="shared" ca="1" si="2"/>
        <v>45686</v>
      </c>
      <c r="O27" s="4">
        <f t="shared" ca="1" si="3"/>
        <v>3</v>
      </c>
      <c r="P27" s="4">
        <f t="shared" ca="1" si="4"/>
        <v>443</v>
      </c>
      <c r="Q27">
        <f t="shared" ca="1" si="5"/>
        <v>1</v>
      </c>
      <c r="R27">
        <f t="shared" si="6"/>
        <v>3</v>
      </c>
      <c r="S27">
        <f t="shared" ca="1" si="7"/>
        <v>5</v>
      </c>
      <c r="T27" t="str">
        <f t="shared" ca="1" si="8"/>
        <v>135</v>
      </c>
      <c r="U27" t="str">
        <f t="shared" ca="1" si="9"/>
        <v>At Risk</v>
      </c>
    </row>
    <row r="28" spans="1:21">
      <c r="A28" s="13" t="str">
        <f>Cleaned_Data!A28</f>
        <v>MEM0027</v>
      </c>
      <c r="B28" s="14" t="str">
        <f ca="1">Cleaned_Data!D28</f>
        <v>BR05</v>
      </c>
      <c r="C28" s="14" t="str">
        <f ca="1">Cleaned_Data!E28</f>
        <v>Standard</v>
      </c>
      <c r="D28" s="15">
        <f>Cleaned_Data!F28</f>
        <v>44959</v>
      </c>
      <c r="E28" s="15">
        <f>Cleaned_Data!G28</f>
        <v>44989</v>
      </c>
      <c r="F28" s="14">
        <f>Cleaned_Data!H28</f>
        <v>3500</v>
      </c>
      <c r="G28" s="14">
        <f ca="1">Cleaned_Data!I28</f>
        <v>21000</v>
      </c>
      <c r="H28" s="14">
        <f>Cleaned_Data!J28</f>
        <v>16</v>
      </c>
      <c r="I28" s="14" t="str">
        <f>Cleaned_Data!M28</f>
        <v>Active</v>
      </c>
      <c r="J28" s="16">
        <f>Cleaned_Data!N28</f>
        <v>45950</v>
      </c>
      <c r="K28" t="str">
        <f t="shared" si="0"/>
        <v>Highly Active</v>
      </c>
      <c r="L28" s="5" t="str">
        <f>IF(COUNTIF($A$2:A28,A28)&gt;1,"Duplicate","Unique")</f>
        <v>Unique</v>
      </c>
      <c r="M28" t="str">
        <f t="shared" si="1"/>
        <v>2023-02</v>
      </c>
      <c r="N28" s="2">
        <f t="shared" ca="1" si="2"/>
        <v>45950</v>
      </c>
      <c r="O28" s="4">
        <f t="shared" ca="1" si="3"/>
        <v>32</v>
      </c>
      <c r="P28" s="4">
        <f t="shared" ca="1" si="4"/>
        <v>179</v>
      </c>
      <c r="Q28">
        <f t="shared" ca="1" si="5"/>
        <v>3</v>
      </c>
      <c r="R28">
        <f t="shared" si="6"/>
        <v>4</v>
      </c>
      <c r="S28">
        <f t="shared" ca="1" si="7"/>
        <v>5</v>
      </c>
      <c r="T28" t="str">
        <f t="shared" ca="1" si="8"/>
        <v>345</v>
      </c>
      <c r="U28" t="str">
        <f t="shared" ca="1" si="9"/>
        <v>Loyal</v>
      </c>
    </row>
    <row r="29" spans="1:21">
      <c r="A29" s="17" t="str">
        <f>Cleaned_Data!A29</f>
        <v>MEM0028</v>
      </c>
      <c r="B29" s="18" t="str">
        <f ca="1">Cleaned_Data!D29</f>
        <v>BR07</v>
      </c>
      <c r="C29" s="18" t="str">
        <f ca="1">Cleaned_Data!E29</f>
        <v>Standard</v>
      </c>
      <c r="D29" s="19">
        <f>Cleaned_Data!F29</f>
        <v>45097</v>
      </c>
      <c r="E29" s="19">
        <f>Cleaned_Data!G29</f>
        <v>45462</v>
      </c>
      <c r="F29" s="18">
        <f>Cleaned_Data!H29</f>
        <v>1000</v>
      </c>
      <c r="G29" s="18">
        <f ca="1">Cleaned_Data!I29</f>
        <v>10000</v>
      </c>
      <c r="H29" s="18">
        <f>Cleaned_Data!J29</f>
        <v>17</v>
      </c>
      <c r="I29" s="18" t="str">
        <f>Cleaned_Data!M29</f>
        <v>Active</v>
      </c>
      <c r="J29" s="20">
        <f>Cleaned_Data!N29</f>
        <v>45499</v>
      </c>
      <c r="K29" t="str">
        <f t="shared" si="0"/>
        <v>Highly Active</v>
      </c>
      <c r="L29" s="5" t="str">
        <f>IF(COUNTIF($A$2:A29,A29)&gt;1,"Duplicate","Unique")</f>
        <v>Unique</v>
      </c>
      <c r="M29" t="str">
        <f t="shared" si="1"/>
        <v>2023-06</v>
      </c>
      <c r="N29" s="2">
        <f t="shared" ca="1" si="2"/>
        <v>45499</v>
      </c>
      <c r="O29" s="4">
        <f t="shared" ca="1" si="3"/>
        <v>13</v>
      </c>
      <c r="P29" s="4">
        <f t="shared" ca="1" si="4"/>
        <v>630</v>
      </c>
      <c r="Q29">
        <f t="shared" ca="1" si="5"/>
        <v>1</v>
      </c>
      <c r="R29">
        <f t="shared" si="6"/>
        <v>4</v>
      </c>
      <c r="S29">
        <f t="shared" ca="1" si="7"/>
        <v>4</v>
      </c>
      <c r="T29" t="str">
        <f t="shared" ca="1" si="8"/>
        <v>144</v>
      </c>
      <c r="U29" t="str">
        <f t="shared" ca="1" si="9"/>
        <v>At Risk</v>
      </c>
    </row>
    <row r="30" spans="1:21">
      <c r="A30" s="13" t="str">
        <f>Cleaned_Data!A30</f>
        <v>MEM0029</v>
      </c>
      <c r="B30" s="14" t="str">
        <f ca="1">Cleaned_Data!D30</f>
        <v>BR07</v>
      </c>
      <c r="C30" s="14" t="str">
        <f ca="1">Cleaned_Data!E30</f>
        <v>Basic</v>
      </c>
      <c r="D30" s="15">
        <f>Cleaned_Data!F30</f>
        <v>45971</v>
      </c>
      <c r="E30" s="15">
        <f>Cleaned_Data!G30</f>
        <v>46336</v>
      </c>
      <c r="F30" s="14">
        <f>Cleaned_Data!H30</f>
        <v>3500</v>
      </c>
      <c r="G30" s="14">
        <f ca="1">Cleaned_Data!I30</f>
        <v>10500</v>
      </c>
      <c r="H30" s="14">
        <f>Cleaned_Data!J30</f>
        <v>1</v>
      </c>
      <c r="I30" s="14" t="str">
        <f>Cleaned_Data!M30</f>
        <v>Cancelled</v>
      </c>
      <c r="J30" s="16">
        <f>Cleaned_Data!N30</f>
        <v>46110</v>
      </c>
      <c r="K30" t="str">
        <f t="shared" si="0"/>
        <v>At Risk</v>
      </c>
      <c r="L30" s="5" t="str">
        <f>IF(COUNTIF($A$2:A30,A30)&gt;1,"Duplicate","Unique")</f>
        <v>Unique</v>
      </c>
      <c r="M30" t="str">
        <f t="shared" si="1"/>
        <v>2025-11</v>
      </c>
      <c r="N30" s="2">
        <f t="shared" ca="1" si="2"/>
        <v>46110</v>
      </c>
      <c r="O30" s="4">
        <f t="shared" ca="1" si="3"/>
        <v>4</v>
      </c>
      <c r="P30" s="4">
        <f t="shared" ca="1" si="4"/>
        <v>19</v>
      </c>
      <c r="Q30">
        <f t="shared" ca="1" si="5"/>
        <v>5</v>
      </c>
      <c r="R30">
        <f t="shared" si="6"/>
        <v>1</v>
      </c>
      <c r="S30">
        <f t="shared" ca="1" si="7"/>
        <v>4</v>
      </c>
      <c r="T30" t="str">
        <f t="shared" ca="1" si="8"/>
        <v>514</v>
      </c>
      <c r="U30" t="str">
        <f t="shared" ca="1" si="9"/>
        <v>Others</v>
      </c>
    </row>
    <row r="31" spans="1:21">
      <c r="A31" s="17" t="str">
        <f>Cleaned_Data!A31</f>
        <v>MEM0030</v>
      </c>
      <c r="B31" s="18" t="str">
        <f ca="1">Cleaned_Data!D31</f>
        <v>BR01</v>
      </c>
      <c r="C31" s="18" t="str">
        <f ca="1">Cleaned_Data!E31</f>
        <v>Premium</v>
      </c>
      <c r="D31" s="19">
        <f>Cleaned_Data!F31</f>
        <v>44988</v>
      </c>
      <c r="E31" s="19">
        <f>Cleaned_Data!G31</f>
        <v>45353</v>
      </c>
      <c r="F31" s="18">
        <f>Cleaned_Data!H31</f>
        <v>3500</v>
      </c>
      <c r="G31" s="18">
        <f ca="1">Cleaned_Data!I31</f>
        <v>17500</v>
      </c>
      <c r="H31" s="18">
        <f>Cleaned_Data!J31</f>
        <v>0</v>
      </c>
      <c r="I31" s="18" t="str">
        <f>Cleaned_Data!M31</f>
        <v>Cancelled</v>
      </c>
      <c r="J31" s="20">
        <f>Cleaned_Data!N31</f>
        <v>45264</v>
      </c>
      <c r="K31" t="str">
        <f t="shared" si="0"/>
        <v>At Risk</v>
      </c>
      <c r="L31" s="5" t="str">
        <f>IF(COUNTIF($A$2:A31,A31)&gt;1,"Duplicate","Unique")</f>
        <v>Unique</v>
      </c>
      <c r="M31" t="str">
        <f t="shared" si="1"/>
        <v>2023-03</v>
      </c>
      <c r="N31" s="2">
        <f t="shared" ca="1" si="2"/>
        <v>45264</v>
      </c>
      <c r="O31" s="4">
        <f t="shared" ca="1" si="3"/>
        <v>9</v>
      </c>
      <c r="P31" s="4">
        <f t="shared" ca="1" si="4"/>
        <v>865</v>
      </c>
      <c r="Q31">
        <f t="shared" ca="1" si="5"/>
        <v>1</v>
      </c>
      <c r="R31">
        <f t="shared" si="6"/>
        <v>1</v>
      </c>
      <c r="S31">
        <f t="shared" ca="1" si="7"/>
        <v>4</v>
      </c>
      <c r="T31" t="str">
        <f t="shared" ca="1" si="8"/>
        <v>114</v>
      </c>
      <c r="U31" t="str">
        <f t="shared" ca="1" si="9"/>
        <v>At Risk</v>
      </c>
    </row>
    <row r="32" spans="1:21">
      <c r="A32" s="13" t="str">
        <f>Cleaned_Data!A32</f>
        <v>MEM0031</v>
      </c>
      <c r="B32" s="14" t="str">
        <f ca="1">Cleaned_Data!D32</f>
        <v>BR07</v>
      </c>
      <c r="C32" s="14" t="str">
        <f ca="1">Cleaned_Data!E32</f>
        <v>Premium</v>
      </c>
      <c r="D32" s="15">
        <f>Cleaned_Data!F32</f>
        <v>45493</v>
      </c>
      <c r="E32" s="15">
        <f>Cleaned_Data!G32</f>
        <v>45583</v>
      </c>
      <c r="F32" s="14">
        <f>Cleaned_Data!H32</f>
        <v>2000</v>
      </c>
      <c r="G32" s="14">
        <f ca="1">Cleaned_Data!I32</f>
        <v>18000</v>
      </c>
      <c r="H32" s="14">
        <f>Cleaned_Data!J32</f>
        <v>19</v>
      </c>
      <c r="I32" s="14" t="str">
        <f>Cleaned_Data!M32</f>
        <v>Active</v>
      </c>
      <c r="J32" s="16">
        <f>Cleaned_Data!N32</f>
        <v>45827</v>
      </c>
      <c r="K32" t="str">
        <f t="shared" si="0"/>
        <v>Highly Active</v>
      </c>
      <c r="L32" s="5" t="str">
        <f>IF(COUNTIF($A$2:A32,A32)&gt;1,"Duplicate","Unique")</f>
        <v>Unique</v>
      </c>
      <c r="M32" t="str">
        <f t="shared" si="1"/>
        <v>2024-07</v>
      </c>
      <c r="N32" s="2">
        <f t="shared" ca="1" si="2"/>
        <v>45827</v>
      </c>
      <c r="O32" s="4">
        <f t="shared" ca="1" si="3"/>
        <v>10</v>
      </c>
      <c r="P32" s="4">
        <f t="shared" ca="1" si="4"/>
        <v>302</v>
      </c>
      <c r="Q32">
        <f t="shared" ca="1" si="5"/>
        <v>2</v>
      </c>
      <c r="R32">
        <f t="shared" si="6"/>
        <v>4</v>
      </c>
      <c r="S32">
        <f t="shared" ca="1" si="7"/>
        <v>4</v>
      </c>
      <c r="T32" t="str">
        <f t="shared" ca="1" si="8"/>
        <v>244</v>
      </c>
      <c r="U32" t="str">
        <f t="shared" ca="1" si="9"/>
        <v>At Risk</v>
      </c>
    </row>
    <row r="33" spans="1:21">
      <c r="A33" s="17" t="str">
        <f>Cleaned_Data!A33</f>
        <v>MEM0032</v>
      </c>
      <c r="B33" s="18" t="str">
        <f ca="1">Cleaned_Data!D33</f>
        <v>BR02</v>
      </c>
      <c r="C33" s="18" t="str">
        <f ca="1">Cleaned_Data!E33</f>
        <v>Basic</v>
      </c>
      <c r="D33" s="19">
        <f>Cleaned_Data!F33</f>
        <v>45247</v>
      </c>
      <c r="E33" s="19">
        <f>Cleaned_Data!G33</f>
        <v>45337</v>
      </c>
      <c r="F33" s="18">
        <f>Cleaned_Data!H33</f>
        <v>3500</v>
      </c>
      <c r="G33" s="18">
        <f ca="1">Cleaned_Data!I33</f>
        <v>31500</v>
      </c>
      <c r="H33" s="18">
        <f>Cleaned_Data!J33</f>
        <v>11</v>
      </c>
      <c r="I33" s="18" t="str">
        <f>Cleaned_Data!M33</f>
        <v>Active</v>
      </c>
      <c r="J33" s="20">
        <f>Cleaned_Data!N33</f>
        <v>45987</v>
      </c>
      <c r="K33" t="str">
        <f t="shared" si="0"/>
        <v>Moderate</v>
      </c>
      <c r="L33" s="5" t="str">
        <f>IF(COUNTIF($A$2:A33,A33)&gt;1,"Duplicate","Unique")</f>
        <v>Unique</v>
      </c>
      <c r="M33" t="str">
        <f t="shared" si="1"/>
        <v>2023-11</v>
      </c>
      <c r="N33" s="2">
        <f t="shared" ca="1" si="2"/>
        <v>45987</v>
      </c>
      <c r="O33" s="4">
        <f t="shared" ca="1" si="3"/>
        <v>24</v>
      </c>
      <c r="P33" s="4">
        <f t="shared" ca="1" si="4"/>
        <v>142</v>
      </c>
      <c r="Q33">
        <f t="shared" ca="1" si="5"/>
        <v>3</v>
      </c>
      <c r="R33">
        <f t="shared" si="6"/>
        <v>3</v>
      </c>
      <c r="S33">
        <f t="shared" ca="1" si="7"/>
        <v>5</v>
      </c>
      <c r="T33" t="str">
        <f t="shared" ca="1" si="8"/>
        <v>335</v>
      </c>
      <c r="U33" t="str">
        <f t="shared" ca="1" si="9"/>
        <v>Loyal</v>
      </c>
    </row>
    <row r="34" spans="1:21">
      <c r="A34" s="13" t="str">
        <f>Cleaned_Data!A34</f>
        <v>MEM0033</v>
      </c>
      <c r="B34" s="14" t="str">
        <f ca="1">Cleaned_Data!D34</f>
        <v>BR07</v>
      </c>
      <c r="C34" s="14" t="str">
        <f ca="1">Cleaned_Data!E34</f>
        <v>Basic</v>
      </c>
      <c r="D34" s="15">
        <f>Cleaned_Data!F34</f>
        <v>45276</v>
      </c>
      <c r="E34" s="15">
        <f>Cleaned_Data!G34</f>
        <v>45641</v>
      </c>
      <c r="F34" s="14">
        <f>Cleaned_Data!H34</f>
        <v>2000</v>
      </c>
      <c r="G34" s="14">
        <f ca="1">Cleaned_Data!I34</f>
        <v>12000</v>
      </c>
      <c r="H34" s="14">
        <f>Cleaned_Data!J34</f>
        <v>21</v>
      </c>
      <c r="I34" s="14" t="str">
        <f>Cleaned_Data!M34</f>
        <v>Active</v>
      </c>
      <c r="J34" s="16">
        <f>Cleaned_Data!N34</f>
        <v>45981</v>
      </c>
      <c r="K34" t="str">
        <f t="shared" si="0"/>
        <v>Highly Active</v>
      </c>
      <c r="L34" s="5" t="str">
        <f>IF(COUNTIF($A$2:A34,A34)&gt;1,"Duplicate","Unique")</f>
        <v>Unique</v>
      </c>
      <c r="M34" t="str">
        <f t="shared" si="1"/>
        <v>2023-12</v>
      </c>
      <c r="N34" s="2">
        <f t="shared" ca="1" si="2"/>
        <v>45981</v>
      </c>
      <c r="O34" s="4">
        <f t="shared" ca="1" si="3"/>
        <v>23</v>
      </c>
      <c r="P34" s="4">
        <f t="shared" ca="1" si="4"/>
        <v>148</v>
      </c>
      <c r="Q34">
        <f t="shared" ca="1" si="5"/>
        <v>3</v>
      </c>
      <c r="R34">
        <f t="shared" si="6"/>
        <v>5</v>
      </c>
      <c r="S34">
        <f t="shared" ca="1" si="7"/>
        <v>4</v>
      </c>
      <c r="T34" t="str">
        <f t="shared" ca="1" si="8"/>
        <v>354</v>
      </c>
      <c r="U34" t="str">
        <f t="shared" ca="1" si="9"/>
        <v>Loyal</v>
      </c>
    </row>
    <row r="35" spans="1:21">
      <c r="A35" s="17" t="str">
        <f>Cleaned_Data!A35</f>
        <v>MEM0034</v>
      </c>
      <c r="B35" s="18" t="str">
        <f ca="1">Cleaned_Data!D35</f>
        <v>BR01</v>
      </c>
      <c r="C35" s="18" t="str">
        <f ca="1">Cleaned_Data!E35</f>
        <v>Standard</v>
      </c>
      <c r="D35" s="19">
        <f>Cleaned_Data!F35</f>
        <v>45621</v>
      </c>
      <c r="E35" s="19">
        <f>Cleaned_Data!G35</f>
        <v>45986</v>
      </c>
      <c r="F35" s="18">
        <f>Cleaned_Data!H35</f>
        <v>2000</v>
      </c>
      <c r="G35" s="18">
        <f ca="1">Cleaned_Data!I35</f>
        <v>4000</v>
      </c>
      <c r="H35" s="18">
        <f>Cleaned_Data!J35</f>
        <v>24</v>
      </c>
      <c r="I35" s="18" t="str">
        <f>Cleaned_Data!M35</f>
        <v>Active</v>
      </c>
      <c r="J35" s="20">
        <f>Cleaned_Data!N35</f>
        <v>45718</v>
      </c>
      <c r="K35" t="str">
        <f t="shared" si="0"/>
        <v>Highly Active</v>
      </c>
      <c r="L35" s="5" t="str">
        <f>IF(COUNTIF($A$2:A35,A35)&gt;1,"Duplicate","Unique")</f>
        <v>Unique</v>
      </c>
      <c r="M35" t="str">
        <f t="shared" si="1"/>
        <v>2024-11</v>
      </c>
      <c r="N35" s="2">
        <f t="shared" ca="1" si="2"/>
        <v>45718</v>
      </c>
      <c r="O35" s="4">
        <f t="shared" ca="1" si="3"/>
        <v>3</v>
      </c>
      <c r="P35" s="4">
        <f t="shared" ca="1" si="4"/>
        <v>411</v>
      </c>
      <c r="Q35">
        <f t="shared" ca="1" si="5"/>
        <v>1</v>
      </c>
      <c r="R35">
        <f t="shared" si="6"/>
        <v>5</v>
      </c>
      <c r="S35">
        <f t="shared" ca="1" si="7"/>
        <v>2</v>
      </c>
      <c r="T35" t="str">
        <f t="shared" ca="1" si="8"/>
        <v>152</v>
      </c>
      <c r="U35" t="str">
        <f t="shared" ca="1" si="9"/>
        <v>At Risk</v>
      </c>
    </row>
    <row r="36" spans="1:21">
      <c r="A36" s="13" t="str">
        <f>Cleaned_Data!A36</f>
        <v>MEM0035</v>
      </c>
      <c r="B36" s="14" t="str">
        <f ca="1">Cleaned_Data!D36</f>
        <v>BR05</v>
      </c>
      <c r="C36" s="14" t="str">
        <f ca="1">Cleaned_Data!E36</f>
        <v>Premium</v>
      </c>
      <c r="D36" s="15">
        <f>Cleaned_Data!F36</f>
        <v>45340</v>
      </c>
      <c r="E36" s="15">
        <f>Cleaned_Data!G36</f>
        <v>45370</v>
      </c>
      <c r="F36" s="14">
        <f>Cleaned_Data!H36</f>
        <v>1000</v>
      </c>
      <c r="G36" s="14">
        <f ca="1">Cleaned_Data!I36</f>
        <v>9000</v>
      </c>
      <c r="H36" s="14">
        <f>Cleaned_Data!J36</f>
        <v>1</v>
      </c>
      <c r="I36" s="14" t="str">
        <f>Cleaned_Data!M36</f>
        <v>Active</v>
      </c>
      <c r="J36" s="16">
        <f>Cleaned_Data!N36</f>
        <v>45881</v>
      </c>
      <c r="K36" t="str">
        <f t="shared" si="0"/>
        <v>At Risk</v>
      </c>
      <c r="L36" s="5" t="str">
        <f>IF(COUNTIF($A$2:A36,A36)&gt;1,"Duplicate","Unique")</f>
        <v>Unique</v>
      </c>
      <c r="M36" t="str">
        <f t="shared" si="1"/>
        <v>2024-02</v>
      </c>
      <c r="N36" s="2">
        <f t="shared" ca="1" si="2"/>
        <v>45881</v>
      </c>
      <c r="O36" s="4">
        <f t="shared" ca="1" si="3"/>
        <v>17</v>
      </c>
      <c r="P36" s="4">
        <f t="shared" ca="1" si="4"/>
        <v>248</v>
      </c>
      <c r="Q36">
        <f t="shared" ca="1" si="5"/>
        <v>2</v>
      </c>
      <c r="R36">
        <f t="shared" si="6"/>
        <v>1</v>
      </c>
      <c r="S36">
        <f t="shared" ca="1" si="7"/>
        <v>3</v>
      </c>
      <c r="T36" t="str">
        <f t="shared" ca="1" si="8"/>
        <v>213</v>
      </c>
      <c r="U36" t="str">
        <f t="shared" ca="1" si="9"/>
        <v>At Risk</v>
      </c>
    </row>
    <row r="37" spans="1:21">
      <c r="A37" s="17" t="str">
        <f>Cleaned_Data!A37</f>
        <v>MEM0036</v>
      </c>
      <c r="B37" s="18" t="str">
        <f ca="1">Cleaned_Data!D37</f>
        <v>BR06</v>
      </c>
      <c r="C37" s="18" t="str">
        <f ca="1">Cleaned_Data!E37</f>
        <v>Basic</v>
      </c>
      <c r="D37" s="19">
        <f>Cleaned_Data!F37</f>
        <v>44950</v>
      </c>
      <c r="E37" s="19">
        <f>Cleaned_Data!G37</f>
        <v>45040</v>
      </c>
      <c r="F37" s="18">
        <f>Cleaned_Data!H37</f>
        <v>3500</v>
      </c>
      <c r="G37" s="18">
        <f ca="1">Cleaned_Data!I37</f>
        <v>7000</v>
      </c>
      <c r="H37" s="18">
        <f>Cleaned_Data!J37</f>
        <v>9</v>
      </c>
      <c r="I37" s="18" t="str">
        <f>Cleaned_Data!M37</f>
        <v>Active</v>
      </c>
      <c r="J37" s="20">
        <f>Cleaned_Data!N37</f>
        <v>45961</v>
      </c>
      <c r="K37" t="str">
        <f t="shared" si="0"/>
        <v>Moderate</v>
      </c>
      <c r="L37" s="5" t="str">
        <f>IF(COUNTIF($A$2:A37,A37)&gt;1,"Duplicate","Unique")</f>
        <v>Unique</v>
      </c>
      <c r="M37" t="str">
        <f t="shared" si="1"/>
        <v>2023-01</v>
      </c>
      <c r="N37" s="2">
        <f t="shared" ca="1" si="2"/>
        <v>45961</v>
      </c>
      <c r="O37" s="4">
        <f t="shared" ca="1" si="3"/>
        <v>33</v>
      </c>
      <c r="P37" s="4">
        <f t="shared" ca="1" si="4"/>
        <v>168</v>
      </c>
      <c r="Q37">
        <f t="shared" ca="1" si="5"/>
        <v>3</v>
      </c>
      <c r="R37">
        <f t="shared" si="6"/>
        <v>2</v>
      </c>
      <c r="S37">
        <f t="shared" ca="1" si="7"/>
        <v>3</v>
      </c>
      <c r="T37" t="str">
        <f t="shared" ca="1" si="8"/>
        <v>323</v>
      </c>
      <c r="U37" t="str">
        <f t="shared" ca="1" si="9"/>
        <v>Others</v>
      </c>
    </row>
    <row r="38" spans="1:21">
      <c r="A38" s="13" t="str">
        <f>Cleaned_Data!A38</f>
        <v>MEM0037</v>
      </c>
      <c r="B38" s="14" t="str">
        <f ca="1">Cleaned_Data!D38</f>
        <v>BR05</v>
      </c>
      <c r="C38" s="14" t="str">
        <f ca="1">Cleaned_Data!E38</f>
        <v>Standard</v>
      </c>
      <c r="D38" s="15">
        <f>Cleaned_Data!F38</f>
        <v>45855</v>
      </c>
      <c r="E38" s="15">
        <f>Cleaned_Data!G38</f>
        <v>45945</v>
      </c>
      <c r="F38" s="14">
        <f>Cleaned_Data!H38</f>
        <v>3500</v>
      </c>
      <c r="G38" s="14">
        <f ca="1">Cleaned_Data!I38</f>
        <v>3500</v>
      </c>
      <c r="H38" s="14">
        <f>Cleaned_Data!J38</f>
        <v>13</v>
      </c>
      <c r="I38" s="14" t="str">
        <f>Cleaned_Data!M38</f>
        <v>Active</v>
      </c>
      <c r="J38" s="16">
        <f>Cleaned_Data!N38</f>
        <v>46053</v>
      </c>
      <c r="K38" t="str">
        <f t="shared" si="0"/>
        <v>Moderate</v>
      </c>
      <c r="L38" s="5" t="str">
        <f>IF(COUNTIF($A$2:A38,A38)&gt;1,"Duplicate","Unique")</f>
        <v>Unique</v>
      </c>
      <c r="M38" t="str">
        <f t="shared" si="1"/>
        <v>2025-07</v>
      </c>
      <c r="N38" s="2">
        <f t="shared" ca="1" si="2"/>
        <v>46053</v>
      </c>
      <c r="O38" s="4">
        <f t="shared" ca="1" si="3"/>
        <v>6</v>
      </c>
      <c r="P38" s="4">
        <f t="shared" ca="1" si="4"/>
        <v>76</v>
      </c>
      <c r="Q38">
        <f t="shared" ca="1" si="5"/>
        <v>4</v>
      </c>
      <c r="R38">
        <f t="shared" si="6"/>
        <v>3</v>
      </c>
      <c r="S38">
        <f t="shared" ca="1" si="7"/>
        <v>2</v>
      </c>
      <c r="T38" t="str">
        <f t="shared" ca="1" si="8"/>
        <v>432</v>
      </c>
      <c r="U38" t="str">
        <f t="shared" ca="1" si="9"/>
        <v>Others</v>
      </c>
    </row>
    <row r="39" spans="1:21">
      <c r="A39" s="17" t="str">
        <f>Cleaned_Data!A39</f>
        <v>MEM0038</v>
      </c>
      <c r="B39" s="18" t="str">
        <f ca="1">Cleaned_Data!D39</f>
        <v>BR02</v>
      </c>
      <c r="C39" s="18" t="str">
        <f ca="1">Cleaned_Data!E39</f>
        <v>Basic</v>
      </c>
      <c r="D39" s="19">
        <f>Cleaned_Data!F39</f>
        <v>45673</v>
      </c>
      <c r="E39" s="19">
        <f>Cleaned_Data!G39</f>
        <v>45763</v>
      </c>
      <c r="F39" s="18">
        <f>Cleaned_Data!H39</f>
        <v>3500</v>
      </c>
      <c r="G39" s="18">
        <f ca="1">Cleaned_Data!I39</f>
        <v>17500</v>
      </c>
      <c r="H39" s="18">
        <f>Cleaned_Data!J39</f>
        <v>13</v>
      </c>
      <c r="I39" s="18" t="str">
        <f>Cleaned_Data!M39</f>
        <v>Active</v>
      </c>
      <c r="J39" s="20">
        <f>Cleaned_Data!N39</f>
        <v>45759</v>
      </c>
      <c r="K39" t="str">
        <f t="shared" si="0"/>
        <v>Moderate</v>
      </c>
      <c r="L39" s="5" t="str">
        <f>IF(COUNTIF($A$2:A39,A39)&gt;1,"Duplicate","Unique")</f>
        <v>Unique</v>
      </c>
      <c r="M39" t="str">
        <f t="shared" si="1"/>
        <v>2025-01</v>
      </c>
      <c r="N39" s="2">
        <f t="shared" ca="1" si="2"/>
        <v>45759</v>
      </c>
      <c r="O39" s="4">
        <f t="shared" ca="1" si="3"/>
        <v>2</v>
      </c>
      <c r="P39" s="4">
        <f t="shared" ca="1" si="4"/>
        <v>370</v>
      </c>
      <c r="Q39">
        <f t="shared" ca="1" si="5"/>
        <v>1</v>
      </c>
      <c r="R39">
        <f t="shared" si="6"/>
        <v>3</v>
      </c>
      <c r="S39">
        <f t="shared" ca="1" si="7"/>
        <v>4</v>
      </c>
      <c r="T39" t="str">
        <f t="shared" ca="1" si="8"/>
        <v>134</v>
      </c>
      <c r="U39" t="str">
        <f t="shared" ca="1" si="9"/>
        <v>At Risk</v>
      </c>
    </row>
    <row r="40" spans="1:21">
      <c r="A40" s="13" t="str">
        <f>Cleaned_Data!A40</f>
        <v>MEM0039</v>
      </c>
      <c r="B40" s="14" t="str">
        <f ca="1">Cleaned_Data!D40</f>
        <v>BR04</v>
      </c>
      <c r="C40" s="14" t="str">
        <f ca="1">Cleaned_Data!E40</f>
        <v>Basic</v>
      </c>
      <c r="D40" s="15">
        <f>Cleaned_Data!F40</f>
        <v>46018</v>
      </c>
      <c r="E40" s="15">
        <f>Cleaned_Data!G40</f>
        <v>46048</v>
      </c>
      <c r="F40" s="14">
        <f>Cleaned_Data!H40</f>
        <v>2000</v>
      </c>
      <c r="G40" s="14">
        <f ca="1">Cleaned_Data!I40</f>
        <v>12000</v>
      </c>
      <c r="H40" s="14">
        <f>Cleaned_Data!J40</f>
        <v>15</v>
      </c>
      <c r="I40" s="14" t="str">
        <f>Cleaned_Data!M40</f>
        <v>Active</v>
      </c>
      <c r="J40" s="16">
        <f>Cleaned_Data!N40</f>
        <v>46088</v>
      </c>
      <c r="K40" t="str">
        <f t="shared" si="0"/>
        <v>Highly Active</v>
      </c>
      <c r="L40" s="5" t="str">
        <f>IF(COUNTIF($A$2:A40,A40)&gt;1,"Duplicate","Unique")</f>
        <v>Unique</v>
      </c>
      <c r="M40" t="str">
        <f t="shared" si="1"/>
        <v>2025-12</v>
      </c>
      <c r="N40" s="2">
        <f t="shared" ca="1" si="2"/>
        <v>46088</v>
      </c>
      <c r="O40" s="4">
        <f t="shared" ca="1" si="3"/>
        <v>2</v>
      </c>
      <c r="P40" s="4">
        <f t="shared" ca="1" si="4"/>
        <v>41</v>
      </c>
      <c r="Q40">
        <f t="shared" ca="1" si="5"/>
        <v>4</v>
      </c>
      <c r="R40">
        <f t="shared" si="6"/>
        <v>4</v>
      </c>
      <c r="S40">
        <f t="shared" ca="1" si="7"/>
        <v>4</v>
      </c>
      <c r="T40" t="str">
        <f t="shared" ca="1" si="8"/>
        <v>444</v>
      </c>
      <c r="U40" t="str">
        <f t="shared" ca="1" si="9"/>
        <v>Champion</v>
      </c>
    </row>
    <row r="41" spans="1:21">
      <c r="A41" s="17" t="str">
        <f>Cleaned_Data!A41</f>
        <v>MEM0040</v>
      </c>
      <c r="B41" s="18" t="str">
        <f ca="1">Cleaned_Data!D41</f>
        <v>BR03</v>
      </c>
      <c r="C41" s="18" t="str">
        <f ca="1">Cleaned_Data!E41</f>
        <v>Premium</v>
      </c>
      <c r="D41" s="19">
        <f>Cleaned_Data!F41</f>
        <v>45987</v>
      </c>
      <c r="E41" s="19">
        <f>Cleaned_Data!G41</f>
        <v>46352</v>
      </c>
      <c r="F41" s="18">
        <f>Cleaned_Data!H41</f>
        <v>3500</v>
      </c>
      <c r="G41" s="18">
        <f ca="1">Cleaned_Data!I41</f>
        <v>42000</v>
      </c>
      <c r="H41" s="18">
        <f>Cleaned_Data!J41</f>
        <v>15</v>
      </c>
      <c r="I41" s="18" t="str">
        <f>Cleaned_Data!M41</f>
        <v>Cancelled</v>
      </c>
      <c r="J41" s="20">
        <f>Cleaned_Data!N41</f>
        <v>46092</v>
      </c>
      <c r="K41" t="str">
        <f t="shared" si="0"/>
        <v>Highly Active</v>
      </c>
      <c r="L41" s="5" t="str">
        <f>IF(COUNTIF($A$2:A41,A41)&gt;1,"Duplicate","Unique")</f>
        <v>Unique</v>
      </c>
      <c r="M41" t="str">
        <f t="shared" si="1"/>
        <v>2025-11</v>
      </c>
      <c r="N41" s="2">
        <f t="shared" ca="1" si="2"/>
        <v>46092</v>
      </c>
      <c r="O41" s="4">
        <f t="shared" ca="1" si="3"/>
        <v>3</v>
      </c>
      <c r="P41" s="4">
        <f t="shared" ca="1" si="4"/>
        <v>37</v>
      </c>
      <c r="Q41">
        <f t="shared" ca="1" si="5"/>
        <v>4</v>
      </c>
      <c r="R41">
        <f t="shared" si="6"/>
        <v>4</v>
      </c>
      <c r="S41">
        <f t="shared" ca="1" si="7"/>
        <v>5</v>
      </c>
      <c r="T41" t="str">
        <f t="shared" ca="1" si="8"/>
        <v>445</v>
      </c>
      <c r="U41" t="str">
        <f t="shared" ca="1" si="9"/>
        <v>Champion</v>
      </c>
    </row>
    <row r="42" spans="1:21">
      <c r="A42" s="13" t="str">
        <f>Cleaned_Data!A42</f>
        <v>MEM0041</v>
      </c>
      <c r="B42" s="14" t="str">
        <f ca="1">Cleaned_Data!D42</f>
        <v>BR05</v>
      </c>
      <c r="C42" s="14" t="str">
        <f ca="1">Cleaned_Data!E42</f>
        <v>Standard</v>
      </c>
      <c r="D42" s="15">
        <f>Cleaned_Data!F42</f>
        <v>45459</v>
      </c>
      <c r="E42" s="15">
        <f>Cleaned_Data!G42</f>
        <v>45824</v>
      </c>
      <c r="F42" s="14">
        <f>Cleaned_Data!H42</f>
        <v>1000</v>
      </c>
      <c r="G42" s="14">
        <f ca="1">Cleaned_Data!I42</f>
        <v>10000</v>
      </c>
      <c r="H42" s="14">
        <f>Cleaned_Data!J42</f>
        <v>17</v>
      </c>
      <c r="I42" s="14" t="str">
        <f>Cleaned_Data!M42</f>
        <v>Active</v>
      </c>
      <c r="J42" s="16">
        <f>Cleaned_Data!N42</f>
        <v>45590</v>
      </c>
      <c r="K42" t="str">
        <f t="shared" si="0"/>
        <v>Highly Active</v>
      </c>
      <c r="L42" s="5" t="str">
        <f>IF(COUNTIF($A$2:A42,A42)&gt;1,"Duplicate","Unique")</f>
        <v>Unique</v>
      </c>
      <c r="M42" t="str">
        <f t="shared" si="1"/>
        <v>2024-06</v>
      </c>
      <c r="N42" s="2">
        <f t="shared" ca="1" si="2"/>
        <v>45590</v>
      </c>
      <c r="O42" s="4">
        <f t="shared" ca="1" si="3"/>
        <v>4</v>
      </c>
      <c r="P42" s="4">
        <f t="shared" ca="1" si="4"/>
        <v>539</v>
      </c>
      <c r="Q42">
        <f t="shared" ca="1" si="5"/>
        <v>1</v>
      </c>
      <c r="R42">
        <f t="shared" si="6"/>
        <v>4</v>
      </c>
      <c r="S42">
        <f t="shared" ca="1" si="7"/>
        <v>4</v>
      </c>
      <c r="T42" t="str">
        <f t="shared" ca="1" si="8"/>
        <v>144</v>
      </c>
      <c r="U42" t="str">
        <f t="shared" ca="1" si="9"/>
        <v>At Risk</v>
      </c>
    </row>
    <row r="43" spans="1:21">
      <c r="A43" s="17" t="str">
        <f>Cleaned_Data!A43</f>
        <v>MEM0042</v>
      </c>
      <c r="B43" s="18" t="str">
        <f ca="1">Cleaned_Data!D43</f>
        <v>BR03</v>
      </c>
      <c r="C43" s="18" t="str">
        <f ca="1">Cleaned_Data!E43</f>
        <v>Premium</v>
      </c>
      <c r="D43" s="19">
        <f>Cleaned_Data!F43</f>
        <v>45171</v>
      </c>
      <c r="E43" s="19">
        <f>Cleaned_Data!G43</f>
        <v>45201</v>
      </c>
      <c r="F43" s="18">
        <f>Cleaned_Data!H43</f>
        <v>3500</v>
      </c>
      <c r="G43" s="18">
        <f ca="1">Cleaned_Data!I43</f>
        <v>7000</v>
      </c>
      <c r="H43" s="18">
        <f>Cleaned_Data!J43</f>
        <v>20</v>
      </c>
      <c r="I43" s="18" t="str">
        <f>Cleaned_Data!M43</f>
        <v>Cancelled</v>
      </c>
      <c r="J43" s="20">
        <f>Cleaned_Data!N43</f>
        <v>46017</v>
      </c>
      <c r="K43" t="str">
        <f t="shared" si="0"/>
        <v>Highly Active</v>
      </c>
      <c r="L43" s="5" t="str">
        <f>IF(COUNTIF($A$2:A43,A43)&gt;1,"Duplicate","Unique")</f>
        <v>Unique</v>
      </c>
      <c r="M43" t="str">
        <f t="shared" si="1"/>
        <v>2023-09</v>
      </c>
      <c r="N43" s="2">
        <f t="shared" ca="1" si="2"/>
        <v>46017</v>
      </c>
      <c r="O43" s="4">
        <f t="shared" ca="1" si="3"/>
        <v>27</v>
      </c>
      <c r="P43" s="4">
        <f t="shared" ca="1" si="4"/>
        <v>112</v>
      </c>
      <c r="Q43">
        <f t="shared" ca="1" si="5"/>
        <v>3</v>
      </c>
      <c r="R43">
        <f t="shared" si="6"/>
        <v>5</v>
      </c>
      <c r="S43">
        <f t="shared" ca="1" si="7"/>
        <v>3</v>
      </c>
      <c r="T43" t="str">
        <f t="shared" ca="1" si="8"/>
        <v>353</v>
      </c>
      <c r="U43" t="str">
        <f t="shared" ca="1" si="9"/>
        <v>Loyal</v>
      </c>
    </row>
    <row r="44" spans="1:21">
      <c r="A44" s="13" t="str">
        <f>Cleaned_Data!A44</f>
        <v>MEM0043</v>
      </c>
      <c r="B44" s="14" t="str">
        <f ca="1">Cleaned_Data!D44</f>
        <v>BR07</v>
      </c>
      <c r="C44" s="14" t="str">
        <f ca="1">Cleaned_Data!E44</f>
        <v>Basic</v>
      </c>
      <c r="D44" s="15">
        <f>Cleaned_Data!F44</f>
        <v>45759</v>
      </c>
      <c r="E44" s="15">
        <f>Cleaned_Data!G44</f>
        <v>45849</v>
      </c>
      <c r="F44" s="14">
        <f>Cleaned_Data!H44</f>
        <v>3500</v>
      </c>
      <c r="G44" s="14">
        <f ca="1">Cleaned_Data!I44</f>
        <v>17500</v>
      </c>
      <c r="H44" s="14">
        <f>Cleaned_Data!J44</f>
        <v>13</v>
      </c>
      <c r="I44" s="14" t="str">
        <f>Cleaned_Data!M44</f>
        <v>Active</v>
      </c>
      <c r="J44" s="16">
        <f>Cleaned_Data!N44</f>
        <v>46011</v>
      </c>
      <c r="K44" t="str">
        <f t="shared" si="0"/>
        <v>Moderate</v>
      </c>
      <c r="L44" s="5" t="str">
        <f>IF(COUNTIF($A$2:A44,A44)&gt;1,"Duplicate","Unique")</f>
        <v>Unique</v>
      </c>
      <c r="M44" t="str">
        <f t="shared" si="1"/>
        <v>2025-04</v>
      </c>
      <c r="N44" s="2">
        <f t="shared" ca="1" si="2"/>
        <v>46011</v>
      </c>
      <c r="O44" s="4">
        <f t="shared" ca="1" si="3"/>
        <v>8</v>
      </c>
      <c r="P44" s="4">
        <f t="shared" ca="1" si="4"/>
        <v>118</v>
      </c>
      <c r="Q44">
        <f t="shared" ca="1" si="5"/>
        <v>3</v>
      </c>
      <c r="R44">
        <f t="shared" si="6"/>
        <v>3</v>
      </c>
      <c r="S44">
        <f t="shared" ca="1" si="7"/>
        <v>4</v>
      </c>
      <c r="T44" t="str">
        <f t="shared" ca="1" si="8"/>
        <v>334</v>
      </c>
      <c r="U44" t="str">
        <f t="shared" ca="1" si="9"/>
        <v>Loyal</v>
      </c>
    </row>
    <row r="45" spans="1:21">
      <c r="A45" s="17" t="str">
        <f>Cleaned_Data!A45</f>
        <v>MEM0044</v>
      </c>
      <c r="B45" s="18" t="str">
        <f ca="1">Cleaned_Data!D45</f>
        <v>BR02</v>
      </c>
      <c r="C45" s="18" t="str">
        <f ca="1">Cleaned_Data!E45</f>
        <v>Basic</v>
      </c>
      <c r="D45" s="19">
        <f>Cleaned_Data!F45</f>
        <v>45142</v>
      </c>
      <c r="E45" s="19">
        <f>Cleaned_Data!G45</f>
        <v>45172</v>
      </c>
      <c r="F45" s="18">
        <f>Cleaned_Data!H45</f>
        <v>2000</v>
      </c>
      <c r="G45" s="18">
        <f ca="1">Cleaned_Data!I45</f>
        <v>6000</v>
      </c>
      <c r="H45" s="18">
        <f>Cleaned_Data!J45</f>
        <v>11</v>
      </c>
      <c r="I45" s="18" t="str">
        <f>Cleaned_Data!M45</f>
        <v>Active</v>
      </c>
      <c r="J45" s="20">
        <f>Cleaned_Data!N45</f>
        <v>45524</v>
      </c>
      <c r="K45" t="str">
        <f t="shared" si="0"/>
        <v>Moderate</v>
      </c>
      <c r="L45" s="5" t="str">
        <f>IF(COUNTIF($A$2:A45,A45)&gt;1,"Duplicate","Unique")</f>
        <v>Unique</v>
      </c>
      <c r="M45" t="str">
        <f t="shared" si="1"/>
        <v>2023-08</v>
      </c>
      <c r="N45" s="2">
        <f t="shared" ca="1" si="2"/>
        <v>45524</v>
      </c>
      <c r="O45" s="4">
        <f t="shared" ca="1" si="3"/>
        <v>12</v>
      </c>
      <c r="P45" s="4">
        <f t="shared" ca="1" si="4"/>
        <v>605</v>
      </c>
      <c r="Q45">
        <f t="shared" ca="1" si="5"/>
        <v>1</v>
      </c>
      <c r="R45">
        <f t="shared" si="6"/>
        <v>3</v>
      </c>
      <c r="S45">
        <f t="shared" ca="1" si="7"/>
        <v>3</v>
      </c>
      <c r="T45" t="str">
        <f t="shared" ca="1" si="8"/>
        <v>133</v>
      </c>
      <c r="U45" t="str">
        <f t="shared" ca="1" si="9"/>
        <v>At Risk</v>
      </c>
    </row>
    <row r="46" spans="1:21">
      <c r="A46" s="13" t="str">
        <f>Cleaned_Data!A46</f>
        <v>MEM0045</v>
      </c>
      <c r="B46" s="14" t="str">
        <f ca="1">Cleaned_Data!D46</f>
        <v>BR05</v>
      </c>
      <c r="C46" s="14" t="str">
        <f ca="1">Cleaned_Data!E46</f>
        <v>Basic</v>
      </c>
      <c r="D46" s="15">
        <f>Cleaned_Data!F46</f>
        <v>45894</v>
      </c>
      <c r="E46" s="15">
        <f>Cleaned_Data!G46</f>
        <v>45984</v>
      </c>
      <c r="F46" s="14">
        <f>Cleaned_Data!H46</f>
        <v>1000</v>
      </c>
      <c r="G46" s="14">
        <f ca="1">Cleaned_Data!I46</f>
        <v>3000</v>
      </c>
      <c r="H46" s="14">
        <f>Cleaned_Data!J46</f>
        <v>23</v>
      </c>
      <c r="I46" s="14" t="str">
        <f>Cleaned_Data!M46</f>
        <v>Active</v>
      </c>
      <c r="J46" s="16">
        <f>Cleaned_Data!N46</f>
        <v>46042</v>
      </c>
      <c r="K46" t="str">
        <f t="shared" si="0"/>
        <v>Highly Active</v>
      </c>
      <c r="L46" s="5" t="str">
        <f>IF(COUNTIF($A$2:A46,A46)&gt;1,"Duplicate","Unique")</f>
        <v>Unique</v>
      </c>
      <c r="M46" t="str">
        <f t="shared" si="1"/>
        <v>2025-08</v>
      </c>
      <c r="N46" s="2">
        <f t="shared" ca="1" si="2"/>
        <v>46042</v>
      </c>
      <c r="O46" s="4">
        <f t="shared" ca="1" si="3"/>
        <v>4</v>
      </c>
      <c r="P46" s="4">
        <f t="shared" ca="1" si="4"/>
        <v>87</v>
      </c>
      <c r="Q46">
        <f t="shared" ca="1" si="5"/>
        <v>4</v>
      </c>
      <c r="R46">
        <f t="shared" si="6"/>
        <v>5</v>
      </c>
      <c r="S46">
        <f t="shared" ca="1" si="7"/>
        <v>2</v>
      </c>
      <c r="T46" t="str">
        <f t="shared" ca="1" si="8"/>
        <v>452</v>
      </c>
      <c r="U46" t="str">
        <f t="shared" ca="1" si="9"/>
        <v>Others</v>
      </c>
    </row>
    <row r="47" spans="1:21">
      <c r="A47" s="17" t="str">
        <f>Cleaned_Data!A47</f>
        <v>MEM0046</v>
      </c>
      <c r="B47" s="18" t="str">
        <f ca="1">Cleaned_Data!D47</f>
        <v>BR06</v>
      </c>
      <c r="C47" s="18" t="str">
        <f ca="1">Cleaned_Data!E47</f>
        <v>Premium</v>
      </c>
      <c r="D47" s="19">
        <f>Cleaned_Data!F47</f>
        <v>45497</v>
      </c>
      <c r="E47" s="19">
        <f>Cleaned_Data!G47</f>
        <v>45527</v>
      </c>
      <c r="F47" s="18">
        <f>Cleaned_Data!H47</f>
        <v>1000</v>
      </c>
      <c r="G47" s="18">
        <f ca="1">Cleaned_Data!I47</f>
        <v>12000</v>
      </c>
      <c r="H47" s="18">
        <f>Cleaned_Data!J47</f>
        <v>24</v>
      </c>
      <c r="I47" s="18" t="str">
        <f>Cleaned_Data!M47</f>
        <v>Active</v>
      </c>
      <c r="J47" s="20">
        <f>Cleaned_Data!N47</f>
        <v>45947</v>
      </c>
      <c r="K47" t="str">
        <f t="shared" si="0"/>
        <v>Highly Active</v>
      </c>
      <c r="L47" s="5" t="str">
        <f>IF(COUNTIF($A$2:A47,A47)&gt;1,"Duplicate","Unique")</f>
        <v>Unique</v>
      </c>
      <c r="M47" t="str">
        <f t="shared" si="1"/>
        <v>2024-07</v>
      </c>
      <c r="N47" s="2">
        <f t="shared" ca="1" si="2"/>
        <v>45947</v>
      </c>
      <c r="O47" s="4">
        <f t="shared" ca="1" si="3"/>
        <v>14</v>
      </c>
      <c r="P47" s="4">
        <f t="shared" ca="1" si="4"/>
        <v>182</v>
      </c>
      <c r="Q47">
        <f t="shared" ca="1" si="5"/>
        <v>2</v>
      </c>
      <c r="R47">
        <f t="shared" si="6"/>
        <v>5</v>
      </c>
      <c r="S47">
        <f t="shared" ca="1" si="7"/>
        <v>4</v>
      </c>
      <c r="T47" t="str">
        <f t="shared" ca="1" si="8"/>
        <v>254</v>
      </c>
      <c r="U47" t="str">
        <f t="shared" ca="1" si="9"/>
        <v>At Risk</v>
      </c>
    </row>
    <row r="48" spans="1:21">
      <c r="A48" s="13" t="str">
        <f>Cleaned_Data!A48</f>
        <v>MEM0047</v>
      </c>
      <c r="B48" s="14" t="str">
        <f ca="1">Cleaned_Data!D48</f>
        <v>BR03</v>
      </c>
      <c r="C48" s="14" t="str">
        <f ca="1">Cleaned_Data!E48</f>
        <v>Standard</v>
      </c>
      <c r="D48" s="15">
        <f>Cleaned_Data!F48</f>
        <v>45541</v>
      </c>
      <c r="E48" s="15">
        <f>Cleaned_Data!G48</f>
        <v>45571</v>
      </c>
      <c r="F48" s="14">
        <f>Cleaned_Data!H48</f>
        <v>1000</v>
      </c>
      <c r="G48" s="14">
        <f ca="1">Cleaned_Data!I48</f>
        <v>5000</v>
      </c>
      <c r="H48" s="14">
        <f>Cleaned_Data!J48</f>
        <v>12</v>
      </c>
      <c r="I48" s="14" t="str">
        <f>Cleaned_Data!M48</f>
        <v>Active</v>
      </c>
      <c r="J48" s="16">
        <f>Cleaned_Data!N48</f>
        <v>45597</v>
      </c>
      <c r="K48" t="str">
        <f t="shared" si="0"/>
        <v>Moderate</v>
      </c>
      <c r="L48" s="5" t="str">
        <f>IF(COUNTIF($A$2:A48,A48)&gt;1,"Duplicate","Unique")</f>
        <v>Unique</v>
      </c>
      <c r="M48" t="str">
        <f t="shared" si="1"/>
        <v>2024-09</v>
      </c>
      <c r="N48" s="2">
        <f t="shared" ca="1" si="2"/>
        <v>45597</v>
      </c>
      <c r="O48" s="4">
        <f t="shared" ca="1" si="3"/>
        <v>1</v>
      </c>
      <c r="P48" s="4">
        <f t="shared" ca="1" si="4"/>
        <v>532</v>
      </c>
      <c r="Q48">
        <f t="shared" ca="1" si="5"/>
        <v>1</v>
      </c>
      <c r="R48">
        <f t="shared" si="6"/>
        <v>3</v>
      </c>
      <c r="S48">
        <f t="shared" ca="1" si="7"/>
        <v>3</v>
      </c>
      <c r="T48" t="str">
        <f t="shared" ca="1" si="8"/>
        <v>133</v>
      </c>
      <c r="U48" t="str">
        <f t="shared" ca="1" si="9"/>
        <v>At Risk</v>
      </c>
    </row>
    <row r="49" spans="1:21">
      <c r="A49" s="17" t="str">
        <f>Cleaned_Data!A49</f>
        <v>MEM0048</v>
      </c>
      <c r="B49" s="18" t="str">
        <f ca="1">Cleaned_Data!D49</f>
        <v>BR04</v>
      </c>
      <c r="C49" s="18" t="str">
        <f ca="1">Cleaned_Data!E49</f>
        <v>Basic</v>
      </c>
      <c r="D49" s="19">
        <f>Cleaned_Data!F49</f>
        <v>45015</v>
      </c>
      <c r="E49" s="19">
        <f>Cleaned_Data!G49</f>
        <v>45380</v>
      </c>
      <c r="F49" s="18">
        <f>Cleaned_Data!H49</f>
        <v>1000</v>
      </c>
      <c r="G49" s="18">
        <f ca="1">Cleaned_Data!I49</f>
        <v>4000</v>
      </c>
      <c r="H49" s="18">
        <f>Cleaned_Data!J49</f>
        <v>9</v>
      </c>
      <c r="I49" s="18" t="str">
        <f>Cleaned_Data!M49</f>
        <v>Active</v>
      </c>
      <c r="J49" s="20">
        <f>Cleaned_Data!N49</f>
        <v>45936</v>
      </c>
      <c r="K49" t="str">
        <f t="shared" si="0"/>
        <v>Moderate</v>
      </c>
      <c r="L49" s="5" t="str">
        <f>IF(COUNTIF($A$2:A49,A49)&gt;1,"Duplicate","Unique")</f>
        <v>Unique</v>
      </c>
      <c r="M49" t="str">
        <f t="shared" si="1"/>
        <v>2023-03</v>
      </c>
      <c r="N49" s="2">
        <f t="shared" ca="1" si="2"/>
        <v>45936</v>
      </c>
      <c r="O49" s="4">
        <f t="shared" ca="1" si="3"/>
        <v>30</v>
      </c>
      <c r="P49" s="4">
        <f t="shared" ca="1" si="4"/>
        <v>193</v>
      </c>
      <c r="Q49">
        <f t="shared" ca="1" si="5"/>
        <v>2</v>
      </c>
      <c r="R49">
        <f t="shared" si="6"/>
        <v>2</v>
      </c>
      <c r="S49">
        <f t="shared" ca="1" si="7"/>
        <v>2</v>
      </c>
      <c r="T49" t="str">
        <f t="shared" ca="1" si="8"/>
        <v>222</v>
      </c>
      <c r="U49" t="str">
        <f t="shared" ca="1" si="9"/>
        <v>At Risk</v>
      </c>
    </row>
    <row r="50" spans="1:21">
      <c r="A50" s="13" t="str">
        <f>Cleaned_Data!A50</f>
        <v>MEM0049</v>
      </c>
      <c r="B50" s="14" t="str">
        <f ca="1">Cleaned_Data!D50</f>
        <v>BR07</v>
      </c>
      <c r="C50" s="14" t="str">
        <f ca="1">Cleaned_Data!E50</f>
        <v>Basic</v>
      </c>
      <c r="D50" s="15">
        <f>Cleaned_Data!F50</f>
        <v>46003</v>
      </c>
      <c r="E50" s="15">
        <f>Cleaned_Data!G50</f>
        <v>46093</v>
      </c>
      <c r="F50" s="14">
        <f>Cleaned_Data!H50</f>
        <v>3500</v>
      </c>
      <c r="G50" s="14">
        <f ca="1">Cleaned_Data!I50</f>
        <v>42000</v>
      </c>
      <c r="H50" s="14">
        <f>Cleaned_Data!J50</f>
        <v>24</v>
      </c>
      <c r="I50" s="14" t="str">
        <f>Cleaned_Data!M50</f>
        <v>Active</v>
      </c>
      <c r="J50" s="16">
        <f>Cleaned_Data!N50</f>
        <v>46118</v>
      </c>
      <c r="K50" t="str">
        <f t="shared" si="0"/>
        <v>Highly Active</v>
      </c>
      <c r="L50" s="5" t="str">
        <f>IF(COUNTIF($A$2:A50,A50)&gt;1,"Duplicate","Unique")</f>
        <v>Unique</v>
      </c>
      <c r="M50" t="str">
        <f t="shared" si="1"/>
        <v>2025-12</v>
      </c>
      <c r="N50" s="2">
        <f t="shared" ca="1" si="2"/>
        <v>46118</v>
      </c>
      <c r="O50" s="4">
        <f t="shared" ca="1" si="3"/>
        <v>3</v>
      </c>
      <c r="P50" s="4">
        <f t="shared" ca="1" si="4"/>
        <v>11</v>
      </c>
      <c r="Q50">
        <f t="shared" ca="1" si="5"/>
        <v>5</v>
      </c>
      <c r="R50">
        <f t="shared" si="6"/>
        <v>5</v>
      </c>
      <c r="S50">
        <f t="shared" ca="1" si="7"/>
        <v>5</v>
      </c>
      <c r="T50" t="str">
        <f t="shared" ca="1" si="8"/>
        <v>555</v>
      </c>
      <c r="U50" t="str">
        <f t="shared" ca="1" si="9"/>
        <v>Champion</v>
      </c>
    </row>
    <row r="51" spans="1:21">
      <c r="A51" s="17" t="str">
        <f>Cleaned_Data!A51</f>
        <v>MEM0050</v>
      </c>
      <c r="B51" s="18" t="str">
        <f ca="1">Cleaned_Data!D51</f>
        <v>BR01</v>
      </c>
      <c r="C51" s="18" t="str">
        <f ca="1">Cleaned_Data!E51</f>
        <v>Basic</v>
      </c>
      <c r="D51" s="19">
        <f>Cleaned_Data!F51</f>
        <v>45330</v>
      </c>
      <c r="E51" s="19">
        <f>Cleaned_Data!G51</f>
        <v>45695</v>
      </c>
      <c r="F51" s="18">
        <f>Cleaned_Data!H51</f>
        <v>3500</v>
      </c>
      <c r="G51" s="18">
        <f ca="1">Cleaned_Data!I51</f>
        <v>14000</v>
      </c>
      <c r="H51" s="18">
        <f>Cleaned_Data!J51</f>
        <v>22</v>
      </c>
      <c r="I51" s="18" t="str">
        <f>Cleaned_Data!M51</f>
        <v>Cancelled</v>
      </c>
      <c r="J51" s="20">
        <f>Cleaned_Data!N51</f>
        <v>45998</v>
      </c>
      <c r="K51" t="str">
        <f t="shared" si="0"/>
        <v>Highly Active</v>
      </c>
      <c r="L51" s="5" t="str">
        <f>IF(COUNTIF($A$2:A51,A51)&gt;1,"Duplicate","Unique")</f>
        <v>Unique</v>
      </c>
      <c r="M51" t="str">
        <f t="shared" si="1"/>
        <v>2024-02</v>
      </c>
      <c r="N51" s="2">
        <f t="shared" ca="1" si="2"/>
        <v>45998</v>
      </c>
      <c r="O51" s="4">
        <f t="shared" ca="1" si="3"/>
        <v>21</v>
      </c>
      <c r="P51" s="4">
        <f t="shared" ca="1" si="4"/>
        <v>131</v>
      </c>
      <c r="Q51">
        <f t="shared" ca="1" si="5"/>
        <v>3</v>
      </c>
      <c r="R51">
        <f t="shared" si="6"/>
        <v>5</v>
      </c>
      <c r="S51">
        <f t="shared" ca="1" si="7"/>
        <v>4</v>
      </c>
      <c r="T51" t="str">
        <f t="shared" ca="1" si="8"/>
        <v>354</v>
      </c>
      <c r="U51" t="str">
        <f t="shared" ca="1" si="9"/>
        <v>Loyal</v>
      </c>
    </row>
    <row r="52" spans="1:21">
      <c r="A52" s="13" t="str">
        <f>Cleaned_Data!A52</f>
        <v>MEM0051</v>
      </c>
      <c r="B52" s="14" t="str">
        <f ca="1">Cleaned_Data!D52</f>
        <v>BR02</v>
      </c>
      <c r="C52" s="14" t="str">
        <f ca="1">Cleaned_Data!E52</f>
        <v>Basic</v>
      </c>
      <c r="D52" s="15">
        <f>Cleaned_Data!F52</f>
        <v>44984</v>
      </c>
      <c r="E52" s="15">
        <f>Cleaned_Data!G52</f>
        <v>45349</v>
      </c>
      <c r="F52" s="14">
        <f>Cleaned_Data!H52</f>
        <v>3500</v>
      </c>
      <c r="G52" s="14">
        <f ca="1">Cleaned_Data!I52</f>
        <v>21000</v>
      </c>
      <c r="H52" s="14">
        <f>Cleaned_Data!J52</f>
        <v>0</v>
      </c>
      <c r="I52" s="14" t="str">
        <f>Cleaned_Data!M52</f>
        <v>Active</v>
      </c>
      <c r="J52" s="16">
        <f>Cleaned_Data!N52</f>
        <v>45014</v>
      </c>
      <c r="K52" t="str">
        <f t="shared" si="0"/>
        <v>At Risk</v>
      </c>
      <c r="L52" s="5" t="str">
        <f>IF(COUNTIF($A$2:A52,A52)&gt;1,"Duplicate","Unique")</f>
        <v>Unique</v>
      </c>
      <c r="M52" t="str">
        <f t="shared" si="1"/>
        <v>2023-02</v>
      </c>
      <c r="N52" s="2">
        <f t="shared" ca="1" si="2"/>
        <v>45014</v>
      </c>
      <c r="O52" s="4">
        <f t="shared" ca="1" si="3"/>
        <v>1</v>
      </c>
      <c r="P52" s="4">
        <f t="shared" ca="1" si="4"/>
        <v>1115</v>
      </c>
      <c r="Q52">
        <f t="shared" ca="1" si="5"/>
        <v>1</v>
      </c>
      <c r="R52">
        <f t="shared" si="6"/>
        <v>1</v>
      </c>
      <c r="S52">
        <f t="shared" ca="1" si="7"/>
        <v>5</v>
      </c>
      <c r="T52" t="str">
        <f t="shared" ca="1" si="8"/>
        <v>115</v>
      </c>
      <c r="U52" t="str">
        <f t="shared" ca="1" si="9"/>
        <v>At Risk</v>
      </c>
    </row>
    <row r="53" spans="1:21">
      <c r="A53" s="17" t="str">
        <f>Cleaned_Data!A53</f>
        <v>MEM0052</v>
      </c>
      <c r="B53" s="18" t="str">
        <f ca="1">Cleaned_Data!D53</f>
        <v>BR05</v>
      </c>
      <c r="C53" s="18" t="str">
        <f ca="1">Cleaned_Data!E53</f>
        <v>Basic</v>
      </c>
      <c r="D53" s="19">
        <f>Cleaned_Data!F53</f>
        <v>45237</v>
      </c>
      <c r="E53" s="19">
        <f>Cleaned_Data!G53</f>
        <v>45602</v>
      </c>
      <c r="F53" s="18">
        <f>Cleaned_Data!H53</f>
        <v>2000</v>
      </c>
      <c r="G53" s="18">
        <f ca="1">Cleaned_Data!I53</f>
        <v>2000</v>
      </c>
      <c r="H53" s="18">
        <f>Cleaned_Data!J53</f>
        <v>1</v>
      </c>
      <c r="I53" s="18" t="str">
        <f>Cleaned_Data!M53</f>
        <v>Cancelled</v>
      </c>
      <c r="J53" s="20">
        <f>Cleaned_Data!N53</f>
        <v>45312</v>
      </c>
      <c r="K53" t="str">
        <f t="shared" si="0"/>
        <v>At Risk</v>
      </c>
      <c r="L53" s="5" t="str">
        <f>IF(COUNTIF($A$2:A53,A53)&gt;1,"Duplicate","Unique")</f>
        <v>Unique</v>
      </c>
      <c r="M53" t="str">
        <f t="shared" si="1"/>
        <v>2023-11</v>
      </c>
      <c r="N53" s="2">
        <f t="shared" ca="1" si="2"/>
        <v>45312</v>
      </c>
      <c r="O53" s="4">
        <f t="shared" ca="1" si="3"/>
        <v>2</v>
      </c>
      <c r="P53" s="4">
        <f t="shared" ca="1" si="4"/>
        <v>817</v>
      </c>
      <c r="Q53">
        <f t="shared" ca="1" si="5"/>
        <v>1</v>
      </c>
      <c r="R53">
        <f t="shared" si="6"/>
        <v>1</v>
      </c>
      <c r="S53">
        <f t="shared" ca="1" si="7"/>
        <v>2</v>
      </c>
      <c r="T53" t="str">
        <f t="shared" ca="1" si="8"/>
        <v>112</v>
      </c>
      <c r="U53" t="str">
        <f t="shared" ca="1" si="9"/>
        <v>At Risk</v>
      </c>
    </row>
    <row r="54" spans="1:21">
      <c r="A54" s="13" t="str">
        <f>Cleaned_Data!A54</f>
        <v>MEM0053</v>
      </c>
      <c r="B54" s="14" t="str">
        <f ca="1">Cleaned_Data!D54</f>
        <v>BR01</v>
      </c>
      <c r="C54" s="14" t="str">
        <f ca="1">Cleaned_Data!E54</f>
        <v>Standard</v>
      </c>
      <c r="D54" s="15">
        <f>Cleaned_Data!F54</f>
        <v>45022</v>
      </c>
      <c r="E54" s="15">
        <f>Cleaned_Data!G54</f>
        <v>45387</v>
      </c>
      <c r="F54" s="14">
        <f>Cleaned_Data!H54</f>
        <v>2000</v>
      </c>
      <c r="G54" s="14">
        <f ca="1">Cleaned_Data!I54</f>
        <v>24000</v>
      </c>
      <c r="H54" s="14">
        <f>Cleaned_Data!J54</f>
        <v>6</v>
      </c>
      <c r="I54" s="14" t="str">
        <f>Cleaned_Data!M54</f>
        <v>Active</v>
      </c>
      <c r="J54" s="16">
        <f>Cleaned_Data!N54</f>
        <v>45829</v>
      </c>
      <c r="K54" t="str">
        <f t="shared" si="0"/>
        <v>Moderate</v>
      </c>
      <c r="L54" s="5" t="str">
        <f>IF(COUNTIF($A$2:A54,A54)&gt;1,"Duplicate","Unique")</f>
        <v>Unique</v>
      </c>
      <c r="M54" t="str">
        <f t="shared" si="1"/>
        <v>2023-04</v>
      </c>
      <c r="N54" s="2">
        <f t="shared" ca="1" si="2"/>
        <v>45829</v>
      </c>
      <c r="O54" s="4">
        <f t="shared" ca="1" si="3"/>
        <v>26</v>
      </c>
      <c r="P54" s="4">
        <f t="shared" ca="1" si="4"/>
        <v>300</v>
      </c>
      <c r="Q54">
        <f t="shared" ca="1" si="5"/>
        <v>2</v>
      </c>
      <c r="R54">
        <f t="shared" si="6"/>
        <v>2</v>
      </c>
      <c r="S54">
        <f t="shared" ca="1" si="7"/>
        <v>5</v>
      </c>
      <c r="T54" t="str">
        <f t="shared" ca="1" si="8"/>
        <v>225</v>
      </c>
      <c r="U54" t="str">
        <f t="shared" ca="1" si="9"/>
        <v>At Risk</v>
      </c>
    </row>
    <row r="55" spans="1:21">
      <c r="A55" s="17" t="str">
        <f>Cleaned_Data!A55</f>
        <v>MEM0054</v>
      </c>
      <c r="B55" s="18" t="str">
        <f ca="1">Cleaned_Data!D55</f>
        <v>BR04</v>
      </c>
      <c r="C55" s="18" t="str">
        <f ca="1">Cleaned_Data!E55</f>
        <v>Premium</v>
      </c>
      <c r="D55" s="19">
        <f>Cleaned_Data!F55</f>
        <v>45341</v>
      </c>
      <c r="E55" s="19">
        <f>Cleaned_Data!G55</f>
        <v>45371</v>
      </c>
      <c r="F55" s="18">
        <f>Cleaned_Data!H55</f>
        <v>2000</v>
      </c>
      <c r="G55" s="18">
        <f ca="1">Cleaned_Data!I55</f>
        <v>10000</v>
      </c>
      <c r="H55" s="18">
        <f>Cleaned_Data!J55</f>
        <v>17</v>
      </c>
      <c r="I55" s="18" t="str">
        <f>Cleaned_Data!M55</f>
        <v>Active</v>
      </c>
      <c r="J55" s="20">
        <f>Cleaned_Data!N55</f>
        <v>45406</v>
      </c>
      <c r="K55" t="str">
        <f t="shared" si="0"/>
        <v>Highly Active</v>
      </c>
      <c r="L55" s="5" t="str">
        <f>IF(COUNTIF($A$2:A55,A55)&gt;1,"Duplicate","Unique")</f>
        <v>Unique</v>
      </c>
      <c r="M55" t="str">
        <f t="shared" si="1"/>
        <v>2024-02</v>
      </c>
      <c r="N55" s="2">
        <f t="shared" ca="1" si="2"/>
        <v>45406</v>
      </c>
      <c r="O55" s="4">
        <f t="shared" ca="1" si="3"/>
        <v>2</v>
      </c>
      <c r="P55" s="4">
        <f t="shared" ca="1" si="4"/>
        <v>723</v>
      </c>
      <c r="Q55">
        <f t="shared" ca="1" si="5"/>
        <v>1</v>
      </c>
      <c r="R55">
        <f t="shared" si="6"/>
        <v>4</v>
      </c>
      <c r="S55">
        <f t="shared" ca="1" si="7"/>
        <v>4</v>
      </c>
      <c r="T55" t="str">
        <f t="shared" ca="1" si="8"/>
        <v>144</v>
      </c>
      <c r="U55" t="str">
        <f t="shared" ca="1" si="9"/>
        <v>At Risk</v>
      </c>
    </row>
    <row r="56" spans="1:21">
      <c r="A56" s="13" t="str">
        <f>Cleaned_Data!A56</f>
        <v>MEM0055</v>
      </c>
      <c r="B56" s="14" t="str">
        <f ca="1">Cleaned_Data!D56</f>
        <v>BR04</v>
      </c>
      <c r="C56" s="14" t="str">
        <f ca="1">Cleaned_Data!E56</f>
        <v>Basic</v>
      </c>
      <c r="D56" s="15">
        <f>Cleaned_Data!F56</f>
        <v>45631</v>
      </c>
      <c r="E56" s="15">
        <f>Cleaned_Data!G56</f>
        <v>45721</v>
      </c>
      <c r="F56" s="14">
        <f>Cleaned_Data!H56</f>
        <v>3500</v>
      </c>
      <c r="G56" s="14">
        <f ca="1">Cleaned_Data!I56</f>
        <v>28000</v>
      </c>
      <c r="H56" s="14">
        <f>Cleaned_Data!J56</f>
        <v>15</v>
      </c>
      <c r="I56" s="14" t="str">
        <f>Cleaned_Data!M56</f>
        <v>Active</v>
      </c>
      <c r="J56" s="16">
        <f>Cleaned_Data!N56</f>
        <v>46120</v>
      </c>
      <c r="K56" t="str">
        <f t="shared" si="0"/>
        <v>Highly Active</v>
      </c>
      <c r="L56" s="5" t="str">
        <f>IF(COUNTIF($A$2:A56,A56)&gt;1,"Duplicate","Unique")</f>
        <v>Unique</v>
      </c>
      <c r="M56" t="str">
        <f t="shared" si="1"/>
        <v>2024-12</v>
      </c>
      <c r="N56" s="2">
        <f t="shared" ca="1" si="2"/>
        <v>46120</v>
      </c>
      <c r="O56" s="4">
        <f t="shared" ca="1" si="3"/>
        <v>16</v>
      </c>
      <c r="P56" s="4">
        <f t="shared" ca="1" si="4"/>
        <v>9</v>
      </c>
      <c r="Q56">
        <f t="shared" ca="1" si="5"/>
        <v>5</v>
      </c>
      <c r="R56">
        <f t="shared" si="6"/>
        <v>4</v>
      </c>
      <c r="S56">
        <f t="shared" ca="1" si="7"/>
        <v>5</v>
      </c>
      <c r="T56" t="str">
        <f t="shared" ca="1" si="8"/>
        <v>545</v>
      </c>
      <c r="U56" t="str">
        <f t="shared" ca="1" si="9"/>
        <v>Champion</v>
      </c>
    </row>
    <row r="57" spans="1:21">
      <c r="A57" s="17" t="str">
        <f>Cleaned_Data!A57</f>
        <v>MEM0056</v>
      </c>
      <c r="B57" s="18" t="str">
        <f ca="1">Cleaned_Data!D57</f>
        <v>BR05</v>
      </c>
      <c r="C57" s="18" t="str">
        <f ca="1">Cleaned_Data!E57</f>
        <v>Standard</v>
      </c>
      <c r="D57" s="19">
        <f>Cleaned_Data!F57</f>
        <v>45697</v>
      </c>
      <c r="E57" s="19">
        <f>Cleaned_Data!G57</f>
        <v>45727</v>
      </c>
      <c r="F57" s="18">
        <f>Cleaned_Data!H57</f>
        <v>2000</v>
      </c>
      <c r="G57" s="18">
        <f ca="1">Cleaned_Data!I57</f>
        <v>24000</v>
      </c>
      <c r="H57" s="18">
        <f>Cleaned_Data!J57</f>
        <v>23</v>
      </c>
      <c r="I57" s="18" t="str">
        <f>Cleaned_Data!M57</f>
        <v>Active</v>
      </c>
      <c r="J57" s="20">
        <f>Cleaned_Data!N57</f>
        <v>45892</v>
      </c>
      <c r="K57" t="str">
        <f t="shared" si="0"/>
        <v>Highly Active</v>
      </c>
      <c r="L57" s="5" t="str">
        <f>IF(COUNTIF($A$2:A57,A57)&gt;1,"Duplicate","Unique")</f>
        <v>Unique</v>
      </c>
      <c r="M57" t="str">
        <f t="shared" si="1"/>
        <v>2025-02</v>
      </c>
      <c r="N57" s="2">
        <f t="shared" ca="1" si="2"/>
        <v>45892</v>
      </c>
      <c r="O57" s="4">
        <f t="shared" ca="1" si="3"/>
        <v>6</v>
      </c>
      <c r="P57" s="4">
        <f t="shared" ca="1" si="4"/>
        <v>237</v>
      </c>
      <c r="Q57">
        <f t="shared" ca="1" si="5"/>
        <v>2</v>
      </c>
      <c r="R57">
        <f t="shared" si="6"/>
        <v>5</v>
      </c>
      <c r="S57">
        <f t="shared" ca="1" si="7"/>
        <v>5</v>
      </c>
      <c r="T57" t="str">
        <f t="shared" ca="1" si="8"/>
        <v>255</v>
      </c>
      <c r="U57" t="str">
        <f t="shared" ca="1" si="9"/>
        <v>At Risk</v>
      </c>
    </row>
    <row r="58" spans="1:21">
      <c r="A58" s="13" t="str">
        <f>Cleaned_Data!A58</f>
        <v>MEM0057</v>
      </c>
      <c r="B58" s="14" t="str">
        <f ca="1">Cleaned_Data!D58</f>
        <v>BR02</v>
      </c>
      <c r="C58" s="14" t="str">
        <f ca="1">Cleaned_Data!E58</f>
        <v>Standard</v>
      </c>
      <c r="D58" s="15">
        <f>Cleaned_Data!F58</f>
        <v>45491</v>
      </c>
      <c r="E58" s="15">
        <f>Cleaned_Data!G58</f>
        <v>45581</v>
      </c>
      <c r="F58" s="14">
        <f>Cleaned_Data!H58</f>
        <v>3500</v>
      </c>
      <c r="G58" s="14">
        <f ca="1">Cleaned_Data!I58</f>
        <v>24500</v>
      </c>
      <c r="H58" s="14">
        <f>Cleaned_Data!J58</f>
        <v>1</v>
      </c>
      <c r="I58" s="14" t="str">
        <f>Cleaned_Data!M58</f>
        <v>Cancelled</v>
      </c>
      <c r="J58" s="16">
        <f>Cleaned_Data!N58</f>
        <v>45506</v>
      </c>
      <c r="K58" t="str">
        <f t="shared" si="0"/>
        <v>At Risk</v>
      </c>
      <c r="L58" s="5" t="str">
        <f>IF(COUNTIF($A$2:A58,A58)&gt;1,"Duplicate","Unique")</f>
        <v>Unique</v>
      </c>
      <c r="M58" t="str">
        <f t="shared" si="1"/>
        <v>2024-07</v>
      </c>
      <c r="N58" s="2">
        <f t="shared" ca="1" si="2"/>
        <v>45506</v>
      </c>
      <c r="O58" s="4">
        <f t="shared" ca="1" si="3"/>
        <v>0</v>
      </c>
      <c r="P58" s="4">
        <f t="shared" ca="1" si="4"/>
        <v>623</v>
      </c>
      <c r="Q58">
        <f t="shared" ca="1" si="5"/>
        <v>1</v>
      </c>
      <c r="R58">
        <f t="shared" si="6"/>
        <v>1</v>
      </c>
      <c r="S58">
        <f t="shared" ca="1" si="7"/>
        <v>5</v>
      </c>
      <c r="T58" t="str">
        <f t="shared" ca="1" si="8"/>
        <v>115</v>
      </c>
      <c r="U58" t="str">
        <f t="shared" ca="1" si="9"/>
        <v>At Risk</v>
      </c>
    </row>
    <row r="59" spans="1:21">
      <c r="A59" s="17" t="str">
        <f>Cleaned_Data!A59</f>
        <v>MEM0058</v>
      </c>
      <c r="B59" s="18" t="str">
        <f ca="1">Cleaned_Data!D59</f>
        <v>BR06</v>
      </c>
      <c r="C59" s="18" t="str">
        <f ca="1">Cleaned_Data!E59</f>
        <v>Standard</v>
      </c>
      <c r="D59" s="19">
        <f>Cleaned_Data!F59</f>
        <v>45183</v>
      </c>
      <c r="E59" s="19">
        <f>Cleaned_Data!G59</f>
        <v>45213</v>
      </c>
      <c r="F59" s="18">
        <f>Cleaned_Data!H59</f>
        <v>1000</v>
      </c>
      <c r="G59" s="18">
        <f ca="1">Cleaned_Data!I59</f>
        <v>12000</v>
      </c>
      <c r="H59" s="18">
        <f>Cleaned_Data!J59</f>
        <v>17</v>
      </c>
      <c r="I59" s="18" t="str">
        <f>Cleaned_Data!M59</f>
        <v>Active</v>
      </c>
      <c r="J59" s="20">
        <f>Cleaned_Data!N59</f>
        <v>45712</v>
      </c>
      <c r="K59" t="str">
        <f t="shared" si="0"/>
        <v>Highly Active</v>
      </c>
      <c r="L59" s="5" t="str">
        <f>IF(COUNTIF($A$2:A59,A59)&gt;1,"Duplicate","Unique")</f>
        <v>Unique</v>
      </c>
      <c r="M59" t="str">
        <f t="shared" si="1"/>
        <v>2023-09</v>
      </c>
      <c r="N59" s="2">
        <f t="shared" ca="1" si="2"/>
        <v>45712</v>
      </c>
      <c r="O59" s="4">
        <f t="shared" ca="1" si="3"/>
        <v>17</v>
      </c>
      <c r="P59" s="4">
        <f t="shared" ca="1" si="4"/>
        <v>417</v>
      </c>
      <c r="Q59">
        <f t="shared" ca="1" si="5"/>
        <v>1</v>
      </c>
      <c r="R59">
        <f t="shared" si="6"/>
        <v>4</v>
      </c>
      <c r="S59">
        <f t="shared" ca="1" si="7"/>
        <v>4</v>
      </c>
      <c r="T59" t="str">
        <f t="shared" ca="1" si="8"/>
        <v>144</v>
      </c>
      <c r="U59" t="str">
        <f t="shared" ca="1" si="9"/>
        <v>At Risk</v>
      </c>
    </row>
    <row r="60" spans="1:21">
      <c r="A60" s="13" t="str">
        <f>Cleaned_Data!A60</f>
        <v>MEM0059</v>
      </c>
      <c r="B60" s="14" t="str">
        <f ca="1">Cleaned_Data!D60</f>
        <v>BR05</v>
      </c>
      <c r="C60" s="14" t="str">
        <f ca="1">Cleaned_Data!E60</f>
        <v>Premium</v>
      </c>
      <c r="D60" s="15">
        <f>Cleaned_Data!F60</f>
        <v>45067</v>
      </c>
      <c r="E60" s="15">
        <f>Cleaned_Data!G60</f>
        <v>45097</v>
      </c>
      <c r="F60" s="14">
        <f>Cleaned_Data!H60</f>
        <v>1000</v>
      </c>
      <c r="G60" s="14">
        <f ca="1">Cleaned_Data!I60</f>
        <v>5000</v>
      </c>
      <c r="H60" s="14">
        <f>Cleaned_Data!J60</f>
        <v>9</v>
      </c>
      <c r="I60" s="14" t="str">
        <f>Cleaned_Data!M60</f>
        <v>Active</v>
      </c>
      <c r="J60" s="16">
        <f>Cleaned_Data!N60</f>
        <v>45130</v>
      </c>
      <c r="K60" t="str">
        <f t="shared" si="0"/>
        <v>Moderate</v>
      </c>
      <c r="L60" s="5" t="str">
        <f>IF(COUNTIF($A$2:A60,A60)&gt;1,"Duplicate","Unique")</f>
        <v>Unique</v>
      </c>
      <c r="M60" t="str">
        <f t="shared" si="1"/>
        <v>2023-05</v>
      </c>
      <c r="N60" s="2">
        <f t="shared" ca="1" si="2"/>
        <v>45130</v>
      </c>
      <c r="O60" s="4">
        <f t="shared" ca="1" si="3"/>
        <v>2</v>
      </c>
      <c r="P60" s="4">
        <f t="shared" ca="1" si="4"/>
        <v>999</v>
      </c>
      <c r="Q60">
        <f t="shared" ca="1" si="5"/>
        <v>1</v>
      </c>
      <c r="R60">
        <f t="shared" si="6"/>
        <v>2</v>
      </c>
      <c r="S60">
        <f t="shared" ca="1" si="7"/>
        <v>3</v>
      </c>
      <c r="T60" t="str">
        <f t="shared" ca="1" si="8"/>
        <v>123</v>
      </c>
      <c r="U60" t="str">
        <f t="shared" ca="1" si="9"/>
        <v>At Risk</v>
      </c>
    </row>
    <row r="61" spans="1:21">
      <c r="A61" s="17" t="str">
        <f>Cleaned_Data!A61</f>
        <v>MEM0060</v>
      </c>
      <c r="B61" s="18" t="str">
        <f ca="1">Cleaned_Data!D61</f>
        <v>BR01</v>
      </c>
      <c r="C61" s="18" t="str">
        <f ca="1">Cleaned_Data!E61</f>
        <v>Premium</v>
      </c>
      <c r="D61" s="19">
        <f>Cleaned_Data!F61</f>
        <v>45324</v>
      </c>
      <c r="E61" s="19">
        <f>Cleaned_Data!G61</f>
        <v>45414</v>
      </c>
      <c r="F61" s="18">
        <f>Cleaned_Data!H61</f>
        <v>1000</v>
      </c>
      <c r="G61" s="18">
        <f ca="1">Cleaned_Data!I61</f>
        <v>2000</v>
      </c>
      <c r="H61" s="18">
        <f>Cleaned_Data!J61</f>
        <v>13</v>
      </c>
      <c r="I61" s="18" t="str">
        <f>Cleaned_Data!M61</f>
        <v>Active</v>
      </c>
      <c r="J61" s="20">
        <f>Cleaned_Data!N61</f>
        <v>46073</v>
      </c>
      <c r="K61" t="str">
        <f t="shared" si="0"/>
        <v>Moderate</v>
      </c>
      <c r="L61" s="5" t="str">
        <f>IF(COUNTIF($A$2:A61,A61)&gt;1,"Duplicate","Unique")</f>
        <v>Unique</v>
      </c>
      <c r="M61" t="str">
        <f t="shared" si="1"/>
        <v>2024-02</v>
      </c>
      <c r="N61" s="2">
        <f t="shared" ca="1" si="2"/>
        <v>46073</v>
      </c>
      <c r="O61" s="4">
        <f t="shared" ca="1" si="3"/>
        <v>24</v>
      </c>
      <c r="P61" s="4">
        <f t="shared" ca="1" si="4"/>
        <v>56</v>
      </c>
      <c r="Q61">
        <f t="shared" ca="1" si="5"/>
        <v>4</v>
      </c>
      <c r="R61">
        <f t="shared" si="6"/>
        <v>3</v>
      </c>
      <c r="S61">
        <f t="shared" ca="1" si="7"/>
        <v>2</v>
      </c>
      <c r="T61" t="str">
        <f t="shared" ca="1" si="8"/>
        <v>432</v>
      </c>
      <c r="U61" t="str">
        <f t="shared" ca="1" si="9"/>
        <v>Others</v>
      </c>
    </row>
    <row r="62" spans="1:21">
      <c r="A62" s="13" t="str">
        <f>Cleaned_Data!A62</f>
        <v>MEM0061</v>
      </c>
      <c r="B62" s="14" t="str">
        <f ca="1">Cleaned_Data!D62</f>
        <v>BR05</v>
      </c>
      <c r="C62" s="14" t="str">
        <f ca="1">Cleaned_Data!E62</f>
        <v>Basic</v>
      </c>
      <c r="D62" s="15">
        <f>Cleaned_Data!F62</f>
        <v>45396</v>
      </c>
      <c r="E62" s="15">
        <f>Cleaned_Data!G62</f>
        <v>45761</v>
      </c>
      <c r="F62" s="14">
        <f>Cleaned_Data!H62</f>
        <v>1000</v>
      </c>
      <c r="G62" s="14">
        <f ca="1">Cleaned_Data!I62</f>
        <v>10000</v>
      </c>
      <c r="H62" s="14">
        <f>Cleaned_Data!J62</f>
        <v>7</v>
      </c>
      <c r="I62" s="14" t="str">
        <f>Cleaned_Data!M62</f>
        <v>Active</v>
      </c>
      <c r="J62" s="16">
        <f>Cleaned_Data!N62</f>
        <v>45852</v>
      </c>
      <c r="K62" t="str">
        <f t="shared" si="0"/>
        <v>Moderate</v>
      </c>
      <c r="L62" s="5" t="str">
        <f>IF(COUNTIF($A$2:A62,A62)&gt;1,"Duplicate","Unique")</f>
        <v>Unique</v>
      </c>
      <c r="M62" t="str">
        <f t="shared" si="1"/>
        <v>2024-04</v>
      </c>
      <c r="N62" s="2">
        <f t="shared" ca="1" si="2"/>
        <v>45852</v>
      </c>
      <c r="O62" s="4">
        <f t="shared" ca="1" si="3"/>
        <v>15</v>
      </c>
      <c r="P62" s="4">
        <f t="shared" ca="1" si="4"/>
        <v>277</v>
      </c>
      <c r="Q62">
        <f t="shared" ca="1" si="5"/>
        <v>2</v>
      </c>
      <c r="R62">
        <f t="shared" si="6"/>
        <v>2</v>
      </c>
      <c r="S62">
        <f t="shared" ca="1" si="7"/>
        <v>4</v>
      </c>
      <c r="T62" t="str">
        <f t="shared" ca="1" si="8"/>
        <v>224</v>
      </c>
      <c r="U62" t="str">
        <f t="shared" ca="1" si="9"/>
        <v>At Risk</v>
      </c>
    </row>
    <row r="63" spans="1:21">
      <c r="A63" s="17" t="str">
        <f>Cleaned_Data!A63</f>
        <v>MEM0062</v>
      </c>
      <c r="B63" s="18" t="str">
        <f ca="1">Cleaned_Data!D63</f>
        <v>BR04</v>
      </c>
      <c r="C63" s="18" t="str">
        <f ca="1">Cleaned_Data!E63</f>
        <v>Standard</v>
      </c>
      <c r="D63" s="19">
        <f>Cleaned_Data!F63</f>
        <v>45861</v>
      </c>
      <c r="E63" s="19">
        <f>Cleaned_Data!G63</f>
        <v>46226</v>
      </c>
      <c r="F63" s="18">
        <f>Cleaned_Data!H63</f>
        <v>1000</v>
      </c>
      <c r="G63" s="18">
        <f ca="1">Cleaned_Data!I63</f>
        <v>7000</v>
      </c>
      <c r="H63" s="18">
        <f>Cleaned_Data!J63</f>
        <v>8</v>
      </c>
      <c r="I63" s="18" t="str">
        <f>Cleaned_Data!M63</f>
        <v>Active</v>
      </c>
      <c r="J63" s="20">
        <f>Cleaned_Data!N63</f>
        <v>45875</v>
      </c>
      <c r="K63" t="str">
        <f t="shared" si="0"/>
        <v>Moderate</v>
      </c>
      <c r="L63" s="5" t="str">
        <f>IF(COUNTIF($A$2:A63,A63)&gt;1,"Duplicate","Unique")</f>
        <v>Unique</v>
      </c>
      <c r="M63" t="str">
        <f t="shared" si="1"/>
        <v>2025-07</v>
      </c>
      <c r="N63" s="2">
        <f t="shared" ca="1" si="2"/>
        <v>45875</v>
      </c>
      <c r="O63" s="4">
        <f t="shared" ca="1" si="3"/>
        <v>0</v>
      </c>
      <c r="P63" s="4">
        <f t="shared" ca="1" si="4"/>
        <v>254</v>
      </c>
      <c r="Q63">
        <f t="shared" ca="1" si="5"/>
        <v>2</v>
      </c>
      <c r="R63">
        <f t="shared" si="6"/>
        <v>2</v>
      </c>
      <c r="S63">
        <f t="shared" ca="1" si="7"/>
        <v>3</v>
      </c>
      <c r="T63" t="str">
        <f t="shared" ca="1" si="8"/>
        <v>223</v>
      </c>
      <c r="U63" t="str">
        <f t="shared" ca="1" si="9"/>
        <v>At Risk</v>
      </c>
    </row>
    <row r="64" spans="1:21">
      <c r="A64" s="13" t="str">
        <f>Cleaned_Data!A64</f>
        <v>MEM0063</v>
      </c>
      <c r="B64" s="14" t="str">
        <f ca="1">Cleaned_Data!D64</f>
        <v>BR02</v>
      </c>
      <c r="C64" s="14" t="str">
        <f ca="1">Cleaned_Data!E64</f>
        <v>Premium</v>
      </c>
      <c r="D64" s="15">
        <f>Cleaned_Data!F64</f>
        <v>45251</v>
      </c>
      <c r="E64" s="15">
        <f>Cleaned_Data!G64</f>
        <v>45281</v>
      </c>
      <c r="F64" s="14">
        <f>Cleaned_Data!H64</f>
        <v>3500</v>
      </c>
      <c r="G64" s="14">
        <f ca="1">Cleaned_Data!I64</f>
        <v>17500</v>
      </c>
      <c r="H64" s="14">
        <f>Cleaned_Data!J64</f>
        <v>10</v>
      </c>
      <c r="I64" s="14" t="str">
        <f>Cleaned_Data!M64</f>
        <v>Active</v>
      </c>
      <c r="J64" s="16">
        <f>Cleaned_Data!N64</f>
        <v>45500</v>
      </c>
      <c r="K64" t="str">
        <f t="shared" si="0"/>
        <v>Moderate</v>
      </c>
      <c r="L64" s="5" t="str">
        <f>IF(COUNTIF($A$2:A64,A64)&gt;1,"Duplicate","Unique")</f>
        <v>Unique</v>
      </c>
      <c r="M64" t="str">
        <f t="shared" si="1"/>
        <v>2023-11</v>
      </c>
      <c r="N64" s="2">
        <f t="shared" ca="1" si="2"/>
        <v>45500</v>
      </c>
      <c r="O64" s="4">
        <f t="shared" ca="1" si="3"/>
        <v>8</v>
      </c>
      <c r="P64" s="4">
        <f t="shared" ca="1" si="4"/>
        <v>629</v>
      </c>
      <c r="Q64">
        <f t="shared" ca="1" si="5"/>
        <v>1</v>
      </c>
      <c r="R64">
        <f t="shared" si="6"/>
        <v>3</v>
      </c>
      <c r="S64">
        <f t="shared" ca="1" si="7"/>
        <v>4</v>
      </c>
      <c r="T64" t="str">
        <f t="shared" ca="1" si="8"/>
        <v>134</v>
      </c>
      <c r="U64" t="str">
        <f t="shared" ca="1" si="9"/>
        <v>At Risk</v>
      </c>
    </row>
    <row r="65" spans="1:21">
      <c r="A65" s="17" t="str">
        <f>Cleaned_Data!A65</f>
        <v>MEM0064</v>
      </c>
      <c r="B65" s="18" t="str">
        <f ca="1">Cleaned_Data!D65</f>
        <v>BR03</v>
      </c>
      <c r="C65" s="18" t="str">
        <f ca="1">Cleaned_Data!E65</f>
        <v>Basic</v>
      </c>
      <c r="D65" s="19">
        <f>Cleaned_Data!F65</f>
        <v>45570</v>
      </c>
      <c r="E65" s="19">
        <f>Cleaned_Data!G65</f>
        <v>45660</v>
      </c>
      <c r="F65" s="18">
        <f>Cleaned_Data!H65</f>
        <v>1000</v>
      </c>
      <c r="G65" s="18">
        <f ca="1">Cleaned_Data!I65</f>
        <v>9000</v>
      </c>
      <c r="H65" s="18">
        <f>Cleaned_Data!J65</f>
        <v>14</v>
      </c>
      <c r="I65" s="18" t="str">
        <f>Cleaned_Data!M65</f>
        <v>Active</v>
      </c>
      <c r="J65" s="20">
        <f>Cleaned_Data!N65</f>
        <v>45771</v>
      </c>
      <c r="K65" t="str">
        <f t="shared" si="0"/>
        <v>Moderate</v>
      </c>
      <c r="L65" s="5" t="str">
        <f>IF(COUNTIF($A$2:A65,A65)&gt;1,"Duplicate","Unique")</f>
        <v>Unique</v>
      </c>
      <c r="M65" t="str">
        <f t="shared" si="1"/>
        <v>2024-10</v>
      </c>
      <c r="N65" s="2">
        <f t="shared" ca="1" si="2"/>
        <v>45771</v>
      </c>
      <c r="O65" s="4">
        <f t="shared" ca="1" si="3"/>
        <v>6</v>
      </c>
      <c r="P65" s="4">
        <f t="shared" ca="1" si="4"/>
        <v>358</v>
      </c>
      <c r="Q65">
        <f t="shared" ca="1" si="5"/>
        <v>2</v>
      </c>
      <c r="R65">
        <f t="shared" si="6"/>
        <v>3</v>
      </c>
      <c r="S65">
        <f t="shared" ca="1" si="7"/>
        <v>3</v>
      </c>
      <c r="T65" t="str">
        <f t="shared" ca="1" si="8"/>
        <v>233</v>
      </c>
      <c r="U65" t="str">
        <f t="shared" ca="1" si="9"/>
        <v>At Risk</v>
      </c>
    </row>
    <row r="66" spans="1:21">
      <c r="A66" s="13" t="str">
        <f>Cleaned_Data!A66</f>
        <v>MEM0065</v>
      </c>
      <c r="B66" s="14" t="str">
        <f ca="1">Cleaned_Data!D66</f>
        <v>BR01</v>
      </c>
      <c r="C66" s="14" t="str">
        <f ca="1">Cleaned_Data!E66</f>
        <v>Basic</v>
      </c>
      <c r="D66" s="15">
        <f>Cleaned_Data!F66</f>
        <v>45572</v>
      </c>
      <c r="E66" s="15">
        <f>Cleaned_Data!G66</f>
        <v>45937</v>
      </c>
      <c r="F66" s="14">
        <f>Cleaned_Data!H66</f>
        <v>1000</v>
      </c>
      <c r="G66" s="14">
        <f ca="1">Cleaned_Data!I66</f>
        <v>9000</v>
      </c>
      <c r="H66" s="14">
        <f>Cleaned_Data!J66</f>
        <v>14</v>
      </c>
      <c r="I66" s="14" t="str">
        <f>Cleaned_Data!M66</f>
        <v>Active</v>
      </c>
      <c r="J66" s="16">
        <f>Cleaned_Data!N66</f>
        <v>45760</v>
      </c>
      <c r="K66" t="str">
        <f t="shared" si="0"/>
        <v>Moderate</v>
      </c>
      <c r="L66" s="5" t="str">
        <f>IF(COUNTIF($A$2:A66,A66)&gt;1,"Duplicate","Unique")</f>
        <v>Unique</v>
      </c>
      <c r="M66" t="str">
        <f t="shared" si="1"/>
        <v>2024-10</v>
      </c>
      <c r="N66" s="2">
        <f t="shared" ca="1" si="2"/>
        <v>45760</v>
      </c>
      <c r="O66" s="4">
        <f t="shared" ca="1" si="3"/>
        <v>6</v>
      </c>
      <c r="P66" s="4">
        <f t="shared" ca="1" si="4"/>
        <v>369</v>
      </c>
      <c r="Q66">
        <f t="shared" ca="1" si="5"/>
        <v>1</v>
      </c>
      <c r="R66">
        <f t="shared" si="6"/>
        <v>3</v>
      </c>
      <c r="S66">
        <f t="shared" ca="1" si="7"/>
        <v>3</v>
      </c>
      <c r="T66" t="str">
        <f t="shared" ca="1" si="8"/>
        <v>133</v>
      </c>
      <c r="U66" t="str">
        <f t="shared" ca="1" si="9"/>
        <v>At Risk</v>
      </c>
    </row>
    <row r="67" spans="1:21">
      <c r="A67" s="17" t="str">
        <f>Cleaned_Data!A67</f>
        <v>MEM0066</v>
      </c>
      <c r="B67" s="18" t="str">
        <f ca="1">Cleaned_Data!D67</f>
        <v>BR02</v>
      </c>
      <c r="C67" s="18" t="str">
        <f ca="1">Cleaned_Data!E67</f>
        <v>Standard</v>
      </c>
      <c r="D67" s="19">
        <f>Cleaned_Data!F67</f>
        <v>45021</v>
      </c>
      <c r="E67" s="19">
        <f>Cleaned_Data!G67</f>
        <v>45111</v>
      </c>
      <c r="F67" s="18">
        <f>Cleaned_Data!H67</f>
        <v>2000</v>
      </c>
      <c r="G67" s="18">
        <f ca="1">Cleaned_Data!I67</f>
        <v>24000</v>
      </c>
      <c r="H67" s="18">
        <f>Cleaned_Data!J67</f>
        <v>14</v>
      </c>
      <c r="I67" s="18" t="str">
        <f>Cleaned_Data!M67</f>
        <v>Active</v>
      </c>
      <c r="J67" s="20">
        <f>Cleaned_Data!N67</f>
        <v>45744</v>
      </c>
      <c r="K67" t="str">
        <f t="shared" ref="K67:K130" si="10">IF(H67&lt;5,"At Risk",
 IF(H67&lt;15,"Moderate",
 "Highly Active"))</f>
        <v>Moderate</v>
      </c>
      <c r="L67" s="5" t="str">
        <f>IF(COUNTIF($A$2:A67,A67)&gt;1,"Duplicate","Unique")</f>
        <v>Unique</v>
      </c>
      <c r="M67" t="str">
        <f t="shared" ref="M67:M130" si="11">TEXT(D67,"YYYY-MM")</f>
        <v>2023-04</v>
      </c>
      <c r="N67" s="2">
        <f t="shared" ref="N67:N130" ca="1" si="12">IF(J67&lt;&gt;"",
    J67,
    IF(I67="Active", TODAY(), E67)
)</f>
        <v>45744</v>
      </c>
      <c r="O67" s="4">
        <f t="shared" ref="O67:O130" ca="1" si="13">IFERROR(
   IF(N67&gt;=D67,
      DATEDIF(D67, N67, "M"),
      0
   ),
   0
)</f>
        <v>23</v>
      </c>
      <c r="P67" s="4">
        <f t="shared" ref="P67:P130" ca="1" si="14">TODAY() - N67</f>
        <v>385</v>
      </c>
      <c r="Q67">
        <f t="shared" ref="Q67:Q130" ca="1" si="15">IF(P67&lt;=30,5,
 IF(P67&lt;=90,4,
 IF(P67&lt;=180,3,
 IF(P67&lt;=365,2,1))))</f>
        <v>1</v>
      </c>
      <c r="R67">
        <f t="shared" ref="R67:R130" si="16">IF(H67&gt;=20,5,
 IF(H67&gt;=15,4,
 IF(H67&gt;=10,3,
 IF(H67&gt;=5,2,1))))</f>
        <v>3</v>
      </c>
      <c r="S67">
        <f t="shared" ref="S67:S130" ca="1" si="17">IF(G67&gt;=20000,5,
 IF(G67&gt;=10000,4,
 IF(G67&gt;=5000,3,
 IF(G67&gt;=2000,2,1))))</f>
        <v>5</v>
      </c>
      <c r="T67" t="str">
        <f t="shared" ref="T67:T130" ca="1" si="18">Q67 &amp; R67 &amp; S67</f>
        <v>135</v>
      </c>
      <c r="U67" t="str">
        <f t="shared" ref="U67:U130" ca="1" si="19">IF(AND(Q67&gt;=4,R67&gt;=4,S67&gt;=4),"Champion",
 IF(AND(Q67&gt;=3,R67&gt;=3,S67&gt;=3),"Loyal",
 IF(Q67&lt;=2,"At Risk",
 "Others")))</f>
        <v>At Risk</v>
      </c>
    </row>
    <row r="68" spans="1:21">
      <c r="A68" s="13" t="str">
        <f>Cleaned_Data!A68</f>
        <v>MEM0067</v>
      </c>
      <c r="B68" s="14" t="str">
        <f ca="1">Cleaned_Data!D68</f>
        <v>BR04</v>
      </c>
      <c r="C68" s="14" t="str">
        <f ca="1">Cleaned_Data!E68</f>
        <v>Basic</v>
      </c>
      <c r="D68" s="15">
        <f>Cleaned_Data!F68</f>
        <v>45198</v>
      </c>
      <c r="E68" s="15">
        <f>Cleaned_Data!G68</f>
        <v>45288</v>
      </c>
      <c r="F68" s="14">
        <f>Cleaned_Data!H68</f>
        <v>1000</v>
      </c>
      <c r="G68" s="14">
        <f ca="1">Cleaned_Data!I68</f>
        <v>10000</v>
      </c>
      <c r="H68" s="14">
        <f>Cleaned_Data!J68</f>
        <v>7</v>
      </c>
      <c r="I68" s="14" t="str">
        <f>Cleaned_Data!M68</f>
        <v>Cancelled</v>
      </c>
      <c r="J68" s="16">
        <f>Cleaned_Data!N68</f>
        <v>45636</v>
      </c>
      <c r="K68" t="str">
        <f t="shared" si="10"/>
        <v>Moderate</v>
      </c>
      <c r="L68" s="5" t="str">
        <f>IF(COUNTIF($A$2:A68,A68)&gt;1,"Duplicate","Unique")</f>
        <v>Unique</v>
      </c>
      <c r="M68" t="str">
        <f t="shared" si="11"/>
        <v>2023-09</v>
      </c>
      <c r="N68" s="2">
        <f t="shared" ca="1" si="12"/>
        <v>45636</v>
      </c>
      <c r="O68" s="4">
        <f t="shared" ca="1" si="13"/>
        <v>14</v>
      </c>
      <c r="P68" s="4">
        <f t="shared" ca="1" si="14"/>
        <v>493</v>
      </c>
      <c r="Q68">
        <f t="shared" ca="1" si="15"/>
        <v>1</v>
      </c>
      <c r="R68">
        <f t="shared" si="16"/>
        <v>2</v>
      </c>
      <c r="S68">
        <f t="shared" ca="1" si="17"/>
        <v>4</v>
      </c>
      <c r="T68" t="str">
        <f t="shared" ca="1" si="18"/>
        <v>124</v>
      </c>
      <c r="U68" t="str">
        <f t="shared" ca="1" si="19"/>
        <v>At Risk</v>
      </c>
    </row>
    <row r="69" spans="1:21">
      <c r="A69" s="17" t="str">
        <f>Cleaned_Data!A69</f>
        <v>MEM0068</v>
      </c>
      <c r="B69" s="18" t="str">
        <f ca="1">Cleaned_Data!D69</f>
        <v>BR02</v>
      </c>
      <c r="C69" s="18" t="str">
        <f ca="1">Cleaned_Data!E69</f>
        <v>Standard</v>
      </c>
      <c r="D69" s="19">
        <f>Cleaned_Data!F69</f>
        <v>45089</v>
      </c>
      <c r="E69" s="19">
        <f>Cleaned_Data!G69</f>
        <v>45454</v>
      </c>
      <c r="F69" s="18">
        <f>Cleaned_Data!H69</f>
        <v>3500</v>
      </c>
      <c r="G69" s="18">
        <f ca="1">Cleaned_Data!I69</f>
        <v>7000</v>
      </c>
      <c r="H69" s="18">
        <f>Cleaned_Data!J69</f>
        <v>19</v>
      </c>
      <c r="I69" s="18" t="str">
        <f>Cleaned_Data!M69</f>
        <v>Cancelled</v>
      </c>
      <c r="J69" s="20">
        <f>Cleaned_Data!N69</f>
        <v>45914</v>
      </c>
      <c r="K69" t="str">
        <f t="shared" si="10"/>
        <v>Highly Active</v>
      </c>
      <c r="L69" s="5" t="str">
        <f>IF(COUNTIF($A$2:A69,A69)&gt;1,"Duplicate","Unique")</f>
        <v>Unique</v>
      </c>
      <c r="M69" t="str">
        <f t="shared" si="11"/>
        <v>2023-06</v>
      </c>
      <c r="N69" s="2">
        <f t="shared" ca="1" si="12"/>
        <v>45914</v>
      </c>
      <c r="O69" s="4">
        <f t="shared" ca="1" si="13"/>
        <v>27</v>
      </c>
      <c r="P69" s="4">
        <f t="shared" ca="1" si="14"/>
        <v>215</v>
      </c>
      <c r="Q69">
        <f t="shared" ca="1" si="15"/>
        <v>2</v>
      </c>
      <c r="R69">
        <f t="shared" si="16"/>
        <v>4</v>
      </c>
      <c r="S69">
        <f t="shared" ca="1" si="17"/>
        <v>3</v>
      </c>
      <c r="T69" t="str">
        <f t="shared" ca="1" si="18"/>
        <v>243</v>
      </c>
      <c r="U69" t="str">
        <f t="shared" ca="1" si="19"/>
        <v>At Risk</v>
      </c>
    </row>
    <row r="70" spans="1:21">
      <c r="A70" s="13" t="str">
        <f>Cleaned_Data!A70</f>
        <v>MEM0069</v>
      </c>
      <c r="B70" s="14" t="str">
        <f ca="1">Cleaned_Data!D70</f>
        <v>BR01</v>
      </c>
      <c r="C70" s="14" t="str">
        <f ca="1">Cleaned_Data!E70</f>
        <v>Premium</v>
      </c>
      <c r="D70" s="15">
        <f>Cleaned_Data!F70</f>
        <v>45842</v>
      </c>
      <c r="E70" s="15">
        <f>Cleaned_Data!G70</f>
        <v>46207</v>
      </c>
      <c r="F70" s="14">
        <f>Cleaned_Data!H70</f>
        <v>3500</v>
      </c>
      <c r="G70" s="14">
        <f ca="1">Cleaned_Data!I70</f>
        <v>24500</v>
      </c>
      <c r="H70" s="14">
        <f>Cleaned_Data!J70</f>
        <v>19</v>
      </c>
      <c r="I70" s="14" t="str">
        <f>Cleaned_Data!M70</f>
        <v>Active</v>
      </c>
      <c r="J70" s="16">
        <f>Cleaned_Data!N70</f>
        <v>46048</v>
      </c>
      <c r="K70" t="str">
        <f t="shared" si="10"/>
        <v>Highly Active</v>
      </c>
      <c r="L70" s="5" t="str">
        <f>IF(COUNTIF($A$2:A70,A70)&gt;1,"Duplicate","Unique")</f>
        <v>Unique</v>
      </c>
      <c r="M70" t="str">
        <f t="shared" si="11"/>
        <v>2025-07</v>
      </c>
      <c r="N70" s="2">
        <f t="shared" ca="1" si="12"/>
        <v>46048</v>
      </c>
      <c r="O70" s="4">
        <f t="shared" ca="1" si="13"/>
        <v>6</v>
      </c>
      <c r="P70" s="4">
        <f t="shared" ca="1" si="14"/>
        <v>81</v>
      </c>
      <c r="Q70">
        <f t="shared" ca="1" si="15"/>
        <v>4</v>
      </c>
      <c r="R70">
        <f t="shared" si="16"/>
        <v>4</v>
      </c>
      <c r="S70">
        <f t="shared" ca="1" si="17"/>
        <v>5</v>
      </c>
      <c r="T70" t="str">
        <f t="shared" ca="1" si="18"/>
        <v>445</v>
      </c>
      <c r="U70" t="str">
        <f t="shared" ca="1" si="19"/>
        <v>Champion</v>
      </c>
    </row>
    <row r="71" spans="1:21">
      <c r="A71" s="17" t="str">
        <f>Cleaned_Data!A71</f>
        <v>MEM0070</v>
      </c>
      <c r="B71" s="18" t="str">
        <f ca="1">Cleaned_Data!D71</f>
        <v>BR01</v>
      </c>
      <c r="C71" s="18" t="str">
        <f ca="1">Cleaned_Data!E71</f>
        <v>Premium</v>
      </c>
      <c r="D71" s="19">
        <f>Cleaned_Data!F71</f>
        <v>45047</v>
      </c>
      <c r="E71" s="19">
        <f>Cleaned_Data!G71</f>
        <v>45412</v>
      </c>
      <c r="F71" s="18">
        <f>Cleaned_Data!H71</f>
        <v>1000</v>
      </c>
      <c r="G71" s="18">
        <f ca="1">Cleaned_Data!I71</f>
        <v>5000</v>
      </c>
      <c r="H71" s="18">
        <f>Cleaned_Data!J71</f>
        <v>17</v>
      </c>
      <c r="I71" s="18" t="str">
        <f>Cleaned_Data!M71</f>
        <v>Cancelled</v>
      </c>
      <c r="J71" s="20">
        <f>Cleaned_Data!N71</f>
        <v>46030</v>
      </c>
      <c r="K71" t="str">
        <f t="shared" si="10"/>
        <v>Highly Active</v>
      </c>
      <c r="L71" s="5" t="str">
        <f>IF(COUNTIF($A$2:A71,A71)&gt;1,"Duplicate","Unique")</f>
        <v>Unique</v>
      </c>
      <c r="M71" t="str">
        <f t="shared" si="11"/>
        <v>2023-05</v>
      </c>
      <c r="N71" s="2">
        <f t="shared" ca="1" si="12"/>
        <v>46030</v>
      </c>
      <c r="O71" s="4">
        <f t="shared" ca="1" si="13"/>
        <v>32</v>
      </c>
      <c r="P71" s="4">
        <f t="shared" ca="1" si="14"/>
        <v>99</v>
      </c>
      <c r="Q71">
        <f t="shared" ca="1" si="15"/>
        <v>3</v>
      </c>
      <c r="R71">
        <f t="shared" si="16"/>
        <v>4</v>
      </c>
      <c r="S71">
        <f t="shared" ca="1" si="17"/>
        <v>3</v>
      </c>
      <c r="T71" t="str">
        <f t="shared" ca="1" si="18"/>
        <v>343</v>
      </c>
      <c r="U71" t="str">
        <f t="shared" ca="1" si="19"/>
        <v>Loyal</v>
      </c>
    </row>
    <row r="72" spans="1:21">
      <c r="A72" s="13" t="str">
        <f>Cleaned_Data!A72</f>
        <v>MEM0071</v>
      </c>
      <c r="B72" s="14" t="str">
        <f ca="1">Cleaned_Data!D72</f>
        <v>BR07</v>
      </c>
      <c r="C72" s="14" t="str">
        <f ca="1">Cleaned_Data!E72</f>
        <v>Basic</v>
      </c>
      <c r="D72" s="15">
        <f>Cleaned_Data!F72</f>
        <v>45628</v>
      </c>
      <c r="E72" s="15">
        <f>Cleaned_Data!G72</f>
        <v>45658</v>
      </c>
      <c r="F72" s="14">
        <f>Cleaned_Data!H72</f>
        <v>2000</v>
      </c>
      <c r="G72" s="14">
        <f ca="1">Cleaned_Data!I72</f>
        <v>24000</v>
      </c>
      <c r="H72" s="14">
        <f>Cleaned_Data!J72</f>
        <v>17</v>
      </c>
      <c r="I72" s="14" t="str">
        <f>Cleaned_Data!M72</f>
        <v>Active</v>
      </c>
      <c r="J72" s="16">
        <f>Cleaned_Data!N72</f>
        <v>45681</v>
      </c>
      <c r="K72" t="str">
        <f t="shared" si="10"/>
        <v>Highly Active</v>
      </c>
      <c r="L72" s="5" t="str">
        <f>IF(COUNTIF($A$2:A72,A72)&gt;1,"Duplicate","Unique")</f>
        <v>Unique</v>
      </c>
      <c r="M72" t="str">
        <f t="shared" si="11"/>
        <v>2024-12</v>
      </c>
      <c r="N72" s="2">
        <f t="shared" ca="1" si="12"/>
        <v>45681</v>
      </c>
      <c r="O72" s="4">
        <f t="shared" ca="1" si="13"/>
        <v>1</v>
      </c>
      <c r="P72" s="4">
        <f t="shared" ca="1" si="14"/>
        <v>448</v>
      </c>
      <c r="Q72">
        <f t="shared" ca="1" si="15"/>
        <v>1</v>
      </c>
      <c r="R72">
        <f t="shared" si="16"/>
        <v>4</v>
      </c>
      <c r="S72">
        <f t="shared" ca="1" si="17"/>
        <v>5</v>
      </c>
      <c r="T72" t="str">
        <f t="shared" ca="1" si="18"/>
        <v>145</v>
      </c>
      <c r="U72" t="str">
        <f t="shared" ca="1" si="19"/>
        <v>At Risk</v>
      </c>
    </row>
    <row r="73" spans="1:21">
      <c r="A73" s="17" t="str">
        <f>Cleaned_Data!A73</f>
        <v>MEM0072</v>
      </c>
      <c r="B73" s="18" t="str">
        <f ca="1">Cleaned_Data!D73</f>
        <v>BR02</v>
      </c>
      <c r="C73" s="18" t="str">
        <f ca="1">Cleaned_Data!E73</f>
        <v>Premium</v>
      </c>
      <c r="D73" s="19">
        <f>Cleaned_Data!F73</f>
        <v>45859</v>
      </c>
      <c r="E73" s="19">
        <f>Cleaned_Data!G73</f>
        <v>46224</v>
      </c>
      <c r="F73" s="18">
        <f>Cleaned_Data!H73</f>
        <v>2000</v>
      </c>
      <c r="G73" s="18">
        <f ca="1">Cleaned_Data!I73</f>
        <v>2000</v>
      </c>
      <c r="H73" s="18">
        <f>Cleaned_Data!J73</f>
        <v>4</v>
      </c>
      <c r="I73" s="18" t="str">
        <f>Cleaned_Data!M73</f>
        <v>Active</v>
      </c>
      <c r="J73" s="20">
        <f>Cleaned_Data!N73</f>
        <v>45957</v>
      </c>
      <c r="K73" t="str">
        <f t="shared" si="10"/>
        <v>At Risk</v>
      </c>
      <c r="L73" s="5" t="str">
        <f>IF(COUNTIF($A$2:A73,A73)&gt;1,"Duplicate","Unique")</f>
        <v>Unique</v>
      </c>
      <c r="M73" t="str">
        <f t="shared" si="11"/>
        <v>2025-07</v>
      </c>
      <c r="N73" s="2">
        <f t="shared" ca="1" si="12"/>
        <v>45957</v>
      </c>
      <c r="O73" s="4">
        <f t="shared" ca="1" si="13"/>
        <v>3</v>
      </c>
      <c r="P73" s="4">
        <f t="shared" ca="1" si="14"/>
        <v>172</v>
      </c>
      <c r="Q73">
        <f t="shared" ca="1" si="15"/>
        <v>3</v>
      </c>
      <c r="R73">
        <f t="shared" si="16"/>
        <v>1</v>
      </c>
      <c r="S73">
        <f t="shared" ca="1" si="17"/>
        <v>2</v>
      </c>
      <c r="T73" t="str">
        <f t="shared" ca="1" si="18"/>
        <v>312</v>
      </c>
      <c r="U73" t="str">
        <f t="shared" ca="1" si="19"/>
        <v>Others</v>
      </c>
    </row>
    <row r="74" spans="1:21">
      <c r="A74" s="13" t="str">
        <f>Cleaned_Data!A74</f>
        <v>MEM0073</v>
      </c>
      <c r="B74" s="14" t="str">
        <f ca="1">Cleaned_Data!D74</f>
        <v>BR04</v>
      </c>
      <c r="C74" s="14" t="str">
        <f ca="1">Cleaned_Data!E74</f>
        <v>Standard</v>
      </c>
      <c r="D74" s="15">
        <f>Cleaned_Data!F74</f>
        <v>45687</v>
      </c>
      <c r="E74" s="15">
        <f>Cleaned_Data!G74</f>
        <v>45717</v>
      </c>
      <c r="F74" s="14">
        <f>Cleaned_Data!H74</f>
        <v>3500</v>
      </c>
      <c r="G74" s="14">
        <f ca="1">Cleaned_Data!I74</f>
        <v>3500</v>
      </c>
      <c r="H74" s="14">
        <f>Cleaned_Data!J74</f>
        <v>18</v>
      </c>
      <c r="I74" s="14" t="str">
        <f>Cleaned_Data!M74</f>
        <v>Active</v>
      </c>
      <c r="J74" s="16">
        <f>Cleaned_Data!N74</f>
        <v>45912</v>
      </c>
      <c r="K74" t="str">
        <f t="shared" si="10"/>
        <v>Highly Active</v>
      </c>
      <c r="L74" s="5" t="str">
        <f>IF(COUNTIF($A$2:A74,A74)&gt;1,"Duplicate","Unique")</f>
        <v>Unique</v>
      </c>
      <c r="M74" t="str">
        <f t="shared" si="11"/>
        <v>2025-01</v>
      </c>
      <c r="N74" s="2">
        <f t="shared" ca="1" si="12"/>
        <v>45912</v>
      </c>
      <c r="O74" s="4">
        <f t="shared" ca="1" si="13"/>
        <v>7</v>
      </c>
      <c r="P74" s="4">
        <f t="shared" ca="1" si="14"/>
        <v>217</v>
      </c>
      <c r="Q74">
        <f t="shared" ca="1" si="15"/>
        <v>2</v>
      </c>
      <c r="R74">
        <f t="shared" si="16"/>
        <v>4</v>
      </c>
      <c r="S74">
        <f t="shared" ca="1" si="17"/>
        <v>2</v>
      </c>
      <c r="T74" t="str">
        <f t="shared" ca="1" si="18"/>
        <v>242</v>
      </c>
      <c r="U74" t="str">
        <f t="shared" ca="1" si="19"/>
        <v>At Risk</v>
      </c>
    </row>
    <row r="75" spans="1:21">
      <c r="A75" s="17" t="str">
        <f>Cleaned_Data!A75</f>
        <v>MEM0074</v>
      </c>
      <c r="B75" s="18" t="str">
        <f ca="1">Cleaned_Data!D75</f>
        <v>BR07</v>
      </c>
      <c r="C75" s="18" t="str">
        <f ca="1">Cleaned_Data!E75</f>
        <v>Basic</v>
      </c>
      <c r="D75" s="19">
        <f>Cleaned_Data!F75</f>
        <v>45243</v>
      </c>
      <c r="E75" s="19">
        <f>Cleaned_Data!G75</f>
        <v>45608</v>
      </c>
      <c r="F75" s="18">
        <f>Cleaned_Data!H75</f>
        <v>1000</v>
      </c>
      <c r="G75" s="18">
        <f ca="1">Cleaned_Data!I75</f>
        <v>8000</v>
      </c>
      <c r="H75" s="18">
        <f>Cleaned_Data!J75</f>
        <v>8</v>
      </c>
      <c r="I75" s="18" t="str">
        <f>Cleaned_Data!M75</f>
        <v>Active</v>
      </c>
      <c r="J75" s="20">
        <f>Cleaned_Data!N75</f>
        <v>45664</v>
      </c>
      <c r="K75" t="str">
        <f t="shared" si="10"/>
        <v>Moderate</v>
      </c>
      <c r="L75" s="5" t="str">
        <f>IF(COUNTIF($A$2:A75,A75)&gt;1,"Duplicate","Unique")</f>
        <v>Unique</v>
      </c>
      <c r="M75" t="str">
        <f t="shared" si="11"/>
        <v>2023-11</v>
      </c>
      <c r="N75" s="2">
        <f t="shared" ca="1" si="12"/>
        <v>45664</v>
      </c>
      <c r="O75" s="4">
        <f t="shared" ca="1" si="13"/>
        <v>13</v>
      </c>
      <c r="P75" s="4">
        <f t="shared" ca="1" si="14"/>
        <v>465</v>
      </c>
      <c r="Q75">
        <f t="shared" ca="1" si="15"/>
        <v>1</v>
      </c>
      <c r="R75">
        <f t="shared" si="16"/>
        <v>2</v>
      </c>
      <c r="S75">
        <f t="shared" ca="1" si="17"/>
        <v>3</v>
      </c>
      <c r="T75" t="str">
        <f t="shared" ca="1" si="18"/>
        <v>123</v>
      </c>
      <c r="U75" t="str">
        <f t="shared" ca="1" si="19"/>
        <v>At Risk</v>
      </c>
    </row>
    <row r="76" spans="1:21">
      <c r="A76" s="13" t="str">
        <f>Cleaned_Data!A76</f>
        <v>MEM0075</v>
      </c>
      <c r="B76" s="14" t="str">
        <f ca="1">Cleaned_Data!D76</f>
        <v>BR01</v>
      </c>
      <c r="C76" s="14" t="str">
        <f ca="1">Cleaned_Data!E76</f>
        <v>Premium</v>
      </c>
      <c r="D76" s="15">
        <f>Cleaned_Data!F76</f>
        <v>45762</v>
      </c>
      <c r="E76" s="15">
        <f>Cleaned_Data!G76</f>
        <v>45792</v>
      </c>
      <c r="F76" s="14">
        <f>Cleaned_Data!H76</f>
        <v>2000</v>
      </c>
      <c r="G76" s="14">
        <f ca="1">Cleaned_Data!I76</f>
        <v>14000</v>
      </c>
      <c r="H76" s="14">
        <f>Cleaned_Data!J76</f>
        <v>8</v>
      </c>
      <c r="I76" s="14" t="str">
        <f>Cleaned_Data!M76</f>
        <v>Active</v>
      </c>
      <c r="J76" s="16">
        <f>Cleaned_Data!N76</f>
        <v>46054</v>
      </c>
      <c r="K76" t="str">
        <f t="shared" si="10"/>
        <v>Moderate</v>
      </c>
      <c r="L76" s="5" t="str">
        <f>IF(COUNTIF($A$2:A76,A76)&gt;1,"Duplicate","Unique")</f>
        <v>Unique</v>
      </c>
      <c r="M76" t="str">
        <f t="shared" si="11"/>
        <v>2025-04</v>
      </c>
      <c r="N76" s="2">
        <f t="shared" ca="1" si="12"/>
        <v>46054</v>
      </c>
      <c r="O76" s="4">
        <f t="shared" ca="1" si="13"/>
        <v>9</v>
      </c>
      <c r="P76" s="4">
        <f t="shared" ca="1" si="14"/>
        <v>75</v>
      </c>
      <c r="Q76">
        <f t="shared" ca="1" si="15"/>
        <v>4</v>
      </c>
      <c r="R76">
        <f t="shared" si="16"/>
        <v>2</v>
      </c>
      <c r="S76">
        <f t="shared" ca="1" si="17"/>
        <v>4</v>
      </c>
      <c r="T76" t="str">
        <f t="shared" ca="1" si="18"/>
        <v>424</v>
      </c>
      <c r="U76" t="str">
        <f t="shared" ca="1" si="19"/>
        <v>Others</v>
      </c>
    </row>
    <row r="77" spans="1:21">
      <c r="A77" s="17" t="str">
        <f>Cleaned_Data!A77</f>
        <v>MEM0076</v>
      </c>
      <c r="B77" s="18" t="str">
        <f ca="1">Cleaned_Data!D77</f>
        <v>BR07</v>
      </c>
      <c r="C77" s="18" t="str">
        <f ca="1">Cleaned_Data!E77</f>
        <v>Premium</v>
      </c>
      <c r="D77" s="19">
        <f>Cleaned_Data!F77</f>
        <v>45803</v>
      </c>
      <c r="E77" s="19">
        <f>Cleaned_Data!G77</f>
        <v>46168</v>
      </c>
      <c r="F77" s="18">
        <f>Cleaned_Data!H77</f>
        <v>1000</v>
      </c>
      <c r="G77" s="18">
        <f ca="1">Cleaned_Data!I77</f>
        <v>1000</v>
      </c>
      <c r="H77" s="18">
        <f>Cleaned_Data!J77</f>
        <v>0</v>
      </c>
      <c r="I77" s="18" t="str">
        <f>Cleaned_Data!M77</f>
        <v>Cancelled</v>
      </c>
      <c r="J77" s="20">
        <f>Cleaned_Data!N77</f>
        <v>46015</v>
      </c>
      <c r="K77" t="str">
        <f t="shared" si="10"/>
        <v>At Risk</v>
      </c>
      <c r="L77" s="5" t="str">
        <f>IF(COUNTIF($A$2:A77,A77)&gt;1,"Duplicate","Unique")</f>
        <v>Unique</v>
      </c>
      <c r="M77" t="str">
        <f t="shared" si="11"/>
        <v>2025-05</v>
      </c>
      <c r="N77" s="2">
        <f t="shared" ca="1" si="12"/>
        <v>46015</v>
      </c>
      <c r="O77" s="4">
        <f t="shared" ca="1" si="13"/>
        <v>6</v>
      </c>
      <c r="P77" s="4">
        <f t="shared" ca="1" si="14"/>
        <v>114</v>
      </c>
      <c r="Q77">
        <f t="shared" ca="1" si="15"/>
        <v>3</v>
      </c>
      <c r="R77">
        <f t="shared" si="16"/>
        <v>1</v>
      </c>
      <c r="S77">
        <f t="shared" ca="1" si="17"/>
        <v>1</v>
      </c>
      <c r="T77" t="str">
        <f t="shared" ca="1" si="18"/>
        <v>311</v>
      </c>
      <c r="U77" t="str">
        <f t="shared" ca="1" si="19"/>
        <v>Others</v>
      </c>
    </row>
    <row r="78" spans="1:21">
      <c r="A78" s="13" t="str">
        <f>Cleaned_Data!A78</f>
        <v>MEM0077</v>
      </c>
      <c r="B78" s="14" t="str">
        <f ca="1">Cleaned_Data!D78</f>
        <v>BR05</v>
      </c>
      <c r="C78" s="14" t="str">
        <f ca="1">Cleaned_Data!E78</f>
        <v>Standard</v>
      </c>
      <c r="D78" s="15">
        <f>Cleaned_Data!F78</f>
        <v>45964</v>
      </c>
      <c r="E78" s="15">
        <f>Cleaned_Data!G78</f>
        <v>45994</v>
      </c>
      <c r="F78" s="14">
        <f>Cleaned_Data!H78</f>
        <v>1000</v>
      </c>
      <c r="G78" s="14">
        <f ca="1">Cleaned_Data!I78</f>
        <v>1000</v>
      </c>
      <c r="H78" s="14">
        <f>Cleaned_Data!J78</f>
        <v>14</v>
      </c>
      <c r="I78" s="14" t="str">
        <f>Cleaned_Data!M78</f>
        <v>Active</v>
      </c>
      <c r="J78" s="16">
        <f>Cleaned_Data!N78</f>
        <v>45971</v>
      </c>
      <c r="K78" t="str">
        <f t="shared" si="10"/>
        <v>Moderate</v>
      </c>
      <c r="L78" s="5" t="str">
        <f>IF(COUNTIF($A$2:A78,A78)&gt;1,"Duplicate","Unique")</f>
        <v>Unique</v>
      </c>
      <c r="M78" t="str">
        <f t="shared" si="11"/>
        <v>2025-11</v>
      </c>
      <c r="N78" s="2">
        <f t="shared" ca="1" si="12"/>
        <v>45971</v>
      </c>
      <c r="O78" s="4">
        <f t="shared" ca="1" si="13"/>
        <v>0</v>
      </c>
      <c r="P78" s="4">
        <f t="shared" ca="1" si="14"/>
        <v>158</v>
      </c>
      <c r="Q78">
        <f t="shared" ca="1" si="15"/>
        <v>3</v>
      </c>
      <c r="R78">
        <f t="shared" si="16"/>
        <v>3</v>
      </c>
      <c r="S78">
        <f t="shared" ca="1" si="17"/>
        <v>1</v>
      </c>
      <c r="T78" t="str">
        <f t="shared" ca="1" si="18"/>
        <v>331</v>
      </c>
      <c r="U78" t="str">
        <f t="shared" ca="1" si="19"/>
        <v>Others</v>
      </c>
    </row>
    <row r="79" spans="1:21">
      <c r="A79" s="17" t="str">
        <f>Cleaned_Data!A79</f>
        <v>MEM0078</v>
      </c>
      <c r="B79" s="18" t="str">
        <f ca="1">Cleaned_Data!D79</f>
        <v>BR05</v>
      </c>
      <c r="C79" s="18" t="str">
        <f ca="1">Cleaned_Data!E79</f>
        <v>Standard</v>
      </c>
      <c r="D79" s="19">
        <f>Cleaned_Data!F79</f>
        <v>45124</v>
      </c>
      <c r="E79" s="19">
        <f>Cleaned_Data!G79</f>
        <v>45489</v>
      </c>
      <c r="F79" s="18">
        <f>Cleaned_Data!H79</f>
        <v>3500</v>
      </c>
      <c r="G79" s="18">
        <f ca="1">Cleaned_Data!I79</f>
        <v>38500</v>
      </c>
      <c r="H79" s="18">
        <f>Cleaned_Data!J79</f>
        <v>20</v>
      </c>
      <c r="I79" s="18" t="str">
        <f>Cleaned_Data!M79</f>
        <v>Active</v>
      </c>
      <c r="J79" s="20">
        <f>Cleaned_Data!N79</f>
        <v>45171</v>
      </c>
      <c r="K79" t="str">
        <f t="shared" si="10"/>
        <v>Highly Active</v>
      </c>
      <c r="L79" s="5" t="str">
        <f>IF(COUNTIF($A$2:A79,A79)&gt;1,"Duplicate","Unique")</f>
        <v>Unique</v>
      </c>
      <c r="M79" t="str">
        <f t="shared" si="11"/>
        <v>2023-07</v>
      </c>
      <c r="N79" s="2">
        <f t="shared" ca="1" si="12"/>
        <v>45171</v>
      </c>
      <c r="O79" s="4">
        <f t="shared" ca="1" si="13"/>
        <v>1</v>
      </c>
      <c r="P79" s="4">
        <f t="shared" ca="1" si="14"/>
        <v>958</v>
      </c>
      <c r="Q79">
        <f t="shared" ca="1" si="15"/>
        <v>1</v>
      </c>
      <c r="R79">
        <f t="shared" si="16"/>
        <v>5</v>
      </c>
      <c r="S79">
        <f t="shared" ca="1" si="17"/>
        <v>5</v>
      </c>
      <c r="T79" t="str">
        <f t="shared" ca="1" si="18"/>
        <v>155</v>
      </c>
      <c r="U79" t="str">
        <f t="shared" ca="1" si="19"/>
        <v>At Risk</v>
      </c>
    </row>
    <row r="80" spans="1:21">
      <c r="A80" s="13" t="str">
        <f>Cleaned_Data!A80</f>
        <v>MEM0079</v>
      </c>
      <c r="B80" s="14" t="str">
        <f ca="1">Cleaned_Data!D80</f>
        <v>BR02</v>
      </c>
      <c r="C80" s="14" t="str">
        <f ca="1">Cleaned_Data!E80</f>
        <v>Standard</v>
      </c>
      <c r="D80" s="15">
        <f>Cleaned_Data!F80</f>
        <v>45868</v>
      </c>
      <c r="E80" s="15">
        <f>Cleaned_Data!G80</f>
        <v>45958</v>
      </c>
      <c r="F80" s="14">
        <f>Cleaned_Data!H80</f>
        <v>3500</v>
      </c>
      <c r="G80" s="14">
        <f ca="1">Cleaned_Data!I80</f>
        <v>21000</v>
      </c>
      <c r="H80" s="14">
        <f>Cleaned_Data!J80</f>
        <v>4</v>
      </c>
      <c r="I80" s="14" t="str">
        <f>Cleaned_Data!M80</f>
        <v>Cancelled</v>
      </c>
      <c r="J80" s="16">
        <f>Cleaned_Data!N80</f>
        <v>45949</v>
      </c>
      <c r="K80" t="str">
        <f t="shared" si="10"/>
        <v>At Risk</v>
      </c>
      <c r="L80" s="5" t="str">
        <f>IF(COUNTIF($A$2:A80,A80)&gt;1,"Duplicate","Unique")</f>
        <v>Unique</v>
      </c>
      <c r="M80" t="str">
        <f t="shared" si="11"/>
        <v>2025-07</v>
      </c>
      <c r="N80" s="2">
        <f t="shared" ca="1" si="12"/>
        <v>45949</v>
      </c>
      <c r="O80" s="4">
        <f t="shared" ca="1" si="13"/>
        <v>2</v>
      </c>
      <c r="P80" s="4">
        <f t="shared" ca="1" si="14"/>
        <v>180</v>
      </c>
      <c r="Q80">
        <f t="shared" ca="1" si="15"/>
        <v>3</v>
      </c>
      <c r="R80">
        <f t="shared" si="16"/>
        <v>1</v>
      </c>
      <c r="S80">
        <f t="shared" ca="1" si="17"/>
        <v>5</v>
      </c>
      <c r="T80" t="str">
        <f t="shared" ca="1" si="18"/>
        <v>315</v>
      </c>
      <c r="U80" t="str">
        <f t="shared" ca="1" si="19"/>
        <v>Others</v>
      </c>
    </row>
    <row r="81" spans="1:21">
      <c r="A81" s="17" t="str">
        <f>Cleaned_Data!A81</f>
        <v>MEM0080</v>
      </c>
      <c r="B81" s="18" t="str">
        <f ca="1">Cleaned_Data!D81</f>
        <v>BR05</v>
      </c>
      <c r="C81" s="18" t="str">
        <f ca="1">Cleaned_Data!E81</f>
        <v>Premium</v>
      </c>
      <c r="D81" s="19">
        <f>Cleaned_Data!F81</f>
        <v>45000</v>
      </c>
      <c r="E81" s="19">
        <f>Cleaned_Data!G81</f>
        <v>45365</v>
      </c>
      <c r="F81" s="18">
        <f>Cleaned_Data!H81</f>
        <v>3500</v>
      </c>
      <c r="G81" s="18">
        <f ca="1">Cleaned_Data!I81</f>
        <v>38500</v>
      </c>
      <c r="H81" s="18">
        <f>Cleaned_Data!J81</f>
        <v>25</v>
      </c>
      <c r="I81" s="18" t="str">
        <f>Cleaned_Data!M81</f>
        <v>Active</v>
      </c>
      <c r="J81" s="20">
        <f>Cleaned_Data!N81</f>
        <v>45842</v>
      </c>
      <c r="K81" t="str">
        <f t="shared" si="10"/>
        <v>Highly Active</v>
      </c>
      <c r="L81" s="5" t="str">
        <f>IF(COUNTIF($A$2:A81,A81)&gt;1,"Duplicate","Unique")</f>
        <v>Unique</v>
      </c>
      <c r="M81" t="str">
        <f t="shared" si="11"/>
        <v>2023-03</v>
      </c>
      <c r="N81" s="2">
        <f t="shared" ca="1" si="12"/>
        <v>45842</v>
      </c>
      <c r="O81" s="4">
        <f t="shared" ca="1" si="13"/>
        <v>27</v>
      </c>
      <c r="P81" s="4">
        <f t="shared" ca="1" si="14"/>
        <v>287</v>
      </c>
      <c r="Q81">
        <f t="shared" ca="1" si="15"/>
        <v>2</v>
      </c>
      <c r="R81">
        <f t="shared" si="16"/>
        <v>5</v>
      </c>
      <c r="S81">
        <f t="shared" ca="1" si="17"/>
        <v>5</v>
      </c>
      <c r="T81" t="str">
        <f t="shared" ca="1" si="18"/>
        <v>255</v>
      </c>
      <c r="U81" t="str">
        <f t="shared" ca="1" si="19"/>
        <v>At Risk</v>
      </c>
    </row>
    <row r="82" spans="1:21">
      <c r="A82" s="13" t="str">
        <f>Cleaned_Data!A82</f>
        <v>MEM0081</v>
      </c>
      <c r="B82" s="14" t="str">
        <f ca="1">Cleaned_Data!D82</f>
        <v>BR03</v>
      </c>
      <c r="C82" s="14" t="str">
        <f ca="1">Cleaned_Data!E82</f>
        <v>Standard</v>
      </c>
      <c r="D82" s="15">
        <f>Cleaned_Data!F82</f>
        <v>45204</v>
      </c>
      <c r="E82" s="15">
        <f>Cleaned_Data!G82</f>
        <v>45234</v>
      </c>
      <c r="F82" s="14">
        <f>Cleaned_Data!H82</f>
        <v>3500</v>
      </c>
      <c r="G82" s="14">
        <f ca="1">Cleaned_Data!I82</f>
        <v>28000</v>
      </c>
      <c r="H82" s="14">
        <f>Cleaned_Data!J82</f>
        <v>23</v>
      </c>
      <c r="I82" s="14" t="str">
        <f>Cleaned_Data!M82</f>
        <v>Active</v>
      </c>
      <c r="J82" s="16">
        <f>Cleaned_Data!N82</f>
        <v>46063</v>
      </c>
      <c r="K82" t="str">
        <f t="shared" si="10"/>
        <v>Highly Active</v>
      </c>
      <c r="L82" s="5" t="str">
        <f>IF(COUNTIF($A$2:A82,A82)&gt;1,"Duplicate","Unique")</f>
        <v>Unique</v>
      </c>
      <c r="M82" t="str">
        <f t="shared" si="11"/>
        <v>2023-10</v>
      </c>
      <c r="N82" s="2">
        <f t="shared" ca="1" si="12"/>
        <v>46063</v>
      </c>
      <c r="O82" s="4">
        <f t="shared" ca="1" si="13"/>
        <v>28</v>
      </c>
      <c r="P82" s="4">
        <f t="shared" ca="1" si="14"/>
        <v>66</v>
      </c>
      <c r="Q82">
        <f t="shared" ca="1" si="15"/>
        <v>4</v>
      </c>
      <c r="R82">
        <f t="shared" si="16"/>
        <v>5</v>
      </c>
      <c r="S82">
        <f t="shared" ca="1" si="17"/>
        <v>5</v>
      </c>
      <c r="T82" t="str">
        <f t="shared" ca="1" si="18"/>
        <v>455</v>
      </c>
      <c r="U82" t="str">
        <f t="shared" ca="1" si="19"/>
        <v>Champion</v>
      </c>
    </row>
    <row r="83" spans="1:21">
      <c r="A83" s="17" t="str">
        <f>Cleaned_Data!A83</f>
        <v>MEM0082</v>
      </c>
      <c r="B83" s="18" t="str">
        <f ca="1">Cleaned_Data!D83</f>
        <v>BR03</v>
      </c>
      <c r="C83" s="18" t="str">
        <f ca="1">Cleaned_Data!E83</f>
        <v>Standard</v>
      </c>
      <c r="D83" s="19">
        <f>Cleaned_Data!F83</f>
        <v>45686</v>
      </c>
      <c r="E83" s="19">
        <f>Cleaned_Data!G83</f>
        <v>45716</v>
      </c>
      <c r="F83" s="18">
        <f>Cleaned_Data!H83</f>
        <v>3500</v>
      </c>
      <c r="G83" s="18">
        <f ca="1">Cleaned_Data!I83</f>
        <v>7000</v>
      </c>
      <c r="H83" s="18">
        <f>Cleaned_Data!J83</f>
        <v>20</v>
      </c>
      <c r="I83" s="18" t="str">
        <f>Cleaned_Data!M83</f>
        <v>Active</v>
      </c>
      <c r="J83" s="20">
        <f>Cleaned_Data!N83</f>
        <v>45949</v>
      </c>
      <c r="K83" t="str">
        <f t="shared" si="10"/>
        <v>Highly Active</v>
      </c>
      <c r="L83" s="5" t="str">
        <f>IF(COUNTIF($A$2:A83,A83)&gt;1,"Duplicate","Unique")</f>
        <v>Unique</v>
      </c>
      <c r="M83" t="str">
        <f t="shared" si="11"/>
        <v>2025-01</v>
      </c>
      <c r="N83" s="2">
        <f t="shared" ca="1" si="12"/>
        <v>45949</v>
      </c>
      <c r="O83" s="4">
        <f t="shared" ca="1" si="13"/>
        <v>8</v>
      </c>
      <c r="P83" s="4">
        <f t="shared" ca="1" si="14"/>
        <v>180</v>
      </c>
      <c r="Q83">
        <f t="shared" ca="1" si="15"/>
        <v>3</v>
      </c>
      <c r="R83">
        <f t="shared" si="16"/>
        <v>5</v>
      </c>
      <c r="S83">
        <f t="shared" ca="1" si="17"/>
        <v>3</v>
      </c>
      <c r="T83" t="str">
        <f t="shared" ca="1" si="18"/>
        <v>353</v>
      </c>
      <c r="U83" t="str">
        <f t="shared" ca="1" si="19"/>
        <v>Loyal</v>
      </c>
    </row>
    <row r="84" spans="1:21">
      <c r="A84" s="13" t="str">
        <f>Cleaned_Data!A84</f>
        <v>MEM0083</v>
      </c>
      <c r="B84" s="14" t="str">
        <f ca="1">Cleaned_Data!D84</f>
        <v>BR06</v>
      </c>
      <c r="C84" s="14" t="str">
        <f ca="1">Cleaned_Data!E84</f>
        <v>Premium</v>
      </c>
      <c r="D84" s="15">
        <f>Cleaned_Data!F84</f>
        <v>45756</v>
      </c>
      <c r="E84" s="15">
        <f>Cleaned_Data!G84</f>
        <v>46121</v>
      </c>
      <c r="F84" s="14">
        <f>Cleaned_Data!H84</f>
        <v>1000</v>
      </c>
      <c r="G84" s="14">
        <f ca="1">Cleaned_Data!I84</f>
        <v>9000</v>
      </c>
      <c r="H84" s="14">
        <f>Cleaned_Data!J84</f>
        <v>13</v>
      </c>
      <c r="I84" s="14" t="str">
        <f>Cleaned_Data!M84</f>
        <v>Active</v>
      </c>
      <c r="J84" s="16">
        <f>Cleaned_Data!N84</f>
        <v>46055</v>
      </c>
      <c r="K84" t="str">
        <f t="shared" si="10"/>
        <v>Moderate</v>
      </c>
      <c r="L84" s="5" t="str">
        <f>IF(COUNTIF($A$2:A84,A84)&gt;1,"Duplicate","Unique")</f>
        <v>Unique</v>
      </c>
      <c r="M84" t="str">
        <f t="shared" si="11"/>
        <v>2025-04</v>
      </c>
      <c r="N84" s="2">
        <f t="shared" ca="1" si="12"/>
        <v>46055</v>
      </c>
      <c r="O84" s="4">
        <f t="shared" ca="1" si="13"/>
        <v>9</v>
      </c>
      <c r="P84" s="4">
        <f t="shared" ca="1" si="14"/>
        <v>74</v>
      </c>
      <c r="Q84">
        <f t="shared" ca="1" si="15"/>
        <v>4</v>
      </c>
      <c r="R84">
        <f t="shared" si="16"/>
        <v>3</v>
      </c>
      <c r="S84">
        <f t="shared" ca="1" si="17"/>
        <v>3</v>
      </c>
      <c r="T84" t="str">
        <f t="shared" ca="1" si="18"/>
        <v>433</v>
      </c>
      <c r="U84" t="str">
        <f t="shared" ca="1" si="19"/>
        <v>Loyal</v>
      </c>
    </row>
    <row r="85" spans="1:21">
      <c r="A85" s="17" t="str">
        <f>Cleaned_Data!A85</f>
        <v>MEM0084</v>
      </c>
      <c r="B85" s="18" t="str">
        <f ca="1">Cleaned_Data!D85</f>
        <v>BR02</v>
      </c>
      <c r="C85" s="18" t="str">
        <f ca="1">Cleaned_Data!E85</f>
        <v>Basic</v>
      </c>
      <c r="D85" s="19">
        <f>Cleaned_Data!F85</f>
        <v>45832</v>
      </c>
      <c r="E85" s="19">
        <f>Cleaned_Data!G85</f>
        <v>45922</v>
      </c>
      <c r="F85" s="18">
        <f>Cleaned_Data!H85</f>
        <v>2000</v>
      </c>
      <c r="G85" s="18">
        <f ca="1">Cleaned_Data!I85</f>
        <v>8000</v>
      </c>
      <c r="H85" s="18">
        <f>Cleaned_Data!J85</f>
        <v>7</v>
      </c>
      <c r="I85" s="18" t="str">
        <f>Cleaned_Data!M85</f>
        <v>Active</v>
      </c>
      <c r="J85" s="20">
        <f>Cleaned_Data!N85</f>
        <v>46003</v>
      </c>
      <c r="K85" t="str">
        <f t="shared" si="10"/>
        <v>Moderate</v>
      </c>
      <c r="L85" s="5" t="str">
        <f>IF(COUNTIF($A$2:A85,A85)&gt;1,"Duplicate","Unique")</f>
        <v>Unique</v>
      </c>
      <c r="M85" t="str">
        <f t="shared" si="11"/>
        <v>2025-06</v>
      </c>
      <c r="N85" s="2">
        <f t="shared" ca="1" si="12"/>
        <v>46003</v>
      </c>
      <c r="O85" s="4">
        <f t="shared" ca="1" si="13"/>
        <v>5</v>
      </c>
      <c r="P85" s="4">
        <f t="shared" ca="1" si="14"/>
        <v>126</v>
      </c>
      <c r="Q85">
        <f t="shared" ca="1" si="15"/>
        <v>3</v>
      </c>
      <c r="R85">
        <f t="shared" si="16"/>
        <v>2</v>
      </c>
      <c r="S85">
        <f t="shared" ca="1" si="17"/>
        <v>3</v>
      </c>
      <c r="T85" t="str">
        <f t="shared" ca="1" si="18"/>
        <v>323</v>
      </c>
      <c r="U85" t="str">
        <f t="shared" ca="1" si="19"/>
        <v>Others</v>
      </c>
    </row>
    <row r="86" spans="1:21">
      <c r="A86" s="13" t="str">
        <f>Cleaned_Data!A86</f>
        <v>MEM0085</v>
      </c>
      <c r="B86" s="14" t="str">
        <f ca="1">Cleaned_Data!D86</f>
        <v>BR07</v>
      </c>
      <c r="C86" s="14" t="str">
        <f ca="1">Cleaned_Data!E86</f>
        <v>Basic</v>
      </c>
      <c r="D86" s="15">
        <f>Cleaned_Data!F86</f>
        <v>45764</v>
      </c>
      <c r="E86" s="15">
        <f>Cleaned_Data!G86</f>
        <v>45854</v>
      </c>
      <c r="F86" s="14">
        <f>Cleaned_Data!H86</f>
        <v>1000</v>
      </c>
      <c r="G86" s="14">
        <f ca="1">Cleaned_Data!I86</f>
        <v>2000</v>
      </c>
      <c r="H86" s="14">
        <f>Cleaned_Data!J86</f>
        <v>20</v>
      </c>
      <c r="I86" s="14" t="str">
        <f>Cleaned_Data!M86</f>
        <v>Active</v>
      </c>
      <c r="J86" s="16">
        <f>Cleaned_Data!N86</f>
        <v>46029</v>
      </c>
      <c r="K86" t="str">
        <f t="shared" si="10"/>
        <v>Highly Active</v>
      </c>
      <c r="L86" s="5" t="str">
        <f>IF(COUNTIF($A$2:A86,A86)&gt;1,"Duplicate","Unique")</f>
        <v>Unique</v>
      </c>
      <c r="M86" t="str">
        <f t="shared" si="11"/>
        <v>2025-04</v>
      </c>
      <c r="N86" s="2">
        <f t="shared" ca="1" si="12"/>
        <v>46029</v>
      </c>
      <c r="O86" s="4">
        <f t="shared" ca="1" si="13"/>
        <v>8</v>
      </c>
      <c r="P86" s="4">
        <f t="shared" ca="1" si="14"/>
        <v>100</v>
      </c>
      <c r="Q86">
        <f t="shared" ca="1" si="15"/>
        <v>3</v>
      </c>
      <c r="R86">
        <f t="shared" si="16"/>
        <v>5</v>
      </c>
      <c r="S86">
        <f t="shared" ca="1" si="17"/>
        <v>2</v>
      </c>
      <c r="T86" t="str">
        <f t="shared" ca="1" si="18"/>
        <v>352</v>
      </c>
      <c r="U86" t="str">
        <f t="shared" ca="1" si="19"/>
        <v>Others</v>
      </c>
    </row>
    <row r="87" spans="1:21">
      <c r="A87" s="17" t="str">
        <f>Cleaned_Data!A87</f>
        <v>MEM0086</v>
      </c>
      <c r="B87" s="18" t="str">
        <f ca="1">Cleaned_Data!D87</f>
        <v>BR01</v>
      </c>
      <c r="C87" s="18" t="str">
        <f ca="1">Cleaned_Data!E87</f>
        <v>Premium</v>
      </c>
      <c r="D87" s="19">
        <f>Cleaned_Data!F87</f>
        <v>45938</v>
      </c>
      <c r="E87" s="19">
        <f>Cleaned_Data!G87</f>
        <v>46028</v>
      </c>
      <c r="F87" s="18">
        <f>Cleaned_Data!H87</f>
        <v>2000</v>
      </c>
      <c r="G87" s="18">
        <f ca="1">Cleaned_Data!I87</f>
        <v>12000</v>
      </c>
      <c r="H87" s="18">
        <f>Cleaned_Data!J87</f>
        <v>25</v>
      </c>
      <c r="I87" s="18" t="str">
        <f>Cleaned_Data!M87</f>
        <v>Active</v>
      </c>
      <c r="J87" s="20">
        <f>Cleaned_Data!N87</f>
        <v>45944</v>
      </c>
      <c r="K87" t="str">
        <f t="shared" si="10"/>
        <v>Highly Active</v>
      </c>
      <c r="L87" s="5" t="str">
        <f>IF(COUNTIF($A$2:A87,A87)&gt;1,"Duplicate","Unique")</f>
        <v>Unique</v>
      </c>
      <c r="M87" t="str">
        <f t="shared" si="11"/>
        <v>2025-10</v>
      </c>
      <c r="N87" s="2">
        <f t="shared" ca="1" si="12"/>
        <v>45944</v>
      </c>
      <c r="O87" s="4">
        <f t="shared" ca="1" si="13"/>
        <v>0</v>
      </c>
      <c r="P87" s="4">
        <f t="shared" ca="1" si="14"/>
        <v>185</v>
      </c>
      <c r="Q87">
        <f t="shared" ca="1" si="15"/>
        <v>2</v>
      </c>
      <c r="R87">
        <f t="shared" si="16"/>
        <v>5</v>
      </c>
      <c r="S87">
        <f t="shared" ca="1" si="17"/>
        <v>4</v>
      </c>
      <c r="T87" t="str">
        <f t="shared" ca="1" si="18"/>
        <v>254</v>
      </c>
      <c r="U87" t="str">
        <f t="shared" ca="1" si="19"/>
        <v>At Risk</v>
      </c>
    </row>
    <row r="88" spans="1:21">
      <c r="A88" s="13" t="str">
        <f>Cleaned_Data!A88</f>
        <v>MEM0087</v>
      </c>
      <c r="B88" s="14" t="str">
        <f ca="1">Cleaned_Data!D88</f>
        <v>BR06</v>
      </c>
      <c r="C88" s="14" t="str">
        <f ca="1">Cleaned_Data!E88</f>
        <v>Premium</v>
      </c>
      <c r="D88" s="15">
        <f>Cleaned_Data!F88</f>
        <v>45087</v>
      </c>
      <c r="E88" s="15">
        <f>Cleaned_Data!G88</f>
        <v>45117</v>
      </c>
      <c r="F88" s="14">
        <f>Cleaned_Data!H88</f>
        <v>1000</v>
      </c>
      <c r="G88" s="14">
        <f ca="1">Cleaned_Data!I88</f>
        <v>1000</v>
      </c>
      <c r="H88" s="14">
        <f>Cleaned_Data!J88</f>
        <v>18</v>
      </c>
      <c r="I88" s="14" t="str">
        <f>Cleaned_Data!M88</f>
        <v>Active</v>
      </c>
      <c r="J88" s="16">
        <f>Cleaned_Data!N88</f>
        <v>45655</v>
      </c>
      <c r="K88" t="str">
        <f t="shared" si="10"/>
        <v>Highly Active</v>
      </c>
      <c r="L88" s="5" t="str">
        <f>IF(COUNTIF($A$2:A88,A88)&gt;1,"Duplicate","Unique")</f>
        <v>Unique</v>
      </c>
      <c r="M88" t="str">
        <f t="shared" si="11"/>
        <v>2023-06</v>
      </c>
      <c r="N88" s="2">
        <f t="shared" ca="1" si="12"/>
        <v>45655</v>
      </c>
      <c r="O88" s="4">
        <f t="shared" ca="1" si="13"/>
        <v>18</v>
      </c>
      <c r="P88" s="4">
        <f t="shared" ca="1" si="14"/>
        <v>474</v>
      </c>
      <c r="Q88">
        <f t="shared" ca="1" si="15"/>
        <v>1</v>
      </c>
      <c r="R88">
        <f t="shared" si="16"/>
        <v>4</v>
      </c>
      <c r="S88">
        <f t="shared" ca="1" si="17"/>
        <v>1</v>
      </c>
      <c r="T88" t="str">
        <f t="shared" ca="1" si="18"/>
        <v>141</v>
      </c>
      <c r="U88" t="str">
        <f t="shared" ca="1" si="19"/>
        <v>At Risk</v>
      </c>
    </row>
    <row r="89" spans="1:21">
      <c r="A89" s="17" t="str">
        <f>Cleaned_Data!A89</f>
        <v>MEM0088</v>
      </c>
      <c r="B89" s="18" t="str">
        <f ca="1">Cleaned_Data!D89</f>
        <v>BR02</v>
      </c>
      <c r="C89" s="18" t="str">
        <f ca="1">Cleaned_Data!E89</f>
        <v>Premium</v>
      </c>
      <c r="D89" s="19">
        <f>Cleaned_Data!F89</f>
        <v>45500</v>
      </c>
      <c r="E89" s="19">
        <f>Cleaned_Data!G89</f>
        <v>45865</v>
      </c>
      <c r="F89" s="18">
        <f>Cleaned_Data!H89</f>
        <v>2000</v>
      </c>
      <c r="G89" s="18">
        <f ca="1">Cleaned_Data!I89</f>
        <v>18000</v>
      </c>
      <c r="H89" s="18">
        <f>Cleaned_Data!J89</f>
        <v>4</v>
      </c>
      <c r="I89" s="18" t="str">
        <f>Cleaned_Data!M89</f>
        <v>Cancelled</v>
      </c>
      <c r="J89" s="20">
        <f>Cleaned_Data!N89</f>
        <v>45511</v>
      </c>
      <c r="K89" t="str">
        <f t="shared" si="10"/>
        <v>At Risk</v>
      </c>
      <c r="L89" s="5" t="str">
        <f>IF(COUNTIF($A$2:A89,A89)&gt;1,"Duplicate","Unique")</f>
        <v>Unique</v>
      </c>
      <c r="M89" t="str">
        <f t="shared" si="11"/>
        <v>2024-07</v>
      </c>
      <c r="N89" s="2">
        <f t="shared" ca="1" si="12"/>
        <v>45511</v>
      </c>
      <c r="O89" s="4">
        <f t="shared" ca="1" si="13"/>
        <v>0</v>
      </c>
      <c r="P89" s="4">
        <f t="shared" ca="1" si="14"/>
        <v>618</v>
      </c>
      <c r="Q89">
        <f t="shared" ca="1" si="15"/>
        <v>1</v>
      </c>
      <c r="R89">
        <f t="shared" si="16"/>
        <v>1</v>
      </c>
      <c r="S89">
        <f t="shared" ca="1" si="17"/>
        <v>4</v>
      </c>
      <c r="T89" t="str">
        <f t="shared" ca="1" si="18"/>
        <v>114</v>
      </c>
      <c r="U89" t="str">
        <f t="shared" ca="1" si="19"/>
        <v>At Risk</v>
      </c>
    </row>
    <row r="90" spans="1:21">
      <c r="A90" s="13" t="str">
        <f>Cleaned_Data!A90</f>
        <v>MEM0089</v>
      </c>
      <c r="B90" s="14" t="str">
        <f ca="1">Cleaned_Data!D90</f>
        <v>BR03</v>
      </c>
      <c r="C90" s="14" t="str">
        <f ca="1">Cleaned_Data!E90</f>
        <v>Premium</v>
      </c>
      <c r="D90" s="15">
        <f>Cleaned_Data!F90</f>
        <v>45834</v>
      </c>
      <c r="E90" s="15">
        <f>Cleaned_Data!G90</f>
        <v>46199</v>
      </c>
      <c r="F90" s="14">
        <f>Cleaned_Data!H90</f>
        <v>2000</v>
      </c>
      <c r="G90" s="14">
        <f ca="1">Cleaned_Data!I90</f>
        <v>4000</v>
      </c>
      <c r="H90" s="14">
        <f>Cleaned_Data!J90</f>
        <v>18</v>
      </c>
      <c r="I90" s="14" t="str">
        <f>Cleaned_Data!M90</f>
        <v>Active</v>
      </c>
      <c r="J90" s="16">
        <f>Cleaned_Data!N90</f>
        <v>46099</v>
      </c>
      <c r="K90" t="str">
        <f t="shared" si="10"/>
        <v>Highly Active</v>
      </c>
      <c r="L90" s="5" t="str">
        <f>IF(COUNTIF($A$2:A90,A90)&gt;1,"Duplicate","Unique")</f>
        <v>Unique</v>
      </c>
      <c r="M90" t="str">
        <f t="shared" si="11"/>
        <v>2025-06</v>
      </c>
      <c r="N90" s="2">
        <f t="shared" ca="1" si="12"/>
        <v>46099</v>
      </c>
      <c r="O90" s="4">
        <f t="shared" ca="1" si="13"/>
        <v>8</v>
      </c>
      <c r="P90" s="4">
        <f t="shared" ca="1" si="14"/>
        <v>30</v>
      </c>
      <c r="Q90">
        <f t="shared" ca="1" si="15"/>
        <v>5</v>
      </c>
      <c r="R90">
        <f t="shared" si="16"/>
        <v>4</v>
      </c>
      <c r="S90">
        <f t="shared" ca="1" si="17"/>
        <v>2</v>
      </c>
      <c r="T90" t="str">
        <f t="shared" ca="1" si="18"/>
        <v>542</v>
      </c>
      <c r="U90" t="str">
        <f t="shared" ca="1" si="19"/>
        <v>Others</v>
      </c>
    </row>
    <row r="91" spans="1:21">
      <c r="A91" s="17" t="str">
        <f>Cleaned_Data!A91</f>
        <v>MEM0090</v>
      </c>
      <c r="B91" s="18" t="str">
        <f ca="1">Cleaned_Data!D91</f>
        <v>BR01</v>
      </c>
      <c r="C91" s="18" t="str">
        <f ca="1">Cleaned_Data!E91</f>
        <v>Basic</v>
      </c>
      <c r="D91" s="19">
        <f>Cleaned_Data!F91</f>
        <v>45862</v>
      </c>
      <c r="E91" s="19">
        <f>Cleaned_Data!G91</f>
        <v>45952</v>
      </c>
      <c r="F91" s="18">
        <f>Cleaned_Data!H91</f>
        <v>3500</v>
      </c>
      <c r="G91" s="18">
        <f ca="1">Cleaned_Data!I91</f>
        <v>42000</v>
      </c>
      <c r="H91" s="18">
        <f>Cleaned_Data!J91</f>
        <v>9</v>
      </c>
      <c r="I91" s="18" t="str">
        <f>Cleaned_Data!M91</f>
        <v>Active</v>
      </c>
      <c r="J91" s="20">
        <f>Cleaned_Data!N91</f>
        <v>45994</v>
      </c>
      <c r="K91" t="str">
        <f t="shared" si="10"/>
        <v>Moderate</v>
      </c>
      <c r="L91" s="5" t="str">
        <f>IF(COUNTIF($A$2:A91,A91)&gt;1,"Duplicate","Unique")</f>
        <v>Unique</v>
      </c>
      <c r="M91" t="str">
        <f t="shared" si="11"/>
        <v>2025-07</v>
      </c>
      <c r="N91" s="2">
        <f t="shared" ca="1" si="12"/>
        <v>45994</v>
      </c>
      <c r="O91" s="4">
        <f t="shared" ca="1" si="13"/>
        <v>4</v>
      </c>
      <c r="P91" s="4">
        <f t="shared" ca="1" si="14"/>
        <v>135</v>
      </c>
      <c r="Q91">
        <f t="shared" ca="1" si="15"/>
        <v>3</v>
      </c>
      <c r="R91">
        <f t="shared" si="16"/>
        <v>2</v>
      </c>
      <c r="S91">
        <f t="shared" ca="1" si="17"/>
        <v>5</v>
      </c>
      <c r="T91" t="str">
        <f t="shared" ca="1" si="18"/>
        <v>325</v>
      </c>
      <c r="U91" t="str">
        <f t="shared" ca="1" si="19"/>
        <v>Others</v>
      </c>
    </row>
    <row r="92" spans="1:21">
      <c r="A92" s="13" t="str">
        <f>Cleaned_Data!A92</f>
        <v>MEM0091</v>
      </c>
      <c r="B92" s="14" t="str">
        <f ca="1">Cleaned_Data!D92</f>
        <v>BR01</v>
      </c>
      <c r="C92" s="14" t="str">
        <f ca="1">Cleaned_Data!E92</f>
        <v>Basic</v>
      </c>
      <c r="D92" s="15">
        <f>Cleaned_Data!F92</f>
        <v>45869</v>
      </c>
      <c r="E92" s="15">
        <f>Cleaned_Data!G92</f>
        <v>45959</v>
      </c>
      <c r="F92" s="14">
        <f>Cleaned_Data!H92</f>
        <v>1000</v>
      </c>
      <c r="G92" s="14">
        <f ca="1">Cleaned_Data!I92</f>
        <v>8000</v>
      </c>
      <c r="H92" s="14">
        <f>Cleaned_Data!J92</f>
        <v>1</v>
      </c>
      <c r="I92" s="14" t="str">
        <f>Cleaned_Data!M92</f>
        <v>Cancelled</v>
      </c>
      <c r="J92" s="16">
        <f>Cleaned_Data!N92</f>
        <v>45889</v>
      </c>
      <c r="K92" t="str">
        <f t="shared" si="10"/>
        <v>At Risk</v>
      </c>
      <c r="L92" s="5" t="str">
        <f>IF(COUNTIF($A$2:A92,A92)&gt;1,"Duplicate","Unique")</f>
        <v>Unique</v>
      </c>
      <c r="M92" t="str">
        <f t="shared" si="11"/>
        <v>2025-07</v>
      </c>
      <c r="N92" s="2">
        <f t="shared" ca="1" si="12"/>
        <v>45889</v>
      </c>
      <c r="O92" s="4">
        <f t="shared" ca="1" si="13"/>
        <v>0</v>
      </c>
      <c r="P92" s="4">
        <f t="shared" ca="1" si="14"/>
        <v>240</v>
      </c>
      <c r="Q92">
        <f t="shared" ca="1" si="15"/>
        <v>2</v>
      </c>
      <c r="R92">
        <f t="shared" si="16"/>
        <v>1</v>
      </c>
      <c r="S92">
        <f t="shared" ca="1" si="17"/>
        <v>3</v>
      </c>
      <c r="T92" t="str">
        <f t="shared" ca="1" si="18"/>
        <v>213</v>
      </c>
      <c r="U92" t="str">
        <f t="shared" ca="1" si="19"/>
        <v>At Risk</v>
      </c>
    </row>
    <row r="93" spans="1:21">
      <c r="A93" s="17" t="str">
        <f>Cleaned_Data!A93</f>
        <v>MEM0092</v>
      </c>
      <c r="B93" s="18" t="str">
        <f ca="1">Cleaned_Data!D93</f>
        <v>BR02</v>
      </c>
      <c r="C93" s="18" t="str">
        <f ca="1">Cleaned_Data!E93</f>
        <v>Premium</v>
      </c>
      <c r="D93" s="19">
        <f>Cleaned_Data!F93</f>
        <v>45874</v>
      </c>
      <c r="E93" s="19">
        <f>Cleaned_Data!G93</f>
        <v>45904</v>
      </c>
      <c r="F93" s="18">
        <f>Cleaned_Data!H93</f>
        <v>3500</v>
      </c>
      <c r="G93" s="18">
        <f ca="1">Cleaned_Data!I93</f>
        <v>17500</v>
      </c>
      <c r="H93" s="18">
        <f>Cleaned_Data!J93</f>
        <v>3</v>
      </c>
      <c r="I93" s="18" t="str">
        <f>Cleaned_Data!M93</f>
        <v>Cancelled</v>
      </c>
      <c r="J93" s="20">
        <f>Cleaned_Data!N93</f>
        <v>45910</v>
      </c>
      <c r="K93" t="str">
        <f t="shared" si="10"/>
        <v>At Risk</v>
      </c>
      <c r="L93" s="5" t="str">
        <f>IF(COUNTIF($A$2:A93,A93)&gt;1,"Duplicate","Unique")</f>
        <v>Unique</v>
      </c>
      <c r="M93" t="str">
        <f t="shared" si="11"/>
        <v>2025-08</v>
      </c>
      <c r="N93" s="2">
        <f t="shared" ca="1" si="12"/>
        <v>45910</v>
      </c>
      <c r="O93" s="4">
        <f t="shared" ca="1" si="13"/>
        <v>1</v>
      </c>
      <c r="P93" s="4">
        <f t="shared" ca="1" si="14"/>
        <v>219</v>
      </c>
      <c r="Q93">
        <f t="shared" ca="1" si="15"/>
        <v>2</v>
      </c>
      <c r="R93">
        <f t="shared" si="16"/>
        <v>1</v>
      </c>
      <c r="S93">
        <f t="shared" ca="1" si="17"/>
        <v>4</v>
      </c>
      <c r="T93" t="str">
        <f t="shared" ca="1" si="18"/>
        <v>214</v>
      </c>
      <c r="U93" t="str">
        <f t="shared" ca="1" si="19"/>
        <v>At Risk</v>
      </c>
    </row>
    <row r="94" spans="1:21">
      <c r="A94" s="13" t="str">
        <f>Cleaned_Data!A94</f>
        <v>MEM0093</v>
      </c>
      <c r="B94" s="14" t="str">
        <f ca="1">Cleaned_Data!D94</f>
        <v>BR06</v>
      </c>
      <c r="C94" s="14" t="str">
        <f ca="1">Cleaned_Data!E94</f>
        <v>Standard</v>
      </c>
      <c r="D94" s="15">
        <f>Cleaned_Data!F94</f>
        <v>45277</v>
      </c>
      <c r="E94" s="15">
        <f>Cleaned_Data!G94</f>
        <v>45307</v>
      </c>
      <c r="F94" s="14">
        <f>Cleaned_Data!H94</f>
        <v>3500</v>
      </c>
      <c r="G94" s="14">
        <f ca="1">Cleaned_Data!I94</f>
        <v>38500</v>
      </c>
      <c r="H94" s="14">
        <f>Cleaned_Data!J94</f>
        <v>15</v>
      </c>
      <c r="I94" s="14" t="str">
        <f>Cleaned_Data!M94</f>
        <v>Active</v>
      </c>
      <c r="J94" s="16">
        <f>Cleaned_Data!N94</f>
        <v>45927</v>
      </c>
      <c r="K94" t="str">
        <f t="shared" si="10"/>
        <v>Highly Active</v>
      </c>
      <c r="L94" s="5" t="str">
        <f>IF(COUNTIF($A$2:A94,A94)&gt;1,"Duplicate","Unique")</f>
        <v>Unique</v>
      </c>
      <c r="M94" t="str">
        <f t="shared" si="11"/>
        <v>2023-12</v>
      </c>
      <c r="N94" s="2">
        <f t="shared" ca="1" si="12"/>
        <v>45927</v>
      </c>
      <c r="O94" s="4">
        <f t="shared" ca="1" si="13"/>
        <v>21</v>
      </c>
      <c r="P94" s="4">
        <f t="shared" ca="1" si="14"/>
        <v>202</v>
      </c>
      <c r="Q94">
        <f t="shared" ca="1" si="15"/>
        <v>2</v>
      </c>
      <c r="R94">
        <f t="shared" si="16"/>
        <v>4</v>
      </c>
      <c r="S94">
        <f t="shared" ca="1" si="17"/>
        <v>5</v>
      </c>
      <c r="T94" t="str">
        <f t="shared" ca="1" si="18"/>
        <v>245</v>
      </c>
      <c r="U94" t="str">
        <f t="shared" ca="1" si="19"/>
        <v>At Risk</v>
      </c>
    </row>
    <row r="95" spans="1:21">
      <c r="A95" s="17" t="str">
        <f>Cleaned_Data!A95</f>
        <v>MEM0094</v>
      </c>
      <c r="B95" s="18" t="str">
        <f ca="1">Cleaned_Data!D95</f>
        <v>BR02</v>
      </c>
      <c r="C95" s="18" t="str">
        <f ca="1">Cleaned_Data!E95</f>
        <v>Basic</v>
      </c>
      <c r="D95" s="19">
        <f>Cleaned_Data!F95</f>
        <v>45368</v>
      </c>
      <c r="E95" s="19">
        <f>Cleaned_Data!G95</f>
        <v>45398</v>
      </c>
      <c r="F95" s="18">
        <f>Cleaned_Data!H95</f>
        <v>2000</v>
      </c>
      <c r="G95" s="18">
        <f ca="1">Cleaned_Data!I95</f>
        <v>12000</v>
      </c>
      <c r="H95" s="18">
        <f>Cleaned_Data!J95</f>
        <v>8</v>
      </c>
      <c r="I95" s="18" t="str">
        <f>Cleaned_Data!M95</f>
        <v>Active</v>
      </c>
      <c r="J95" s="20">
        <f>Cleaned_Data!N95</f>
        <v>45935</v>
      </c>
      <c r="K95" t="str">
        <f t="shared" si="10"/>
        <v>Moderate</v>
      </c>
      <c r="L95" s="5" t="str">
        <f>IF(COUNTIF($A$2:A95,A95)&gt;1,"Duplicate","Unique")</f>
        <v>Unique</v>
      </c>
      <c r="M95" t="str">
        <f t="shared" si="11"/>
        <v>2024-03</v>
      </c>
      <c r="N95" s="2">
        <f t="shared" ca="1" si="12"/>
        <v>45935</v>
      </c>
      <c r="O95" s="4">
        <f t="shared" ca="1" si="13"/>
        <v>18</v>
      </c>
      <c r="P95" s="4">
        <f t="shared" ca="1" si="14"/>
        <v>194</v>
      </c>
      <c r="Q95">
        <f t="shared" ca="1" si="15"/>
        <v>2</v>
      </c>
      <c r="R95">
        <f t="shared" si="16"/>
        <v>2</v>
      </c>
      <c r="S95">
        <f t="shared" ca="1" si="17"/>
        <v>4</v>
      </c>
      <c r="T95" t="str">
        <f t="shared" ca="1" si="18"/>
        <v>224</v>
      </c>
      <c r="U95" t="str">
        <f t="shared" ca="1" si="19"/>
        <v>At Risk</v>
      </c>
    </row>
    <row r="96" spans="1:21">
      <c r="A96" s="13" t="str">
        <f>Cleaned_Data!A96</f>
        <v>MEM0095</v>
      </c>
      <c r="B96" s="14" t="str">
        <f ca="1">Cleaned_Data!D96</f>
        <v>BR02</v>
      </c>
      <c r="C96" s="14" t="str">
        <f ca="1">Cleaned_Data!E96</f>
        <v>Basic</v>
      </c>
      <c r="D96" s="15">
        <f>Cleaned_Data!F96</f>
        <v>45366</v>
      </c>
      <c r="E96" s="15">
        <f>Cleaned_Data!G96</f>
        <v>45396</v>
      </c>
      <c r="F96" s="14">
        <f>Cleaned_Data!H96</f>
        <v>2000</v>
      </c>
      <c r="G96" s="14">
        <f ca="1">Cleaned_Data!I96</f>
        <v>10000</v>
      </c>
      <c r="H96" s="14">
        <f>Cleaned_Data!J96</f>
        <v>24</v>
      </c>
      <c r="I96" s="14" t="str">
        <f>Cleaned_Data!M96</f>
        <v>Active</v>
      </c>
      <c r="J96" s="16">
        <f>Cleaned_Data!N96</f>
        <v>45820</v>
      </c>
      <c r="K96" t="str">
        <f t="shared" si="10"/>
        <v>Highly Active</v>
      </c>
      <c r="L96" s="5" t="str">
        <f>IF(COUNTIF($A$2:A96,A96)&gt;1,"Duplicate","Unique")</f>
        <v>Unique</v>
      </c>
      <c r="M96" t="str">
        <f t="shared" si="11"/>
        <v>2024-03</v>
      </c>
      <c r="N96" s="2">
        <f t="shared" ca="1" si="12"/>
        <v>45820</v>
      </c>
      <c r="O96" s="4">
        <f t="shared" ca="1" si="13"/>
        <v>14</v>
      </c>
      <c r="P96" s="4">
        <f t="shared" ca="1" si="14"/>
        <v>309</v>
      </c>
      <c r="Q96">
        <f t="shared" ca="1" si="15"/>
        <v>2</v>
      </c>
      <c r="R96">
        <f t="shared" si="16"/>
        <v>5</v>
      </c>
      <c r="S96">
        <f t="shared" ca="1" si="17"/>
        <v>4</v>
      </c>
      <c r="T96" t="str">
        <f t="shared" ca="1" si="18"/>
        <v>254</v>
      </c>
      <c r="U96" t="str">
        <f t="shared" ca="1" si="19"/>
        <v>At Risk</v>
      </c>
    </row>
    <row r="97" spans="1:21">
      <c r="A97" s="17" t="str">
        <f>Cleaned_Data!A97</f>
        <v>MEM0096</v>
      </c>
      <c r="B97" s="18" t="str">
        <f ca="1">Cleaned_Data!D97</f>
        <v>BR02</v>
      </c>
      <c r="C97" s="18" t="str">
        <f ca="1">Cleaned_Data!E97</f>
        <v>Basic</v>
      </c>
      <c r="D97" s="19">
        <f>Cleaned_Data!F97</f>
        <v>45780</v>
      </c>
      <c r="E97" s="19">
        <f>Cleaned_Data!G97</f>
        <v>45810</v>
      </c>
      <c r="F97" s="18">
        <f>Cleaned_Data!H97</f>
        <v>2000</v>
      </c>
      <c r="G97" s="18">
        <f ca="1">Cleaned_Data!I97</f>
        <v>8000</v>
      </c>
      <c r="H97" s="18">
        <f>Cleaned_Data!J97</f>
        <v>5</v>
      </c>
      <c r="I97" s="18" t="str">
        <f>Cleaned_Data!M97</f>
        <v>Active</v>
      </c>
      <c r="J97" s="20">
        <f>Cleaned_Data!N97</f>
        <v>45909</v>
      </c>
      <c r="K97" t="str">
        <f t="shared" si="10"/>
        <v>Moderate</v>
      </c>
      <c r="L97" s="5" t="str">
        <f>IF(COUNTIF($A$2:A97,A97)&gt;1,"Duplicate","Unique")</f>
        <v>Unique</v>
      </c>
      <c r="M97" t="str">
        <f t="shared" si="11"/>
        <v>2025-05</v>
      </c>
      <c r="N97" s="2">
        <f t="shared" ca="1" si="12"/>
        <v>45909</v>
      </c>
      <c r="O97" s="4">
        <f t="shared" ca="1" si="13"/>
        <v>4</v>
      </c>
      <c r="P97" s="4">
        <f t="shared" ca="1" si="14"/>
        <v>220</v>
      </c>
      <c r="Q97">
        <f t="shared" ca="1" si="15"/>
        <v>2</v>
      </c>
      <c r="R97">
        <f t="shared" si="16"/>
        <v>2</v>
      </c>
      <c r="S97">
        <f t="shared" ca="1" si="17"/>
        <v>3</v>
      </c>
      <c r="T97" t="str">
        <f t="shared" ca="1" si="18"/>
        <v>223</v>
      </c>
      <c r="U97" t="str">
        <f t="shared" ca="1" si="19"/>
        <v>At Risk</v>
      </c>
    </row>
    <row r="98" spans="1:21">
      <c r="A98" s="13" t="str">
        <f>Cleaned_Data!A98</f>
        <v>MEM0097</v>
      </c>
      <c r="B98" s="14" t="str">
        <f ca="1">Cleaned_Data!D98</f>
        <v>BR07</v>
      </c>
      <c r="C98" s="14" t="str">
        <f ca="1">Cleaned_Data!E98</f>
        <v>Standard</v>
      </c>
      <c r="D98" s="15">
        <f>Cleaned_Data!F98</f>
        <v>45176</v>
      </c>
      <c r="E98" s="15">
        <f>Cleaned_Data!G98</f>
        <v>45541</v>
      </c>
      <c r="F98" s="14">
        <f>Cleaned_Data!H98</f>
        <v>1000</v>
      </c>
      <c r="G98" s="14">
        <f ca="1">Cleaned_Data!I98</f>
        <v>4000</v>
      </c>
      <c r="H98" s="14">
        <f>Cleaned_Data!J98</f>
        <v>3</v>
      </c>
      <c r="I98" s="14" t="str">
        <f>Cleaned_Data!M98</f>
        <v>Cancelled</v>
      </c>
      <c r="J98" s="16">
        <f>Cleaned_Data!N98</f>
        <v>45685</v>
      </c>
      <c r="K98" t="str">
        <f t="shared" si="10"/>
        <v>At Risk</v>
      </c>
      <c r="L98" s="5" t="str">
        <f>IF(COUNTIF($A$2:A98,A98)&gt;1,"Duplicate","Unique")</f>
        <v>Unique</v>
      </c>
      <c r="M98" t="str">
        <f t="shared" si="11"/>
        <v>2023-09</v>
      </c>
      <c r="N98" s="2">
        <f t="shared" ca="1" si="12"/>
        <v>45685</v>
      </c>
      <c r="O98" s="4">
        <f t="shared" ca="1" si="13"/>
        <v>16</v>
      </c>
      <c r="P98" s="4">
        <f t="shared" ca="1" si="14"/>
        <v>444</v>
      </c>
      <c r="Q98">
        <f t="shared" ca="1" si="15"/>
        <v>1</v>
      </c>
      <c r="R98">
        <f t="shared" si="16"/>
        <v>1</v>
      </c>
      <c r="S98">
        <f t="shared" ca="1" si="17"/>
        <v>2</v>
      </c>
      <c r="T98" t="str">
        <f t="shared" ca="1" si="18"/>
        <v>112</v>
      </c>
      <c r="U98" t="str">
        <f t="shared" ca="1" si="19"/>
        <v>At Risk</v>
      </c>
    </row>
    <row r="99" spans="1:21">
      <c r="A99" s="17" t="str">
        <f>Cleaned_Data!A99</f>
        <v>MEM0098</v>
      </c>
      <c r="B99" s="18" t="str">
        <f ca="1">Cleaned_Data!D99</f>
        <v>BR05</v>
      </c>
      <c r="C99" s="18" t="str">
        <f ca="1">Cleaned_Data!E99</f>
        <v>Basic</v>
      </c>
      <c r="D99" s="19">
        <f>Cleaned_Data!F99</f>
        <v>45747</v>
      </c>
      <c r="E99" s="19">
        <f>Cleaned_Data!G99</f>
        <v>45837</v>
      </c>
      <c r="F99" s="18">
        <f>Cleaned_Data!H99</f>
        <v>1000</v>
      </c>
      <c r="G99" s="18">
        <f ca="1">Cleaned_Data!I99</f>
        <v>2000</v>
      </c>
      <c r="H99" s="18">
        <f>Cleaned_Data!J99</f>
        <v>11</v>
      </c>
      <c r="I99" s="18" t="str">
        <f>Cleaned_Data!M99</f>
        <v>Active</v>
      </c>
      <c r="J99" s="20">
        <f>Cleaned_Data!N99</f>
        <v>45942</v>
      </c>
      <c r="K99" t="str">
        <f t="shared" si="10"/>
        <v>Moderate</v>
      </c>
      <c r="L99" s="5" t="str">
        <f>IF(COUNTIF($A$2:A99,A99)&gt;1,"Duplicate","Unique")</f>
        <v>Unique</v>
      </c>
      <c r="M99" t="str">
        <f t="shared" si="11"/>
        <v>2025-03</v>
      </c>
      <c r="N99" s="2">
        <f t="shared" ca="1" si="12"/>
        <v>45942</v>
      </c>
      <c r="O99" s="4">
        <f t="shared" ca="1" si="13"/>
        <v>6</v>
      </c>
      <c r="P99" s="4">
        <f t="shared" ca="1" si="14"/>
        <v>187</v>
      </c>
      <c r="Q99">
        <f t="shared" ca="1" si="15"/>
        <v>2</v>
      </c>
      <c r="R99">
        <f t="shared" si="16"/>
        <v>3</v>
      </c>
      <c r="S99">
        <f t="shared" ca="1" si="17"/>
        <v>2</v>
      </c>
      <c r="T99" t="str">
        <f t="shared" ca="1" si="18"/>
        <v>232</v>
      </c>
      <c r="U99" t="str">
        <f t="shared" ca="1" si="19"/>
        <v>At Risk</v>
      </c>
    </row>
    <row r="100" spans="1:21">
      <c r="A100" s="13" t="str">
        <f>Cleaned_Data!A100</f>
        <v>MEM0099</v>
      </c>
      <c r="B100" s="14" t="str">
        <f ca="1">Cleaned_Data!D100</f>
        <v>BR06</v>
      </c>
      <c r="C100" s="14" t="str">
        <f ca="1">Cleaned_Data!E100</f>
        <v>Premium</v>
      </c>
      <c r="D100" s="15">
        <f>Cleaned_Data!F100</f>
        <v>45393</v>
      </c>
      <c r="E100" s="15">
        <f>Cleaned_Data!G100</f>
        <v>45758</v>
      </c>
      <c r="F100" s="14">
        <f>Cleaned_Data!H100</f>
        <v>3500</v>
      </c>
      <c r="G100" s="14">
        <f ca="1">Cleaned_Data!I100</f>
        <v>38500</v>
      </c>
      <c r="H100" s="14">
        <f>Cleaned_Data!J100</f>
        <v>2</v>
      </c>
      <c r="I100" s="14" t="str">
        <f>Cleaned_Data!M100</f>
        <v>Cancelled</v>
      </c>
      <c r="J100" s="16">
        <f>Cleaned_Data!N100</f>
        <v>45429</v>
      </c>
      <c r="K100" t="str">
        <f t="shared" si="10"/>
        <v>At Risk</v>
      </c>
      <c r="L100" s="5" t="str">
        <f>IF(COUNTIF($A$2:A100,A100)&gt;1,"Duplicate","Unique")</f>
        <v>Unique</v>
      </c>
      <c r="M100" t="str">
        <f t="shared" si="11"/>
        <v>2024-04</v>
      </c>
      <c r="N100" s="2">
        <f t="shared" ca="1" si="12"/>
        <v>45429</v>
      </c>
      <c r="O100" s="4">
        <f t="shared" ca="1" si="13"/>
        <v>1</v>
      </c>
      <c r="P100" s="4">
        <f t="shared" ca="1" si="14"/>
        <v>700</v>
      </c>
      <c r="Q100">
        <f t="shared" ca="1" si="15"/>
        <v>1</v>
      </c>
      <c r="R100">
        <f t="shared" si="16"/>
        <v>1</v>
      </c>
      <c r="S100">
        <f t="shared" ca="1" si="17"/>
        <v>5</v>
      </c>
      <c r="T100" t="str">
        <f t="shared" ca="1" si="18"/>
        <v>115</v>
      </c>
      <c r="U100" t="str">
        <f t="shared" ca="1" si="19"/>
        <v>At Risk</v>
      </c>
    </row>
    <row r="101" spans="1:21">
      <c r="A101" s="17" t="str">
        <f>Cleaned_Data!A101</f>
        <v>MEM0100</v>
      </c>
      <c r="B101" s="18" t="str">
        <f ca="1">Cleaned_Data!D101</f>
        <v>BR01</v>
      </c>
      <c r="C101" s="18" t="str">
        <f ca="1">Cleaned_Data!E101</f>
        <v>Standard</v>
      </c>
      <c r="D101" s="19">
        <f>Cleaned_Data!F101</f>
        <v>45387</v>
      </c>
      <c r="E101" s="19">
        <f>Cleaned_Data!G101</f>
        <v>45417</v>
      </c>
      <c r="F101" s="18">
        <f>Cleaned_Data!H101</f>
        <v>1000</v>
      </c>
      <c r="G101" s="18">
        <f ca="1">Cleaned_Data!I101</f>
        <v>6000</v>
      </c>
      <c r="H101" s="18">
        <f>Cleaned_Data!J101</f>
        <v>14</v>
      </c>
      <c r="I101" s="18" t="str">
        <f>Cleaned_Data!M101</f>
        <v>Active</v>
      </c>
      <c r="J101" s="20">
        <f>Cleaned_Data!N101</f>
        <v>45536</v>
      </c>
      <c r="K101" t="str">
        <f t="shared" si="10"/>
        <v>Moderate</v>
      </c>
      <c r="L101" s="5" t="str">
        <f>IF(COUNTIF($A$2:A101,A101)&gt;1,"Duplicate","Unique")</f>
        <v>Unique</v>
      </c>
      <c r="M101" t="str">
        <f t="shared" si="11"/>
        <v>2024-04</v>
      </c>
      <c r="N101" s="2">
        <f t="shared" ca="1" si="12"/>
        <v>45536</v>
      </c>
      <c r="O101" s="4">
        <f t="shared" ca="1" si="13"/>
        <v>4</v>
      </c>
      <c r="P101" s="4">
        <f t="shared" ca="1" si="14"/>
        <v>593</v>
      </c>
      <c r="Q101">
        <f t="shared" ca="1" si="15"/>
        <v>1</v>
      </c>
      <c r="R101">
        <f t="shared" si="16"/>
        <v>3</v>
      </c>
      <c r="S101">
        <f t="shared" ca="1" si="17"/>
        <v>3</v>
      </c>
      <c r="T101" t="str">
        <f t="shared" ca="1" si="18"/>
        <v>133</v>
      </c>
      <c r="U101" t="str">
        <f t="shared" ca="1" si="19"/>
        <v>At Risk</v>
      </c>
    </row>
    <row r="102" spans="1:21">
      <c r="A102" s="13" t="str">
        <f>Cleaned_Data!A102</f>
        <v>MEM0101</v>
      </c>
      <c r="B102" s="14" t="str">
        <f ca="1">Cleaned_Data!D102</f>
        <v>BR02</v>
      </c>
      <c r="C102" s="14" t="str">
        <f ca="1">Cleaned_Data!E102</f>
        <v>Standard</v>
      </c>
      <c r="D102" s="15">
        <f>Cleaned_Data!F102</f>
        <v>44938</v>
      </c>
      <c r="E102" s="15">
        <f>Cleaned_Data!G102</f>
        <v>45303</v>
      </c>
      <c r="F102" s="14">
        <f>Cleaned_Data!H102</f>
        <v>2000</v>
      </c>
      <c r="G102" s="14">
        <f ca="1">Cleaned_Data!I102</f>
        <v>22000</v>
      </c>
      <c r="H102" s="14">
        <f>Cleaned_Data!J102</f>
        <v>21</v>
      </c>
      <c r="I102" s="14" t="str">
        <f>Cleaned_Data!M102</f>
        <v>Active</v>
      </c>
      <c r="J102" s="16">
        <f>Cleaned_Data!N102</f>
        <v>45495</v>
      </c>
      <c r="K102" t="str">
        <f t="shared" si="10"/>
        <v>Highly Active</v>
      </c>
      <c r="L102" s="5" t="str">
        <f>IF(COUNTIF($A$2:A102,A102)&gt;1,"Duplicate","Unique")</f>
        <v>Unique</v>
      </c>
      <c r="M102" t="str">
        <f t="shared" si="11"/>
        <v>2023-01</v>
      </c>
      <c r="N102" s="2">
        <f t="shared" ca="1" si="12"/>
        <v>45495</v>
      </c>
      <c r="O102" s="4">
        <f t="shared" ca="1" si="13"/>
        <v>18</v>
      </c>
      <c r="P102" s="4">
        <f t="shared" ca="1" si="14"/>
        <v>634</v>
      </c>
      <c r="Q102">
        <f t="shared" ca="1" si="15"/>
        <v>1</v>
      </c>
      <c r="R102">
        <f t="shared" si="16"/>
        <v>5</v>
      </c>
      <c r="S102">
        <f t="shared" ca="1" si="17"/>
        <v>5</v>
      </c>
      <c r="T102" t="str">
        <f t="shared" ca="1" si="18"/>
        <v>155</v>
      </c>
      <c r="U102" t="str">
        <f t="shared" ca="1" si="19"/>
        <v>At Risk</v>
      </c>
    </row>
    <row r="103" spans="1:21">
      <c r="A103" s="17" t="str">
        <f>Cleaned_Data!A103</f>
        <v>MEM0102</v>
      </c>
      <c r="B103" s="18" t="str">
        <f ca="1">Cleaned_Data!D103</f>
        <v>BR01</v>
      </c>
      <c r="C103" s="18" t="str">
        <f ca="1">Cleaned_Data!E103</f>
        <v>Premium</v>
      </c>
      <c r="D103" s="19">
        <f>Cleaned_Data!F103</f>
        <v>45278</v>
      </c>
      <c r="E103" s="19">
        <f>Cleaned_Data!G103</f>
        <v>45308</v>
      </c>
      <c r="F103" s="18">
        <f>Cleaned_Data!H103</f>
        <v>3500</v>
      </c>
      <c r="G103" s="18">
        <f ca="1">Cleaned_Data!I103</f>
        <v>10500</v>
      </c>
      <c r="H103" s="18">
        <f>Cleaned_Data!J103</f>
        <v>12</v>
      </c>
      <c r="I103" s="18" t="str">
        <f>Cleaned_Data!M103</f>
        <v>Active</v>
      </c>
      <c r="J103" s="20">
        <f>Cleaned_Data!N103</f>
        <v>45289</v>
      </c>
      <c r="K103" t="str">
        <f t="shared" si="10"/>
        <v>Moderate</v>
      </c>
      <c r="L103" s="5" t="str">
        <f>IF(COUNTIF($A$2:A103,A103)&gt;1,"Duplicate","Unique")</f>
        <v>Unique</v>
      </c>
      <c r="M103" t="str">
        <f t="shared" si="11"/>
        <v>2023-12</v>
      </c>
      <c r="N103" s="2">
        <f t="shared" ca="1" si="12"/>
        <v>45289</v>
      </c>
      <c r="O103" s="4">
        <f t="shared" ca="1" si="13"/>
        <v>0</v>
      </c>
      <c r="P103" s="4">
        <f t="shared" ca="1" si="14"/>
        <v>840</v>
      </c>
      <c r="Q103">
        <f t="shared" ca="1" si="15"/>
        <v>1</v>
      </c>
      <c r="R103">
        <f t="shared" si="16"/>
        <v>3</v>
      </c>
      <c r="S103">
        <f t="shared" ca="1" si="17"/>
        <v>4</v>
      </c>
      <c r="T103" t="str">
        <f t="shared" ca="1" si="18"/>
        <v>134</v>
      </c>
      <c r="U103" t="str">
        <f t="shared" ca="1" si="19"/>
        <v>At Risk</v>
      </c>
    </row>
    <row r="104" spans="1:21">
      <c r="A104" s="13" t="str">
        <f>Cleaned_Data!A104</f>
        <v>MEM0103</v>
      </c>
      <c r="B104" s="14" t="str">
        <f ca="1">Cleaned_Data!D104</f>
        <v>BR01</v>
      </c>
      <c r="C104" s="14" t="str">
        <f ca="1">Cleaned_Data!E104</f>
        <v>Premium</v>
      </c>
      <c r="D104" s="15">
        <f>Cleaned_Data!F104</f>
        <v>45778</v>
      </c>
      <c r="E104" s="15">
        <f>Cleaned_Data!G104</f>
        <v>46143</v>
      </c>
      <c r="F104" s="14">
        <f>Cleaned_Data!H104</f>
        <v>1000</v>
      </c>
      <c r="G104" s="14">
        <f ca="1">Cleaned_Data!I104</f>
        <v>11000</v>
      </c>
      <c r="H104" s="14">
        <f>Cleaned_Data!J104</f>
        <v>25</v>
      </c>
      <c r="I104" s="14" t="str">
        <f>Cleaned_Data!M104</f>
        <v>Active</v>
      </c>
      <c r="J104" s="16">
        <f>Cleaned_Data!N104</f>
        <v>45958</v>
      </c>
      <c r="K104" t="str">
        <f t="shared" si="10"/>
        <v>Highly Active</v>
      </c>
      <c r="L104" s="5" t="str">
        <f>IF(COUNTIF($A$2:A104,A104)&gt;1,"Duplicate","Unique")</f>
        <v>Unique</v>
      </c>
      <c r="M104" t="str">
        <f t="shared" si="11"/>
        <v>2025-05</v>
      </c>
      <c r="N104" s="2">
        <f t="shared" ca="1" si="12"/>
        <v>45958</v>
      </c>
      <c r="O104" s="4">
        <f t="shared" ca="1" si="13"/>
        <v>5</v>
      </c>
      <c r="P104" s="4">
        <f t="shared" ca="1" si="14"/>
        <v>171</v>
      </c>
      <c r="Q104">
        <f t="shared" ca="1" si="15"/>
        <v>3</v>
      </c>
      <c r="R104">
        <f t="shared" si="16"/>
        <v>5</v>
      </c>
      <c r="S104">
        <f t="shared" ca="1" si="17"/>
        <v>4</v>
      </c>
      <c r="T104" t="str">
        <f t="shared" ca="1" si="18"/>
        <v>354</v>
      </c>
      <c r="U104" t="str">
        <f t="shared" ca="1" si="19"/>
        <v>Loyal</v>
      </c>
    </row>
    <row r="105" spans="1:21">
      <c r="A105" s="17" t="str">
        <f>Cleaned_Data!A105</f>
        <v>MEM0104</v>
      </c>
      <c r="B105" s="18" t="str">
        <f ca="1">Cleaned_Data!D105</f>
        <v>BR02</v>
      </c>
      <c r="C105" s="18" t="str">
        <f ca="1">Cleaned_Data!E105</f>
        <v>Basic</v>
      </c>
      <c r="D105" s="19">
        <f>Cleaned_Data!F105</f>
        <v>45459</v>
      </c>
      <c r="E105" s="19">
        <f>Cleaned_Data!G105</f>
        <v>45824</v>
      </c>
      <c r="F105" s="18">
        <f>Cleaned_Data!H105</f>
        <v>3500</v>
      </c>
      <c r="G105" s="18">
        <f ca="1">Cleaned_Data!I105</f>
        <v>35000</v>
      </c>
      <c r="H105" s="18">
        <f>Cleaned_Data!J105</f>
        <v>13</v>
      </c>
      <c r="I105" s="18" t="str">
        <f>Cleaned_Data!M105</f>
        <v>Active</v>
      </c>
      <c r="J105" s="20">
        <f>Cleaned_Data!N105</f>
        <v>45849</v>
      </c>
      <c r="K105" t="str">
        <f t="shared" si="10"/>
        <v>Moderate</v>
      </c>
      <c r="L105" s="5" t="str">
        <f>IF(COUNTIF($A$2:A105,A105)&gt;1,"Duplicate","Unique")</f>
        <v>Unique</v>
      </c>
      <c r="M105" t="str">
        <f t="shared" si="11"/>
        <v>2024-06</v>
      </c>
      <c r="N105" s="2">
        <f t="shared" ca="1" si="12"/>
        <v>45849</v>
      </c>
      <c r="O105" s="4">
        <f t="shared" ca="1" si="13"/>
        <v>12</v>
      </c>
      <c r="P105" s="4">
        <f t="shared" ca="1" si="14"/>
        <v>280</v>
      </c>
      <c r="Q105">
        <f t="shared" ca="1" si="15"/>
        <v>2</v>
      </c>
      <c r="R105">
        <f t="shared" si="16"/>
        <v>3</v>
      </c>
      <c r="S105">
        <f t="shared" ca="1" si="17"/>
        <v>5</v>
      </c>
      <c r="T105" t="str">
        <f t="shared" ca="1" si="18"/>
        <v>235</v>
      </c>
      <c r="U105" t="str">
        <f t="shared" ca="1" si="19"/>
        <v>At Risk</v>
      </c>
    </row>
    <row r="106" spans="1:21">
      <c r="A106" s="13" t="str">
        <f>Cleaned_Data!A106</f>
        <v>MEM0105</v>
      </c>
      <c r="B106" s="14" t="str">
        <f ca="1">Cleaned_Data!D106</f>
        <v>BR02</v>
      </c>
      <c r="C106" s="14" t="str">
        <f ca="1">Cleaned_Data!E106</f>
        <v>Basic</v>
      </c>
      <c r="D106" s="15">
        <f>Cleaned_Data!F106</f>
        <v>44984</v>
      </c>
      <c r="E106" s="15">
        <f>Cleaned_Data!G106</f>
        <v>45014</v>
      </c>
      <c r="F106" s="14">
        <f>Cleaned_Data!H106</f>
        <v>2000</v>
      </c>
      <c r="G106" s="14">
        <f ca="1">Cleaned_Data!I106</f>
        <v>22000</v>
      </c>
      <c r="H106" s="14">
        <f>Cleaned_Data!J106</f>
        <v>22</v>
      </c>
      <c r="I106" s="14" t="str">
        <f>Cleaned_Data!M106</f>
        <v>Active</v>
      </c>
      <c r="J106" s="16">
        <f>Cleaned_Data!N106</f>
        <v>45653</v>
      </c>
      <c r="K106" t="str">
        <f t="shared" si="10"/>
        <v>Highly Active</v>
      </c>
      <c r="L106" s="5" t="str">
        <f>IF(COUNTIF($A$2:A106,A106)&gt;1,"Duplicate","Unique")</f>
        <v>Unique</v>
      </c>
      <c r="M106" t="str">
        <f t="shared" si="11"/>
        <v>2023-02</v>
      </c>
      <c r="N106" s="2">
        <f t="shared" ca="1" si="12"/>
        <v>45653</v>
      </c>
      <c r="O106" s="4">
        <f t="shared" ca="1" si="13"/>
        <v>22</v>
      </c>
      <c r="P106" s="4">
        <f t="shared" ca="1" si="14"/>
        <v>476</v>
      </c>
      <c r="Q106">
        <f t="shared" ca="1" si="15"/>
        <v>1</v>
      </c>
      <c r="R106">
        <f t="shared" si="16"/>
        <v>5</v>
      </c>
      <c r="S106">
        <f t="shared" ca="1" si="17"/>
        <v>5</v>
      </c>
      <c r="T106" t="str">
        <f t="shared" ca="1" si="18"/>
        <v>155</v>
      </c>
      <c r="U106" t="str">
        <f t="shared" ca="1" si="19"/>
        <v>At Risk</v>
      </c>
    </row>
    <row r="107" spans="1:21">
      <c r="A107" s="17" t="str">
        <f>Cleaned_Data!A107</f>
        <v>MEM0106</v>
      </c>
      <c r="B107" s="18" t="str">
        <f ca="1">Cleaned_Data!D107</f>
        <v>BR02</v>
      </c>
      <c r="C107" s="18" t="str">
        <f ca="1">Cleaned_Data!E107</f>
        <v>Basic</v>
      </c>
      <c r="D107" s="19">
        <f>Cleaned_Data!F107</f>
        <v>45369</v>
      </c>
      <c r="E107" s="19">
        <f>Cleaned_Data!G107</f>
        <v>45734</v>
      </c>
      <c r="F107" s="18">
        <f>Cleaned_Data!H107</f>
        <v>1000</v>
      </c>
      <c r="G107" s="18">
        <f ca="1">Cleaned_Data!I107</f>
        <v>2000</v>
      </c>
      <c r="H107" s="18">
        <f>Cleaned_Data!J107</f>
        <v>8</v>
      </c>
      <c r="I107" s="18" t="str">
        <f>Cleaned_Data!M107</f>
        <v>Active</v>
      </c>
      <c r="J107" s="20">
        <f>Cleaned_Data!N107</f>
        <v>45447</v>
      </c>
      <c r="K107" t="str">
        <f t="shared" si="10"/>
        <v>Moderate</v>
      </c>
      <c r="L107" s="5" t="str">
        <f>IF(COUNTIF($A$2:A107,A107)&gt;1,"Duplicate","Unique")</f>
        <v>Unique</v>
      </c>
      <c r="M107" t="str">
        <f t="shared" si="11"/>
        <v>2024-03</v>
      </c>
      <c r="N107" s="2">
        <f t="shared" ca="1" si="12"/>
        <v>45447</v>
      </c>
      <c r="O107" s="4">
        <f t="shared" ca="1" si="13"/>
        <v>2</v>
      </c>
      <c r="P107" s="4">
        <f t="shared" ca="1" si="14"/>
        <v>682</v>
      </c>
      <c r="Q107">
        <f t="shared" ca="1" si="15"/>
        <v>1</v>
      </c>
      <c r="R107">
        <f t="shared" si="16"/>
        <v>2</v>
      </c>
      <c r="S107">
        <f t="shared" ca="1" si="17"/>
        <v>2</v>
      </c>
      <c r="T107" t="str">
        <f t="shared" ca="1" si="18"/>
        <v>122</v>
      </c>
      <c r="U107" t="str">
        <f t="shared" ca="1" si="19"/>
        <v>At Risk</v>
      </c>
    </row>
    <row r="108" spans="1:21">
      <c r="A108" s="13" t="str">
        <f>Cleaned_Data!A108</f>
        <v>MEM0107</v>
      </c>
      <c r="B108" s="14" t="str">
        <f ca="1">Cleaned_Data!D108</f>
        <v>BR01</v>
      </c>
      <c r="C108" s="14" t="str">
        <f ca="1">Cleaned_Data!E108</f>
        <v>Premium</v>
      </c>
      <c r="D108" s="15">
        <f>Cleaned_Data!F108</f>
        <v>45453</v>
      </c>
      <c r="E108" s="15">
        <f>Cleaned_Data!G108</f>
        <v>45818</v>
      </c>
      <c r="F108" s="14">
        <f>Cleaned_Data!H108</f>
        <v>2000</v>
      </c>
      <c r="G108" s="14">
        <f ca="1">Cleaned_Data!I108</f>
        <v>22000</v>
      </c>
      <c r="H108" s="14">
        <f>Cleaned_Data!J108</f>
        <v>1</v>
      </c>
      <c r="I108" s="14" t="str">
        <f>Cleaned_Data!M108</f>
        <v>Active</v>
      </c>
      <c r="J108" s="16">
        <f>Cleaned_Data!N108</f>
        <v>45466</v>
      </c>
      <c r="K108" t="str">
        <f t="shared" si="10"/>
        <v>At Risk</v>
      </c>
      <c r="L108" s="5" t="str">
        <f>IF(COUNTIF($A$2:A108,A108)&gt;1,"Duplicate","Unique")</f>
        <v>Unique</v>
      </c>
      <c r="M108" t="str">
        <f t="shared" si="11"/>
        <v>2024-06</v>
      </c>
      <c r="N108" s="2">
        <f t="shared" ca="1" si="12"/>
        <v>45466</v>
      </c>
      <c r="O108" s="4">
        <f t="shared" ca="1" si="13"/>
        <v>0</v>
      </c>
      <c r="P108" s="4">
        <f t="shared" ca="1" si="14"/>
        <v>663</v>
      </c>
      <c r="Q108">
        <f t="shared" ca="1" si="15"/>
        <v>1</v>
      </c>
      <c r="R108">
        <f t="shared" si="16"/>
        <v>1</v>
      </c>
      <c r="S108">
        <f t="shared" ca="1" si="17"/>
        <v>5</v>
      </c>
      <c r="T108" t="str">
        <f t="shared" ca="1" si="18"/>
        <v>115</v>
      </c>
      <c r="U108" t="str">
        <f t="shared" ca="1" si="19"/>
        <v>At Risk</v>
      </c>
    </row>
    <row r="109" spans="1:21">
      <c r="A109" s="17" t="str">
        <f>Cleaned_Data!A109</f>
        <v>MEM0108</v>
      </c>
      <c r="B109" s="18" t="str">
        <f ca="1">Cleaned_Data!D109</f>
        <v>BR07</v>
      </c>
      <c r="C109" s="18" t="str">
        <f ca="1">Cleaned_Data!E109</f>
        <v>Basic</v>
      </c>
      <c r="D109" s="19">
        <f>Cleaned_Data!F109</f>
        <v>45656</v>
      </c>
      <c r="E109" s="19">
        <f>Cleaned_Data!G109</f>
        <v>46021</v>
      </c>
      <c r="F109" s="18">
        <f>Cleaned_Data!H109</f>
        <v>1000</v>
      </c>
      <c r="G109" s="18">
        <f ca="1">Cleaned_Data!I109</f>
        <v>2000</v>
      </c>
      <c r="H109" s="18">
        <f>Cleaned_Data!J109</f>
        <v>14</v>
      </c>
      <c r="I109" s="18" t="str">
        <f>Cleaned_Data!M109</f>
        <v>Cancelled</v>
      </c>
      <c r="J109" s="20">
        <f>Cleaned_Data!N109</f>
        <v>45797</v>
      </c>
      <c r="K109" t="str">
        <f t="shared" si="10"/>
        <v>Moderate</v>
      </c>
      <c r="L109" s="5" t="str">
        <f>IF(COUNTIF($A$2:A109,A109)&gt;1,"Duplicate","Unique")</f>
        <v>Unique</v>
      </c>
      <c r="M109" t="str">
        <f t="shared" si="11"/>
        <v>2024-12</v>
      </c>
      <c r="N109" s="2">
        <f t="shared" ca="1" si="12"/>
        <v>45797</v>
      </c>
      <c r="O109" s="4">
        <f t="shared" ca="1" si="13"/>
        <v>4</v>
      </c>
      <c r="P109" s="4">
        <f t="shared" ca="1" si="14"/>
        <v>332</v>
      </c>
      <c r="Q109">
        <f t="shared" ca="1" si="15"/>
        <v>2</v>
      </c>
      <c r="R109">
        <f t="shared" si="16"/>
        <v>3</v>
      </c>
      <c r="S109">
        <f t="shared" ca="1" si="17"/>
        <v>2</v>
      </c>
      <c r="T109" t="str">
        <f t="shared" ca="1" si="18"/>
        <v>232</v>
      </c>
      <c r="U109" t="str">
        <f t="shared" ca="1" si="19"/>
        <v>At Risk</v>
      </c>
    </row>
    <row r="110" spans="1:21">
      <c r="A110" s="13" t="str">
        <f>Cleaned_Data!A110</f>
        <v>MEM0109</v>
      </c>
      <c r="B110" s="14" t="str">
        <f ca="1">Cleaned_Data!D110</f>
        <v>BR01</v>
      </c>
      <c r="C110" s="14" t="str">
        <f ca="1">Cleaned_Data!E110</f>
        <v>Standard</v>
      </c>
      <c r="D110" s="15">
        <f>Cleaned_Data!F110</f>
        <v>45408</v>
      </c>
      <c r="E110" s="15">
        <f>Cleaned_Data!G110</f>
        <v>45438</v>
      </c>
      <c r="F110" s="14">
        <f>Cleaned_Data!H110</f>
        <v>3500</v>
      </c>
      <c r="G110" s="14">
        <f ca="1">Cleaned_Data!I110</f>
        <v>28000</v>
      </c>
      <c r="H110" s="14">
        <f>Cleaned_Data!J110</f>
        <v>4</v>
      </c>
      <c r="I110" s="14" t="str">
        <f>Cleaned_Data!M110</f>
        <v>Cancelled</v>
      </c>
      <c r="J110" s="16">
        <f>Cleaned_Data!N110</f>
        <v>45432</v>
      </c>
      <c r="K110" t="str">
        <f t="shared" si="10"/>
        <v>At Risk</v>
      </c>
      <c r="L110" s="5" t="str">
        <f>IF(COUNTIF($A$2:A110,A110)&gt;1,"Duplicate","Unique")</f>
        <v>Unique</v>
      </c>
      <c r="M110" t="str">
        <f t="shared" si="11"/>
        <v>2024-04</v>
      </c>
      <c r="N110" s="2">
        <f t="shared" ca="1" si="12"/>
        <v>45432</v>
      </c>
      <c r="O110" s="4">
        <f t="shared" ca="1" si="13"/>
        <v>0</v>
      </c>
      <c r="P110" s="4">
        <f t="shared" ca="1" si="14"/>
        <v>697</v>
      </c>
      <c r="Q110">
        <f t="shared" ca="1" si="15"/>
        <v>1</v>
      </c>
      <c r="R110">
        <f t="shared" si="16"/>
        <v>1</v>
      </c>
      <c r="S110">
        <f t="shared" ca="1" si="17"/>
        <v>5</v>
      </c>
      <c r="T110" t="str">
        <f t="shared" ca="1" si="18"/>
        <v>115</v>
      </c>
      <c r="U110" t="str">
        <f t="shared" ca="1" si="19"/>
        <v>At Risk</v>
      </c>
    </row>
    <row r="111" spans="1:21">
      <c r="A111" s="17" t="str">
        <f>Cleaned_Data!A111</f>
        <v>MEM0110</v>
      </c>
      <c r="B111" s="18" t="str">
        <f ca="1">Cleaned_Data!D111</f>
        <v>BR06</v>
      </c>
      <c r="C111" s="18" t="str">
        <f ca="1">Cleaned_Data!E111</f>
        <v>Standard</v>
      </c>
      <c r="D111" s="19">
        <f>Cleaned_Data!F111</f>
        <v>45503</v>
      </c>
      <c r="E111" s="19">
        <f>Cleaned_Data!G111</f>
        <v>45868</v>
      </c>
      <c r="F111" s="18">
        <f>Cleaned_Data!H111</f>
        <v>3500</v>
      </c>
      <c r="G111" s="18">
        <f ca="1">Cleaned_Data!I111</f>
        <v>42000</v>
      </c>
      <c r="H111" s="18">
        <f>Cleaned_Data!J111</f>
        <v>13</v>
      </c>
      <c r="I111" s="18" t="str">
        <f>Cleaned_Data!M111</f>
        <v>Cancelled</v>
      </c>
      <c r="J111" s="20">
        <f>Cleaned_Data!N111</f>
        <v>45861</v>
      </c>
      <c r="K111" t="str">
        <f t="shared" si="10"/>
        <v>Moderate</v>
      </c>
      <c r="L111" s="5" t="str">
        <f>IF(COUNTIF($A$2:A111,A111)&gt;1,"Duplicate","Unique")</f>
        <v>Unique</v>
      </c>
      <c r="M111" t="str">
        <f t="shared" si="11"/>
        <v>2024-07</v>
      </c>
      <c r="N111" s="2">
        <f t="shared" ca="1" si="12"/>
        <v>45861</v>
      </c>
      <c r="O111" s="4">
        <f t="shared" ca="1" si="13"/>
        <v>11</v>
      </c>
      <c r="P111" s="4">
        <f t="shared" ca="1" si="14"/>
        <v>268</v>
      </c>
      <c r="Q111">
        <f t="shared" ca="1" si="15"/>
        <v>2</v>
      </c>
      <c r="R111">
        <f t="shared" si="16"/>
        <v>3</v>
      </c>
      <c r="S111">
        <f t="shared" ca="1" si="17"/>
        <v>5</v>
      </c>
      <c r="T111" t="str">
        <f t="shared" ca="1" si="18"/>
        <v>235</v>
      </c>
      <c r="U111" t="str">
        <f t="shared" ca="1" si="19"/>
        <v>At Risk</v>
      </c>
    </row>
    <row r="112" spans="1:21">
      <c r="A112" s="13" t="str">
        <f>Cleaned_Data!A112</f>
        <v>MEM0111</v>
      </c>
      <c r="B112" s="14" t="str">
        <f ca="1">Cleaned_Data!D112</f>
        <v>BR01</v>
      </c>
      <c r="C112" s="14" t="str">
        <f ca="1">Cleaned_Data!E112</f>
        <v>Basic</v>
      </c>
      <c r="D112" s="15">
        <f>Cleaned_Data!F112</f>
        <v>45130</v>
      </c>
      <c r="E112" s="15">
        <f>Cleaned_Data!G112</f>
        <v>45160</v>
      </c>
      <c r="F112" s="14">
        <f>Cleaned_Data!H112</f>
        <v>1000</v>
      </c>
      <c r="G112" s="14">
        <f ca="1">Cleaned_Data!I112</f>
        <v>3000</v>
      </c>
      <c r="H112" s="14">
        <f>Cleaned_Data!J112</f>
        <v>10</v>
      </c>
      <c r="I112" s="14" t="str">
        <f>Cleaned_Data!M112</f>
        <v>Active</v>
      </c>
      <c r="J112" s="16">
        <f>Cleaned_Data!N112</f>
        <v>45188</v>
      </c>
      <c r="K112" t="str">
        <f t="shared" si="10"/>
        <v>Moderate</v>
      </c>
      <c r="L112" s="5" t="str">
        <f>IF(COUNTIF($A$2:A112,A112)&gt;1,"Duplicate","Unique")</f>
        <v>Unique</v>
      </c>
      <c r="M112" t="str">
        <f t="shared" si="11"/>
        <v>2023-07</v>
      </c>
      <c r="N112" s="2">
        <f t="shared" ca="1" si="12"/>
        <v>45188</v>
      </c>
      <c r="O112" s="4">
        <f t="shared" ca="1" si="13"/>
        <v>1</v>
      </c>
      <c r="P112" s="4">
        <f t="shared" ca="1" si="14"/>
        <v>941</v>
      </c>
      <c r="Q112">
        <f t="shared" ca="1" si="15"/>
        <v>1</v>
      </c>
      <c r="R112">
        <f t="shared" si="16"/>
        <v>3</v>
      </c>
      <c r="S112">
        <f t="shared" ca="1" si="17"/>
        <v>2</v>
      </c>
      <c r="T112" t="str">
        <f t="shared" ca="1" si="18"/>
        <v>132</v>
      </c>
      <c r="U112" t="str">
        <f t="shared" ca="1" si="19"/>
        <v>At Risk</v>
      </c>
    </row>
    <row r="113" spans="1:21">
      <c r="A113" s="17" t="str">
        <f>Cleaned_Data!A113</f>
        <v>MEM0112</v>
      </c>
      <c r="B113" s="18" t="str">
        <f ca="1">Cleaned_Data!D113</f>
        <v>BR04</v>
      </c>
      <c r="C113" s="18" t="str">
        <f ca="1">Cleaned_Data!E113</f>
        <v>Standard</v>
      </c>
      <c r="D113" s="19">
        <f>Cleaned_Data!F113</f>
        <v>45418</v>
      </c>
      <c r="E113" s="19">
        <f>Cleaned_Data!G113</f>
        <v>45448</v>
      </c>
      <c r="F113" s="18">
        <f>Cleaned_Data!H113</f>
        <v>2000</v>
      </c>
      <c r="G113" s="18">
        <f ca="1">Cleaned_Data!I113</f>
        <v>8000</v>
      </c>
      <c r="H113" s="18">
        <f>Cleaned_Data!J113</f>
        <v>19</v>
      </c>
      <c r="I113" s="18" t="str">
        <f>Cleaned_Data!M113</f>
        <v>Active</v>
      </c>
      <c r="J113" s="20">
        <f>Cleaned_Data!N113</f>
        <v>45870</v>
      </c>
      <c r="K113" t="str">
        <f t="shared" si="10"/>
        <v>Highly Active</v>
      </c>
      <c r="L113" s="5" t="str">
        <f>IF(COUNTIF($A$2:A113,A113)&gt;1,"Duplicate","Unique")</f>
        <v>Unique</v>
      </c>
      <c r="M113" t="str">
        <f t="shared" si="11"/>
        <v>2024-05</v>
      </c>
      <c r="N113" s="2">
        <f t="shared" ca="1" si="12"/>
        <v>45870</v>
      </c>
      <c r="O113" s="4">
        <f t="shared" ca="1" si="13"/>
        <v>14</v>
      </c>
      <c r="P113" s="4">
        <f t="shared" ca="1" si="14"/>
        <v>259</v>
      </c>
      <c r="Q113">
        <f t="shared" ca="1" si="15"/>
        <v>2</v>
      </c>
      <c r="R113">
        <f t="shared" si="16"/>
        <v>4</v>
      </c>
      <c r="S113">
        <f t="shared" ca="1" si="17"/>
        <v>3</v>
      </c>
      <c r="T113" t="str">
        <f t="shared" ca="1" si="18"/>
        <v>243</v>
      </c>
      <c r="U113" t="str">
        <f t="shared" ca="1" si="19"/>
        <v>At Risk</v>
      </c>
    </row>
    <row r="114" spans="1:21">
      <c r="A114" s="13" t="str">
        <f>Cleaned_Data!A114</f>
        <v>MEM0113</v>
      </c>
      <c r="B114" s="14" t="str">
        <f ca="1">Cleaned_Data!D114</f>
        <v>BR02</v>
      </c>
      <c r="C114" s="14" t="str">
        <f ca="1">Cleaned_Data!E114</f>
        <v>Premium</v>
      </c>
      <c r="D114" s="15">
        <f>Cleaned_Data!F114</f>
        <v>45720</v>
      </c>
      <c r="E114" s="15">
        <f>Cleaned_Data!G114</f>
        <v>45810</v>
      </c>
      <c r="F114" s="14">
        <f>Cleaned_Data!H114</f>
        <v>1000</v>
      </c>
      <c r="G114" s="14">
        <f ca="1">Cleaned_Data!I114</f>
        <v>8000</v>
      </c>
      <c r="H114" s="14">
        <f>Cleaned_Data!J114</f>
        <v>10</v>
      </c>
      <c r="I114" s="14" t="str">
        <f>Cleaned_Data!M114</f>
        <v>Active</v>
      </c>
      <c r="J114" s="16">
        <f>Cleaned_Data!N114</f>
        <v>45817</v>
      </c>
      <c r="K114" t="str">
        <f t="shared" si="10"/>
        <v>Moderate</v>
      </c>
      <c r="L114" s="5" t="str">
        <f>IF(COUNTIF($A$2:A114,A114)&gt;1,"Duplicate","Unique")</f>
        <v>Unique</v>
      </c>
      <c r="M114" t="str">
        <f t="shared" si="11"/>
        <v>2025-03</v>
      </c>
      <c r="N114" s="2">
        <f t="shared" ca="1" si="12"/>
        <v>45817</v>
      </c>
      <c r="O114" s="4">
        <f t="shared" ca="1" si="13"/>
        <v>3</v>
      </c>
      <c r="P114" s="4">
        <f t="shared" ca="1" si="14"/>
        <v>312</v>
      </c>
      <c r="Q114">
        <f t="shared" ca="1" si="15"/>
        <v>2</v>
      </c>
      <c r="R114">
        <f t="shared" si="16"/>
        <v>3</v>
      </c>
      <c r="S114">
        <f t="shared" ca="1" si="17"/>
        <v>3</v>
      </c>
      <c r="T114" t="str">
        <f t="shared" ca="1" si="18"/>
        <v>233</v>
      </c>
      <c r="U114" t="str">
        <f t="shared" ca="1" si="19"/>
        <v>At Risk</v>
      </c>
    </row>
    <row r="115" spans="1:21">
      <c r="A115" s="17" t="str">
        <f>Cleaned_Data!A115</f>
        <v>MEM0114</v>
      </c>
      <c r="B115" s="18" t="str">
        <f ca="1">Cleaned_Data!D115</f>
        <v>BR06</v>
      </c>
      <c r="C115" s="18" t="str">
        <f ca="1">Cleaned_Data!E115</f>
        <v>Basic</v>
      </c>
      <c r="D115" s="19">
        <f>Cleaned_Data!F115</f>
        <v>45312</v>
      </c>
      <c r="E115" s="19">
        <f>Cleaned_Data!G115</f>
        <v>45402</v>
      </c>
      <c r="F115" s="18">
        <f>Cleaned_Data!H115</f>
        <v>1000</v>
      </c>
      <c r="G115" s="18">
        <f ca="1">Cleaned_Data!I115</f>
        <v>4000</v>
      </c>
      <c r="H115" s="18">
        <f>Cleaned_Data!J115</f>
        <v>13</v>
      </c>
      <c r="I115" s="18" t="str">
        <f>Cleaned_Data!M115</f>
        <v>Active</v>
      </c>
      <c r="J115" s="20">
        <f>Cleaned_Data!N115</f>
        <v>45451</v>
      </c>
      <c r="K115" t="str">
        <f t="shared" si="10"/>
        <v>Moderate</v>
      </c>
      <c r="L115" s="5" t="str">
        <f>IF(COUNTIF($A$2:A115,A115)&gt;1,"Duplicate","Unique")</f>
        <v>Unique</v>
      </c>
      <c r="M115" t="str">
        <f t="shared" si="11"/>
        <v>2024-01</v>
      </c>
      <c r="N115" s="2">
        <f t="shared" ca="1" si="12"/>
        <v>45451</v>
      </c>
      <c r="O115" s="4">
        <f t="shared" ca="1" si="13"/>
        <v>4</v>
      </c>
      <c r="P115" s="4">
        <f t="shared" ca="1" si="14"/>
        <v>678</v>
      </c>
      <c r="Q115">
        <f t="shared" ca="1" si="15"/>
        <v>1</v>
      </c>
      <c r="R115">
        <f t="shared" si="16"/>
        <v>3</v>
      </c>
      <c r="S115">
        <f t="shared" ca="1" si="17"/>
        <v>2</v>
      </c>
      <c r="T115" t="str">
        <f t="shared" ca="1" si="18"/>
        <v>132</v>
      </c>
      <c r="U115" t="str">
        <f t="shared" ca="1" si="19"/>
        <v>At Risk</v>
      </c>
    </row>
    <row r="116" spans="1:21">
      <c r="A116" s="13" t="str">
        <f>Cleaned_Data!A116</f>
        <v>MEM0115</v>
      </c>
      <c r="B116" s="14" t="str">
        <f ca="1">Cleaned_Data!D116</f>
        <v>BR07</v>
      </c>
      <c r="C116" s="14" t="str">
        <f ca="1">Cleaned_Data!E116</f>
        <v>Premium</v>
      </c>
      <c r="D116" s="15">
        <f>Cleaned_Data!F116</f>
        <v>45622</v>
      </c>
      <c r="E116" s="15">
        <f>Cleaned_Data!G116</f>
        <v>45652</v>
      </c>
      <c r="F116" s="14">
        <f>Cleaned_Data!H116</f>
        <v>3500</v>
      </c>
      <c r="G116" s="14">
        <f ca="1">Cleaned_Data!I116</f>
        <v>35000</v>
      </c>
      <c r="H116" s="14">
        <f>Cleaned_Data!J116</f>
        <v>19</v>
      </c>
      <c r="I116" s="14" t="str">
        <f>Cleaned_Data!M116</f>
        <v>Active</v>
      </c>
      <c r="J116" s="16">
        <f>Cleaned_Data!N116</f>
        <v>45632</v>
      </c>
      <c r="K116" t="str">
        <f t="shared" si="10"/>
        <v>Highly Active</v>
      </c>
      <c r="L116" s="5" t="str">
        <f>IF(COUNTIF($A$2:A116,A116)&gt;1,"Duplicate","Unique")</f>
        <v>Unique</v>
      </c>
      <c r="M116" t="str">
        <f t="shared" si="11"/>
        <v>2024-11</v>
      </c>
      <c r="N116" s="2">
        <f t="shared" ca="1" si="12"/>
        <v>45632</v>
      </c>
      <c r="O116" s="4">
        <f t="shared" ca="1" si="13"/>
        <v>0</v>
      </c>
      <c r="P116" s="4">
        <f t="shared" ca="1" si="14"/>
        <v>497</v>
      </c>
      <c r="Q116">
        <f t="shared" ca="1" si="15"/>
        <v>1</v>
      </c>
      <c r="R116">
        <f t="shared" si="16"/>
        <v>4</v>
      </c>
      <c r="S116">
        <f t="shared" ca="1" si="17"/>
        <v>5</v>
      </c>
      <c r="T116" t="str">
        <f t="shared" ca="1" si="18"/>
        <v>145</v>
      </c>
      <c r="U116" t="str">
        <f t="shared" ca="1" si="19"/>
        <v>At Risk</v>
      </c>
    </row>
    <row r="117" spans="1:21">
      <c r="A117" s="17" t="str">
        <f>Cleaned_Data!A117</f>
        <v>MEM0116</v>
      </c>
      <c r="B117" s="18" t="str">
        <f ca="1">Cleaned_Data!D117</f>
        <v>BR05</v>
      </c>
      <c r="C117" s="18" t="str">
        <f ca="1">Cleaned_Data!E117</f>
        <v>Basic</v>
      </c>
      <c r="D117" s="19">
        <f>Cleaned_Data!F117</f>
        <v>45476</v>
      </c>
      <c r="E117" s="19">
        <f>Cleaned_Data!G117</f>
        <v>45841</v>
      </c>
      <c r="F117" s="18">
        <f>Cleaned_Data!H117</f>
        <v>3500</v>
      </c>
      <c r="G117" s="18">
        <f ca="1">Cleaned_Data!I117</f>
        <v>42000</v>
      </c>
      <c r="H117" s="18">
        <f>Cleaned_Data!J117</f>
        <v>0</v>
      </c>
      <c r="I117" s="18" t="str">
        <f>Cleaned_Data!M117</f>
        <v>Active</v>
      </c>
      <c r="J117" s="20">
        <f>Cleaned_Data!N117</f>
        <v>45542</v>
      </c>
      <c r="K117" t="str">
        <f t="shared" si="10"/>
        <v>At Risk</v>
      </c>
      <c r="L117" s="5" t="str">
        <f>IF(COUNTIF($A$2:A117,A117)&gt;1,"Duplicate","Unique")</f>
        <v>Unique</v>
      </c>
      <c r="M117" t="str">
        <f t="shared" si="11"/>
        <v>2024-07</v>
      </c>
      <c r="N117" s="2">
        <f t="shared" ca="1" si="12"/>
        <v>45542</v>
      </c>
      <c r="O117" s="4">
        <f t="shared" ca="1" si="13"/>
        <v>2</v>
      </c>
      <c r="P117" s="4">
        <f t="shared" ca="1" si="14"/>
        <v>587</v>
      </c>
      <c r="Q117">
        <f t="shared" ca="1" si="15"/>
        <v>1</v>
      </c>
      <c r="R117">
        <f t="shared" si="16"/>
        <v>1</v>
      </c>
      <c r="S117">
        <f t="shared" ca="1" si="17"/>
        <v>5</v>
      </c>
      <c r="T117" t="str">
        <f t="shared" ca="1" si="18"/>
        <v>115</v>
      </c>
      <c r="U117" t="str">
        <f t="shared" ca="1" si="19"/>
        <v>At Risk</v>
      </c>
    </row>
    <row r="118" spans="1:21">
      <c r="A118" s="13" t="str">
        <f>Cleaned_Data!A118</f>
        <v>MEM0117</v>
      </c>
      <c r="B118" s="14" t="str">
        <f ca="1">Cleaned_Data!D118</f>
        <v>BR01</v>
      </c>
      <c r="C118" s="14" t="str">
        <f ca="1">Cleaned_Data!E118</f>
        <v>Standard</v>
      </c>
      <c r="D118" s="15">
        <f>Cleaned_Data!F118</f>
        <v>45830</v>
      </c>
      <c r="E118" s="15">
        <f>Cleaned_Data!G118</f>
        <v>45920</v>
      </c>
      <c r="F118" s="14">
        <f>Cleaned_Data!H118</f>
        <v>3500</v>
      </c>
      <c r="G118" s="14">
        <f ca="1">Cleaned_Data!I118</f>
        <v>17500</v>
      </c>
      <c r="H118" s="14">
        <f>Cleaned_Data!J118</f>
        <v>24</v>
      </c>
      <c r="I118" s="14" t="str">
        <f>Cleaned_Data!M118</f>
        <v>Active</v>
      </c>
      <c r="J118" s="16">
        <f>Cleaned_Data!N118</f>
        <v>45870</v>
      </c>
      <c r="K118" t="str">
        <f t="shared" si="10"/>
        <v>Highly Active</v>
      </c>
      <c r="L118" s="5" t="str">
        <f>IF(COUNTIF($A$2:A118,A118)&gt;1,"Duplicate","Unique")</f>
        <v>Unique</v>
      </c>
      <c r="M118" t="str">
        <f t="shared" si="11"/>
        <v>2025-06</v>
      </c>
      <c r="N118" s="2">
        <f t="shared" ca="1" si="12"/>
        <v>45870</v>
      </c>
      <c r="O118" s="4">
        <f t="shared" ca="1" si="13"/>
        <v>1</v>
      </c>
      <c r="P118" s="4">
        <f t="shared" ca="1" si="14"/>
        <v>259</v>
      </c>
      <c r="Q118">
        <f t="shared" ca="1" si="15"/>
        <v>2</v>
      </c>
      <c r="R118">
        <f t="shared" si="16"/>
        <v>5</v>
      </c>
      <c r="S118">
        <f t="shared" ca="1" si="17"/>
        <v>4</v>
      </c>
      <c r="T118" t="str">
        <f t="shared" ca="1" si="18"/>
        <v>254</v>
      </c>
      <c r="U118" t="str">
        <f t="shared" ca="1" si="19"/>
        <v>At Risk</v>
      </c>
    </row>
    <row r="119" spans="1:21">
      <c r="A119" s="17" t="str">
        <f>Cleaned_Data!A119</f>
        <v>MEM0118</v>
      </c>
      <c r="B119" s="18" t="str">
        <f ca="1">Cleaned_Data!D119</f>
        <v>BR02</v>
      </c>
      <c r="C119" s="18" t="str">
        <f ca="1">Cleaned_Data!E119</f>
        <v>Premium</v>
      </c>
      <c r="D119" s="19">
        <f>Cleaned_Data!F119</f>
        <v>45245</v>
      </c>
      <c r="E119" s="19">
        <f>Cleaned_Data!G119</f>
        <v>45335</v>
      </c>
      <c r="F119" s="18">
        <f>Cleaned_Data!H119</f>
        <v>2000</v>
      </c>
      <c r="G119" s="18">
        <f ca="1">Cleaned_Data!I119</f>
        <v>18000</v>
      </c>
      <c r="H119" s="18">
        <f>Cleaned_Data!J119</f>
        <v>19</v>
      </c>
      <c r="I119" s="18" t="str">
        <f>Cleaned_Data!M119</f>
        <v>Active</v>
      </c>
      <c r="J119" s="20">
        <f>Cleaned_Data!N119</f>
        <v>45263</v>
      </c>
      <c r="K119" t="str">
        <f t="shared" si="10"/>
        <v>Highly Active</v>
      </c>
      <c r="L119" s="5" t="str">
        <f>IF(COUNTIF($A$2:A119,A119)&gt;1,"Duplicate","Unique")</f>
        <v>Unique</v>
      </c>
      <c r="M119" t="str">
        <f t="shared" si="11"/>
        <v>2023-11</v>
      </c>
      <c r="N119" s="2">
        <f t="shared" ca="1" si="12"/>
        <v>45263</v>
      </c>
      <c r="O119" s="4">
        <f t="shared" ca="1" si="13"/>
        <v>0</v>
      </c>
      <c r="P119" s="4">
        <f t="shared" ca="1" si="14"/>
        <v>866</v>
      </c>
      <c r="Q119">
        <f t="shared" ca="1" si="15"/>
        <v>1</v>
      </c>
      <c r="R119">
        <f t="shared" si="16"/>
        <v>4</v>
      </c>
      <c r="S119">
        <f t="shared" ca="1" si="17"/>
        <v>4</v>
      </c>
      <c r="T119" t="str">
        <f t="shared" ca="1" si="18"/>
        <v>144</v>
      </c>
      <c r="U119" t="str">
        <f t="shared" ca="1" si="19"/>
        <v>At Risk</v>
      </c>
    </row>
    <row r="120" spans="1:21">
      <c r="A120" s="13" t="str">
        <f>Cleaned_Data!A120</f>
        <v>MEM0119</v>
      </c>
      <c r="B120" s="14" t="str">
        <f ca="1">Cleaned_Data!D120</f>
        <v>BR04</v>
      </c>
      <c r="C120" s="14" t="str">
        <f ca="1">Cleaned_Data!E120</f>
        <v>Premium</v>
      </c>
      <c r="D120" s="15">
        <f>Cleaned_Data!F120</f>
        <v>46021</v>
      </c>
      <c r="E120" s="15">
        <f>Cleaned_Data!G120</f>
        <v>46111</v>
      </c>
      <c r="F120" s="14">
        <f>Cleaned_Data!H120</f>
        <v>3500</v>
      </c>
      <c r="G120" s="14">
        <f ca="1">Cleaned_Data!I120</f>
        <v>35000</v>
      </c>
      <c r="H120" s="14">
        <f>Cleaned_Data!J120</f>
        <v>12</v>
      </c>
      <c r="I120" s="14" t="str">
        <f>Cleaned_Data!M120</f>
        <v>Active</v>
      </c>
      <c r="J120" s="16">
        <f>Cleaned_Data!N120</f>
        <v>46096</v>
      </c>
      <c r="K120" t="str">
        <f t="shared" si="10"/>
        <v>Moderate</v>
      </c>
      <c r="L120" s="5" t="str">
        <f>IF(COUNTIF($A$2:A120,A120)&gt;1,"Duplicate","Unique")</f>
        <v>Unique</v>
      </c>
      <c r="M120" t="str">
        <f t="shared" si="11"/>
        <v>2025-12</v>
      </c>
      <c r="N120" s="2">
        <f t="shared" ca="1" si="12"/>
        <v>46096</v>
      </c>
      <c r="O120" s="4">
        <f t="shared" ca="1" si="13"/>
        <v>2</v>
      </c>
      <c r="P120" s="4">
        <f t="shared" ca="1" si="14"/>
        <v>33</v>
      </c>
      <c r="Q120">
        <f t="shared" ca="1" si="15"/>
        <v>4</v>
      </c>
      <c r="R120">
        <f t="shared" si="16"/>
        <v>3</v>
      </c>
      <c r="S120">
        <f t="shared" ca="1" si="17"/>
        <v>5</v>
      </c>
      <c r="T120" t="str">
        <f t="shared" ca="1" si="18"/>
        <v>435</v>
      </c>
      <c r="U120" t="str">
        <f t="shared" ca="1" si="19"/>
        <v>Loyal</v>
      </c>
    </row>
    <row r="121" spans="1:21">
      <c r="A121" s="17" t="str">
        <f>Cleaned_Data!A121</f>
        <v>MEM0120</v>
      </c>
      <c r="B121" s="18" t="str">
        <f ca="1">Cleaned_Data!D121</f>
        <v>BR04</v>
      </c>
      <c r="C121" s="18" t="str">
        <f ca="1">Cleaned_Data!E121</f>
        <v>Premium</v>
      </c>
      <c r="D121" s="19">
        <f>Cleaned_Data!F121</f>
        <v>45681</v>
      </c>
      <c r="E121" s="19">
        <f>Cleaned_Data!G121</f>
        <v>45771</v>
      </c>
      <c r="F121" s="18">
        <f>Cleaned_Data!H121</f>
        <v>2000</v>
      </c>
      <c r="G121" s="18">
        <f ca="1">Cleaned_Data!I121</f>
        <v>24000</v>
      </c>
      <c r="H121" s="18">
        <f>Cleaned_Data!J121</f>
        <v>16</v>
      </c>
      <c r="I121" s="18" t="str">
        <f>Cleaned_Data!M121</f>
        <v>Active</v>
      </c>
      <c r="J121" s="20">
        <f>Cleaned_Data!N121</f>
        <v>46085</v>
      </c>
      <c r="K121" t="str">
        <f t="shared" si="10"/>
        <v>Highly Active</v>
      </c>
      <c r="L121" s="5" t="str">
        <f>IF(COUNTIF($A$2:A121,A121)&gt;1,"Duplicate","Unique")</f>
        <v>Unique</v>
      </c>
      <c r="M121" t="str">
        <f t="shared" si="11"/>
        <v>2025-01</v>
      </c>
      <c r="N121" s="2">
        <f t="shared" ca="1" si="12"/>
        <v>46085</v>
      </c>
      <c r="O121" s="4">
        <f t="shared" ca="1" si="13"/>
        <v>13</v>
      </c>
      <c r="P121" s="4">
        <f t="shared" ca="1" si="14"/>
        <v>44</v>
      </c>
      <c r="Q121">
        <f t="shared" ca="1" si="15"/>
        <v>4</v>
      </c>
      <c r="R121">
        <f t="shared" si="16"/>
        <v>4</v>
      </c>
      <c r="S121">
        <f t="shared" ca="1" si="17"/>
        <v>5</v>
      </c>
      <c r="T121" t="str">
        <f t="shared" ca="1" si="18"/>
        <v>445</v>
      </c>
      <c r="U121" t="str">
        <f t="shared" ca="1" si="19"/>
        <v>Champion</v>
      </c>
    </row>
    <row r="122" spans="1:21">
      <c r="A122" s="13" t="str">
        <f>Cleaned_Data!A122</f>
        <v>MEM0121</v>
      </c>
      <c r="B122" s="14" t="str">
        <f ca="1">Cleaned_Data!D122</f>
        <v>BR04</v>
      </c>
      <c r="C122" s="14" t="str">
        <f ca="1">Cleaned_Data!E122</f>
        <v>Standard</v>
      </c>
      <c r="D122" s="15">
        <f>Cleaned_Data!F122</f>
        <v>44971</v>
      </c>
      <c r="E122" s="15">
        <f>Cleaned_Data!G122</f>
        <v>45061</v>
      </c>
      <c r="F122" s="14">
        <f>Cleaned_Data!H122</f>
        <v>2000</v>
      </c>
      <c r="G122" s="14">
        <f ca="1">Cleaned_Data!I122</f>
        <v>2000</v>
      </c>
      <c r="H122" s="14">
        <f>Cleaned_Data!J122</f>
        <v>22</v>
      </c>
      <c r="I122" s="14" t="str">
        <f>Cleaned_Data!M122</f>
        <v>Active</v>
      </c>
      <c r="J122" s="16">
        <f>Cleaned_Data!N122</f>
        <v>45883</v>
      </c>
      <c r="K122" t="str">
        <f t="shared" si="10"/>
        <v>Highly Active</v>
      </c>
      <c r="L122" s="5" t="str">
        <f>IF(COUNTIF($A$2:A122,A122)&gt;1,"Duplicate","Unique")</f>
        <v>Unique</v>
      </c>
      <c r="M122" t="str">
        <f t="shared" si="11"/>
        <v>2023-02</v>
      </c>
      <c r="N122" s="2">
        <f t="shared" ca="1" si="12"/>
        <v>45883</v>
      </c>
      <c r="O122" s="4">
        <f t="shared" ca="1" si="13"/>
        <v>30</v>
      </c>
      <c r="P122" s="4">
        <f t="shared" ca="1" si="14"/>
        <v>246</v>
      </c>
      <c r="Q122">
        <f t="shared" ca="1" si="15"/>
        <v>2</v>
      </c>
      <c r="R122">
        <f t="shared" si="16"/>
        <v>5</v>
      </c>
      <c r="S122">
        <f t="shared" ca="1" si="17"/>
        <v>2</v>
      </c>
      <c r="T122" t="str">
        <f t="shared" ca="1" si="18"/>
        <v>252</v>
      </c>
      <c r="U122" t="str">
        <f t="shared" ca="1" si="19"/>
        <v>At Risk</v>
      </c>
    </row>
    <row r="123" spans="1:21">
      <c r="A123" s="17" t="str">
        <f>Cleaned_Data!A123</f>
        <v>MEM0122</v>
      </c>
      <c r="B123" s="18" t="str">
        <f ca="1">Cleaned_Data!D123</f>
        <v>BR07</v>
      </c>
      <c r="C123" s="18" t="str">
        <f ca="1">Cleaned_Data!E123</f>
        <v>Premium</v>
      </c>
      <c r="D123" s="19">
        <f>Cleaned_Data!F123</f>
        <v>45791</v>
      </c>
      <c r="E123" s="19">
        <f>Cleaned_Data!G123</f>
        <v>45881</v>
      </c>
      <c r="F123" s="18">
        <f>Cleaned_Data!H123</f>
        <v>1000</v>
      </c>
      <c r="G123" s="18">
        <f ca="1">Cleaned_Data!I123</f>
        <v>6000</v>
      </c>
      <c r="H123" s="18">
        <f>Cleaned_Data!J123</f>
        <v>11</v>
      </c>
      <c r="I123" s="18" t="str">
        <f>Cleaned_Data!M123</f>
        <v>Active</v>
      </c>
      <c r="J123" s="20">
        <f>Cleaned_Data!N123</f>
        <v>45935</v>
      </c>
      <c r="K123" t="str">
        <f t="shared" si="10"/>
        <v>Moderate</v>
      </c>
      <c r="L123" s="5" t="str">
        <f>IF(COUNTIF($A$2:A123,A123)&gt;1,"Duplicate","Unique")</f>
        <v>Unique</v>
      </c>
      <c r="M123" t="str">
        <f t="shared" si="11"/>
        <v>2025-05</v>
      </c>
      <c r="N123" s="2">
        <f t="shared" ca="1" si="12"/>
        <v>45935</v>
      </c>
      <c r="O123" s="4">
        <f t="shared" ca="1" si="13"/>
        <v>4</v>
      </c>
      <c r="P123" s="4">
        <f t="shared" ca="1" si="14"/>
        <v>194</v>
      </c>
      <c r="Q123">
        <f t="shared" ca="1" si="15"/>
        <v>2</v>
      </c>
      <c r="R123">
        <f t="shared" si="16"/>
        <v>3</v>
      </c>
      <c r="S123">
        <f t="shared" ca="1" si="17"/>
        <v>3</v>
      </c>
      <c r="T123" t="str">
        <f t="shared" ca="1" si="18"/>
        <v>233</v>
      </c>
      <c r="U123" t="str">
        <f t="shared" ca="1" si="19"/>
        <v>At Risk</v>
      </c>
    </row>
    <row r="124" spans="1:21">
      <c r="A124" s="13" t="str">
        <f>Cleaned_Data!A124</f>
        <v>MEM0123</v>
      </c>
      <c r="B124" s="14" t="str">
        <f ca="1">Cleaned_Data!D124</f>
        <v>BR06</v>
      </c>
      <c r="C124" s="14" t="str">
        <f ca="1">Cleaned_Data!E124</f>
        <v>Standard</v>
      </c>
      <c r="D124" s="15">
        <f>Cleaned_Data!F124</f>
        <v>45724</v>
      </c>
      <c r="E124" s="15">
        <f>Cleaned_Data!G124</f>
        <v>46089</v>
      </c>
      <c r="F124" s="14">
        <f>Cleaned_Data!H124</f>
        <v>3500</v>
      </c>
      <c r="G124" s="14">
        <f ca="1">Cleaned_Data!I124</f>
        <v>7000</v>
      </c>
      <c r="H124" s="14">
        <f>Cleaned_Data!J124</f>
        <v>21</v>
      </c>
      <c r="I124" s="14" t="str">
        <f>Cleaned_Data!M124</f>
        <v>Active</v>
      </c>
      <c r="J124" s="16">
        <f>Cleaned_Data!N124</f>
        <v>46046</v>
      </c>
      <c r="K124" t="str">
        <f t="shared" si="10"/>
        <v>Highly Active</v>
      </c>
      <c r="L124" s="5" t="str">
        <f>IF(COUNTIF($A$2:A124,A124)&gt;1,"Duplicate","Unique")</f>
        <v>Unique</v>
      </c>
      <c r="M124" t="str">
        <f t="shared" si="11"/>
        <v>2025-03</v>
      </c>
      <c r="N124" s="2">
        <f t="shared" ca="1" si="12"/>
        <v>46046</v>
      </c>
      <c r="O124" s="4">
        <f t="shared" ca="1" si="13"/>
        <v>10</v>
      </c>
      <c r="P124" s="4">
        <f t="shared" ca="1" si="14"/>
        <v>83</v>
      </c>
      <c r="Q124">
        <f t="shared" ca="1" si="15"/>
        <v>4</v>
      </c>
      <c r="R124">
        <f t="shared" si="16"/>
        <v>5</v>
      </c>
      <c r="S124">
        <f t="shared" ca="1" si="17"/>
        <v>3</v>
      </c>
      <c r="T124" t="str">
        <f t="shared" ca="1" si="18"/>
        <v>453</v>
      </c>
      <c r="U124" t="str">
        <f t="shared" ca="1" si="19"/>
        <v>Loyal</v>
      </c>
    </row>
    <row r="125" spans="1:21">
      <c r="A125" s="17" t="str">
        <f>Cleaned_Data!A125</f>
        <v>MEM0124</v>
      </c>
      <c r="B125" s="18" t="str">
        <f ca="1">Cleaned_Data!D125</f>
        <v>BR06</v>
      </c>
      <c r="C125" s="18" t="str">
        <f ca="1">Cleaned_Data!E125</f>
        <v>Premium</v>
      </c>
      <c r="D125" s="19">
        <f>Cleaned_Data!F125</f>
        <v>45815</v>
      </c>
      <c r="E125" s="19">
        <f>Cleaned_Data!G125</f>
        <v>45845</v>
      </c>
      <c r="F125" s="18">
        <f>Cleaned_Data!H125</f>
        <v>1000</v>
      </c>
      <c r="G125" s="18">
        <f ca="1">Cleaned_Data!I125</f>
        <v>7000</v>
      </c>
      <c r="H125" s="18">
        <f>Cleaned_Data!J125</f>
        <v>11</v>
      </c>
      <c r="I125" s="18" t="str">
        <f>Cleaned_Data!M125</f>
        <v>Active</v>
      </c>
      <c r="J125" s="20">
        <f>Cleaned_Data!N125</f>
        <v>45963</v>
      </c>
      <c r="K125" t="str">
        <f t="shared" si="10"/>
        <v>Moderate</v>
      </c>
      <c r="L125" s="5" t="str">
        <f>IF(COUNTIF($A$2:A125,A125)&gt;1,"Duplicate","Unique")</f>
        <v>Unique</v>
      </c>
      <c r="M125" t="str">
        <f t="shared" si="11"/>
        <v>2025-06</v>
      </c>
      <c r="N125" s="2">
        <f t="shared" ca="1" si="12"/>
        <v>45963</v>
      </c>
      <c r="O125" s="4">
        <f t="shared" ca="1" si="13"/>
        <v>4</v>
      </c>
      <c r="P125" s="4">
        <f t="shared" ca="1" si="14"/>
        <v>166</v>
      </c>
      <c r="Q125">
        <f t="shared" ca="1" si="15"/>
        <v>3</v>
      </c>
      <c r="R125">
        <f t="shared" si="16"/>
        <v>3</v>
      </c>
      <c r="S125">
        <f t="shared" ca="1" si="17"/>
        <v>3</v>
      </c>
      <c r="T125" t="str">
        <f t="shared" ca="1" si="18"/>
        <v>333</v>
      </c>
      <c r="U125" t="str">
        <f t="shared" ca="1" si="19"/>
        <v>Loyal</v>
      </c>
    </row>
    <row r="126" spans="1:21">
      <c r="A126" s="13" t="str">
        <f>Cleaned_Data!A126</f>
        <v>MEM0125</v>
      </c>
      <c r="B126" s="14" t="str">
        <f ca="1">Cleaned_Data!D126</f>
        <v>BR02</v>
      </c>
      <c r="C126" s="14" t="str">
        <f ca="1">Cleaned_Data!E126</f>
        <v>Premium</v>
      </c>
      <c r="D126" s="15">
        <f>Cleaned_Data!F126</f>
        <v>45895</v>
      </c>
      <c r="E126" s="15">
        <f>Cleaned_Data!G126</f>
        <v>45925</v>
      </c>
      <c r="F126" s="14">
        <f>Cleaned_Data!H126</f>
        <v>2000</v>
      </c>
      <c r="G126" s="14">
        <f ca="1">Cleaned_Data!I126</f>
        <v>10000</v>
      </c>
      <c r="H126" s="14">
        <f>Cleaned_Data!J126</f>
        <v>16</v>
      </c>
      <c r="I126" s="14" t="str">
        <f>Cleaned_Data!M126</f>
        <v>Cancelled</v>
      </c>
      <c r="J126" s="16">
        <f>Cleaned_Data!N126</f>
        <v>45994</v>
      </c>
      <c r="K126" t="str">
        <f t="shared" si="10"/>
        <v>Highly Active</v>
      </c>
      <c r="L126" s="5" t="str">
        <f>IF(COUNTIF($A$2:A126,A126)&gt;1,"Duplicate","Unique")</f>
        <v>Unique</v>
      </c>
      <c r="M126" t="str">
        <f t="shared" si="11"/>
        <v>2025-08</v>
      </c>
      <c r="N126" s="2">
        <f t="shared" ca="1" si="12"/>
        <v>45994</v>
      </c>
      <c r="O126" s="4">
        <f t="shared" ca="1" si="13"/>
        <v>3</v>
      </c>
      <c r="P126" s="4">
        <f t="shared" ca="1" si="14"/>
        <v>135</v>
      </c>
      <c r="Q126">
        <f t="shared" ca="1" si="15"/>
        <v>3</v>
      </c>
      <c r="R126">
        <f t="shared" si="16"/>
        <v>4</v>
      </c>
      <c r="S126">
        <f t="shared" ca="1" si="17"/>
        <v>4</v>
      </c>
      <c r="T126" t="str">
        <f t="shared" ca="1" si="18"/>
        <v>344</v>
      </c>
      <c r="U126" t="str">
        <f t="shared" ca="1" si="19"/>
        <v>Loyal</v>
      </c>
    </row>
    <row r="127" spans="1:21">
      <c r="A127" s="17" t="str">
        <f>Cleaned_Data!A127</f>
        <v>MEM0126</v>
      </c>
      <c r="B127" s="18" t="str">
        <f ca="1">Cleaned_Data!D127</f>
        <v>BR04</v>
      </c>
      <c r="C127" s="18" t="str">
        <f ca="1">Cleaned_Data!E127</f>
        <v>Basic</v>
      </c>
      <c r="D127" s="19">
        <f>Cleaned_Data!F127</f>
        <v>45191</v>
      </c>
      <c r="E127" s="19">
        <f>Cleaned_Data!G127</f>
        <v>45281</v>
      </c>
      <c r="F127" s="18">
        <f>Cleaned_Data!H127</f>
        <v>1000</v>
      </c>
      <c r="G127" s="18">
        <f ca="1">Cleaned_Data!I127</f>
        <v>9000</v>
      </c>
      <c r="H127" s="18">
        <f>Cleaned_Data!J127</f>
        <v>15</v>
      </c>
      <c r="I127" s="18" t="str">
        <f>Cleaned_Data!M127</f>
        <v>Active</v>
      </c>
      <c r="J127" s="20">
        <f>Cleaned_Data!N127</f>
        <v>45591</v>
      </c>
      <c r="K127" t="str">
        <f t="shared" si="10"/>
        <v>Highly Active</v>
      </c>
      <c r="L127" s="5" t="str">
        <f>IF(COUNTIF($A$2:A127,A127)&gt;1,"Duplicate","Unique")</f>
        <v>Unique</v>
      </c>
      <c r="M127" t="str">
        <f t="shared" si="11"/>
        <v>2023-09</v>
      </c>
      <c r="N127" s="2">
        <f t="shared" ca="1" si="12"/>
        <v>45591</v>
      </c>
      <c r="O127" s="4">
        <f t="shared" ca="1" si="13"/>
        <v>13</v>
      </c>
      <c r="P127" s="4">
        <f t="shared" ca="1" si="14"/>
        <v>538</v>
      </c>
      <c r="Q127">
        <f t="shared" ca="1" si="15"/>
        <v>1</v>
      </c>
      <c r="R127">
        <f t="shared" si="16"/>
        <v>4</v>
      </c>
      <c r="S127">
        <f t="shared" ca="1" si="17"/>
        <v>3</v>
      </c>
      <c r="T127" t="str">
        <f t="shared" ca="1" si="18"/>
        <v>143</v>
      </c>
      <c r="U127" t="str">
        <f t="shared" ca="1" si="19"/>
        <v>At Risk</v>
      </c>
    </row>
    <row r="128" spans="1:21">
      <c r="A128" s="13" t="str">
        <f>Cleaned_Data!A128</f>
        <v>MEM0127</v>
      </c>
      <c r="B128" s="14" t="str">
        <f ca="1">Cleaned_Data!D128</f>
        <v>BR01</v>
      </c>
      <c r="C128" s="14" t="str">
        <f ca="1">Cleaned_Data!E128</f>
        <v>Premium</v>
      </c>
      <c r="D128" s="15">
        <f>Cleaned_Data!F128</f>
        <v>45500</v>
      </c>
      <c r="E128" s="15">
        <f>Cleaned_Data!G128</f>
        <v>45530</v>
      </c>
      <c r="F128" s="14">
        <f>Cleaned_Data!H128</f>
        <v>3500</v>
      </c>
      <c r="G128" s="14">
        <f ca="1">Cleaned_Data!I128</f>
        <v>31500</v>
      </c>
      <c r="H128" s="14">
        <f>Cleaned_Data!J128</f>
        <v>6</v>
      </c>
      <c r="I128" s="14" t="str">
        <f>Cleaned_Data!M128</f>
        <v>Active</v>
      </c>
      <c r="J128" s="16">
        <f>Cleaned_Data!N128</f>
        <v>46019</v>
      </c>
      <c r="K128" t="str">
        <f t="shared" si="10"/>
        <v>Moderate</v>
      </c>
      <c r="L128" s="5" t="str">
        <f>IF(COUNTIF($A$2:A128,A128)&gt;1,"Duplicate","Unique")</f>
        <v>Unique</v>
      </c>
      <c r="M128" t="str">
        <f t="shared" si="11"/>
        <v>2024-07</v>
      </c>
      <c r="N128" s="2">
        <f t="shared" ca="1" si="12"/>
        <v>46019</v>
      </c>
      <c r="O128" s="4">
        <f t="shared" ca="1" si="13"/>
        <v>17</v>
      </c>
      <c r="P128" s="4">
        <f t="shared" ca="1" si="14"/>
        <v>110</v>
      </c>
      <c r="Q128">
        <f t="shared" ca="1" si="15"/>
        <v>3</v>
      </c>
      <c r="R128">
        <f t="shared" si="16"/>
        <v>2</v>
      </c>
      <c r="S128">
        <f t="shared" ca="1" si="17"/>
        <v>5</v>
      </c>
      <c r="T128" t="str">
        <f t="shared" ca="1" si="18"/>
        <v>325</v>
      </c>
      <c r="U128" t="str">
        <f t="shared" ca="1" si="19"/>
        <v>Others</v>
      </c>
    </row>
    <row r="129" spans="1:21">
      <c r="A129" s="17" t="str">
        <f>Cleaned_Data!A129</f>
        <v>MEM0128</v>
      </c>
      <c r="B129" s="18" t="str">
        <f ca="1">Cleaned_Data!D129</f>
        <v>BR03</v>
      </c>
      <c r="C129" s="18" t="str">
        <f ca="1">Cleaned_Data!E129</f>
        <v>Standard</v>
      </c>
      <c r="D129" s="19">
        <f>Cleaned_Data!F129</f>
        <v>44998</v>
      </c>
      <c r="E129" s="19">
        <f>Cleaned_Data!G129</f>
        <v>45088</v>
      </c>
      <c r="F129" s="18">
        <f>Cleaned_Data!H129</f>
        <v>2000</v>
      </c>
      <c r="G129" s="18">
        <f ca="1">Cleaned_Data!I129</f>
        <v>6000</v>
      </c>
      <c r="H129" s="18">
        <f>Cleaned_Data!J129</f>
        <v>11</v>
      </c>
      <c r="I129" s="18" t="str">
        <f>Cleaned_Data!M129</f>
        <v>Active</v>
      </c>
      <c r="J129" s="20">
        <f>Cleaned_Data!N129</f>
        <v>45377</v>
      </c>
      <c r="K129" t="str">
        <f t="shared" si="10"/>
        <v>Moderate</v>
      </c>
      <c r="L129" s="5" t="str">
        <f>IF(COUNTIF($A$2:A129,A129)&gt;1,"Duplicate","Unique")</f>
        <v>Unique</v>
      </c>
      <c r="M129" t="str">
        <f t="shared" si="11"/>
        <v>2023-03</v>
      </c>
      <c r="N129" s="2">
        <f t="shared" ca="1" si="12"/>
        <v>45377</v>
      </c>
      <c r="O129" s="4">
        <f t="shared" ca="1" si="13"/>
        <v>12</v>
      </c>
      <c r="P129" s="4">
        <f t="shared" ca="1" si="14"/>
        <v>752</v>
      </c>
      <c r="Q129">
        <f t="shared" ca="1" si="15"/>
        <v>1</v>
      </c>
      <c r="R129">
        <f t="shared" si="16"/>
        <v>3</v>
      </c>
      <c r="S129">
        <f t="shared" ca="1" si="17"/>
        <v>3</v>
      </c>
      <c r="T129" t="str">
        <f t="shared" ca="1" si="18"/>
        <v>133</v>
      </c>
      <c r="U129" t="str">
        <f t="shared" ca="1" si="19"/>
        <v>At Risk</v>
      </c>
    </row>
    <row r="130" spans="1:21">
      <c r="A130" s="13" t="str">
        <f>Cleaned_Data!A130</f>
        <v>MEM0129</v>
      </c>
      <c r="B130" s="14" t="str">
        <f ca="1">Cleaned_Data!D130</f>
        <v>BR07</v>
      </c>
      <c r="C130" s="14" t="str">
        <f ca="1">Cleaned_Data!E130</f>
        <v>Premium</v>
      </c>
      <c r="D130" s="15">
        <f>Cleaned_Data!F130</f>
        <v>45556</v>
      </c>
      <c r="E130" s="15">
        <f>Cleaned_Data!G130</f>
        <v>45921</v>
      </c>
      <c r="F130" s="14">
        <f>Cleaned_Data!H130</f>
        <v>2000</v>
      </c>
      <c r="G130" s="14">
        <f ca="1">Cleaned_Data!I130</f>
        <v>18000</v>
      </c>
      <c r="H130" s="14">
        <f>Cleaned_Data!J130</f>
        <v>18</v>
      </c>
      <c r="I130" s="14" t="str">
        <f>Cleaned_Data!M130</f>
        <v>Active</v>
      </c>
      <c r="J130" s="16">
        <f>Cleaned_Data!N130</f>
        <v>46114</v>
      </c>
      <c r="K130" t="str">
        <f t="shared" si="10"/>
        <v>Highly Active</v>
      </c>
      <c r="L130" s="5" t="str">
        <f>IF(COUNTIF($A$2:A130,A130)&gt;1,"Duplicate","Unique")</f>
        <v>Unique</v>
      </c>
      <c r="M130" t="str">
        <f t="shared" si="11"/>
        <v>2024-09</v>
      </c>
      <c r="N130" s="2">
        <f t="shared" ca="1" si="12"/>
        <v>46114</v>
      </c>
      <c r="O130" s="4">
        <f t="shared" ca="1" si="13"/>
        <v>18</v>
      </c>
      <c r="P130" s="4">
        <f t="shared" ca="1" si="14"/>
        <v>15</v>
      </c>
      <c r="Q130">
        <f t="shared" ca="1" si="15"/>
        <v>5</v>
      </c>
      <c r="R130">
        <f t="shared" si="16"/>
        <v>4</v>
      </c>
      <c r="S130">
        <f t="shared" ca="1" si="17"/>
        <v>4</v>
      </c>
      <c r="T130" t="str">
        <f t="shared" ca="1" si="18"/>
        <v>544</v>
      </c>
      <c r="U130" t="str">
        <f t="shared" ca="1" si="19"/>
        <v>Champion</v>
      </c>
    </row>
    <row r="131" spans="1:21">
      <c r="A131" s="17" t="str">
        <f>Cleaned_Data!A131</f>
        <v>MEM0130</v>
      </c>
      <c r="B131" s="18" t="str">
        <f ca="1">Cleaned_Data!D131</f>
        <v>BR02</v>
      </c>
      <c r="C131" s="18" t="str">
        <f ca="1">Cleaned_Data!E131</f>
        <v>Premium</v>
      </c>
      <c r="D131" s="19">
        <f>Cleaned_Data!F131</f>
        <v>45625</v>
      </c>
      <c r="E131" s="19">
        <f>Cleaned_Data!G131</f>
        <v>45990</v>
      </c>
      <c r="F131" s="18">
        <f>Cleaned_Data!H131</f>
        <v>1000</v>
      </c>
      <c r="G131" s="18">
        <f ca="1">Cleaned_Data!I131</f>
        <v>12000</v>
      </c>
      <c r="H131" s="18">
        <f>Cleaned_Data!J131</f>
        <v>5</v>
      </c>
      <c r="I131" s="18" t="str">
        <f>Cleaned_Data!M131</f>
        <v>Cancelled</v>
      </c>
      <c r="J131" s="20">
        <f>Cleaned_Data!N131</f>
        <v>45637</v>
      </c>
      <c r="K131" t="str">
        <f t="shared" ref="K131:K194" si="20">IF(H131&lt;5,"At Risk",
 IF(H131&lt;15,"Moderate",
 "Highly Active"))</f>
        <v>Moderate</v>
      </c>
      <c r="L131" s="5" t="str">
        <f>IF(COUNTIF($A$2:A131,A131)&gt;1,"Duplicate","Unique")</f>
        <v>Unique</v>
      </c>
      <c r="M131" t="str">
        <f t="shared" ref="M131:M194" si="21">TEXT(D131,"YYYY-MM")</f>
        <v>2024-11</v>
      </c>
      <c r="N131" s="2">
        <f t="shared" ref="N131:N194" ca="1" si="22">IF(J131&lt;&gt;"",
    J131,
    IF(I131="Active", TODAY(), E131)
)</f>
        <v>45637</v>
      </c>
      <c r="O131" s="4">
        <f t="shared" ref="O131:O194" ca="1" si="23">IFERROR(
   IF(N131&gt;=D131,
      DATEDIF(D131, N131, "M"),
      0
   ),
   0
)</f>
        <v>0</v>
      </c>
      <c r="P131" s="4">
        <f t="shared" ref="P131:P194" ca="1" si="24">TODAY() - N131</f>
        <v>492</v>
      </c>
      <c r="Q131">
        <f t="shared" ref="Q131:Q194" ca="1" si="25">IF(P131&lt;=30,5,
 IF(P131&lt;=90,4,
 IF(P131&lt;=180,3,
 IF(P131&lt;=365,2,1))))</f>
        <v>1</v>
      </c>
      <c r="R131">
        <f t="shared" ref="R131:R194" si="26">IF(H131&gt;=20,5,
 IF(H131&gt;=15,4,
 IF(H131&gt;=10,3,
 IF(H131&gt;=5,2,1))))</f>
        <v>2</v>
      </c>
      <c r="S131">
        <f t="shared" ref="S131:S194" ca="1" si="27">IF(G131&gt;=20000,5,
 IF(G131&gt;=10000,4,
 IF(G131&gt;=5000,3,
 IF(G131&gt;=2000,2,1))))</f>
        <v>4</v>
      </c>
      <c r="T131" t="str">
        <f t="shared" ref="T131:T194" ca="1" si="28">Q131 &amp; R131 &amp; S131</f>
        <v>124</v>
      </c>
      <c r="U131" t="str">
        <f t="shared" ref="U131:U194" ca="1" si="29">IF(AND(Q131&gt;=4,R131&gt;=4,S131&gt;=4),"Champion",
 IF(AND(Q131&gt;=3,R131&gt;=3,S131&gt;=3),"Loyal",
 IF(Q131&lt;=2,"At Risk",
 "Others")))</f>
        <v>At Risk</v>
      </c>
    </row>
    <row r="132" spans="1:21">
      <c r="A132" s="13" t="str">
        <f>Cleaned_Data!A132</f>
        <v>MEM0131</v>
      </c>
      <c r="B132" s="14" t="str">
        <f ca="1">Cleaned_Data!D132</f>
        <v>BR02</v>
      </c>
      <c r="C132" s="14" t="str">
        <f ca="1">Cleaned_Data!E132</f>
        <v>Standard</v>
      </c>
      <c r="D132" s="15">
        <f>Cleaned_Data!F132</f>
        <v>45057</v>
      </c>
      <c r="E132" s="15">
        <f>Cleaned_Data!G132</f>
        <v>45087</v>
      </c>
      <c r="F132" s="14">
        <f>Cleaned_Data!H132</f>
        <v>1000</v>
      </c>
      <c r="G132" s="14">
        <f ca="1">Cleaned_Data!I132</f>
        <v>5000</v>
      </c>
      <c r="H132" s="14">
        <f>Cleaned_Data!J132</f>
        <v>19</v>
      </c>
      <c r="I132" s="14" t="str">
        <f>Cleaned_Data!M132</f>
        <v>Active</v>
      </c>
      <c r="J132" s="16">
        <f>Cleaned_Data!N132</f>
        <v>46062</v>
      </c>
      <c r="K132" t="str">
        <f t="shared" si="20"/>
        <v>Highly Active</v>
      </c>
      <c r="L132" s="5" t="str">
        <f>IF(COUNTIF($A$2:A132,A132)&gt;1,"Duplicate","Unique")</f>
        <v>Unique</v>
      </c>
      <c r="M132" t="str">
        <f t="shared" si="21"/>
        <v>2023-05</v>
      </c>
      <c r="N132" s="2">
        <f t="shared" ca="1" si="22"/>
        <v>46062</v>
      </c>
      <c r="O132" s="4">
        <f t="shared" ca="1" si="23"/>
        <v>32</v>
      </c>
      <c r="P132" s="4">
        <f t="shared" ca="1" si="24"/>
        <v>67</v>
      </c>
      <c r="Q132">
        <f t="shared" ca="1" si="25"/>
        <v>4</v>
      </c>
      <c r="R132">
        <f t="shared" si="26"/>
        <v>4</v>
      </c>
      <c r="S132">
        <f t="shared" ca="1" si="27"/>
        <v>3</v>
      </c>
      <c r="T132" t="str">
        <f t="shared" ca="1" si="28"/>
        <v>443</v>
      </c>
      <c r="U132" t="str">
        <f t="shared" ca="1" si="29"/>
        <v>Loyal</v>
      </c>
    </row>
    <row r="133" spans="1:21">
      <c r="A133" s="17" t="str">
        <f>Cleaned_Data!A133</f>
        <v>MEM0132</v>
      </c>
      <c r="B133" s="18" t="str">
        <f ca="1">Cleaned_Data!D133</f>
        <v>BR02</v>
      </c>
      <c r="C133" s="18" t="str">
        <f ca="1">Cleaned_Data!E133</f>
        <v>Premium</v>
      </c>
      <c r="D133" s="19">
        <f>Cleaned_Data!F133</f>
        <v>45708</v>
      </c>
      <c r="E133" s="19">
        <f>Cleaned_Data!G133</f>
        <v>46073</v>
      </c>
      <c r="F133" s="18">
        <f>Cleaned_Data!H133</f>
        <v>3500</v>
      </c>
      <c r="G133" s="18">
        <f ca="1">Cleaned_Data!I133</f>
        <v>28000</v>
      </c>
      <c r="H133" s="18">
        <f>Cleaned_Data!J133</f>
        <v>18</v>
      </c>
      <c r="I133" s="18" t="str">
        <f>Cleaned_Data!M133</f>
        <v>Active</v>
      </c>
      <c r="J133" s="20">
        <f>Cleaned_Data!N133</f>
        <v>45842</v>
      </c>
      <c r="K133" t="str">
        <f t="shared" si="20"/>
        <v>Highly Active</v>
      </c>
      <c r="L133" s="5" t="str">
        <f>IF(COUNTIF($A$2:A133,A133)&gt;1,"Duplicate","Unique")</f>
        <v>Unique</v>
      </c>
      <c r="M133" t="str">
        <f t="shared" si="21"/>
        <v>2025-02</v>
      </c>
      <c r="N133" s="2">
        <f t="shared" ca="1" si="22"/>
        <v>45842</v>
      </c>
      <c r="O133" s="4">
        <f t="shared" ca="1" si="23"/>
        <v>4</v>
      </c>
      <c r="P133" s="4">
        <f t="shared" ca="1" si="24"/>
        <v>287</v>
      </c>
      <c r="Q133">
        <f t="shared" ca="1" si="25"/>
        <v>2</v>
      </c>
      <c r="R133">
        <f t="shared" si="26"/>
        <v>4</v>
      </c>
      <c r="S133">
        <f t="shared" ca="1" si="27"/>
        <v>5</v>
      </c>
      <c r="T133" t="str">
        <f t="shared" ca="1" si="28"/>
        <v>245</v>
      </c>
      <c r="U133" t="str">
        <f t="shared" ca="1" si="29"/>
        <v>At Risk</v>
      </c>
    </row>
    <row r="134" spans="1:21">
      <c r="A134" s="13" t="str">
        <f>Cleaned_Data!A134</f>
        <v>MEM0133</v>
      </c>
      <c r="B134" s="14" t="str">
        <f ca="1">Cleaned_Data!D134</f>
        <v>BR05</v>
      </c>
      <c r="C134" s="14" t="str">
        <f ca="1">Cleaned_Data!E134</f>
        <v>Standard</v>
      </c>
      <c r="D134" s="15">
        <f>Cleaned_Data!F134</f>
        <v>46018</v>
      </c>
      <c r="E134" s="15">
        <f>Cleaned_Data!G134</f>
        <v>46383</v>
      </c>
      <c r="F134" s="14">
        <f>Cleaned_Data!H134</f>
        <v>3500</v>
      </c>
      <c r="G134" s="14">
        <f ca="1">Cleaned_Data!I134</f>
        <v>3500</v>
      </c>
      <c r="H134" s="14">
        <f>Cleaned_Data!J134</f>
        <v>15</v>
      </c>
      <c r="I134" s="14" t="str">
        <f>Cleaned_Data!M134</f>
        <v>Active</v>
      </c>
      <c r="J134" s="16">
        <f>Cleaned_Data!N134</f>
        <v>46099</v>
      </c>
      <c r="K134" t="str">
        <f t="shared" si="20"/>
        <v>Highly Active</v>
      </c>
      <c r="L134" s="5" t="str">
        <f>IF(COUNTIF($A$2:A134,A134)&gt;1,"Duplicate","Unique")</f>
        <v>Unique</v>
      </c>
      <c r="M134" t="str">
        <f t="shared" si="21"/>
        <v>2025-12</v>
      </c>
      <c r="N134" s="2">
        <f t="shared" ca="1" si="22"/>
        <v>46099</v>
      </c>
      <c r="O134" s="4">
        <f t="shared" ca="1" si="23"/>
        <v>2</v>
      </c>
      <c r="P134" s="4">
        <f t="shared" ca="1" si="24"/>
        <v>30</v>
      </c>
      <c r="Q134">
        <f t="shared" ca="1" si="25"/>
        <v>5</v>
      </c>
      <c r="R134">
        <f t="shared" si="26"/>
        <v>4</v>
      </c>
      <c r="S134">
        <f t="shared" ca="1" si="27"/>
        <v>2</v>
      </c>
      <c r="T134" t="str">
        <f t="shared" ca="1" si="28"/>
        <v>542</v>
      </c>
      <c r="U134" t="str">
        <f t="shared" ca="1" si="29"/>
        <v>Others</v>
      </c>
    </row>
    <row r="135" spans="1:21">
      <c r="A135" s="17" t="str">
        <f>Cleaned_Data!A135</f>
        <v>MEM0134</v>
      </c>
      <c r="B135" s="18" t="str">
        <f ca="1">Cleaned_Data!D135</f>
        <v>BR07</v>
      </c>
      <c r="C135" s="18" t="str">
        <f ca="1">Cleaned_Data!E135</f>
        <v>Standard</v>
      </c>
      <c r="D135" s="19">
        <f>Cleaned_Data!F135</f>
        <v>44987</v>
      </c>
      <c r="E135" s="19">
        <f>Cleaned_Data!G135</f>
        <v>45017</v>
      </c>
      <c r="F135" s="18">
        <f>Cleaned_Data!H135</f>
        <v>2000</v>
      </c>
      <c r="G135" s="18">
        <f ca="1">Cleaned_Data!I135</f>
        <v>16000</v>
      </c>
      <c r="H135" s="18">
        <f>Cleaned_Data!J135</f>
        <v>20</v>
      </c>
      <c r="I135" s="18" t="str">
        <f>Cleaned_Data!M135</f>
        <v>Active</v>
      </c>
      <c r="J135" s="20">
        <f>Cleaned_Data!N135</f>
        <v>45565</v>
      </c>
      <c r="K135" t="str">
        <f t="shared" si="20"/>
        <v>Highly Active</v>
      </c>
      <c r="L135" s="5" t="str">
        <f>IF(COUNTIF($A$2:A135,A135)&gt;1,"Duplicate","Unique")</f>
        <v>Unique</v>
      </c>
      <c r="M135" t="str">
        <f t="shared" si="21"/>
        <v>2023-03</v>
      </c>
      <c r="N135" s="2">
        <f t="shared" ca="1" si="22"/>
        <v>45565</v>
      </c>
      <c r="O135" s="4">
        <f t="shared" ca="1" si="23"/>
        <v>18</v>
      </c>
      <c r="P135" s="4">
        <f t="shared" ca="1" si="24"/>
        <v>564</v>
      </c>
      <c r="Q135">
        <f t="shared" ca="1" si="25"/>
        <v>1</v>
      </c>
      <c r="R135">
        <f t="shared" si="26"/>
        <v>5</v>
      </c>
      <c r="S135">
        <f t="shared" ca="1" si="27"/>
        <v>4</v>
      </c>
      <c r="T135" t="str">
        <f t="shared" ca="1" si="28"/>
        <v>154</v>
      </c>
      <c r="U135" t="str">
        <f t="shared" ca="1" si="29"/>
        <v>At Risk</v>
      </c>
    </row>
    <row r="136" spans="1:21">
      <c r="A136" s="13" t="str">
        <f>Cleaned_Data!A136</f>
        <v>MEM0135</v>
      </c>
      <c r="B136" s="14" t="str">
        <f ca="1">Cleaned_Data!D136</f>
        <v>BR06</v>
      </c>
      <c r="C136" s="14" t="str">
        <f ca="1">Cleaned_Data!E136</f>
        <v>Standard</v>
      </c>
      <c r="D136" s="15">
        <f>Cleaned_Data!F136</f>
        <v>45434</v>
      </c>
      <c r="E136" s="15">
        <f>Cleaned_Data!G136</f>
        <v>45524</v>
      </c>
      <c r="F136" s="14">
        <f>Cleaned_Data!H136</f>
        <v>2000</v>
      </c>
      <c r="G136" s="14">
        <f ca="1">Cleaned_Data!I136</f>
        <v>10000</v>
      </c>
      <c r="H136" s="14">
        <f>Cleaned_Data!J136</f>
        <v>4</v>
      </c>
      <c r="I136" s="14" t="str">
        <f>Cleaned_Data!M136</f>
        <v>Cancelled</v>
      </c>
      <c r="J136" s="16">
        <f>Cleaned_Data!N136</f>
        <v>45607</v>
      </c>
      <c r="K136" t="str">
        <f t="shared" si="20"/>
        <v>At Risk</v>
      </c>
      <c r="L136" s="5" t="str">
        <f>IF(COUNTIF($A$2:A136,A136)&gt;1,"Duplicate","Unique")</f>
        <v>Unique</v>
      </c>
      <c r="M136" t="str">
        <f t="shared" si="21"/>
        <v>2024-05</v>
      </c>
      <c r="N136" s="2">
        <f t="shared" ca="1" si="22"/>
        <v>45607</v>
      </c>
      <c r="O136" s="4">
        <f t="shared" ca="1" si="23"/>
        <v>5</v>
      </c>
      <c r="P136" s="4">
        <f t="shared" ca="1" si="24"/>
        <v>522</v>
      </c>
      <c r="Q136">
        <f t="shared" ca="1" si="25"/>
        <v>1</v>
      </c>
      <c r="R136">
        <f t="shared" si="26"/>
        <v>1</v>
      </c>
      <c r="S136">
        <f t="shared" ca="1" si="27"/>
        <v>4</v>
      </c>
      <c r="T136" t="str">
        <f t="shared" ca="1" si="28"/>
        <v>114</v>
      </c>
      <c r="U136" t="str">
        <f t="shared" ca="1" si="29"/>
        <v>At Risk</v>
      </c>
    </row>
    <row r="137" spans="1:21">
      <c r="A137" s="17" t="str">
        <f>Cleaned_Data!A137</f>
        <v>MEM0136</v>
      </c>
      <c r="B137" s="18" t="str">
        <f ca="1">Cleaned_Data!D137</f>
        <v>BR05</v>
      </c>
      <c r="C137" s="18" t="str">
        <f ca="1">Cleaned_Data!E137</f>
        <v>Standard</v>
      </c>
      <c r="D137" s="19">
        <f>Cleaned_Data!F137</f>
        <v>45356</v>
      </c>
      <c r="E137" s="19">
        <f>Cleaned_Data!G137</f>
        <v>45446</v>
      </c>
      <c r="F137" s="18">
        <f>Cleaned_Data!H137</f>
        <v>3500</v>
      </c>
      <c r="G137" s="18">
        <f ca="1">Cleaned_Data!I137</f>
        <v>14000</v>
      </c>
      <c r="H137" s="18">
        <f>Cleaned_Data!J137</f>
        <v>8</v>
      </c>
      <c r="I137" s="18" t="str">
        <f>Cleaned_Data!M137</f>
        <v>Active</v>
      </c>
      <c r="J137" s="20">
        <f>Cleaned_Data!N137</f>
        <v>45369</v>
      </c>
      <c r="K137" t="str">
        <f t="shared" si="20"/>
        <v>Moderate</v>
      </c>
      <c r="L137" s="5" t="str">
        <f>IF(COUNTIF($A$2:A137,A137)&gt;1,"Duplicate","Unique")</f>
        <v>Unique</v>
      </c>
      <c r="M137" t="str">
        <f t="shared" si="21"/>
        <v>2024-03</v>
      </c>
      <c r="N137" s="2">
        <f t="shared" ca="1" si="22"/>
        <v>45369</v>
      </c>
      <c r="O137" s="4">
        <f t="shared" ca="1" si="23"/>
        <v>0</v>
      </c>
      <c r="P137" s="4">
        <f t="shared" ca="1" si="24"/>
        <v>760</v>
      </c>
      <c r="Q137">
        <f t="shared" ca="1" si="25"/>
        <v>1</v>
      </c>
      <c r="R137">
        <f t="shared" si="26"/>
        <v>2</v>
      </c>
      <c r="S137">
        <f t="shared" ca="1" si="27"/>
        <v>4</v>
      </c>
      <c r="T137" t="str">
        <f t="shared" ca="1" si="28"/>
        <v>124</v>
      </c>
      <c r="U137" t="str">
        <f t="shared" ca="1" si="29"/>
        <v>At Risk</v>
      </c>
    </row>
    <row r="138" spans="1:21">
      <c r="A138" s="13" t="str">
        <f>Cleaned_Data!A138</f>
        <v>MEM0137</v>
      </c>
      <c r="B138" s="14" t="str">
        <f ca="1">Cleaned_Data!D138</f>
        <v>BR03</v>
      </c>
      <c r="C138" s="14" t="str">
        <f ca="1">Cleaned_Data!E138</f>
        <v>Standard</v>
      </c>
      <c r="D138" s="15">
        <f>Cleaned_Data!F138</f>
        <v>45437</v>
      </c>
      <c r="E138" s="15">
        <f>Cleaned_Data!G138</f>
        <v>45467</v>
      </c>
      <c r="F138" s="14">
        <f>Cleaned_Data!H138</f>
        <v>3500</v>
      </c>
      <c r="G138" s="14">
        <f ca="1">Cleaned_Data!I138</f>
        <v>21000</v>
      </c>
      <c r="H138" s="14">
        <f>Cleaned_Data!J138</f>
        <v>4</v>
      </c>
      <c r="I138" s="14" t="str">
        <f>Cleaned_Data!M138</f>
        <v>Active</v>
      </c>
      <c r="J138" s="16">
        <f>Cleaned_Data!N138</f>
        <v>45853</v>
      </c>
      <c r="K138" t="str">
        <f t="shared" si="20"/>
        <v>At Risk</v>
      </c>
      <c r="L138" s="5" t="str">
        <f>IF(COUNTIF($A$2:A138,A138)&gt;1,"Duplicate","Unique")</f>
        <v>Unique</v>
      </c>
      <c r="M138" t="str">
        <f t="shared" si="21"/>
        <v>2024-05</v>
      </c>
      <c r="N138" s="2">
        <f t="shared" ca="1" si="22"/>
        <v>45853</v>
      </c>
      <c r="O138" s="4">
        <f t="shared" ca="1" si="23"/>
        <v>13</v>
      </c>
      <c r="P138" s="4">
        <f t="shared" ca="1" si="24"/>
        <v>276</v>
      </c>
      <c r="Q138">
        <f t="shared" ca="1" si="25"/>
        <v>2</v>
      </c>
      <c r="R138">
        <f t="shared" si="26"/>
        <v>1</v>
      </c>
      <c r="S138">
        <f t="shared" ca="1" si="27"/>
        <v>5</v>
      </c>
      <c r="T138" t="str">
        <f t="shared" ca="1" si="28"/>
        <v>215</v>
      </c>
      <c r="U138" t="str">
        <f t="shared" ca="1" si="29"/>
        <v>At Risk</v>
      </c>
    </row>
    <row r="139" spans="1:21">
      <c r="A139" s="17" t="str">
        <f>Cleaned_Data!A139</f>
        <v>MEM0138</v>
      </c>
      <c r="B139" s="18" t="str">
        <f ca="1">Cleaned_Data!D139</f>
        <v>BR04</v>
      </c>
      <c r="C139" s="18" t="str">
        <f ca="1">Cleaned_Data!E139</f>
        <v>Standard</v>
      </c>
      <c r="D139" s="19">
        <f>Cleaned_Data!F139</f>
        <v>44992</v>
      </c>
      <c r="E139" s="19">
        <f>Cleaned_Data!G139</f>
        <v>45082</v>
      </c>
      <c r="F139" s="18">
        <f>Cleaned_Data!H139</f>
        <v>2000</v>
      </c>
      <c r="G139" s="18">
        <f ca="1">Cleaned_Data!I139</f>
        <v>16000</v>
      </c>
      <c r="H139" s="18">
        <f>Cleaned_Data!J139</f>
        <v>21</v>
      </c>
      <c r="I139" s="18" t="str">
        <f>Cleaned_Data!M139</f>
        <v>Active</v>
      </c>
      <c r="J139" s="20">
        <f>Cleaned_Data!N139</f>
        <v>45841</v>
      </c>
      <c r="K139" t="str">
        <f t="shared" si="20"/>
        <v>Highly Active</v>
      </c>
      <c r="L139" s="5" t="str">
        <f>IF(COUNTIF($A$2:A139,A139)&gt;1,"Duplicate","Unique")</f>
        <v>Unique</v>
      </c>
      <c r="M139" t="str">
        <f t="shared" si="21"/>
        <v>2023-03</v>
      </c>
      <c r="N139" s="2">
        <f t="shared" ca="1" si="22"/>
        <v>45841</v>
      </c>
      <c r="O139" s="4">
        <f t="shared" ca="1" si="23"/>
        <v>27</v>
      </c>
      <c r="P139" s="4">
        <f t="shared" ca="1" si="24"/>
        <v>288</v>
      </c>
      <c r="Q139">
        <f t="shared" ca="1" si="25"/>
        <v>2</v>
      </c>
      <c r="R139">
        <f t="shared" si="26"/>
        <v>5</v>
      </c>
      <c r="S139">
        <f t="shared" ca="1" si="27"/>
        <v>4</v>
      </c>
      <c r="T139" t="str">
        <f t="shared" ca="1" si="28"/>
        <v>254</v>
      </c>
      <c r="U139" t="str">
        <f t="shared" ca="1" si="29"/>
        <v>At Risk</v>
      </c>
    </row>
    <row r="140" spans="1:21">
      <c r="A140" s="13" t="str">
        <f>Cleaned_Data!A140</f>
        <v>MEM0139</v>
      </c>
      <c r="B140" s="14" t="str">
        <f ca="1">Cleaned_Data!D140</f>
        <v>BR02</v>
      </c>
      <c r="C140" s="14" t="str">
        <f ca="1">Cleaned_Data!E140</f>
        <v>Basic</v>
      </c>
      <c r="D140" s="15">
        <f>Cleaned_Data!F140</f>
        <v>45180</v>
      </c>
      <c r="E140" s="15">
        <f>Cleaned_Data!G140</f>
        <v>45210</v>
      </c>
      <c r="F140" s="14">
        <f>Cleaned_Data!H140</f>
        <v>3500</v>
      </c>
      <c r="G140" s="14">
        <f ca="1">Cleaned_Data!I140</f>
        <v>38500</v>
      </c>
      <c r="H140" s="14">
        <f>Cleaned_Data!J140</f>
        <v>10</v>
      </c>
      <c r="I140" s="14" t="str">
        <f>Cleaned_Data!M140</f>
        <v>Active</v>
      </c>
      <c r="J140" s="16">
        <f>Cleaned_Data!N140</f>
        <v>46107</v>
      </c>
      <c r="K140" t="str">
        <f t="shared" si="20"/>
        <v>Moderate</v>
      </c>
      <c r="L140" s="5" t="str">
        <f>IF(COUNTIF($A$2:A140,A140)&gt;1,"Duplicate","Unique")</f>
        <v>Unique</v>
      </c>
      <c r="M140" t="str">
        <f t="shared" si="21"/>
        <v>2023-09</v>
      </c>
      <c r="N140" s="2">
        <f t="shared" ca="1" si="22"/>
        <v>46107</v>
      </c>
      <c r="O140" s="4">
        <f t="shared" ca="1" si="23"/>
        <v>30</v>
      </c>
      <c r="P140" s="4">
        <f t="shared" ca="1" si="24"/>
        <v>22</v>
      </c>
      <c r="Q140">
        <f t="shared" ca="1" si="25"/>
        <v>5</v>
      </c>
      <c r="R140">
        <f t="shared" si="26"/>
        <v>3</v>
      </c>
      <c r="S140">
        <f t="shared" ca="1" si="27"/>
        <v>5</v>
      </c>
      <c r="T140" t="str">
        <f t="shared" ca="1" si="28"/>
        <v>535</v>
      </c>
      <c r="U140" t="str">
        <f t="shared" ca="1" si="29"/>
        <v>Loyal</v>
      </c>
    </row>
    <row r="141" spans="1:21">
      <c r="A141" s="17" t="str">
        <f>Cleaned_Data!A141</f>
        <v>MEM0140</v>
      </c>
      <c r="B141" s="18" t="str">
        <f ca="1">Cleaned_Data!D141</f>
        <v>BR04</v>
      </c>
      <c r="C141" s="18" t="str">
        <f ca="1">Cleaned_Data!E141</f>
        <v>Basic</v>
      </c>
      <c r="D141" s="19">
        <f>Cleaned_Data!F141</f>
        <v>44993</v>
      </c>
      <c r="E141" s="19">
        <f>Cleaned_Data!G141</f>
        <v>45083</v>
      </c>
      <c r="F141" s="18">
        <f>Cleaned_Data!H141</f>
        <v>1000</v>
      </c>
      <c r="G141" s="18">
        <f ca="1">Cleaned_Data!I141</f>
        <v>11000</v>
      </c>
      <c r="H141" s="18">
        <f>Cleaned_Data!J141</f>
        <v>4</v>
      </c>
      <c r="I141" s="18" t="str">
        <f>Cleaned_Data!M141</f>
        <v>Cancelled</v>
      </c>
      <c r="J141" s="20">
        <f>Cleaned_Data!N141</f>
        <v>46115</v>
      </c>
      <c r="K141" t="str">
        <f t="shared" si="20"/>
        <v>At Risk</v>
      </c>
      <c r="L141" s="5" t="str">
        <f>IF(COUNTIF($A$2:A141,A141)&gt;1,"Duplicate","Unique")</f>
        <v>Unique</v>
      </c>
      <c r="M141" t="str">
        <f t="shared" si="21"/>
        <v>2023-03</v>
      </c>
      <c r="N141" s="2">
        <f t="shared" ca="1" si="22"/>
        <v>46115</v>
      </c>
      <c r="O141" s="4">
        <f t="shared" ca="1" si="23"/>
        <v>36</v>
      </c>
      <c r="P141" s="4">
        <f t="shared" ca="1" si="24"/>
        <v>14</v>
      </c>
      <c r="Q141">
        <f t="shared" ca="1" si="25"/>
        <v>5</v>
      </c>
      <c r="R141">
        <f t="shared" si="26"/>
        <v>1</v>
      </c>
      <c r="S141">
        <f t="shared" ca="1" si="27"/>
        <v>4</v>
      </c>
      <c r="T141" t="str">
        <f t="shared" ca="1" si="28"/>
        <v>514</v>
      </c>
      <c r="U141" t="str">
        <f t="shared" ca="1" si="29"/>
        <v>Others</v>
      </c>
    </row>
    <row r="142" spans="1:21">
      <c r="A142" s="13" t="str">
        <f>Cleaned_Data!A142</f>
        <v>MEM0141</v>
      </c>
      <c r="B142" s="14" t="str">
        <f ca="1">Cleaned_Data!D142</f>
        <v>BR06</v>
      </c>
      <c r="C142" s="14" t="str">
        <f ca="1">Cleaned_Data!E142</f>
        <v>Basic</v>
      </c>
      <c r="D142" s="15">
        <f>Cleaned_Data!F142</f>
        <v>45193</v>
      </c>
      <c r="E142" s="15">
        <f>Cleaned_Data!G142</f>
        <v>45283</v>
      </c>
      <c r="F142" s="14">
        <f>Cleaned_Data!H142</f>
        <v>3500</v>
      </c>
      <c r="G142" s="14">
        <f ca="1">Cleaned_Data!I142</f>
        <v>10500</v>
      </c>
      <c r="H142" s="14">
        <f>Cleaned_Data!J142</f>
        <v>1</v>
      </c>
      <c r="I142" s="14" t="str">
        <f>Cleaned_Data!M142</f>
        <v>Cancelled</v>
      </c>
      <c r="J142" s="16">
        <f>Cleaned_Data!N142</f>
        <v>45252</v>
      </c>
      <c r="K142" t="str">
        <f t="shared" si="20"/>
        <v>At Risk</v>
      </c>
      <c r="L142" s="5" t="str">
        <f>IF(COUNTIF($A$2:A142,A142)&gt;1,"Duplicate","Unique")</f>
        <v>Unique</v>
      </c>
      <c r="M142" t="str">
        <f t="shared" si="21"/>
        <v>2023-09</v>
      </c>
      <c r="N142" s="2">
        <f t="shared" ca="1" si="22"/>
        <v>45252</v>
      </c>
      <c r="O142" s="4">
        <f t="shared" ca="1" si="23"/>
        <v>1</v>
      </c>
      <c r="P142" s="4">
        <f t="shared" ca="1" si="24"/>
        <v>877</v>
      </c>
      <c r="Q142">
        <f t="shared" ca="1" si="25"/>
        <v>1</v>
      </c>
      <c r="R142">
        <f t="shared" si="26"/>
        <v>1</v>
      </c>
      <c r="S142">
        <f t="shared" ca="1" si="27"/>
        <v>4</v>
      </c>
      <c r="T142" t="str">
        <f t="shared" ca="1" si="28"/>
        <v>114</v>
      </c>
      <c r="U142" t="str">
        <f t="shared" ca="1" si="29"/>
        <v>At Risk</v>
      </c>
    </row>
    <row r="143" spans="1:21">
      <c r="A143" s="17" t="str">
        <f>Cleaned_Data!A143</f>
        <v>MEM0142</v>
      </c>
      <c r="B143" s="18" t="str">
        <f ca="1">Cleaned_Data!D143</f>
        <v>BR02</v>
      </c>
      <c r="C143" s="18" t="str">
        <f ca="1">Cleaned_Data!E143</f>
        <v>Basic</v>
      </c>
      <c r="D143" s="19">
        <f>Cleaned_Data!F143</f>
        <v>45396</v>
      </c>
      <c r="E143" s="19">
        <f>Cleaned_Data!G143</f>
        <v>45426</v>
      </c>
      <c r="F143" s="18">
        <f>Cleaned_Data!H143</f>
        <v>3500</v>
      </c>
      <c r="G143" s="18">
        <f ca="1">Cleaned_Data!I143</f>
        <v>42000</v>
      </c>
      <c r="H143" s="18">
        <f>Cleaned_Data!J143</f>
        <v>9</v>
      </c>
      <c r="I143" s="18" t="str">
        <f>Cleaned_Data!M143</f>
        <v>Active</v>
      </c>
      <c r="J143" s="20">
        <f>Cleaned_Data!N143</f>
        <v>45716</v>
      </c>
      <c r="K143" t="str">
        <f t="shared" si="20"/>
        <v>Moderate</v>
      </c>
      <c r="L143" s="5" t="str">
        <f>IF(COUNTIF($A$2:A143,A143)&gt;1,"Duplicate","Unique")</f>
        <v>Unique</v>
      </c>
      <c r="M143" t="str">
        <f t="shared" si="21"/>
        <v>2024-04</v>
      </c>
      <c r="N143" s="2">
        <f t="shared" ca="1" si="22"/>
        <v>45716</v>
      </c>
      <c r="O143" s="4">
        <f t="shared" ca="1" si="23"/>
        <v>10</v>
      </c>
      <c r="P143" s="4">
        <f t="shared" ca="1" si="24"/>
        <v>413</v>
      </c>
      <c r="Q143">
        <f t="shared" ca="1" si="25"/>
        <v>1</v>
      </c>
      <c r="R143">
        <f t="shared" si="26"/>
        <v>2</v>
      </c>
      <c r="S143">
        <f t="shared" ca="1" si="27"/>
        <v>5</v>
      </c>
      <c r="T143" t="str">
        <f t="shared" ca="1" si="28"/>
        <v>125</v>
      </c>
      <c r="U143" t="str">
        <f t="shared" ca="1" si="29"/>
        <v>At Risk</v>
      </c>
    </row>
    <row r="144" spans="1:21">
      <c r="A144" s="13" t="str">
        <f>Cleaned_Data!A144</f>
        <v>MEM0143</v>
      </c>
      <c r="B144" s="14" t="str">
        <f ca="1">Cleaned_Data!D144</f>
        <v>BR05</v>
      </c>
      <c r="C144" s="14" t="str">
        <f ca="1">Cleaned_Data!E144</f>
        <v>Premium</v>
      </c>
      <c r="D144" s="15">
        <f>Cleaned_Data!F144</f>
        <v>45977</v>
      </c>
      <c r="E144" s="15">
        <f>Cleaned_Data!G144</f>
        <v>46007</v>
      </c>
      <c r="F144" s="14">
        <f>Cleaned_Data!H144</f>
        <v>3500</v>
      </c>
      <c r="G144" s="14">
        <f ca="1">Cleaned_Data!I144</f>
        <v>38500</v>
      </c>
      <c r="H144" s="14">
        <f>Cleaned_Data!J144</f>
        <v>21</v>
      </c>
      <c r="I144" s="14" t="str">
        <f>Cleaned_Data!M144</f>
        <v>Active</v>
      </c>
      <c r="J144" s="16">
        <f>Cleaned_Data!N144</f>
        <v>46071</v>
      </c>
      <c r="K144" t="str">
        <f t="shared" si="20"/>
        <v>Highly Active</v>
      </c>
      <c r="L144" s="5" t="str">
        <f>IF(COUNTIF($A$2:A144,A144)&gt;1,"Duplicate","Unique")</f>
        <v>Unique</v>
      </c>
      <c r="M144" t="str">
        <f t="shared" si="21"/>
        <v>2025-11</v>
      </c>
      <c r="N144" s="2">
        <f t="shared" ca="1" si="22"/>
        <v>46071</v>
      </c>
      <c r="O144" s="4">
        <f t="shared" ca="1" si="23"/>
        <v>3</v>
      </c>
      <c r="P144" s="4">
        <f t="shared" ca="1" si="24"/>
        <v>58</v>
      </c>
      <c r="Q144">
        <f t="shared" ca="1" si="25"/>
        <v>4</v>
      </c>
      <c r="R144">
        <f t="shared" si="26"/>
        <v>5</v>
      </c>
      <c r="S144">
        <f t="shared" ca="1" si="27"/>
        <v>5</v>
      </c>
      <c r="T144" t="str">
        <f t="shared" ca="1" si="28"/>
        <v>455</v>
      </c>
      <c r="U144" t="str">
        <f t="shared" ca="1" si="29"/>
        <v>Champion</v>
      </c>
    </row>
    <row r="145" spans="1:21">
      <c r="A145" s="17" t="str">
        <f>Cleaned_Data!A145</f>
        <v>MEM0144</v>
      </c>
      <c r="B145" s="18" t="str">
        <f ca="1">Cleaned_Data!D145</f>
        <v>BR03</v>
      </c>
      <c r="C145" s="18" t="str">
        <f ca="1">Cleaned_Data!E145</f>
        <v>Basic</v>
      </c>
      <c r="D145" s="19">
        <f>Cleaned_Data!F145</f>
        <v>45722</v>
      </c>
      <c r="E145" s="19">
        <f>Cleaned_Data!G145</f>
        <v>45812</v>
      </c>
      <c r="F145" s="18">
        <f>Cleaned_Data!H145</f>
        <v>2000</v>
      </c>
      <c r="G145" s="18">
        <f ca="1">Cleaned_Data!I145</f>
        <v>4000</v>
      </c>
      <c r="H145" s="18">
        <f>Cleaned_Data!J145</f>
        <v>15</v>
      </c>
      <c r="I145" s="18" t="str">
        <f>Cleaned_Data!M145</f>
        <v>Active</v>
      </c>
      <c r="J145" s="20">
        <f>Cleaned_Data!N145</f>
        <v>45954</v>
      </c>
      <c r="K145" t="str">
        <f t="shared" si="20"/>
        <v>Highly Active</v>
      </c>
      <c r="L145" s="5" t="str">
        <f>IF(COUNTIF($A$2:A145,A145)&gt;1,"Duplicate","Unique")</f>
        <v>Unique</v>
      </c>
      <c r="M145" t="str">
        <f t="shared" si="21"/>
        <v>2025-03</v>
      </c>
      <c r="N145" s="2">
        <f t="shared" ca="1" si="22"/>
        <v>45954</v>
      </c>
      <c r="O145" s="4">
        <f t="shared" ca="1" si="23"/>
        <v>7</v>
      </c>
      <c r="P145" s="4">
        <f t="shared" ca="1" si="24"/>
        <v>175</v>
      </c>
      <c r="Q145">
        <f t="shared" ca="1" si="25"/>
        <v>3</v>
      </c>
      <c r="R145">
        <f t="shared" si="26"/>
        <v>4</v>
      </c>
      <c r="S145">
        <f t="shared" ca="1" si="27"/>
        <v>2</v>
      </c>
      <c r="T145" t="str">
        <f t="shared" ca="1" si="28"/>
        <v>342</v>
      </c>
      <c r="U145" t="str">
        <f t="shared" ca="1" si="29"/>
        <v>Others</v>
      </c>
    </row>
    <row r="146" spans="1:21">
      <c r="A146" s="13" t="str">
        <f>Cleaned_Data!A146</f>
        <v>MEM0145</v>
      </c>
      <c r="B146" s="14" t="str">
        <f ca="1">Cleaned_Data!D146</f>
        <v>BR01</v>
      </c>
      <c r="C146" s="14" t="str">
        <f ca="1">Cleaned_Data!E146</f>
        <v>Basic</v>
      </c>
      <c r="D146" s="15">
        <f>Cleaned_Data!F146</f>
        <v>45285</v>
      </c>
      <c r="E146" s="15">
        <f>Cleaned_Data!G146</f>
        <v>45650</v>
      </c>
      <c r="F146" s="14">
        <f>Cleaned_Data!H146</f>
        <v>2000</v>
      </c>
      <c r="G146" s="14">
        <f ca="1">Cleaned_Data!I146</f>
        <v>6000</v>
      </c>
      <c r="H146" s="14">
        <f>Cleaned_Data!J146</f>
        <v>16</v>
      </c>
      <c r="I146" s="14" t="str">
        <f>Cleaned_Data!M146</f>
        <v>Active</v>
      </c>
      <c r="J146" s="16">
        <f>Cleaned_Data!N146</f>
        <v>45728</v>
      </c>
      <c r="K146" t="str">
        <f t="shared" si="20"/>
        <v>Highly Active</v>
      </c>
      <c r="L146" s="5" t="str">
        <f>IF(COUNTIF($A$2:A146,A146)&gt;1,"Duplicate","Unique")</f>
        <v>Unique</v>
      </c>
      <c r="M146" t="str">
        <f t="shared" si="21"/>
        <v>2023-12</v>
      </c>
      <c r="N146" s="2">
        <f t="shared" ca="1" si="22"/>
        <v>45728</v>
      </c>
      <c r="O146" s="4">
        <f t="shared" ca="1" si="23"/>
        <v>14</v>
      </c>
      <c r="P146" s="4">
        <f t="shared" ca="1" si="24"/>
        <v>401</v>
      </c>
      <c r="Q146">
        <f t="shared" ca="1" si="25"/>
        <v>1</v>
      </c>
      <c r="R146">
        <f t="shared" si="26"/>
        <v>4</v>
      </c>
      <c r="S146">
        <f t="shared" ca="1" si="27"/>
        <v>3</v>
      </c>
      <c r="T146" t="str">
        <f t="shared" ca="1" si="28"/>
        <v>143</v>
      </c>
      <c r="U146" t="str">
        <f t="shared" ca="1" si="29"/>
        <v>At Risk</v>
      </c>
    </row>
    <row r="147" spans="1:21">
      <c r="A147" s="17" t="str">
        <f>Cleaned_Data!A147</f>
        <v>MEM0146</v>
      </c>
      <c r="B147" s="18" t="str">
        <f ca="1">Cleaned_Data!D147</f>
        <v>BR07</v>
      </c>
      <c r="C147" s="18" t="str">
        <f ca="1">Cleaned_Data!E147</f>
        <v>Standard</v>
      </c>
      <c r="D147" s="19">
        <f>Cleaned_Data!F147</f>
        <v>45543</v>
      </c>
      <c r="E147" s="19">
        <f>Cleaned_Data!G147</f>
        <v>45633</v>
      </c>
      <c r="F147" s="18">
        <f>Cleaned_Data!H147</f>
        <v>1000</v>
      </c>
      <c r="G147" s="18">
        <f ca="1">Cleaned_Data!I147</f>
        <v>6000</v>
      </c>
      <c r="H147" s="18">
        <f>Cleaned_Data!J147</f>
        <v>25</v>
      </c>
      <c r="I147" s="18" t="str">
        <f>Cleaned_Data!M147</f>
        <v>Active</v>
      </c>
      <c r="J147" s="20">
        <f>Cleaned_Data!N147</f>
        <v>46074</v>
      </c>
      <c r="K147" t="str">
        <f t="shared" si="20"/>
        <v>Highly Active</v>
      </c>
      <c r="L147" s="5" t="str">
        <f>IF(COUNTIF($A$2:A147,A147)&gt;1,"Duplicate","Unique")</f>
        <v>Unique</v>
      </c>
      <c r="M147" t="str">
        <f t="shared" si="21"/>
        <v>2024-09</v>
      </c>
      <c r="N147" s="2">
        <f t="shared" ca="1" si="22"/>
        <v>46074</v>
      </c>
      <c r="O147" s="4">
        <f t="shared" ca="1" si="23"/>
        <v>17</v>
      </c>
      <c r="P147" s="4">
        <f t="shared" ca="1" si="24"/>
        <v>55</v>
      </c>
      <c r="Q147">
        <f t="shared" ca="1" si="25"/>
        <v>4</v>
      </c>
      <c r="R147">
        <f t="shared" si="26"/>
        <v>5</v>
      </c>
      <c r="S147">
        <f t="shared" ca="1" si="27"/>
        <v>3</v>
      </c>
      <c r="T147" t="str">
        <f t="shared" ca="1" si="28"/>
        <v>453</v>
      </c>
      <c r="U147" t="str">
        <f t="shared" ca="1" si="29"/>
        <v>Loyal</v>
      </c>
    </row>
    <row r="148" spans="1:21">
      <c r="A148" s="13" t="str">
        <f>Cleaned_Data!A148</f>
        <v>MEM0147</v>
      </c>
      <c r="B148" s="14" t="str">
        <f ca="1">Cleaned_Data!D148</f>
        <v>BR06</v>
      </c>
      <c r="C148" s="14" t="str">
        <f ca="1">Cleaned_Data!E148</f>
        <v>Premium</v>
      </c>
      <c r="D148" s="15">
        <f>Cleaned_Data!F148</f>
        <v>45986</v>
      </c>
      <c r="E148" s="15">
        <f>Cleaned_Data!G148</f>
        <v>46016</v>
      </c>
      <c r="F148" s="14">
        <f>Cleaned_Data!H148</f>
        <v>2000</v>
      </c>
      <c r="G148" s="14">
        <f ca="1">Cleaned_Data!I148</f>
        <v>2000</v>
      </c>
      <c r="H148" s="14">
        <f>Cleaned_Data!J148</f>
        <v>10</v>
      </c>
      <c r="I148" s="14" t="str">
        <f>Cleaned_Data!M148</f>
        <v>Cancelled</v>
      </c>
      <c r="J148" s="16">
        <f>Cleaned_Data!N148</f>
        <v>46000</v>
      </c>
      <c r="K148" t="str">
        <f t="shared" si="20"/>
        <v>Moderate</v>
      </c>
      <c r="L148" s="5" t="str">
        <f>IF(COUNTIF($A$2:A148,A148)&gt;1,"Duplicate","Unique")</f>
        <v>Unique</v>
      </c>
      <c r="M148" t="str">
        <f t="shared" si="21"/>
        <v>2025-11</v>
      </c>
      <c r="N148" s="2">
        <f t="shared" ca="1" si="22"/>
        <v>46000</v>
      </c>
      <c r="O148" s="4">
        <f t="shared" ca="1" si="23"/>
        <v>0</v>
      </c>
      <c r="P148" s="4">
        <f t="shared" ca="1" si="24"/>
        <v>129</v>
      </c>
      <c r="Q148">
        <f t="shared" ca="1" si="25"/>
        <v>3</v>
      </c>
      <c r="R148">
        <f t="shared" si="26"/>
        <v>3</v>
      </c>
      <c r="S148">
        <f t="shared" ca="1" si="27"/>
        <v>2</v>
      </c>
      <c r="T148" t="str">
        <f t="shared" ca="1" si="28"/>
        <v>332</v>
      </c>
      <c r="U148" t="str">
        <f t="shared" ca="1" si="29"/>
        <v>Others</v>
      </c>
    </row>
    <row r="149" spans="1:21">
      <c r="A149" s="17" t="str">
        <f>Cleaned_Data!A149</f>
        <v>MEM0148</v>
      </c>
      <c r="B149" s="18" t="str">
        <f ca="1">Cleaned_Data!D149</f>
        <v>BR07</v>
      </c>
      <c r="C149" s="18" t="str">
        <f ca="1">Cleaned_Data!E149</f>
        <v>Basic</v>
      </c>
      <c r="D149" s="19">
        <f>Cleaned_Data!F149</f>
        <v>45483</v>
      </c>
      <c r="E149" s="19">
        <f>Cleaned_Data!G149</f>
        <v>45573</v>
      </c>
      <c r="F149" s="18">
        <f>Cleaned_Data!H149</f>
        <v>3500</v>
      </c>
      <c r="G149" s="18">
        <f ca="1">Cleaned_Data!I149</f>
        <v>35000</v>
      </c>
      <c r="H149" s="18">
        <f>Cleaned_Data!J149</f>
        <v>19</v>
      </c>
      <c r="I149" s="18" t="str">
        <f>Cleaned_Data!M149</f>
        <v>Active</v>
      </c>
      <c r="J149" s="20">
        <f>Cleaned_Data!N149</f>
        <v>45838</v>
      </c>
      <c r="K149" t="str">
        <f t="shared" si="20"/>
        <v>Highly Active</v>
      </c>
      <c r="L149" s="5" t="str">
        <f>IF(COUNTIF($A$2:A149,A149)&gt;1,"Duplicate","Unique")</f>
        <v>Unique</v>
      </c>
      <c r="M149" t="str">
        <f t="shared" si="21"/>
        <v>2024-07</v>
      </c>
      <c r="N149" s="2">
        <f t="shared" ca="1" si="22"/>
        <v>45838</v>
      </c>
      <c r="O149" s="4">
        <f t="shared" ca="1" si="23"/>
        <v>11</v>
      </c>
      <c r="P149" s="4">
        <f t="shared" ca="1" si="24"/>
        <v>291</v>
      </c>
      <c r="Q149">
        <f t="shared" ca="1" si="25"/>
        <v>2</v>
      </c>
      <c r="R149">
        <f t="shared" si="26"/>
        <v>4</v>
      </c>
      <c r="S149">
        <f t="shared" ca="1" si="27"/>
        <v>5</v>
      </c>
      <c r="T149" t="str">
        <f t="shared" ca="1" si="28"/>
        <v>245</v>
      </c>
      <c r="U149" t="str">
        <f t="shared" ca="1" si="29"/>
        <v>At Risk</v>
      </c>
    </row>
    <row r="150" spans="1:21">
      <c r="A150" s="13" t="str">
        <f>Cleaned_Data!A150</f>
        <v>MEM0149</v>
      </c>
      <c r="B150" s="14" t="str">
        <f ca="1">Cleaned_Data!D150</f>
        <v>BR05</v>
      </c>
      <c r="C150" s="14" t="str">
        <f ca="1">Cleaned_Data!E150</f>
        <v>Premium</v>
      </c>
      <c r="D150" s="15">
        <f>Cleaned_Data!F150</f>
        <v>45337</v>
      </c>
      <c r="E150" s="15">
        <f>Cleaned_Data!G150</f>
        <v>45427</v>
      </c>
      <c r="F150" s="14">
        <f>Cleaned_Data!H150</f>
        <v>3500</v>
      </c>
      <c r="G150" s="14">
        <f ca="1">Cleaned_Data!I150</f>
        <v>31500</v>
      </c>
      <c r="H150" s="14">
        <f>Cleaned_Data!J150</f>
        <v>17</v>
      </c>
      <c r="I150" s="14" t="str">
        <f>Cleaned_Data!M150</f>
        <v>Active</v>
      </c>
      <c r="J150" s="16">
        <f>Cleaned_Data!N150</f>
        <v>45586</v>
      </c>
      <c r="K150" t="str">
        <f t="shared" si="20"/>
        <v>Highly Active</v>
      </c>
      <c r="L150" s="5" t="str">
        <f>IF(COUNTIF($A$2:A150,A150)&gt;1,"Duplicate","Unique")</f>
        <v>Unique</v>
      </c>
      <c r="M150" t="str">
        <f t="shared" si="21"/>
        <v>2024-02</v>
      </c>
      <c r="N150" s="2">
        <f t="shared" ca="1" si="22"/>
        <v>45586</v>
      </c>
      <c r="O150" s="4">
        <f t="shared" ca="1" si="23"/>
        <v>8</v>
      </c>
      <c r="P150" s="4">
        <f t="shared" ca="1" si="24"/>
        <v>543</v>
      </c>
      <c r="Q150">
        <f t="shared" ca="1" si="25"/>
        <v>1</v>
      </c>
      <c r="R150">
        <f t="shared" si="26"/>
        <v>4</v>
      </c>
      <c r="S150">
        <f t="shared" ca="1" si="27"/>
        <v>5</v>
      </c>
      <c r="T150" t="str">
        <f t="shared" ca="1" si="28"/>
        <v>145</v>
      </c>
      <c r="U150" t="str">
        <f t="shared" ca="1" si="29"/>
        <v>At Risk</v>
      </c>
    </row>
    <row r="151" spans="1:21">
      <c r="A151" s="17" t="str">
        <f>Cleaned_Data!A151</f>
        <v>MEM0150</v>
      </c>
      <c r="B151" s="18" t="str">
        <f ca="1">Cleaned_Data!D151</f>
        <v>BR04</v>
      </c>
      <c r="C151" s="18" t="str">
        <f ca="1">Cleaned_Data!E151</f>
        <v>Premium</v>
      </c>
      <c r="D151" s="19">
        <f>Cleaned_Data!F151</f>
        <v>45354</v>
      </c>
      <c r="E151" s="19">
        <f>Cleaned_Data!G151</f>
        <v>45384</v>
      </c>
      <c r="F151" s="18">
        <f>Cleaned_Data!H151</f>
        <v>3500</v>
      </c>
      <c r="G151" s="18">
        <f ca="1">Cleaned_Data!I151</f>
        <v>7000</v>
      </c>
      <c r="H151" s="18">
        <f>Cleaned_Data!J151</f>
        <v>11</v>
      </c>
      <c r="I151" s="18" t="str">
        <f>Cleaned_Data!M151</f>
        <v>Active</v>
      </c>
      <c r="J151" s="20">
        <f>Cleaned_Data!N151</f>
        <v>45378</v>
      </c>
      <c r="K151" t="str">
        <f t="shared" si="20"/>
        <v>Moderate</v>
      </c>
      <c r="L151" s="5" t="str">
        <f>IF(COUNTIF($A$2:A151,A151)&gt;1,"Duplicate","Unique")</f>
        <v>Unique</v>
      </c>
      <c r="M151" t="str">
        <f t="shared" si="21"/>
        <v>2024-03</v>
      </c>
      <c r="N151" s="2">
        <f t="shared" ca="1" si="22"/>
        <v>45378</v>
      </c>
      <c r="O151" s="4">
        <f t="shared" ca="1" si="23"/>
        <v>0</v>
      </c>
      <c r="P151" s="4">
        <f t="shared" ca="1" si="24"/>
        <v>751</v>
      </c>
      <c r="Q151">
        <f t="shared" ca="1" si="25"/>
        <v>1</v>
      </c>
      <c r="R151">
        <f t="shared" si="26"/>
        <v>3</v>
      </c>
      <c r="S151">
        <f t="shared" ca="1" si="27"/>
        <v>3</v>
      </c>
      <c r="T151" t="str">
        <f t="shared" ca="1" si="28"/>
        <v>133</v>
      </c>
      <c r="U151" t="str">
        <f t="shared" ca="1" si="29"/>
        <v>At Risk</v>
      </c>
    </row>
    <row r="152" spans="1:21">
      <c r="A152" s="13" t="str">
        <f>Cleaned_Data!A152</f>
        <v>MEM0151</v>
      </c>
      <c r="B152" s="14" t="str">
        <f ca="1">Cleaned_Data!D152</f>
        <v>BR07</v>
      </c>
      <c r="C152" s="14" t="str">
        <f ca="1">Cleaned_Data!E152</f>
        <v>Premium</v>
      </c>
      <c r="D152" s="15">
        <f>Cleaned_Data!F152</f>
        <v>45763</v>
      </c>
      <c r="E152" s="15">
        <f>Cleaned_Data!G152</f>
        <v>46128</v>
      </c>
      <c r="F152" s="14">
        <f>Cleaned_Data!H152</f>
        <v>3500</v>
      </c>
      <c r="G152" s="14">
        <f ca="1">Cleaned_Data!I152</f>
        <v>38500</v>
      </c>
      <c r="H152" s="14">
        <f>Cleaned_Data!J152</f>
        <v>3</v>
      </c>
      <c r="I152" s="14" t="str">
        <f>Cleaned_Data!M152</f>
        <v>Cancelled</v>
      </c>
      <c r="J152" s="16">
        <f>Cleaned_Data!N152</f>
        <v>45779</v>
      </c>
      <c r="K152" t="str">
        <f t="shared" si="20"/>
        <v>At Risk</v>
      </c>
      <c r="L152" s="5" t="str">
        <f>IF(COUNTIF($A$2:A152,A152)&gt;1,"Duplicate","Unique")</f>
        <v>Unique</v>
      </c>
      <c r="M152" t="str">
        <f t="shared" si="21"/>
        <v>2025-04</v>
      </c>
      <c r="N152" s="2">
        <f t="shared" ca="1" si="22"/>
        <v>45779</v>
      </c>
      <c r="O152" s="4">
        <f t="shared" ca="1" si="23"/>
        <v>0</v>
      </c>
      <c r="P152" s="4">
        <f t="shared" ca="1" si="24"/>
        <v>350</v>
      </c>
      <c r="Q152">
        <f t="shared" ca="1" si="25"/>
        <v>2</v>
      </c>
      <c r="R152">
        <f t="shared" si="26"/>
        <v>1</v>
      </c>
      <c r="S152">
        <f t="shared" ca="1" si="27"/>
        <v>5</v>
      </c>
      <c r="T152" t="str">
        <f t="shared" ca="1" si="28"/>
        <v>215</v>
      </c>
      <c r="U152" t="str">
        <f t="shared" ca="1" si="29"/>
        <v>At Risk</v>
      </c>
    </row>
    <row r="153" spans="1:21">
      <c r="A153" s="17" t="str">
        <f>Cleaned_Data!A153</f>
        <v>MEM0152</v>
      </c>
      <c r="B153" s="18" t="str">
        <f ca="1">Cleaned_Data!D153</f>
        <v>BR02</v>
      </c>
      <c r="C153" s="18" t="str">
        <f ca="1">Cleaned_Data!E153</f>
        <v>Premium</v>
      </c>
      <c r="D153" s="19">
        <f>Cleaned_Data!F153</f>
        <v>45768</v>
      </c>
      <c r="E153" s="19">
        <f>Cleaned_Data!G153</f>
        <v>45798</v>
      </c>
      <c r="F153" s="18">
        <f>Cleaned_Data!H153</f>
        <v>1000</v>
      </c>
      <c r="G153" s="18">
        <f ca="1">Cleaned_Data!I153</f>
        <v>5000</v>
      </c>
      <c r="H153" s="18">
        <f>Cleaned_Data!J153</f>
        <v>16</v>
      </c>
      <c r="I153" s="18" t="str">
        <f>Cleaned_Data!M153</f>
        <v>Active</v>
      </c>
      <c r="J153" s="20">
        <f>Cleaned_Data!N153</f>
        <v>46085</v>
      </c>
      <c r="K153" t="str">
        <f t="shared" si="20"/>
        <v>Highly Active</v>
      </c>
      <c r="L153" s="5" t="str">
        <f>IF(COUNTIF($A$2:A153,A153)&gt;1,"Duplicate","Unique")</f>
        <v>Unique</v>
      </c>
      <c r="M153" t="str">
        <f t="shared" si="21"/>
        <v>2025-04</v>
      </c>
      <c r="N153" s="2">
        <f t="shared" ca="1" si="22"/>
        <v>46085</v>
      </c>
      <c r="O153" s="4">
        <f t="shared" ca="1" si="23"/>
        <v>10</v>
      </c>
      <c r="P153" s="4">
        <f t="shared" ca="1" si="24"/>
        <v>44</v>
      </c>
      <c r="Q153">
        <f t="shared" ca="1" si="25"/>
        <v>4</v>
      </c>
      <c r="R153">
        <f t="shared" si="26"/>
        <v>4</v>
      </c>
      <c r="S153">
        <f t="shared" ca="1" si="27"/>
        <v>3</v>
      </c>
      <c r="T153" t="str">
        <f t="shared" ca="1" si="28"/>
        <v>443</v>
      </c>
      <c r="U153" t="str">
        <f t="shared" ca="1" si="29"/>
        <v>Loyal</v>
      </c>
    </row>
    <row r="154" spans="1:21">
      <c r="A154" s="13" t="str">
        <f>Cleaned_Data!A154</f>
        <v>MEM0153</v>
      </c>
      <c r="B154" s="14" t="str">
        <f ca="1">Cleaned_Data!D154</f>
        <v>BR03</v>
      </c>
      <c r="C154" s="14" t="str">
        <f ca="1">Cleaned_Data!E154</f>
        <v>Premium</v>
      </c>
      <c r="D154" s="15">
        <f>Cleaned_Data!F154</f>
        <v>46044</v>
      </c>
      <c r="E154" s="15">
        <f>Cleaned_Data!G154</f>
        <v>46134</v>
      </c>
      <c r="F154" s="14">
        <f>Cleaned_Data!H154</f>
        <v>1000</v>
      </c>
      <c r="G154" s="14">
        <f ca="1">Cleaned_Data!I154</f>
        <v>9000</v>
      </c>
      <c r="H154" s="14">
        <f>Cleaned_Data!J154</f>
        <v>21</v>
      </c>
      <c r="I154" s="14" t="str">
        <f>Cleaned_Data!M154</f>
        <v>Active</v>
      </c>
      <c r="J154" s="16">
        <f>Cleaned_Data!N154</f>
        <v>46076</v>
      </c>
      <c r="K154" t="str">
        <f t="shared" si="20"/>
        <v>Highly Active</v>
      </c>
      <c r="L154" s="5" t="str">
        <f>IF(COUNTIF($A$2:A154,A154)&gt;1,"Duplicate","Unique")</f>
        <v>Unique</v>
      </c>
      <c r="M154" t="str">
        <f t="shared" si="21"/>
        <v>2026-01</v>
      </c>
      <c r="N154" s="2">
        <f t="shared" ca="1" si="22"/>
        <v>46076</v>
      </c>
      <c r="O154" s="4">
        <f t="shared" ca="1" si="23"/>
        <v>1</v>
      </c>
      <c r="P154" s="4">
        <f t="shared" ca="1" si="24"/>
        <v>53</v>
      </c>
      <c r="Q154">
        <f t="shared" ca="1" si="25"/>
        <v>4</v>
      </c>
      <c r="R154">
        <f t="shared" si="26"/>
        <v>5</v>
      </c>
      <c r="S154">
        <f t="shared" ca="1" si="27"/>
        <v>3</v>
      </c>
      <c r="T154" t="str">
        <f t="shared" ca="1" si="28"/>
        <v>453</v>
      </c>
      <c r="U154" t="str">
        <f t="shared" ca="1" si="29"/>
        <v>Loyal</v>
      </c>
    </row>
    <row r="155" spans="1:21">
      <c r="A155" s="17" t="str">
        <f>Cleaned_Data!A155</f>
        <v>MEM0154</v>
      </c>
      <c r="B155" s="18" t="str">
        <f ca="1">Cleaned_Data!D155</f>
        <v>BR01</v>
      </c>
      <c r="C155" s="18" t="str">
        <f ca="1">Cleaned_Data!E155</f>
        <v>Premium</v>
      </c>
      <c r="D155" s="19">
        <f>Cleaned_Data!F155</f>
        <v>45375</v>
      </c>
      <c r="E155" s="19">
        <f>Cleaned_Data!G155</f>
        <v>45740</v>
      </c>
      <c r="F155" s="18">
        <f>Cleaned_Data!H155</f>
        <v>2000</v>
      </c>
      <c r="G155" s="18">
        <f ca="1">Cleaned_Data!I155</f>
        <v>8000</v>
      </c>
      <c r="H155" s="18">
        <f>Cleaned_Data!J155</f>
        <v>9</v>
      </c>
      <c r="I155" s="18" t="str">
        <f>Cleaned_Data!M155</f>
        <v>Active</v>
      </c>
      <c r="J155" s="20">
        <f>Cleaned_Data!N155</f>
        <v>45956</v>
      </c>
      <c r="K155" t="str">
        <f t="shared" si="20"/>
        <v>Moderate</v>
      </c>
      <c r="L155" s="5" t="str">
        <f>IF(COUNTIF($A$2:A155,A155)&gt;1,"Duplicate","Unique")</f>
        <v>Unique</v>
      </c>
      <c r="M155" t="str">
        <f t="shared" si="21"/>
        <v>2024-03</v>
      </c>
      <c r="N155" s="2">
        <f t="shared" ca="1" si="22"/>
        <v>45956</v>
      </c>
      <c r="O155" s="4">
        <f t="shared" ca="1" si="23"/>
        <v>19</v>
      </c>
      <c r="P155" s="4">
        <f t="shared" ca="1" si="24"/>
        <v>173</v>
      </c>
      <c r="Q155">
        <f t="shared" ca="1" si="25"/>
        <v>3</v>
      </c>
      <c r="R155">
        <f t="shared" si="26"/>
        <v>2</v>
      </c>
      <c r="S155">
        <f t="shared" ca="1" si="27"/>
        <v>3</v>
      </c>
      <c r="T155" t="str">
        <f t="shared" ca="1" si="28"/>
        <v>323</v>
      </c>
      <c r="U155" t="str">
        <f t="shared" ca="1" si="29"/>
        <v>Others</v>
      </c>
    </row>
    <row r="156" spans="1:21">
      <c r="A156" s="13" t="str">
        <f>Cleaned_Data!A156</f>
        <v>MEM0155</v>
      </c>
      <c r="B156" s="14" t="str">
        <f ca="1">Cleaned_Data!D156</f>
        <v>BR05</v>
      </c>
      <c r="C156" s="14" t="str">
        <f ca="1">Cleaned_Data!E156</f>
        <v>Standard</v>
      </c>
      <c r="D156" s="15">
        <f>Cleaned_Data!F156</f>
        <v>45751</v>
      </c>
      <c r="E156" s="15">
        <f>Cleaned_Data!G156</f>
        <v>45841</v>
      </c>
      <c r="F156" s="14">
        <f>Cleaned_Data!H156</f>
        <v>3500</v>
      </c>
      <c r="G156" s="14">
        <f ca="1">Cleaned_Data!I156</f>
        <v>10500</v>
      </c>
      <c r="H156" s="14">
        <f>Cleaned_Data!J156</f>
        <v>21</v>
      </c>
      <c r="I156" s="14" t="str">
        <f>Cleaned_Data!M156</f>
        <v>Cancelled</v>
      </c>
      <c r="J156" s="16">
        <f>Cleaned_Data!N156</f>
        <v>46082</v>
      </c>
      <c r="K156" t="str">
        <f t="shared" si="20"/>
        <v>Highly Active</v>
      </c>
      <c r="L156" s="5" t="str">
        <f>IF(COUNTIF($A$2:A156,A156)&gt;1,"Duplicate","Unique")</f>
        <v>Unique</v>
      </c>
      <c r="M156" t="str">
        <f t="shared" si="21"/>
        <v>2025-04</v>
      </c>
      <c r="N156" s="2">
        <f t="shared" ca="1" si="22"/>
        <v>46082</v>
      </c>
      <c r="O156" s="4">
        <f t="shared" ca="1" si="23"/>
        <v>10</v>
      </c>
      <c r="P156" s="4">
        <f t="shared" ca="1" si="24"/>
        <v>47</v>
      </c>
      <c r="Q156">
        <f t="shared" ca="1" si="25"/>
        <v>4</v>
      </c>
      <c r="R156">
        <f t="shared" si="26"/>
        <v>5</v>
      </c>
      <c r="S156">
        <f t="shared" ca="1" si="27"/>
        <v>4</v>
      </c>
      <c r="T156" t="str">
        <f t="shared" ca="1" si="28"/>
        <v>454</v>
      </c>
      <c r="U156" t="str">
        <f t="shared" ca="1" si="29"/>
        <v>Champion</v>
      </c>
    </row>
    <row r="157" spans="1:21">
      <c r="A157" s="17" t="str">
        <f>Cleaned_Data!A157</f>
        <v>MEM0156</v>
      </c>
      <c r="B157" s="18" t="str">
        <f ca="1">Cleaned_Data!D157</f>
        <v>BR01</v>
      </c>
      <c r="C157" s="18" t="str">
        <f ca="1">Cleaned_Data!E157</f>
        <v>Basic</v>
      </c>
      <c r="D157" s="19">
        <f>Cleaned_Data!F157</f>
        <v>45664</v>
      </c>
      <c r="E157" s="19">
        <f>Cleaned_Data!G157</f>
        <v>46029</v>
      </c>
      <c r="F157" s="18">
        <f>Cleaned_Data!H157</f>
        <v>1000</v>
      </c>
      <c r="G157" s="18">
        <f ca="1">Cleaned_Data!I157</f>
        <v>3000</v>
      </c>
      <c r="H157" s="18">
        <f>Cleaned_Data!J157</f>
        <v>6</v>
      </c>
      <c r="I157" s="18" t="str">
        <f>Cleaned_Data!M157</f>
        <v>Active</v>
      </c>
      <c r="J157" s="20">
        <f>Cleaned_Data!N157</f>
        <v>45932</v>
      </c>
      <c r="K157" t="str">
        <f t="shared" si="20"/>
        <v>Moderate</v>
      </c>
      <c r="L157" s="5" t="str">
        <f>IF(COUNTIF($A$2:A157,A157)&gt;1,"Duplicate","Unique")</f>
        <v>Unique</v>
      </c>
      <c r="M157" t="str">
        <f t="shared" si="21"/>
        <v>2025-01</v>
      </c>
      <c r="N157" s="2">
        <f t="shared" ca="1" si="22"/>
        <v>45932</v>
      </c>
      <c r="O157" s="4">
        <f t="shared" ca="1" si="23"/>
        <v>8</v>
      </c>
      <c r="P157" s="4">
        <f t="shared" ca="1" si="24"/>
        <v>197</v>
      </c>
      <c r="Q157">
        <f t="shared" ca="1" si="25"/>
        <v>2</v>
      </c>
      <c r="R157">
        <f t="shared" si="26"/>
        <v>2</v>
      </c>
      <c r="S157">
        <f t="shared" ca="1" si="27"/>
        <v>2</v>
      </c>
      <c r="T157" t="str">
        <f t="shared" ca="1" si="28"/>
        <v>222</v>
      </c>
      <c r="U157" t="str">
        <f t="shared" ca="1" si="29"/>
        <v>At Risk</v>
      </c>
    </row>
    <row r="158" spans="1:21">
      <c r="A158" s="13" t="str">
        <f>Cleaned_Data!A158</f>
        <v>MEM0157</v>
      </c>
      <c r="B158" s="14" t="str">
        <f ca="1">Cleaned_Data!D158</f>
        <v>BR03</v>
      </c>
      <c r="C158" s="14" t="str">
        <f ca="1">Cleaned_Data!E158</f>
        <v>Standard</v>
      </c>
      <c r="D158" s="15">
        <f>Cleaned_Data!F158</f>
        <v>45380</v>
      </c>
      <c r="E158" s="15">
        <f>Cleaned_Data!G158</f>
        <v>45410</v>
      </c>
      <c r="F158" s="14">
        <f>Cleaned_Data!H158</f>
        <v>2000</v>
      </c>
      <c r="G158" s="14">
        <f ca="1">Cleaned_Data!I158</f>
        <v>22000</v>
      </c>
      <c r="H158" s="14">
        <f>Cleaned_Data!J158</f>
        <v>24</v>
      </c>
      <c r="I158" s="14" t="str">
        <f>Cleaned_Data!M158</f>
        <v>Active</v>
      </c>
      <c r="J158" s="16">
        <f>Cleaned_Data!N158</f>
        <v>45932</v>
      </c>
      <c r="K158" t="str">
        <f t="shared" si="20"/>
        <v>Highly Active</v>
      </c>
      <c r="L158" s="5" t="str">
        <f>IF(COUNTIF($A$2:A158,A158)&gt;1,"Duplicate","Unique")</f>
        <v>Unique</v>
      </c>
      <c r="M158" t="str">
        <f t="shared" si="21"/>
        <v>2024-03</v>
      </c>
      <c r="N158" s="2">
        <f t="shared" ca="1" si="22"/>
        <v>45932</v>
      </c>
      <c r="O158" s="4">
        <f t="shared" ca="1" si="23"/>
        <v>18</v>
      </c>
      <c r="P158" s="4">
        <f t="shared" ca="1" si="24"/>
        <v>197</v>
      </c>
      <c r="Q158">
        <f t="shared" ca="1" si="25"/>
        <v>2</v>
      </c>
      <c r="R158">
        <f t="shared" si="26"/>
        <v>5</v>
      </c>
      <c r="S158">
        <f t="shared" ca="1" si="27"/>
        <v>5</v>
      </c>
      <c r="T158" t="str">
        <f t="shared" ca="1" si="28"/>
        <v>255</v>
      </c>
      <c r="U158" t="str">
        <f t="shared" ca="1" si="29"/>
        <v>At Risk</v>
      </c>
    </row>
    <row r="159" spans="1:21">
      <c r="A159" s="17" t="str">
        <f>Cleaned_Data!A159</f>
        <v>MEM0158</v>
      </c>
      <c r="B159" s="18" t="str">
        <f ca="1">Cleaned_Data!D159</f>
        <v>BR04</v>
      </c>
      <c r="C159" s="18" t="str">
        <f ca="1">Cleaned_Data!E159</f>
        <v>Basic</v>
      </c>
      <c r="D159" s="19">
        <f>Cleaned_Data!F159</f>
        <v>45968</v>
      </c>
      <c r="E159" s="19">
        <f>Cleaned_Data!G159</f>
        <v>46333</v>
      </c>
      <c r="F159" s="18">
        <f>Cleaned_Data!H159</f>
        <v>3500</v>
      </c>
      <c r="G159" s="18">
        <f ca="1">Cleaned_Data!I159</f>
        <v>10500</v>
      </c>
      <c r="H159" s="18">
        <f>Cleaned_Data!J159</f>
        <v>12</v>
      </c>
      <c r="I159" s="18" t="str">
        <f>Cleaned_Data!M159</f>
        <v>Active</v>
      </c>
      <c r="J159" s="20">
        <f>Cleaned_Data!N159</f>
        <v>45999</v>
      </c>
      <c r="K159" t="str">
        <f t="shared" si="20"/>
        <v>Moderate</v>
      </c>
      <c r="L159" s="5" t="str">
        <f>IF(COUNTIF($A$2:A159,A159)&gt;1,"Duplicate","Unique")</f>
        <v>Unique</v>
      </c>
      <c r="M159" t="str">
        <f t="shared" si="21"/>
        <v>2025-11</v>
      </c>
      <c r="N159" s="2">
        <f t="shared" ca="1" si="22"/>
        <v>45999</v>
      </c>
      <c r="O159" s="4">
        <f t="shared" ca="1" si="23"/>
        <v>1</v>
      </c>
      <c r="P159" s="4">
        <f t="shared" ca="1" si="24"/>
        <v>130</v>
      </c>
      <c r="Q159">
        <f t="shared" ca="1" si="25"/>
        <v>3</v>
      </c>
      <c r="R159">
        <f t="shared" si="26"/>
        <v>3</v>
      </c>
      <c r="S159">
        <f t="shared" ca="1" si="27"/>
        <v>4</v>
      </c>
      <c r="T159" t="str">
        <f t="shared" ca="1" si="28"/>
        <v>334</v>
      </c>
      <c r="U159" t="str">
        <f t="shared" ca="1" si="29"/>
        <v>Loyal</v>
      </c>
    </row>
    <row r="160" spans="1:21">
      <c r="A160" s="13" t="str">
        <f>Cleaned_Data!A160</f>
        <v>MEM0159</v>
      </c>
      <c r="B160" s="14" t="str">
        <f ca="1">Cleaned_Data!D160</f>
        <v>BR07</v>
      </c>
      <c r="C160" s="14" t="str">
        <f ca="1">Cleaned_Data!E160</f>
        <v>Premium</v>
      </c>
      <c r="D160" s="15">
        <f>Cleaned_Data!F160</f>
        <v>45841</v>
      </c>
      <c r="E160" s="15">
        <f>Cleaned_Data!G160</f>
        <v>46206</v>
      </c>
      <c r="F160" s="14">
        <f>Cleaned_Data!H160</f>
        <v>1000</v>
      </c>
      <c r="G160" s="14">
        <f ca="1">Cleaned_Data!I160</f>
        <v>4000</v>
      </c>
      <c r="H160" s="14">
        <f>Cleaned_Data!J160</f>
        <v>20</v>
      </c>
      <c r="I160" s="14" t="str">
        <f>Cleaned_Data!M160</f>
        <v>Active</v>
      </c>
      <c r="J160" s="16">
        <f>Cleaned_Data!N160</f>
        <v>45851</v>
      </c>
      <c r="K160" t="str">
        <f t="shared" si="20"/>
        <v>Highly Active</v>
      </c>
      <c r="L160" s="5" t="str">
        <f>IF(COUNTIF($A$2:A160,A160)&gt;1,"Duplicate","Unique")</f>
        <v>Unique</v>
      </c>
      <c r="M160" t="str">
        <f t="shared" si="21"/>
        <v>2025-07</v>
      </c>
      <c r="N160" s="2">
        <f t="shared" ca="1" si="22"/>
        <v>45851</v>
      </c>
      <c r="O160" s="4">
        <f t="shared" ca="1" si="23"/>
        <v>0</v>
      </c>
      <c r="P160" s="4">
        <f t="shared" ca="1" si="24"/>
        <v>278</v>
      </c>
      <c r="Q160">
        <f t="shared" ca="1" si="25"/>
        <v>2</v>
      </c>
      <c r="R160">
        <f t="shared" si="26"/>
        <v>5</v>
      </c>
      <c r="S160">
        <f t="shared" ca="1" si="27"/>
        <v>2</v>
      </c>
      <c r="T160" t="str">
        <f t="shared" ca="1" si="28"/>
        <v>252</v>
      </c>
      <c r="U160" t="str">
        <f t="shared" ca="1" si="29"/>
        <v>At Risk</v>
      </c>
    </row>
    <row r="161" spans="1:21">
      <c r="A161" s="17" t="str">
        <f>Cleaned_Data!A161</f>
        <v>MEM0160</v>
      </c>
      <c r="B161" s="18" t="str">
        <f ca="1">Cleaned_Data!D161</f>
        <v>BR05</v>
      </c>
      <c r="C161" s="18" t="str">
        <f ca="1">Cleaned_Data!E161</f>
        <v>Premium</v>
      </c>
      <c r="D161" s="19">
        <f>Cleaned_Data!F161</f>
        <v>45886</v>
      </c>
      <c r="E161" s="19">
        <f>Cleaned_Data!G161</f>
        <v>45976</v>
      </c>
      <c r="F161" s="18">
        <f>Cleaned_Data!H161</f>
        <v>1000</v>
      </c>
      <c r="G161" s="18">
        <f ca="1">Cleaned_Data!I161</f>
        <v>3000</v>
      </c>
      <c r="H161" s="18">
        <f>Cleaned_Data!J161</f>
        <v>17</v>
      </c>
      <c r="I161" s="18" t="str">
        <f>Cleaned_Data!M161</f>
        <v>Active</v>
      </c>
      <c r="J161" s="20">
        <f>Cleaned_Data!N161</f>
        <v>45996</v>
      </c>
      <c r="K161" t="str">
        <f t="shared" si="20"/>
        <v>Highly Active</v>
      </c>
      <c r="L161" s="5" t="str">
        <f>IF(COUNTIF($A$2:A161,A161)&gt;1,"Duplicate","Unique")</f>
        <v>Unique</v>
      </c>
      <c r="M161" t="str">
        <f t="shared" si="21"/>
        <v>2025-08</v>
      </c>
      <c r="N161" s="2">
        <f t="shared" ca="1" si="22"/>
        <v>45996</v>
      </c>
      <c r="O161" s="4">
        <f t="shared" ca="1" si="23"/>
        <v>3</v>
      </c>
      <c r="P161" s="4">
        <f t="shared" ca="1" si="24"/>
        <v>133</v>
      </c>
      <c r="Q161">
        <f t="shared" ca="1" si="25"/>
        <v>3</v>
      </c>
      <c r="R161">
        <f t="shared" si="26"/>
        <v>4</v>
      </c>
      <c r="S161">
        <f t="shared" ca="1" si="27"/>
        <v>2</v>
      </c>
      <c r="T161" t="str">
        <f t="shared" ca="1" si="28"/>
        <v>342</v>
      </c>
      <c r="U161" t="str">
        <f t="shared" ca="1" si="29"/>
        <v>Others</v>
      </c>
    </row>
    <row r="162" spans="1:21">
      <c r="A162" s="13" t="str">
        <f>Cleaned_Data!A162</f>
        <v>MEM0161</v>
      </c>
      <c r="B162" s="14" t="str">
        <f ca="1">Cleaned_Data!D162</f>
        <v>BR03</v>
      </c>
      <c r="C162" s="14" t="str">
        <f ca="1">Cleaned_Data!E162</f>
        <v>Premium</v>
      </c>
      <c r="D162" s="15">
        <f>Cleaned_Data!F162</f>
        <v>45377</v>
      </c>
      <c r="E162" s="15">
        <f>Cleaned_Data!G162</f>
        <v>45467</v>
      </c>
      <c r="F162" s="14">
        <f>Cleaned_Data!H162</f>
        <v>3500</v>
      </c>
      <c r="G162" s="14">
        <f ca="1">Cleaned_Data!I162</f>
        <v>35000</v>
      </c>
      <c r="H162" s="14">
        <f>Cleaned_Data!J162</f>
        <v>3</v>
      </c>
      <c r="I162" s="14" t="str">
        <f>Cleaned_Data!M162</f>
        <v>Active</v>
      </c>
      <c r="J162" s="16">
        <f>Cleaned_Data!N162</f>
        <v>45408</v>
      </c>
      <c r="K162" t="str">
        <f t="shared" si="20"/>
        <v>At Risk</v>
      </c>
      <c r="L162" s="5" t="str">
        <f>IF(COUNTIF($A$2:A162,A162)&gt;1,"Duplicate","Unique")</f>
        <v>Unique</v>
      </c>
      <c r="M162" t="str">
        <f t="shared" si="21"/>
        <v>2024-03</v>
      </c>
      <c r="N162" s="2">
        <f t="shared" ca="1" si="22"/>
        <v>45408</v>
      </c>
      <c r="O162" s="4">
        <f t="shared" ca="1" si="23"/>
        <v>1</v>
      </c>
      <c r="P162" s="4">
        <f t="shared" ca="1" si="24"/>
        <v>721</v>
      </c>
      <c r="Q162">
        <f t="shared" ca="1" si="25"/>
        <v>1</v>
      </c>
      <c r="R162">
        <f t="shared" si="26"/>
        <v>1</v>
      </c>
      <c r="S162">
        <f t="shared" ca="1" si="27"/>
        <v>5</v>
      </c>
      <c r="T162" t="str">
        <f t="shared" ca="1" si="28"/>
        <v>115</v>
      </c>
      <c r="U162" t="str">
        <f t="shared" ca="1" si="29"/>
        <v>At Risk</v>
      </c>
    </row>
    <row r="163" spans="1:21">
      <c r="A163" s="17" t="str">
        <f>Cleaned_Data!A163</f>
        <v>MEM0162</v>
      </c>
      <c r="B163" s="18" t="str">
        <f ca="1">Cleaned_Data!D163</f>
        <v>BR03</v>
      </c>
      <c r="C163" s="18" t="str">
        <f ca="1">Cleaned_Data!E163</f>
        <v>Standard</v>
      </c>
      <c r="D163" s="19">
        <f>Cleaned_Data!F163</f>
        <v>45342</v>
      </c>
      <c r="E163" s="19">
        <f>Cleaned_Data!G163</f>
        <v>45707</v>
      </c>
      <c r="F163" s="18">
        <f>Cleaned_Data!H163</f>
        <v>1000</v>
      </c>
      <c r="G163" s="18">
        <f ca="1">Cleaned_Data!I163</f>
        <v>11000</v>
      </c>
      <c r="H163" s="18">
        <f>Cleaned_Data!J163</f>
        <v>7</v>
      </c>
      <c r="I163" s="18" t="str">
        <f>Cleaned_Data!M163</f>
        <v>Active</v>
      </c>
      <c r="J163" s="20">
        <f>Cleaned_Data!N163</f>
        <v>45532</v>
      </c>
      <c r="K163" t="str">
        <f t="shared" si="20"/>
        <v>Moderate</v>
      </c>
      <c r="L163" s="5" t="str">
        <f>IF(COUNTIF($A$2:A163,A163)&gt;1,"Duplicate","Unique")</f>
        <v>Unique</v>
      </c>
      <c r="M163" t="str">
        <f t="shared" si="21"/>
        <v>2024-02</v>
      </c>
      <c r="N163" s="2">
        <f t="shared" ca="1" si="22"/>
        <v>45532</v>
      </c>
      <c r="O163" s="4">
        <f t="shared" ca="1" si="23"/>
        <v>6</v>
      </c>
      <c r="P163" s="4">
        <f t="shared" ca="1" si="24"/>
        <v>597</v>
      </c>
      <c r="Q163">
        <f t="shared" ca="1" si="25"/>
        <v>1</v>
      </c>
      <c r="R163">
        <f t="shared" si="26"/>
        <v>2</v>
      </c>
      <c r="S163">
        <f t="shared" ca="1" si="27"/>
        <v>4</v>
      </c>
      <c r="T163" t="str">
        <f t="shared" ca="1" si="28"/>
        <v>124</v>
      </c>
      <c r="U163" t="str">
        <f t="shared" ca="1" si="29"/>
        <v>At Risk</v>
      </c>
    </row>
    <row r="164" spans="1:21">
      <c r="A164" s="13" t="str">
        <f>Cleaned_Data!A164</f>
        <v>MEM0163</v>
      </c>
      <c r="B164" s="14" t="str">
        <f ca="1">Cleaned_Data!D164</f>
        <v>BR05</v>
      </c>
      <c r="C164" s="14" t="str">
        <f ca="1">Cleaned_Data!E164</f>
        <v>Premium</v>
      </c>
      <c r="D164" s="15">
        <f>Cleaned_Data!F164</f>
        <v>45391</v>
      </c>
      <c r="E164" s="15">
        <f>Cleaned_Data!G164</f>
        <v>45756</v>
      </c>
      <c r="F164" s="14">
        <f>Cleaned_Data!H164</f>
        <v>2000</v>
      </c>
      <c r="G164" s="14">
        <f ca="1">Cleaned_Data!I164</f>
        <v>10000</v>
      </c>
      <c r="H164" s="14">
        <f>Cleaned_Data!J164</f>
        <v>23</v>
      </c>
      <c r="I164" s="14" t="str">
        <f>Cleaned_Data!M164</f>
        <v>Active</v>
      </c>
      <c r="J164" s="16">
        <f>Cleaned_Data!N164</f>
        <v>45746</v>
      </c>
      <c r="K164" t="str">
        <f t="shared" si="20"/>
        <v>Highly Active</v>
      </c>
      <c r="L164" s="5" t="str">
        <f>IF(COUNTIF($A$2:A164,A164)&gt;1,"Duplicate","Unique")</f>
        <v>Unique</v>
      </c>
      <c r="M164" t="str">
        <f t="shared" si="21"/>
        <v>2024-04</v>
      </c>
      <c r="N164" s="2">
        <f t="shared" ca="1" si="22"/>
        <v>45746</v>
      </c>
      <c r="O164" s="4">
        <f t="shared" ca="1" si="23"/>
        <v>11</v>
      </c>
      <c r="P164" s="4">
        <f t="shared" ca="1" si="24"/>
        <v>383</v>
      </c>
      <c r="Q164">
        <f t="shared" ca="1" si="25"/>
        <v>1</v>
      </c>
      <c r="R164">
        <f t="shared" si="26"/>
        <v>5</v>
      </c>
      <c r="S164">
        <f t="shared" ca="1" si="27"/>
        <v>4</v>
      </c>
      <c r="T164" t="str">
        <f t="shared" ca="1" si="28"/>
        <v>154</v>
      </c>
      <c r="U164" t="str">
        <f t="shared" ca="1" si="29"/>
        <v>At Risk</v>
      </c>
    </row>
    <row r="165" spans="1:21">
      <c r="A165" s="17" t="str">
        <f>Cleaned_Data!A165</f>
        <v>MEM0164</v>
      </c>
      <c r="B165" s="18" t="str">
        <f ca="1">Cleaned_Data!D165</f>
        <v>BR07</v>
      </c>
      <c r="C165" s="18" t="str">
        <f ca="1">Cleaned_Data!E165</f>
        <v>Standard</v>
      </c>
      <c r="D165" s="19">
        <f>Cleaned_Data!F165</f>
        <v>45923</v>
      </c>
      <c r="E165" s="19">
        <f>Cleaned_Data!G165</f>
        <v>46013</v>
      </c>
      <c r="F165" s="18">
        <f>Cleaned_Data!H165</f>
        <v>1000</v>
      </c>
      <c r="G165" s="18">
        <f ca="1">Cleaned_Data!I165</f>
        <v>8000</v>
      </c>
      <c r="H165" s="18">
        <f>Cleaned_Data!J165</f>
        <v>14</v>
      </c>
      <c r="I165" s="18" t="str">
        <f>Cleaned_Data!M165</f>
        <v>Cancelled</v>
      </c>
      <c r="J165" s="20">
        <f>Cleaned_Data!N165</f>
        <v>46001</v>
      </c>
      <c r="K165" t="str">
        <f t="shared" si="20"/>
        <v>Moderate</v>
      </c>
      <c r="L165" s="5" t="str">
        <f>IF(COUNTIF($A$2:A165,A165)&gt;1,"Duplicate","Unique")</f>
        <v>Unique</v>
      </c>
      <c r="M165" t="str">
        <f t="shared" si="21"/>
        <v>2025-09</v>
      </c>
      <c r="N165" s="2">
        <f t="shared" ca="1" si="22"/>
        <v>46001</v>
      </c>
      <c r="O165" s="4">
        <f t="shared" ca="1" si="23"/>
        <v>2</v>
      </c>
      <c r="P165" s="4">
        <f t="shared" ca="1" si="24"/>
        <v>128</v>
      </c>
      <c r="Q165">
        <f t="shared" ca="1" si="25"/>
        <v>3</v>
      </c>
      <c r="R165">
        <f t="shared" si="26"/>
        <v>3</v>
      </c>
      <c r="S165">
        <f t="shared" ca="1" si="27"/>
        <v>3</v>
      </c>
      <c r="T165" t="str">
        <f t="shared" ca="1" si="28"/>
        <v>333</v>
      </c>
      <c r="U165" t="str">
        <f t="shared" ca="1" si="29"/>
        <v>Loyal</v>
      </c>
    </row>
    <row r="166" spans="1:21">
      <c r="A166" s="13" t="str">
        <f>Cleaned_Data!A166</f>
        <v>MEM0165</v>
      </c>
      <c r="B166" s="14" t="str">
        <f ca="1">Cleaned_Data!D166</f>
        <v>BR05</v>
      </c>
      <c r="C166" s="14" t="str">
        <f ca="1">Cleaned_Data!E166</f>
        <v>Basic</v>
      </c>
      <c r="D166" s="15">
        <f>Cleaned_Data!F166</f>
        <v>45382</v>
      </c>
      <c r="E166" s="15">
        <f>Cleaned_Data!G166</f>
        <v>45472</v>
      </c>
      <c r="F166" s="14">
        <f>Cleaned_Data!H166</f>
        <v>3500</v>
      </c>
      <c r="G166" s="14">
        <f ca="1">Cleaned_Data!I166</f>
        <v>31500</v>
      </c>
      <c r="H166" s="14">
        <f>Cleaned_Data!J166</f>
        <v>23</v>
      </c>
      <c r="I166" s="14" t="str">
        <f>Cleaned_Data!M166</f>
        <v>Cancelled</v>
      </c>
      <c r="J166" s="16">
        <f>Cleaned_Data!N166</f>
        <v>46031</v>
      </c>
      <c r="K166" t="str">
        <f t="shared" si="20"/>
        <v>Highly Active</v>
      </c>
      <c r="L166" s="5" t="str">
        <f>IF(COUNTIF($A$2:A166,A166)&gt;1,"Duplicate","Unique")</f>
        <v>Unique</v>
      </c>
      <c r="M166" t="str">
        <f t="shared" si="21"/>
        <v>2024-03</v>
      </c>
      <c r="N166" s="2">
        <f t="shared" ca="1" si="22"/>
        <v>46031</v>
      </c>
      <c r="O166" s="4">
        <f t="shared" ca="1" si="23"/>
        <v>21</v>
      </c>
      <c r="P166" s="4">
        <f t="shared" ca="1" si="24"/>
        <v>98</v>
      </c>
      <c r="Q166">
        <f t="shared" ca="1" si="25"/>
        <v>3</v>
      </c>
      <c r="R166">
        <f t="shared" si="26"/>
        <v>5</v>
      </c>
      <c r="S166">
        <f t="shared" ca="1" si="27"/>
        <v>5</v>
      </c>
      <c r="T166" t="str">
        <f t="shared" ca="1" si="28"/>
        <v>355</v>
      </c>
      <c r="U166" t="str">
        <f t="shared" ca="1" si="29"/>
        <v>Loyal</v>
      </c>
    </row>
    <row r="167" spans="1:21">
      <c r="A167" s="17" t="str">
        <f>Cleaned_Data!A167</f>
        <v>MEM0166</v>
      </c>
      <c r="B167" s="18" t="str">
        <f ca="1">Cleaned_Data!D167</f>
        <v>BR04</v>
      </c>
      <c r="C167" s="18" t="str">
        <f ca="1">Cleaned_Data!E167</f>
        <v>Basic</v>
      </c>
      <c r="D167" s="19">
        <f>Cleaned_Data!F167</f>
        <v>45686</v>
      </c>
      <c r="E167" s="19">
        <f>Cleaned_Data!G167</f>
        <v>45776</v>
      </c>
      <c r="F167" s="18">
        <f>Cleaned_Data!H167</f>
        <v>2000</v>
      </c>
      <c r="G167" s="18">
        <f ca="1">Cleaned_Data!I167</f>
        <v>18000</v>
      </c>
      <c r="H167" s="18">
        <f>Cleaned_Data!J167</f>
        <v>3</v>
      </c>
      <c r="I167" s="18" t="str">
        <f>Cleaned_Data!M167</f>
        <v>Cancelled</v>
      </c>
      <c r="J167" s="20">
        <f>Cleaned_Data!N167</f>
        <v>45700</v>
      </c>
      <c r="K167" t="str">
        <f t="shared" si="20"/>
        <v>At Risk</v>
      </c>
      <c r="L167" s="5" t="str">
        <f>IF(COUNTIF($A$2:A167,A167)&gt;1,"Duplicate","Unique")</f>
        <v>Unique</v>
      </c>
      <c r="M167" t="str">
        <f t="shared" si="21"/>
        <v>2025-01</v>
      </c>
      <c r="N167" s="2">
        <f t="shared" ca="1" si="22"/>
        <v>45700</v>
      </c>
      <c r="O167" s="4">
        <f t="shared" ca="1" si="23"/>
        <v>0</v>
      </c>
      <c r="P167" s="4">
        <f t="shared" ca="1" si="24"/>
        <v>429</v>
      </c>
      <c r="Q167">
        <f t="shared" ca="1" si="25"/>
        <v>1</v>
      </c>
      <c r="R167">
        <f t="shared" si="26"/>
        <v>1</v>
      </c>
      <c r="S167">
        <f t="shared" ca="1" si="27"/>
        <v>4</v>
      </c>
      <c r="T167" t="str">
        <f t="shared" ca="1" si="28"/>
        <v>114</v>
      </c>
      <c r="U167" t="str">
        <f t="shared" ca="1" si="29"/>
        <v>At Risk</v>
      </c>
    </row>
    <row r="168" spans="1:21">
      <c r="A168" s="13" t="str">
        <f>Cleaned_Data!A168</f>
        <v>MEM0167</v>
      </c>
      <c r="B168" s="14" t="str">
        <f ca="1">Cleaned_Data!D168</f>
        <v>BR01</v>
      </c>
      <c r="C168" s="14" t="str">
        <f ca="1">Cleaned_Data!E168</f>
        <v>Basic</v>
      </c>
      <c r="D168" s="15">
        <f>Cleaned_Data!F168</f>
        <v>45806</v>
      </c>
      <c r="E168" s="15">
        <f>Cleaned_Data!G168</f>
        <v>45836</v>
      </c>
      <c r="F168" s="14">
        <f>Cleaned_Data!H168</f>
        <v>1000</v>
      </c>
      <c r="G168" s="14">
        <f ca="1">Cleaned_Data!I168</f>
        <v>11000</v>
      </c>
      <c r="H168" s="14">
        <f>Cleaned_Data!J168</f>
        <v>20</v>
      </c>
      <c r="I168" s="14" t="str">
        <f>Cleaned_Data!M168</f>
        <v>Cancelled</v>
      </c>
      <c r="J168" s="16">
        <f>Cleaned_Data!N168</f>
        <v>45820</v>
      </c>
      <c r="K168" t="str">
        <f t="shared" si="20"/>
        <v>Highly Active</v>
      </c>
      <c r="L168" s="5" t="str">
        <f>IF(COUNTIF($A$2:A168,A168)&gt;1,"Duplicate","Unique")</f>
        <v>Unique</v>
      </c>
      <c r="M168" t="str">
        <f t="shared" si="21"/>
        <v>2025-05</v>
      </c>
      <c r="N168" s="2">
        <f t="shared" ca="1" si="22"/>
        <v>45820</v>
      </c>
      <c r="O168" s="4">
        <f t="shared" ca="1" si="23"/>
        <v>0</v>
      </c>
      <c r="P168" s="4">
        <f t="shared" ca="1" si="24"/>
        <v>309</v>
      </c>
      <c r="Q168">
        <f t="shared" ca="1" si="25"/>
        <v>2</v>
      </c>
      <c r="R168">
        <f t="shared" si="26"/>
        <v>5</v>
      </c>
      <c r="S168">
        <f t="shared" ca="1" si="27"/>
        <v>4</v>
      </c>
      <c r="T168" t="str">
        <f t="shared" ca="1" si="28"/>
        <v>254</v>
      </c>
      <c r="U168" t="str">
        <f t="shared" ca="1" si="29"/>
        <v>At Risk</v>
      </c>
    </row>
    <row r="169" spans="1:21">
      <c r="A169" s="17" t="str">
        <f>Cleaned_Data!A169</f>
        <v>MEM0168</v>
      </c>
      <c r="B169" s="18" t="str">
        <f ca="1">Cleaned_Data!D169</f>
        <v>BR05</v>
      </c>
      <c r="C169" s="18" t="str">
        <f ca="1">Cleaned_Data!E169</f>
        <v>Standard</v>
      </c>
      <c r="D169" s="19">
        <f>Cleaned_Data!F169</f>
        <v>45940</v>
      </c>
      <c r="E169" s="19">
        <f>Cleaned_Data!G169</f>
        <v>45970</v>
      </c>
      <c r="F169" s="18">
        <f>Cleaned_Data!H169</f>
        <v>1000</v>
      </c>
      <c r="G169" s="18">
        <f ca="1">Cleaned_Data!I169</f>
        <v>8000</v>
      </c>
      <c r="H169" s="18">
        <f>Cleaned_Data!J169</f>
        <v>22</v>
      </c>
      <c r="I169" s="18" t="str">
        <f>Cleaned_Data!M169</f>
        <v>Active</v>
      </c>
      <c r="J169" s="20">
        <f>Cleaned_Data!N169</f>
        <v>45950</v>
      </c>
      <c r="K169" t="str">
        <f t="shared" si="20"/>
        <v>Highly Active</v>
      </c>
      <c r="L169" s="5" t="str">
        <f>IF(COUNTIF($A$2:A169,A169)&gt;1,"Duplicate","Unique")</f>
        <v>Unique</v>
      </c>
      <c r="M169" t="str">
        <f t="shared" si="21"/>
        <v>2025-10</v>
      </c>
      <c r="N169" s="2">
        <f t="shared" ca="1" si="22"/>
        <v>45950</v>
      </c>
      <c r="O169" s="4">
        <f t="shared" ca="1" si="23"/>
        <v>0</v>
      </c>
      <c r="P169" s="4">
        <f t="shared" ca="1" si="24"/>
        <v>179</v>
      </c>
      <c r="Q169">
        <f t="shared" ca="1" si="25"/>
        <v>3</v>
      </c>
      <c r="R169">
        <f t="shared" si="26"/>
        <v>5</v>
      </c>
      <c r="S169">
        <f t="shared" ca="1" si="27"/>
        <v>3</v>
      </c>
      <c r="T169" t="str">
        <f t="shared" ca="1" si="28"/>
        <v>353</v>
      </c>
      <c r="U169" t="str">
        <f t="shared" ca="1" si="29"/>
        <v>Loyal</v>
      </c>
    </row>
    <row r="170" spans="1:21">
      <c r="A170" s="13" t="str">
        <f>Cleaned_Data!A170</f>
        <v>MEM0169</v>
      </c>
      <c r="B170" s="14" t="str">
        <f ca="1">Cleaned_Data!D170</f>
        <v>BR04</v>
      </c>
      <c r="C170" s="14" t="str">
        <f ca="1">Cleaned_Data!E170</f>
        <v>Basic</v>
      </c>
      <c r="D170" s="15">
        <f>Cleaned_Data!F170</f>
        <v>45061</v>
      </c>
      <c r="E170" s="15">
        <f>Cleaned_Data!G170</f>
        <v>45091</v>
      </c>
      <c r="F170" s="14">
        <f>Cleaned_Data!H170</f>
        <v>1000</v>
      </c>
      <c r="G170" s="14">
        <f ca="1">Cleaned_Data!I170</f>
        <v>5000</v>
      </c>
      <c r="H170" s="14">
        <f>Cleaned_Data!J170</f>
        <v>4</v>
      </c>
      <c r="I170" s="14" t="str">
        <f>Cleaned_Data!M170</f>
        <v>Active</v>
      </c>
      <c r="J170" s="16">
        <f>Cleaned_Data!N170</f>
        <v>45191</v>
      </c>
      <c r="K170" t="str">
        <f t="shared" si="20"/>
        <v>At Risk</v>
      </c>
      <c r="L170" s="5" t="str">
        <f>IF(COUNTIF($A$2:A170,A170)&gt;1,"Duplicate","Unique")</f>
        <v>Unique</v>
      </c>
      <c r="M170" t="str">
        <f t="shared" si="21"/>
        <v>2023-05</v>
      </c>
      <c r="N170" s="2">
        <f t="shared" ca="1" si="22"/>
        <v>45191</v>
      </c>
      <c r="O170" s="4">
        <f t="shared" ca="1" si="23"/>
        <v>4</v>
      </c>
      <c r="P170" s="4">
        <f t="shared" ca="1" si="24"/>
        <v>938</v>
      </c>
      <c r="Q170">
        <f t="shared" ca="1" si="25"/>
        <v>1</v>
      </c>
      <c r="R170">
        <f t="shared" si="26"/>
        <v>1</v>
      </c>
      <c r="S170">
        <f t="shared" ca="1" si="27"/>
        <v>3</v>
      </c>
      <c r="T170" t="str">
        <f t="shared" ca="1" si="28"/>
        <v>113</v>
      </c>
      <c r="U170" t="str">
        <f t="shared" ca="1" si="29"/>
        <v>At Risk</v>
      </c>
    </row>
    <row r="171" spans="1:21">
      <c r="A171" s="17" t="str">
        <f>Cleaned_Data!A171</f>
        <v>MEM0170</v>
      </c>
      <c r="B171" s="18" t="str">
        <f ca="1">Cleaned_Data!D171</f>
        <v>BR03</v>
      </c>
      <c r="C171" s="18" t="str">
        <f ca="1">Cleaned_Data!E171</f>
        <v>Basic</v>
      </c>
      <c r="D171" s="19">
        <f>Cleaned_Data!F171</f>
        <v>45369</v>
      </c>
      <c r="E171" s="19">
        <f>Cleaned_Data!G171</f>
        <v>45734</v>
      </c>
      <c r="F171" s="18">
        <f>Cleaned_Data!H171</f>
        <v>2000</v>
      </c>
      <c r="G171" s="18">
        <f ca="1">Cleaned_Data!I171</f>
        <v>8000</v>
      </c>
      <c r="H171" s="18">
        <f>Cleaned_Data!J171</f>
        <v>14</v>
      </c>
      <c r="I171" s="18" t="str">
        <f>Cleaned_Data!M171</f>
        <v>Active</v>
      </c>
      <c r="J171" s="20">
        <f>Cleaned_Data!N171</f>
        <v>45539</v>
      </c>
      <c r="K171" t="str">
        <f t="shared" si="20"/>
        <v>Moderate</v>
      </c>
      <c r="L171" s="5" t="str">
        <f>IF(COUNTIF($A$2:A171,A171)&gt;1,"Duplicate","Unique")</f>
        <v>Unique</v>
      </c>
      <c r="M171" t="str">
        <f t="shared" si="21"/>
        <v>2024-03</v>
      </c>
      <c r="N171" s="2">
        <f t="shared" ca="1" si="22"/>
        <v>45539</v>
      </c>
      <c r="O171" s="4">
        <f t="shared" ca="1" si="23"/>
        <v>5</v>
      </c>
      <c r="P171" s="4">
        <f t="shared" ca="1" si="24"/>
        <v>590</v>
      </c>
      <c r="Q171">
        <f t="shared" ca="1" si="25"/>
        <v>1</v>
      </c>
      <c r="R171">
        <f t="shared" si="26"/>
        <v>3</v>
      </c>
      <c r="S171">
        <f t="shared" ca="1" si="27"/>
        <v>3</v>
      </c>
      <c r="T171" t="str">
        <f t="shared" ca="1" si="28"/>
        <v>133</v>
      </c>
      <c r="U171" t="str">
        <f t="shared" ca="1" si="29"/>
        <v>At Risk</v>
      </c>
    </row>
    <row r="172" spans="1:21">
      <c r="A172" s="13" t="str">
        <f>Cleaned_Data!A172</f>
        <v>MEM0171</v>
      </c>
      <c r="B172" s="14" t="str">
        <f ca="1">Cleaned_Data!D172</f>
        <v>BR06</v>
      </c>
      <c r="C172" s="14" t="str">
        <f ca="1">Cleaned_Data!E172</f>
        <v>Basic</v>
      </c>
      <c r="D172" s="15">
        <f>Cleaned_Data!F172</f>
        <v>45189</v>
      </c>
      <c r="E172" s="15">
        <f>Cleaned_Data!G172</f>
        <v>45279</v>
      </c>
      <c r="F172" s="14">
        <f>Cleaned_Data!H172</f>
        <v>1000</v>
      </c>
      <c r="G172" s="14">
        <f ca="1">Cleaned_Data!I172</f>
        <v>10000</v>
      </c>
      <c r="H172" s="14">
        <f>Cleaned_Data!J172</f>
        <v>15</v>
      </c>
      <c r="I172" s="14" t="str">
        <f>Cleaned_Data!M172</f>
        <v>Active</v>
      </c>
      <c r="J172" s="16">
        <f>Cleaned_Data!N172</f>
        <v>45732</v>
      </c>
      <c r="K172" t="str">
        <f t="shared" si="20"/>
        <v>Highly Active</v>
      </c>
      <c r="L172" s="5" t="str">
        <f>IF(COUNTIF($A$2:A172,A172)&gt;1,"Duplicate","Unique")</f>
        <v>Unique</v>
      </c>
      <c r="M172" t="str">
        <f t="shared" si="21"/>
        <v>2023-09</v>
      </c>
      <c r="N172" s="2">
        <f t="shared" ca="1" si="22"/>
        <v>45732</v>
      </c>
      <c r="O172" s="4">
        <f t="shared" ca="1" si="23"/>
        <v>17</v>
      </c>
      <c r="P172" s="4">
        <f t="shared" ca="1" si="24"/>
        <v>397</v>
      </c>
      <c r="Q172">
        <f t="shared" ca="1" si="25"/>
        <v>1</v>
      </c>
      <c r="R172">
        <f t="shared" si="26"/>
        <v>4</v>
      </c>
      <c r="S172">
        <f t="shared" ca="1" si="27"/>
        <v>4</v>
      </c>
      <c r="T172" t="str">
        <f t="shared" ca="1" si="28"/>
        <v>144</v>
      </c>
      <c r="U172" t="str">
        <f t="shared" ca="1" si="29"/>
        <v>At Risk</v>
      </c>
    </row>
    <row r="173" spans="1:21">
      <c r="A173" s="17" t="str">
        <f>Cleaned_Data!A173</f>
        <v>MEM0172</v>
      </c>
      <c r="B173" s="18" t="str">
        <f ca="1">Cleaned_Data!D173</f>
        <v>BR03</v>
      </c>
      <c r="C173" s="18" t="str">
        <f ca="1">Cleaned_Data!E173</f>
        <v>Standard</v>
      </c>
      <c r="D173" s="19">
        <f>Cleaned_Data!F173</f>
        <v>45968</v>
      </c>
      <c r="E173" s="19">
        <f>Cleaned_Data!G173</f>
        <v>45998</v>
      </c>
      <c r="F173" s="18">
        <f>Cleaned_Data!H173</f>
        <v>1000</v>
      </c>
      <c r="G173" s="18">
        <f ca="1">Cleaned_Data!I173</f>
        <v>12000</v>
      </c>
      <c r="H173" s="18">
        <f>Cleaned_Data!J173</f>
        <v>4</v>
      </c>
      <c r="I173" s="18" t="str">
        <f>Cleaned_Data!M173</f>
        <v>Cancelled</v>
      </c>
      <c r="J173" s="20">
        <f>Cleaned_Data!N173</f>
        <v>45995</v>
      </c>
      <c r="K173" t="str">
        <f t="shared" si="20"/>
        <v>At Risk</v>
      </c>
      <c r="L173" s="5" t="str">
        <f>IF(COUNTIF($A$2:A173,A173)&gt;1,"Duplicate","Unique")</f>
        <v>Unique</v>
      </c>
      <c r="M173" t="str">
        <f t="shared" si="21"/>
        <v>2025-11</v>
      </c>
      <c r="N173" s="2">
        <f t="shared" ca="1" si="22"/>
        <v>45995</v>
      </c>
      <c r="O173" s="4">
        <f t="shared" ca="1" si="23"/>
        <v>0</v>
      </c>
      <c r="P173" s="4">
        <f t="shared" ca="1" si="24"/>
        <v>134</v>
      </c>
      <c r="Q173">
        <f t="shared" ca="1" si="25"/>
        <v>3</v>
      </c>
      <c r="R173">
        <f t="shared" si="26"/>
        <v>1</v>
      </c>
      <c r="S173">
        <f t="shared" ca="1" si="27"/>
        <v>4</v>
      </c>
      <c r="T173" t="str">
        <f t="shared" ca="1" si="28"/>
        <v>314</v>
      </c>
      <c r="U173" t="str">
        <f t="shared" ca="1" si="29"/>
        <v>Others</v>
      </c>
    </row>
    <row r="174" spans="1:21">
      <c r="A174" s="13" t="str">
        <f>Cleaned_Data!A174</f>
        <v>MEM0173</v>
      </c>
      <c r="B174" s="14" t="str">
        <f ca="1">Cleaned_Data!D174</f>
        <v>BR01</v>
      </c>
      <c r="C174" s="14" t="str">
        <f ca="1">Cleaned_Data!E174</f>
        <v>Basic</v>
      </c>
      <c r="D174" s="15">
        <f>Cleaned_Data!F174</f>
        <v>45158</v>
      </c>
      <c r="E174" s="15">
        <f>Cleaned_Data!G174</f>
        <v>45248</v>
      </c>
      <c r="F174" s="14">
        <f>Cleaned_Data!H174</f>
        <v>1000</v>
      </c>
      <c r="G174" s="14">
        <f ca="1">Cleaned_Data!I174</f>
        <v>2000</v>
      </c>
      <c r="H174" s="14">
        <f>Cleaned_Data!J174</f>
        <v>19</v>
      </c>
      <c r="I174" s="14" t="str">
        <f>Cleaned_Data!M174</f>
        <v>Active</v>
      </c>
      <c r="J174" s="16">
        <f>Cleaned_Data!N174</f>
        <v>45230</v>
      </c>
      <c r="K174" t="str">
        <f t="shared" si="20"/>
        <v>Highly Active</v>
      </c>
      <c r="L174" s="5" t="str">
        <f>IF(COUNTIF($A$2:A174,A174)&gt;1,"Duplicate","Unique")</f>
        <v>Unique</v>
      </c>
      <c r="M174" t="str">
        <f t="shared" si="21"/>
        <v>2023-08</v>
      </c>
      <c r="N174" s="2">
        <f t="shared" ca="1" si="22"/>
        <v>45230</v>
      </c>
      <c r="O174" s="4">
        <f t="shared" ca="1" si="23"/>
        <v>2</v>
      </c>
      <c r="P174" s="4">
        <f t="shared" ca="1" si="24"/>
        <v>899</v>
      </c>
      <c r="Q174">
        <f t="shared" ca="1" si="25"/>
        <v>1</v>
      </c>
      <c r="R174">
        <f t="shared" si="26"/>
        <v>4</v>
      </c>
      <c r="S174">
        <f t="shared" ca="1" si="27"/>
        <v>2</v>
      </c>
      <c r="T174" t="str">
        <f t="shared" ca="1" si="28"/>
        <v>142</v>
      </c>
      <c r="U174" t="str">
        <f t="shared" ca="1" si="29"/>
        <v>At Risk</v>
      </c>
    </row>
    <row r="175" spans="1:21">
      <c r="A175" s="17" t="str">
        <f>Cleaned_Data!A175</f>
        <v>MEM0174</v>
      </c>
      <c r="B175" s="18" t="str">
        <f ca="1">Cleaned_Data!D175</f>
        <v>BR07</v>
      </c>
      <c r="C175" s="18" t="str">
        <f ca="1">Cleaned_Data!E175</f>
        <v>Premium</v>
      </c>
      <c r="D175" s="19">
        <f>Cleaned_Data!F175</f>
        <v>45398</v>
      </c>
      <c r="E175" s="19">
        <f>Cleaned_Data!G175</f>
        <v>45763</v>
      </c>
      <c r="F175" s="18">
        <f>Cleaned_Data!H175</f>
        <v>2000</v>
      </c>
      <c r="G175" s="18">
        <f ca="1">Cleaned_Data!I175</f>
        <v>24000</v>
      </c>
      <c r="H175" s="18">
        <f>Cleaned_Data!J175</f>
        <v>23</v>
      </c>
      <c r="I175" s="18" t="str">
        <f>Cleaned_Data!M175</f>
        <v>Active</v>
      </c>
      <c r="J175" s="20">
        <f>Cleaned_Data!N175</f>
        <v>45994</v>
      </c>
      <c r="K175" t="str">
        <f t="shared" si="20"/>
        <v>Highly Active</v>
      </c>
      <c r="L175" s="5" t="str">
        <f>IF(COUNTIF($A$2:A175,A175)&gt;1,"Duplicate","Unique")</f>
        <v>Unique</v>
      </c>
      <c r="M175" t="str">
        <f t="shared" si="21"/>
        <v>2024-04</v>
      </c>
      <c r="N175" s="2">
        <f t="shared" ca="1" si="22"/>
        <v>45994</v>
      </c>
      <c r="O175" s="4">
        <f t="shared" ca="1" si="23"/>
        <v>19</v>
      </c>
      <c r="P175" s="4">
        <f t="shared" ca="1" si="24"/>
        <v>135</v>
      </c>
      <c r="Q175">
        <f t="shared" ca="1" si="25"/>
        <v>3</v>
      </c>
      <c r="R175">
        <f t="shared" si="26"/>
        <v>5</v>
      </c>
      <c r="S175">
        <f t="shared" ca="1" si="27"/>
        <v>5</v>
      </c>
      <c r="T175" t="str">
        <f t="shared" ca="1" si="28"/>
        <v>355</v>
      </c>
      <c r="U175" t="str">
        <f t="shared" ca="1" si="29"/>
        <v>Loyal</v>
      </c>
    </row>
    <row r="176" spans="1:21">
      <c r="A176" s="13" t="str">
        <f>Cleaned_Data!A176</f>
        <v>MEM0175</v>
      </c>
      <c r="B176" s="14" t="str">
        <f ca="1">Cleaned_Data!D176</f>
        <v>BR07</v>
      </c>
      <c r="C176" s="14" t="str">
        <f ca="1">Cleaned_Data!E176</f>
        <v>Standard</v>
      </c>
      <c r="D176" s="15">
        <f>Cleaned_Data!F176</f>
        <v>45470</v>
      </c>
      <c r="E176" s="15">
        <f>Cleaned_Data!G176</f>
        <v>45560</v>
      </c>
      <c r="F176" s="14">
        <f>Cleaned_Data!H176</f>
        <v>1000</v>
      </c>
      <c r="G176" s="14">
        <f ca="1">Cleaned_Data!I176</f>
        <v>10000</v>
      </c>
      <c r="H176" s="14">
        <f>Cleaned_Data!J176</f>
        <v>16</v>
      </c>
      <c r="I176" s="14" t="str">
        <f>Cleaned_Data!M176</f>
        <v>Active</v>
      </c>
      <c r="J176" s="16">
        <f>Cleaned_Data!N176</f>
        <v>46034</v>
      </c>
      <c r="K176" t="str">
        <f t="shared" si="20"/>
        <v>Highly Active</v>
      </c>
      <c r="L176" s="5" t="str">
        <f>IF(COUNTIF($A$2:A176,A176)&gt;1,"Duplicate","Unique")</f>
        <v>Unique</v>
      </c>
      <c r="M176" t="str">
        <f t="shared" si="21"/>
        <v>2024-06</v>
      </c>
      <c r="N176" s="2">
        <f t="shared" ca="1" si="22"/>
        <v>46034</v>
      </c>
      <c r="O176" s="4">
        <f t="shared" ca="1" si="23"/>
        <v>18</v>
      </c>
      <c r="P176" s="4">
        <f t="shared" ca="1" si="24"/>
        <v>95</v>
      </c>
      <c r="Q176">
        <f t="shared" ca="1" si="25"/>
        <v>3</v>
      </c>
      <c r="R176">
        <f t="shared" si="26"/>
        <v>4</v>
      </c>
      <c r="S176">
        <f t="shared" ca="1" si="27"/>
        <v>4</v>
      </c>
      <c r="T176" t="str">
        <f t="shared" ca="1" si="28"/>
        <v>344</v>
      </c>
      <c r="U176" t="str">
        <f t="shared" ca="1" si="29"/>
        <v>Loyal</v>
      </c>
    </row>
    <row r="177" spans="1:21">
      <c r="A177" s="17" t="str">
        <f>Cleaned_Data!A177</f>
        <v>MEM0176</v>
      </c>
      <c r="B177" s="18" t="str">
        <f ca="1">Cleaned_Data!D177</f>
        <v>BR05</v>
      </c>
      <c r="C177" s="18" t="str">
        <f ca="1">Cleaned_Data!E177</f>
        <v>Premium</v>
      </c>
      <c r="D177" s="19">
        <f>Cleaned_Data!F177</f>
        <v>45507</v>
      </c>
      <c r="E177" s="19">
        <f>Cleaned_Data!G177</f>
        <v>45872</v>
      </c>
      <c r="F177" s="18">
        <f>Cleaned_Data!H177</f>
        <v>1000</v>
      </c>
      <c r="G177" s="18">
        <f ca="1">Cleaned_Data!I177</f>
        <v>9000</v>
      </c>
      <c r="H177" s="18">
        <f>Cleaned_Data!J177</f>
        <v>21</v>
      </c>
      <c r="I177" s="18" t="str">
        <f>Cleaned_Data!M177</f>
        <v>Active</v>
      </c>
      <c r="J177" s="20">
        <f>Cleaned_Data!N177</f>
        <v>45537</v>
      </c>
      <c r="K177" t="str">
        <f t="shared" si="20"/>
        <v>Highly Active</v>
      </c>
      <c r="L177" s="5" t="str">
        <f>IF(COUNTIF($A$2:A177,A177)&gt;1,"Duplicate","Unique")</f>
        <v>Unique</v>
      </c>
      <c r="M177" t="str">
        <f t="shared" si="21"/>
        <v>2024-08</v>
      </c>
      <c r="N177" s="2">
        <f t="shared" ca="1" si="22"/>
        <v>45537</v>
      </c>
      <c r="O177" s="4">
        <f t="shared" ca="1" si="23"/>
        <v>0</v>
      </c>
      <c r="P177" s="4">
        <f t="shared" ca="1" si="24"/>
        <v>592</v>
      </c>
      <c r="Q177">
        <f t="shared" ca="1" si="25"/>
        <v>1</v>
      </c>
      <c r="R177">
        <f t="shared" si="26"/>
        <v>5</v>
      </c>
      <c r="S177">
        <f t="shared" ca="1" si="27"/>
        <v>3</v>
      </c>
      <c r="T177" t="str">
        <f t="shared" ca="1" si="28"/>
        <v>153</v>
      </c>
      <c r="U177" t="str">
        <f t="shared" ca="1" si="29"/>
        <v>At Risk</v>
      </c>
    </row>
    <row r="178" spans="1:21">
      <c r="A178" s="13" t="str">
        <f>Cleaned_Data!A178</f>
        <v>MEM0177</v>
      </c>
      <c r="B178" s="14" t="str">
        <f ca="1">Cleaned_Data!D178</f>
        <v>BR07</v>
      </c>
      <c r="C178" s="14" t="str">
        <f ca="1">Cleaned_Data!E178</f>
        <v>Premium</v>
      </c>
      <c r="D178" s="15">
        <f>Cleaned_Data!F178</f>
        <v>45274</v>
      </c>
      <c r="E178" s="15">
        <f>Cleaned_Data!G178</f>
        <v>45639</v>
      </c>
      <c r="F178" s="14">
        <f>Cleaned_Data!H178</f>
        <v>1000</v>
      </c>
      <c r="G178" s="14">
        <f ca="1">Cleaned_Data!I178</f>
        <v>9000</v>
      </c>
      <c r="H178" s="14">
        <f>Cleaned_Data!J178</f>
        <v>8</v>
      </c>
      <c r="I178" s="14" t="str">
        <f>Cleaned_Data!M178</f>
        <v>Active</v>
      </c>
      <c r="J178" s="16">
        <f>Cleaned_Data!N178</f>
        <v>45868</v>
      </c>
      <c r="K178" t="str">
        <f t="shared" si="20"/>
        <v>Moderate</v>
      </c>
      <c r="L178" s="5" t="str">
        <f>IF(COUNTIF($A$2:A178,A178)&gt;1,"Duplicate","Unique")</f>
        <v>Unique</v>
      </c>
      <c r="M178" t="str">
        <f t="shared" si="21"/>
        <v>2023-12</v>
      </c>
      <c r="N178" s="2">
        <f t="shared" ca="1" si="22"/>
        <v>45868</v>
      </c>
      <c r="O178" s="4">
        <f t="shared" ca="1" si="23"/>
        <v>19</v>
      </c>
      <c r="P178" s="4">
        <f t="shared" ca="1" si="24"/>
        <v>261</v>
      </c>
      <c r="Q178">
        <f t="shared" ca="1" si="25"/>
        <v>2</v>
      </c>
      <c r="R178">
        <f t="shared" si="26"/>
        <v>2</v>
      </c>
      <c r="S178">
        <f t="shared" ca="1" si="27"/>
        <v>3</v>
      </c>
      <c r="T178" t="str">
        <f t="shared" ca="1" si="28"/>
        <v>223</v>
      </c>
      <c r="U178" t="str">
        <f t="shared" ca="1" si="29"/>
        <v>At Risk</v>
      </c>
    </row>
    <row r="179" spans="1:21">
      <c r="A179" s="17" t="str">
        <f>Cleaned_Data!A179</f>
        <v>MEM0178</v>
      </c>
      <c r="B179" s="18" t="str">
        <f ca="1">Cleaned_Data!D179</f>
        <v>BR01</v>
      </c>
      <c r="C179" s="18" t="str">
        <f ca="1">Cleaned_Data!E179</f>
        <v>Basic</v>
      </c>
      <c r="D179" s="19">
        <f>Cleaned_Data!F179</f>
        <v>45545</v>
      </c>
      <c r="E179" s="19">
        <f>Cleaned_Data!G179</f>
        <v>45575</v>
      </c>
      <c r="F179" s="18">
        <f>Cleaned_Data!H179</f>
        <v>1000</v>
      </c>
      <c r="G179" s="18">
        <f ca="1">Cleaned_Data!I179</f>
        <v>3000</v>
      </c>
      <c r="H179" s="18">
        <f>Cleaned_Data!J179</f>
        <v>12</v>
      </c>
      <c r="I179" s="18" t="str">
        <f>Cleaned_Data!M179</f>
        <v>Active</v>
      </c>
      <c r="J179" s="20">
        <f>Cleaned_Data!N179</f>
        <v>45770</v>
      </c>
      <c r="K179" t="str">
        <f t="shared" si="20"/>
        <v>Moderate</v>
      </c>
      <c r="L179" s="5" t="str">
        <f>IF(COUNTIF($A$2:A179,A179)&gt;1,"Duplicate","Unique")</f>
        <v>Unique</v>
      </c>
      <c r="M179" t="str">
        <f t="shared" si="21"/>
        <v>2024-09</v>
      </c>
      <c r="N179" s="2">
        <f t="shared" ca="1" si="22"/>
        <v>45770</v>
      </c>
      <c r="O179" s="4">
        <f t="shared" ca="1" si="23"/>
        <v>7</v>
      </c>
      <c r="P179" s="4">
        <f t="shared" ca="1" si="24"/>
        <v>359</v>
      </c>
      <c r="Q179">
        <f t="shared" ca="1" si="25"/>
        <v>2</v>
      </c>
      <c r="R179">
        <f t="shared" si="26"/>
        <v>3</v>
      </c>
      <c r="S179">
        <f t="shared" ca="1" si="27"/>
        <v>2</v>
      </c>
      <c r="T179" t="str">
        <f t="shared" ca="1" si="28"/>
        <v>232</v>
      </c>
      <c r="U179" t="str">
        <f t="shared" ca="1" si="29"/>
        <v>At Risk</v>
      </c>
    </row>
    <row r="180" spans="1:21">
      <c r="A180" s="13" t="str">
        <f>Cleaned_Data!A180</f>
        <v>MEM0179</v>
      </c>
      <c r="B180" s="14" t="str">
        <f ca="1">Cleaned_Data!D180</f>
        <v>BR01</v>
      </c>
      <c r="C180" s="14" t="str">
        <f ca="1">Cleaned_Data!E180</f>
        <v>Premium</v>
      </c>
      <c r="D180" s="15">
        <f>Cleaned_Data!F180</f>
        <v>45016</v>
      </c>
      <c r="E180" s="15">
        <f>Cleaned_Data!G180</f>
        <v>45046</v>
      </c>
      <c r="F180" s="14">
        <f>Cleaned_Data!H180</f>
        <v>2000</v>
      </c>
      <c r="G180" s="14">
        <f ca="1">Cleaned_Data!I180</f>
        <v>18000</v>
      </c>
      <c r="H180" s="14">
        <f>Cleaned_Data!J180</f>
        <v>17</v>
      </c>
      <c r="I180" s="14" t="str">
        <f>Cleaned_Data!M180</f>
        <v>Active</v>
      </c>
      <c r="J180" s="16">
        <f>Cleaned_Data!N180</f>
        <v>45571</v>
      </c>
      <c r="K180" t="str">
        <f t="shared" si="20"/>
        <v>Highly Active</v>
      </c>
      <c r="L180" s="5" t="str">
        <f>IF(COUNTIF($A$2:A180,A180)&gt;1,"Duplicate","Unique")</f>
        <v>Unique</v>
      </c>
      <c r="M180" t="str">
        <f t="shared" si="21"/>
        <v>2023-03</v>
      </c>
      <c r="N180" s="2">
        <f t="shared" ca="1" si="22"/>
        <v>45571</v>
      </c>
      <c r="O180" s="4">
        <f t="shared" ca="1" si="23"/>
        <v>18</v>
      </c>
      <c r="P180" s="4">
        <f t="shared" ca="1" si="24"/>
        <v>558</v>
      </c>
      <c r="Q180">
        <f t="shared" ca="1" si="25"/>
        <v>1</v>
      </c>
      <c r="R180">
        <f t="shared" si="26"/>
        <v>4</v>
      </c>
      <c r="S180">
        <f t="shared" ca="1" si="27"/>
        <v>4</v>
      </c>
      <c r="T180" t="str">
        <f t="shared" ca="1" si="28"/>
        <v>144</v>
      </c>
      <c r="U180" t="str">
        <f t="shared" ca="1" si="29"/>
        <v>At Risk</v>
      </c>
    </row>
    <row r="181" spans="1:21">
      <c r="A181" s="17" t="str">
        <f>Cleaned_Data!A181</f>
        <v>MEM0180</v>
      </c>
      <c r="B181" s="18" t="str">
        <f ca="1">Cleaned_Data!D181</f>
        <v>BR07</v>
      </c>
      <c r="C181" s="18" t="str">
        <f ca="1">Cleaned_Data!E181</f>
        <v>Premium</v>
      </c>
      <c r="D181" s="19">
        <f>Cleaned_Data!F181</f>
        <v>45666</v>
      </c>
      <c r="E181" s="19">
        <f>Cleaned_Data!G181</f>
        <v>45696</v>
      </c>
      <c r="F181" s="18">
        <f>Cleaned_Data!H181</f>
        <v>1000</v>
      </c>
      <c r="G181" s="18">
        <f ca="1">Cleaned_Data!I181</f>
        <v>3000</v>
      </c>
      <c r="H181" s="18">
        <f>Cleaned_Data!J181</f>
        <v>1</v>
      </c>
      <c r="I181" s="18" t="str">
        <f>Cleaned_Data!M181</f>
        <v>Active</v>
      </c>
      <c r="J181" s="20">
        <f>Cleaned_Data!N181</f>
        <v>45688</v>
      </c>
      <c r="K181" t="str">
        <f t="shared" si="20"/>
        <v>At Risk</v>
      </c>
      <c r="L181" s="5" t="str">
        <f>IF(COUNTIF($A$2:A181,A181)&gt;1,"Duplicate","Unique")</f>
        <v>Unique</v>
      </c>
      <c r="M181" t="str">
        <f t="shared" si="21"/>
        <v>2025-01</v>
      </c>
      <c r="N181" s="2">
        <f t="shared" ca="1" si="22"/>
        <v>45688</v>
      </c>
      <c r="O181" s="4">
        <f t="shared" ca="1" si="23"/>
        <v>0</v>
      </c>
      <c r="P181" s="4">
        <f t="shared" ca="1" si="24"/>
        <v>441</v>
      </c>
      <c r="Q181">
        <f t="shared" ca="1" si="25"/>
        <v>1</v>
      </c>
      <c r="R181">
        <f t="shared" si="26"/>
        <v>1</v>
      </c>
      <c r="S181">
        <f t="shared" ca="1" si="27"/>
        <v>2</v>
      </c>
      <c r="T181" t="str">
        <f t="shared" ca="1" si="28"/>
        <v>112</v>
      </c>
      <c r="U181" t="str">
        <f t="shared" ca="1" si="29"/>
        <v>At Risk</v>
      </c>
    </row>
    <row r="182" spans="1:21">
      <c r="A182" s="13" t="str">
        <f>Cleaned_Data!A182</f>
        <v>MEM0181</v>
      </c>
      <c r="B182" s="14" t="str">
        <f ca="1">Cleaned_Data!D182</f>
        <v>BR05</v>
      </c>
      <c r="C182" s="14" t="str">
        <f ca="1">Cleaned_Data!E182</f>
        <v>Standard</v>
      </c>
      <c r="D182" s="15">
        <f>Cleaned_Data!F182</f>
        <v>45958</v>
      </c>
      <c r="E182" s="15">
        <f>Cleaned_Data!G182</f>
        <v>45988</v>
      </c>
      <c r="F182" s="14">
        <f>Cleaned_Data!H182</f>
        <v>3500</v>
      </c>
      <c r="G182" s="14">
        <f ca="1">Cleaned_Data!I182</f>
        <v>10500</v>
      </c>
      <c r="H182" s="14">
        <f>Cleaned_Data!J182</f>
        <v>4</v>
      </c>
      <c r="I182" s="14" t="str">
        <f>Cleaned_Data!M182</f>
        <v>Cancelled</v>
      </c>
      <c r="J182" s="16">
        <f>Cleaned_Data!N182</f>
        <v>46211</v>
      </c>
      <c r="K182" t="str">
        <f t="shared" si="20"/>
        <v>At Risk</v>
      </c>
      <c r="L182" s="5" t="str">
        <f>IF(COUNTIF($A$2:A182,A182)&gt;1,"Duplicate","Unique")</f>
        <v>Unique</v>
      </c>
      <c r="M182" t="str">
        <f t="shared" si="21"/>
        <v>2025-10</v>
      </c>
      <c r="N182" s="2">
        <f t="shared" ca="1" si="22"/>
        <v>46211</v>
      </c>
      <c r="O182" s="4">
        <f t="shared" ca="1" si="23"/>
        <v>8</v>
      </c>
      <c r="P182" s="4">
        <f t="shared" ca="1" si="24"/>
        <v>-82</v>
      </c>
      <c r="Q182">
        <f t="shared" ca="1" si="25"/>
        <v>5</v>
      </c>
      <c r="R182">
        <f t="shared" si="26"/>
        <v>1</v>
      </c>
      <c r="S182">
        <f t="shared" ca="1" si="27"/>
        <v>4</v>
      </c>
      <c r="T182" t="str">
        <f t="shared" ca="1" si="28"/>
        <v>514</v>
      </c>
      <c r="U182" t="str">
        <f t="shared" ca="1" si="29"/>
        <v>Others</v>
      </c>
    </row>
    <row r="183" spans="1:21">
      <c r="A183" s="17" t="str">
        <f>Cleaned_Data!A183</f>
        <v>MEM0182</v>
      </c>
      <c r="B183" s="18" t="str">
        <f ca="1">Cleaned_Data!D183</f>
        <v>BR04</v>
      </c>
      <c r="C183" s="18" t="str">
        <f ca="1">Cleaned_Data!E183</f>
        <v>Standard</v>
      </c>
      <c r="D183" s="19">
        <f>Cleaned_Data!F183</f>
        <v>45108</v>
      </c>
      <c r="E183" s="19">
        <f>Cleaned_Data!G183</f>
        <v>45138</v>
      </c>
      <c r="F183" s="18">
        <f>Cleaned_Data!H183</f>
        <v>1000</v>
      </c>
      <c r="G183" s="18">
        <f ca="1">Cleaned_Data!I183</f>
        <v>8000</v>
      </c>
      <c r="H183" s="18">
        <f>Cleaned_Data!J183</f>
        <v>3</v>
      </c>
      <c r="I183" s="18" t="str">
        <f>Cleaned_Data!M183</f>
        <v>Cancelled</v>
      </c>
      <c r="J183" s="20">
        <f>Cleaned_Data!N183</f>
        <v>45129</v>
      </c>
      <c r="K183" t="str">
        <f t="shared" si="20"/>
        <v>At Risk</v>
      </c>
      <c r="L183" s="5" t="str">
        <f>IF(COUNTIF($A$2:A183,A183)&gt;1,"Duplicate","Unique")</f>
        <v>Unique</v>
      </c>
      <c r="M183" t="str">
        <f t="shared" si="21"/>
        <v>2023-07</v>
      </c>
      <c r="N183" s="2">
        <f t="shared" ca="1" si="22"/>
        <v>45129</v>
      </c>
      <c r="O183" s="4">
        <f t="shared" ca="1" si="23"/>
        <v>0</v>
      </c>
      <c r="P183" s="4">
        <f t="shared" ca="1" si="24"/>
        <v>1000</v>
      </c>
      <c r="Q183">
        <f t="shared" ca="1" si="25"/>
        <v>1</v>
      </c>
      <c r="R183">
        <f t="shared" si="26"/>
        <v>1</v>
      </c>
      <c r="S183">
        <f t="shared" ca="1" si="27"/>
        <v>3</v>
      </c>
      <c r="T183" t="str">
        <f t="shared" ca="1" si="28"/>
        <v>113</v>
      </c>
      <c r="U183" t="str">
        <f t="shared" ca="1" si="29"/>
        <v>At Risk</v>
      </c>
    </row>
    <row r="184" spans="1:21">
      <c r="A184" s="13" t="str">
        <f>Cleaned_Data!A184</f>
        <v>MEM0183</v>
      </c>
      <c r="B184" s="14" t="str">
        <f ca="1">Cleaned_Data!D184</f>
        <v>BR07</v>
      </c>
      <c r="C184" s="14" t="str">
        <f ca="1">Cleaned_Data!E184</f>
        <v>Premium</v>
      </c>
      <c r="D184" s="15">
        <f>Cleaned_Data!F184</f>
        <v>45529</v>
      </c>
      <c r="E184" s="15">
        <f>Cleaned_Data!G184</f>
        <v>45894</v>
      </c>
      <c r="F184" s="14">
        <f>Cleaned_Data!H184</f>
        <v>3500</v>
      </c>
      <c r="G184" s="14">
        <f ca="1">Cleaned_Data!I184</f>
        <v>31500</v>
      </c>
      <c r="H184" s="14">
        <f>Cleaned_Data!J184</f>
        <v>15</v>
      </c>
      <c r="I184" s="14" t="str">
        <f>Cleaned_Data!M184</f>
        <v>Active</v>
      </c>
      <c r="J184" s="16">
        <f>Cleaned_Data!N184</f>
        <v>45907</v>
      </c>
      <c r="K184" t="str">
        <f t="shared" si="20"/>
        <v>Highly Active</v>
      </c>
      <c r="L184" s="5" t="str">
        <f>IF(COUNTIF($A$2:A184,A184)&gt;1,"Duplicate","Unique")</f>
        <v>Unique</v>
      </c>
      <c r="M184" t="str">
        <f t="shared" si="21"/>
        <v>2024-08</v>
      </c>
      <c r="N184" s="2">
        <f t="shared" ca="1" si="22"/>
        <v>45907</v>
      </c>
      <c r="O184" s="4">
        <f t="shared" ca="1" si="23"/>
        <v>12</v>
      </c>
      <c r="P184" s="4">
        <f t="shared" ca="1" si="24"/>
        <v>222</v>
      </c>
      <c r="Q184">
        <f t="shared" ca="1" si="25"/>
        <v>2</v>
      </c>
      <c r="R184">
        <f t="shared" si="26"/>
        <v>4</v>
      </c>
      <c r="S184">
        <f t="shared" ca="1" si="27"/>
        <v>5</v>
      </c>
      <c r="T184" t="str">
        <f t="shared" ca="1" si="28"/>
        <v>245</v>
      </c>
      <c r="U184" t="str">
        <f t="shared" ca="1" si="29"/>
        <v>At Risk</v>
      </c>
    </row>
    <row r="185" spans="1:21">
      <c r="A185" s="17" t="str">
        <f>Cleaned_Data!A185</f>
        <v>MEM0184</v>
      </c>
      <c r="B185" s="18" t="str">
        <f ca="1">Cleaned_Data!D185</f>
        <v>BR02</v>
      </c>
      <c r="C185" s="18" t="str">
        <f ca="1">Cleaned_Data!E185</f>
        <v>Basic</v>
      </c>
      <c r="D185" s="19">
        <f>Cleaned_Data!F185</f>
        <v>46035</v>
      </c>
      <c r="E185" s="19">
        <f>Cleaned_Data!G185</f>
        <v>46065</v>
      </c>
      <c r="F185" s="18">
        <f>Cleaned_Data!H185</f>
        <v>2000</v>
      </c>
      <c r="G185" s="18">
        <f ca="1">Cleaned_Data!I185</f>
        <v>14000</v>
      </c>
      <c r="H185" s="18">
        <f>Cleaned_Data!J185</f>
        <v>2</v>
      </c>
      <c r="I185" s="18" t="str">
        <f>Cleaned_Data!M185</f>
        <v>Active</v>
      </c>
      <c r="J185" s="20">
        <f>Cleaned_Data!N185</f>
        <v>46055</v>
      </c>
      <c r="K185" t="str">
        <f t="shared" si="20"/>
        <v>At Risk</v>
      </c>
      <c r="L185" s="5" t="str">
        <f>IF(COUNTIF($A$2:A185,A185)&gt;1,"Duplicate","Unique")</f>
        <v>Unique</v>
      </c>
      <c r="M185" t="str">
        <f t="shared" si="21"/>
        <v>2026-01</v>
      </c>
      <c r="N185" s="2">
        <f t="shared" ca="1" si="22"/>
        <v>46055</v>
      </c>
      <c r="O185" s="4">
        <f t="shared" ca="1" si="23"/>
        <v>0</v>
      </c>
      <c r="P185" s="4">
        <f t="shared" ca="1" si="24"/>
        <v>74</v>
      </c>
      <c r="Q185">
        <f t="shared" ca="1" si="25"/>
        <v>4</v>
      </c>
      <c r="R185">
        <f t="shared" si="26"/>
        <v>1</v>
      </c>
      <c r="S185">
        <f t="shared" ca="1" si="27"/>
        <v>4</v>
      </c>
      <c r="T185" t="str">
        <f t="shared" ca="1" si="28"/>
        <v>414</v>
      </c>
      <c r="U185" t="str">
        <f t="shared" ca="1" si="29"/>
        <v>Others</v>
      </c>
    </row>
    <row r="186" spans="1:21">
      <c r="A186" s="13" t="str">
        <f>Cleaned_Data!A186</f>
        <v>MEM0185</v>
      </c>
      <c r="B186" s="14" t="str">
        <f ca="1">Cleaned_Data!D186</f>
        <v>BR05</v>
      </c>
      <c r="C186" s="14" t="str">
        <f ca="1">Cleaned_Data!E186</f>
        <v>Premium</v>
      </c>
      <c r="D186" s="15">
        <f>Cleaned_Data!F186</f>
        <v>45911</v>
      </c>
      <c r="E186" s="15">
        <f>Cleaned_Data!G186</f>
        <v>45941</v>
      </c>
      <c r="F186" s="14">
        <f>Cleaned_Data!H186</f>
        <v>3500</v>
      </c>
      <c r="G186" s="14">
        <f ca="1">Cleaned_Data!I186</f>
        <v>21000</v>
      </c>
      <c r="H186" s="14">
        <f>Cleaned_Data!J186</f>
        <v>8</v>
      </c>
      <c r="I186" s="14" t="str">
        <f>Cleaned_Data!M186</f>
        <v>Cancelled</v>
      </c>
      <c r="J186" s="16">
        <f>Cleaned_Data!N186</f>
        <v>46115</v>
      </c>
      <c r="K186" t="str">
        <f t="shared" si="20"/>
        <v>Moderate</v>
      </c>
      <c r="L186" s="5" t="str">
        <f>IF(COUNTIF($A$2:A186,A186)&gt;1,"Duplicate","Unique")</f>
        <v>Unique</v>
      </c>
      <c r="M186" t="str">
        <f t="shared" si="21"/>
        <v>2025-09</v>
      </c>
      <c r="N186" s="2">
        <f t="shared" ca="1" si="22"/>
        <v>46115</v>
      </c>
      <c r="O186" s="4">
        <f t="shared" ca="1" si="23"/>
        <v>6</v>
      </c>
      <c r="P186" s="4">
        <f t="shared" ca="1" si="24"/>
        <v>14</v>
      </c>
      <c r="Q186">
        <f t="shared" ca="1" si="25"/>
        <v>5</v>
      </c>
      <c r="R186">
        <f t="shared" si="26"/>
        <v>2</v>
      </c>
      <c r="S186">
        <f t="shared" ca="1" si="27"/>
        <v>5</v>
      </c>
      <c r="T186" t="str">
        <f t="shared" ca="1" si="28"/>
        <v>525</v>
      </c>
      <c r="U186" t="str">
        <f t="shared" ca="1" si="29"/>
        <v>Others</v>
      </c>
    </row>
    <row r="187" spans="1:21">
      <c r="A187" s="17" t="str">
        <f>Cleaned_Data!A187</f>
        <v>MEM0186</v>
      </c>
      <c r="B187" s="18" t="str">
        <f ca="1">Cleaned_Data!D187</f>
        <v>BR05</v>
      </c>
      <c r="C187" s="18" t="str">
        <f ca="1">Cleaned_Data!E187</f>
        <v>Premium</v>
      </c>
      <c r="D187" s="19">
        <f>Cleaned_Data!F187</f>
        <v>45367</v>
      </c>
      <c r="E187" s="19">
        <f>Cleaned_Data!G187</f>
        <v>45732</v>
      </c>
      <c r="F187" s="18">
        <f>Cleaned_Data!H187</f>
        <v>1000</v>
      </c>
      <c r="G187" s="18">
        <f ca="1">Cleaned_Data!I187</f>
        <v>8000</v>
      </c>
      <c r="H187" s="18">
        <f>Cleaned_Data!J187</f>
        <v>10</v>
      </c>
      <c r="I187" s="18" t="str">
        <f>Cleaned_Data!M187</f>
        <v>Cancelled</v>
      </c>
      <c r="J187" s="20">
        <f>Cleaned_Data!N187</f>
        <v>46092</v>
      </c>
      <c r="K187" t="str">
        <f t="shared" si="20"/>
        <v>Moderate</v>
      </c>
      <c r="L187" s="5" t="str">
        <f>IF(COUNTIF($A$2:A187,A187)&gt;1,"Duplicate","Unique")</f>
        <v>Unique</v>
      </c>
      <c r="M187" t="str">
        <f t="shared" si="21"/>
        <v>2024-03</v>
      </c>
      <c r="N187" s="2">
        <f t="shared" ca="1" si="22"/>
        <v>46092</v>
      </c>
      <c r="O187" s="4">
        <f t="shared" ca="1" si="23"/>
        <v>23</v>
      </c>
      <c r="P187" s="4">
        <f t="shared" ca="1" si="24"/>
        <v>37</v>
      </c>
      <c r="Q187">
        <f t="shared" ca="1" si="25"/>
        <v>4</v>
      </c>
      <c r="R187">
        <f t="shared" si="26"/>
        <v>3</v>
      </c>
      <c r="S187">
        <f t="shared" ca="1" si="27"/>
        <v>3</v>
      </c>
      <c r="T187" t="str">
        <f t="shared" ca="1" si="28"/>
        <v>433</v>
      </c>
      <c r="U187" t="str">
        <f t="shared" ca="1" si="29"/>
        <v>Loyal</v>
      </c>
    </row>
    <row r="188" spans="1:21">
      <c r="A188" s="13" t="str">
        <f>Cleaned_Data!A188</f>
        <v>MEM0187</v>
      </c>
      <c r="B188" s="14" t="str">
        <f ca="1">Cleaned_Data!D188</f>
        <v>BR06</v>
      </c>
      <c r="C188" s="14" t="str">
        <f ca="1">Cleaned_Data!E188</f>
        <v>Standard</v>
      </c>
      <c r="D188" s="15">
        <f>Cleaned_Data!F188</f>
        <v>44927</v>
      </c>
      <c r="E188" s="15">
        <f>Cleaned_Data!G188</f>
        <v>44957</v>
      </c>
      <c r="F188" s="14">
        <f>Cleaned_Data!H188</f>
        <v>2000</v>
      </c>
      <c r="G188" s="14">
        <f ca="1">Cleaned_Data!I188</f>
        <v>12000</v>
      </c>
      <c r="H188" s="14">
        <f>Cleaned_Data!J188</f>
        <v>6</v>
      </c>
      <c r="I188" s="14" t="str">
        <f>Cleaned_Data!M188</f>
        <v>Active</v>
      </c>
      <c r="J188" s="16">
        <f>Cleaned_Data!N188</f>
        <v>45192</v>
      </c>
      <c r="K188" t="str">
        <f t="shared" si="20"/>
        <v>Moderate</v>
      </c>
      <c r="L188" s="5" t="str">
        <f>IF(COUNTIF($A$2:A188,A188)&gt;1,"Duplicate","Unique")</f>
        <v>Unique</v>
      </c>
      <c r="M188" t="str">
        <f t="shared" si="21"/>
        <v>2023-01</v>
      </c>
      <c r="N188" s="2">
        <f t="shared" ca="1" si="22"/>
        <v>45192</v>
      </c>
      <c r="O188" s="4">
        <f t="shared" ca="1" si="23"/>
        <v>8</v>
      </c>
      <c r="P188" s="4">
        <f t="shared" ca="1" si="24"/>
        <v>937</v>
      </c>
      <c r="Q188">
        <f t="shared" ca="1" si="25"/>
        <v>1</v>
      </c>
      <c r="R188">
        <f t="shared" si="26"/>
        <v>2</v>
      </c>
      <c r="S188">
        <f t="shared" ca="1" si="27"/>
        <v>4</v>
      </c>
      <c r="T188" t="str">
        <f t="shared" ca="1" si="28"/>
        <v>124</v>
      </c>
      <c r="U188" t="str">
        <f t="shared" ca="1" si="29"/>
        <v>At Risk</v>
      </c>
    </row>
    <row r="189" spans="1:21">
      <c r="A189" s="17" t="str">
        <f>Cleaned_Data!A189</f>
        <v>MEM0188</v>
      </c>
      <c r="B189" s="18" t="str">
        <f ca="1">Cleaned_Data!D189</f>
        <v>BR03</v>
      </c>
      <c r="C189" s="18" t="str">
        <f ca="1">Cleaned_Data!E189</f>
        <v>Basic</v>
      </c>
      <c r="D189" s="19">
        <f>Cleaned_Data!F189</f>
        <v>46003</v>
      </c>
      <c r="E189" s="19">
        <f>Cleaned_Data!G189</f>
        <v>46368</v>
      </c>
      <c r="F189" s="18">
        <f>Cleaned_Data!H189</f>
        <v>1000</v>
      </c>
      <c r="G189" s="18">
        <f ca="1">Cleaned_Data!I189</f>
        <v>5000</v>
      </c>
      <c r="H189" s="18">
        <f>Cleaned_Data!J189</f>
        <v>17</v>
      </c>
      <c r="I189" s="18" t="str">
        <f>Cleaned_Data!M189</f>
        <v>Active</v>
      </c>
      <c r="J189" s="20">
        <f>Cleaned_Data!N189</f>
        <v>46111</v>
      </c>
      <c r="K189" t="str">
        <f t="shared" si="20"/>
        <v>Highly Active</v>
      </c>
      <c r="L189" s="5" t="str">
        <f>IF(COUNTIF($A$2:A189,A189)&gt;1,"Duplicate","Unique")</f>
        <v>Unique</v>
      </c>
      <c r="M189" t="str">
        <f t="shared" si="21"/>
        <v>2025-12</v>
      </c>
      <c r="N189" s="2">
        <f t="shared" ca="1" si="22"/>
        <v>46111</v>
      </c>
      <c r="O189" s="4">
        <f t="shared" ca="1" si="23"/>
        <v>3</v>
      </c>
      <c r="P189" s="4">
        <f t="shared" ca="1" si="24"/>
        <v>18</v>
      </c>
      <c r="Q189">
        <f t="shared" ca="1" si="25"/>
        <v>5</v>
      </c>
      <c r="R189">
        <f t="shared" si="26"/>
        <v>4</v>
      </c>
      <c r="S189">
        <f t="shared" ca="1" si="27"/>
        <v>3</v>
      </c>
      <c r="T189" t="str">
        <f t="shared" ca="1" si="28"/>
        <v>543</v>
      </c>
      <c r="U189" t="str">
        <f t="shared" ca="1" si="29"/>
        <v>Loyal</v>
      </c>
    </row>
    <row r="190" spans="1:21">
      <c r="A190" s="13" t="str">
        <f>Cleaned_Data!A190</f>
        <v>MEM0189</v>
      </c>
      <c r="B190" s="14" t="str">
        <f ca="1">Cleaned_Data!D190</f>
        <v>BR07</v>
      </c>
      <c r="C190" s="14" t="str">
        <f ca="1">Cleaned_Data!E190</f>
        <v>Premium</v>
      </c>
      <c r="D190" s="15">
        <f>Cleaned_Data!F190</f>
        <v>45519</v>
      </c>
      <c r="E190" s="15">
        <f>Cleaned_Data!G190</f>
        <v>45549</v>
      </c>
      <c r="F190" s="14">
        <f>Cleaned_Data!H190</f>
        <v>3500</v>
      </c>
      <c r="G190" s="14">
        <f ca="1">Cleaned_Data!I190</f>
        <v>24500</v>
      </c>
      <c r="H190" s="14">
        <f>Cleaned_Data!J190</f>
        <v>4</v>
      </c>
      <c r="I190" s="14" t="str">
        <f>Cleaned_Data!M190</f>
        <v>Cancelled</v>
      </c>
      <c r="J190" s="16">
        <f>Cleaned_Data!N190</f>
        <v>45531</v>
      </c>
      <c r="K190" t="str">
        <f t="shared" si="20"/>
        <v>At Risk</v>
      </c>
      <c r="L190" s="5" t="str">
        <f>IF(COUNTIF($A$2:A190,A190)&gt;1,"Duplicate","Unique")</f>
        <v>Unique</v>
      </c>
      <c r="M190" t="str">
        <f t="shared" si="21"/>
        <v>2024-08</v>
      </c>
      <c r="N190" s="2">
        <f t="shared" ca="1" si="22"/>
        <v>45531</v>
      </c>
      <c r="O190" s="4">
        <f t="shared" ca="1" si="23"/>
        <v>0</v>
      </c>
      <c r="P190" s="4">
        <f t="shared" ca="1" si="24"/>
        <v>598</v>
      </c>
      <c r="Q190">
        <f t="shared" ca="1" si="25"/>
        <v>1</v>
      </c>
      <c r="R190">
        <f t="shared" si="26"/>
        <v>1</v>
      </c>
      <c r="S190">
        <f t="shared" ca="1" si="27"/>
        <v>5</v>
      </c>
      <c r="T190" t="str">
        <f t="shared" ca="1" si="28"/>
        <v>115</v>
      </c>
      <c r="U190" t="str">
        <f t="shared" ca="1" si="29"/>
        <v>At Risk</v>
      </c>
    </row>
    <row r="191" spans="1:21">
      <c r="A191" s="17" t="str">
        <f>Cleaned_Data!A191</f>
        <v>MEM0190</v>
      </c>
      <c r="B191" s="18" t="str">
        <f ca="1">Cleaned_Data!D191</f>
        <v>BR07</v>
      </c>
      <c r="C191" s="18" t="str">
        <f ca="1">Cleaned_Data!E191</f>
        <v>Basic</v>
      </c>
      <c r="D191" s="19">
        <f>Cleaned_Data!F191</f>
        <v>45371</v>
      </c>
      <c r="E191" s="19">
        <f>Cleaned_Data!G191</f>
        <v>45401</v>
      </c>
      <c r="F191" s="18">
        <f>Cleaned_Data!H191</f>
        <v>2000</v>
      </c>
      <c r="G191" s="18">
        <f ca="1">Cleaned_Data!I191</f>
        <v>24000</v>
      </c>
      <c r="H191" s="18">
        <f>Cleaned_Data!J191</f>
        <v>12</v>
      </c>
      <c r="I191" s="18" t="str">
        <f>Cleaned_Data!M191</f>
        <v>Active</v>
      </c>
      <c r="J191" s="20">
        <f>Cleaned_Data!N191</f>
        <v>45865</v>
      </c>
      <c r="K191" t="str">
        <f t="shared" si="20"/>
        <v>Moderate</v>
      </c>
      <c r="L191" s="5" t="str">
        <f>IF(COUNTIF($A$2:A191,A191)&gt;1,"Duplicate","Unique")</f>
        <v>Unique</v>
      </c>
      <c r="M191" t="str">
        <f t="shared" si="21"/>
        <v>2024-03</v>
      </c>
      <c r="N191" s="2">
        <f t="shared" ca="1" si="22"/>
        <v>45865</v>
      </c>
      <c r="O191" s="4">
        <f t="shared" ca="1" si="23"/>
        <v>16</v>
      </c>
      <c r="P191" s="4">
        <f t="shared" ca="1" si="24"/>
        <v>264</v>
      </c>
      <c r="Q191">
        <f t="shared" ca="1" si="25"/>
        <v>2</v>
      </c>
      <c r="R191">
        <f t="shared" si="26"/>
        <v>3</v>
      </c>
      <c r="S191">
        <f t="shared" ca="1" si="27"/>
        <v>5</v>
      </c>
      <c r="T191" t="str">
        <f t="shared" ca="1" si="28"/>
        <v>235</v>
      </c>
      <c r="U191" t="str">
        <f t="shared" ca="1" si="29"/>
        <v>At Risk</v>
      </c>
    </row>
    <row r="192" spans="1:21">
      <c r="A192" s="13" t="str">
        <f>Cleaned_Data!A192</f>
        <v>MEM0191</v>
      </c>
      <c r="B192" s="14" t="str">
        <f ca="1">Cleaned_Data!D192</f>
        <v>BR01</v>
      </c>
      <c r="C192" s="14" t="str">
        <f ca="1">Cleaned_Data!E192</f>
        <v>Standard</v>
      </c>
      <c r="D192" s="15">
        <f>Cleaned_Data!F192</f>
        <v>45584</v>
      </c>
      <c r="E192" s="15">
        <f>Cleaned_Data!G192</f>
        <v>45949</v>
      </c>
      <c r="F192" s="14">
        <f>Cleaned_Data!H192</f>
        <v>1000</v>
      </c>
      <c r="G192" s="14">
        <f ca="1">Cleaned_Data!I192</f>
        <v>4000</v>
      </c>
      <c r="H192" s="14">
        <f>Cleaned_Data!J192</f>
        <v>23</v>
      </c>
      <c r="I192" s="14" t="str">
        <f>Cleaned_Data!M192</f>
        <v>Cancelled</v>
      </c>
      <c r="J192" s="16">
        <f>Cleaned_Data!N192</f>
        <v>45678</v>
      </c>
      <c r="K192" t="str">
        <f t="shared" si="20"/>
        <v>Highly Active</v>
      </c>
      <c r="L192" s="5" t="str">
        <f>IF(COUNTIF($A$2:A192,A192)&gt;1,"Duplicate","Unique")</f>
        <v>Unique</v>
      </c>
      <c r="M192" t="str">
        <f t="shared" si="21"/>
        <v>2024-10</v>
      </c>
      <c r="N192" s="2">
        <f t="shared" ca="1" si="22"/>
        <v>45678</v>
      </c>
      <c r="O192" s="4">
        <f t="shared" ca="1" si="23"/>
        <v>3</v>
      </c>
      <c r="P192" s="4">
        <f t="shared" ca="1" si="24"/>
        <v>451</v>
      </c>
      <c r="Q192">
        <f t="shared" ca="1" si="25"/>
        <v>1</v>
      </c>
      <c r="R192">
        <f t="shared" si="26"/>
        <v>5</v>
      </c>
      <c r="S192">
        <f t="shared" ca="1" si="27"/>
        <v>2</v>
      </c>
      <c r="T192" t="str">
        <f t="shared" ca="1" si="28"/>
        <v>152</v>
      </c>
      <c r="U192" t="str">
        <f t="shared" ca="1" si="29"/>
        <v>At Risk</v>
      </c>
    </row>
    <row r="193" spans="1:21">
      <c r="A193" s="17" t="str">
        <f>Cleaned_Data!A193</f>
        <v>MEM0192</v>
      </c>
      <c r="B193" s="18" t="str">
        <f ca="1">Cleaned_Data!D193</f>
        <v>BR04</v>
      </c>
      <c r="C193" s="18" t="str">
        <f ca="1">Cleaned_Data!E193</f>
        <v>Basic</v>
      </c>
      <c r="D193" s="19">
        <f>Cleaned_Data!F193</f>
        <v>45212</v>
      </c>
      <c r="E193" s="19">
        <f>Cleaned_Data!G193</f>
        <v>45577</v>
      </c>
      <c r="F193" s="18">
        <f>Cleaned_Data!H193</f>
        <v>1000</v>
      </c>
      <c r="G193" s="18">
        <f ca="1">Cleaned_Data!I193</f>
        <v>12000</v>
      </c>
      <c r="H193" s="18">
        <f>Cleaned_Data!J193</f>
        <v>12</v>
      </c>
      <c r="I193" s="18" t="str">
        <f>Cleaned_Data!M193</f>
        <v>Active</v>
      </c>
      <c r="J193" s="20">
        <f>Cleaned_Data!N193</f>
        <v>46044</v>
      </c>
      <c r="K193" t="str">
        <f t="shared" si="20"/>
        <v>Moderate</v>
      </c>
      <c r="L193" s="5" t="str">
        <f>IF(COUNTIF($A$2:A193,A193)&gt;1,"Duplicate","Unique")</f>
        <v>Unique</v>
      </c>
      <c r="M193" t="str">
        <f t="shared" si="21"/>
        <v>2023-10</v>
      </c>
      <c r="N193" s="2">
        <f t="shared" ca="1" si="22"/>
        <v>46044</v>
      </c>
      <c r="O193" s="4">
        <f t="shared" ca="1" si="23"/>
        <v>27</v>
      </c>
      <c r="P193" s="4">
        <f t="shared" ca="1" si="24"/>
        <v>85</v>
      </c>
      <c r="Q193">
        <f t="shared" ca="1" si="25"/>
        <v>4</v>
      </c>
      <c r="R193">
        <f t="shared" si="26"/>
        <v>3</v>
      </c>
      <c r="S193">
        <f t="shared" ca="1" si="27"/>
        <v>4</v>
      </c>
      <c r="T193" t="str">
        <f t="shared" ca="1" si="28"/>
        <v>434</v>
      </c>
      <c r="U193" t="str">
        <f t="shared" ca="1" si="29"/>
        <v>Loyal</v>
      </c>
    </row>
    <row r="194" spans="1:21">
      <c r="A194" s="13" t="str">
        <f>Cleaned_Data!A194</f>
        <v>MEM0193</v>
      </c>
      <c r="B194" s="14" t="str">
        <f ca="1">Cleaned_Data!D194</f>
        <v>BR03</v>
      </c>
      <c r="C194" s="14" t="str">
        <f ca="1">Cleaned_Data!E194</f>
        <v>Standard</v>
      </c>
      <c r="D194" s="15">
        <f>Cleaned_Data!F194</f>
        <v>45162</v>
      </c>
      <c r="E194" s="15">
        <f>Cleaned_Data!G194</f>
        <v>45252</v>
      </c>
      <c r="F194" s="14">
        <f>Cleaned_Data!H194</f>
        <v>3500</v>
      </c>
      <c r="G194" s="14">
        <f ca="1">Cleaned_Data!I194</f>
        <v>31500</v>
      </c>
      <c r="H194" s="14">
        <f>Cleaned_Data!J194</f>
        <v>16</v>
      </c>
      <c r="I194" s="14" t="str">
        <f>Cleaned_Data!M194</f>
        <v>Active</v>
      </c>
      <c r="J194" s="16">
        <f>Cleaned_Data!N194</f>
        <v>45372</v>
      </c>
      <c r="K194" t="str">
        <f t="shared" si="20"/>
        <v>Highly Active</v>
      </c>
      <c r="L194" s="5" t="str">
        <f>IF(COUNTIF($A$2:A194,A194)&gt;1,"Duplicate","Unique")</f>
        <v>Unique</v>
      </c>
      <c r="M194" t="str">
        <f t="shared" si="21"/>
        <v>2023-08</v>
      </c>
      <c r="N194" s="2">
        <f t="shared" ca="1" si="22"/>
        <v>45372</v>
      </c>
      <c r="O194" s="4">
        <f t="shared" ca="1" si="23"/>
        <v>6</v>
      </c>
      <c r="P194" s="4">
        <f t="shared" ca="1" si="24"/>
        <v>757</v>
      </c>
      <c r="Q194">
        <f t="shared" ca="1" si="25"/>
        <v>1</v>
      </c>
      <c r="R194">
        <f t="shared" si="26"/>
        <v>4</v>
      </c>
      <c r="S194">
        <f t="shared" ca="1" si="27"/>
        <v>5</v>
      </c>
      <c r="T194" t="str">
        <f t="shared" ca="1" si="28"/>
        <v>145</v>
      </c>
      <c r="U194" t="str">
        <f t="shared" ca="1" si="29"/>
        <v>At Risk</v>
      </c>
    </row>
    <row r="195" spans="1:21">
      <c r="A195" s="17" t="str">
        <f>Cleaned_Data!A195</f>
        <v>MEM0194</v>
      </c>
      <c r="B195" s="18" t="str">
        <f ca="1">Cleaned_Data!D195</f>
        <v>BR03</v>
      </c>
      <c r="C195" s="18" t="str">
        <f ca="1">Cleaned_Data!E195</f>
        <v>Premium</v>
      </c>
      <c r="D195" s="19">
        <f>Cleaned_Data!F195</f>
        <v>45521</v>
      </c>
      <c r="E195" s="19">
        <f>Cleaned_Data!G195</f>
        <v>45886</v>
      </c>
      <c r="F195" s="18">
        <f>Cleaned_Data!H195</f>
        <v>1000</v>
      </c>
      <c r="G195" s="18">
        <f ca="1">Cleaned_Data!I195</f>
        <v>6000</v>
      </c>
      <c r="H195" s="18">
        <f>Cleaned_Data!J195</f>
        <v>22</v>
      </c>
      <c r="I195" s="18" t="str">
        <f>Cleaned_Data!M195</f>
        <v>Active</v>
      </c>
      <c r="J195" s="20">
        <f>Cleaned_Data!N195</f>
        <v>45814</v>
      </c>
      <c r="K195" t="str">
        <f t="shared" ref="K195:K258" si="30">IF(H195&lt;5,"At Risk",
 IF(H195&lt;15,"Moderate",
 "Highly Active"))</f>
        <v>Highly Active</v>
      </c>
      <c r="L195" s="5" t="str">
        <f>IF(COUNTIF($A$2:A195,A195)&gt;1,"Duplicate","Unique")</f>
        <v>Unique</v>
      </c>
      <c r="M195" t="str">
        <f t="shared" ref="M195:M258" si="31">TEXT(D195,"YYYY-MM")</f>
        <v>2024-08</v>
      </c>
      <c r="N195" s="2">
        <f t="shared" ref="N195:N258" ca="1" si="32">IF(J195&lt;&gt;"",
    J195,
    IF(I195="Active", TODAY(), E195)
)</f>
        <v>45814</v>
      </c>
      <c r="O195" s="4">
        <f t="shared" ref="O195:O258" ca="1" si="33">IFERROR(
   IF(N195&gt;=D195,
      DATEDIF(D195, N195, "M"),
      0
   ),
   0
)</f>
        <v>9</v>
      </c>
      <c r="P195" s="4">
        <f t="shared" ref="P195:P258" ca="1" si="34">TODAY() - N195</f>
        <v>315</v>
      </c>
      <c r="Q195">
        <f t="shared" ref="Q195:Q258" ca="1" si="35">IF(P195&lt;=30,5,
 IF(P195&lt;=90,4,
 IF(P195&lt;=180,3,
 IF(P195&lt;=365,2,1))))</f>
        <v>2</v>
      </c>
      <c r="R195">
        <f t="shared" ref="R195:R258" si="36">IF(H195&gt;=20,5,
 IF(H195&gt;=15,4,
 IF(H195&gt;=10,3,
 IF(H195&gt;=5,2,1))))</f>
        <v>5</v>
      </c>
      <c r="S195">
        <f t="shared" ref="S195:S258" ca="1" si="37">IF(G195&gt;=20000,5,
 IF(G195&gt;=10000,4,
 IF(G195&gt;=5000,3,
 IF(G195&gt;=2000,2,1))))</f>
        <v>3</v>
      </c>
      <c r="T195" t="str">
        <f t="shared" ref="T195:T258" ca="1" si="38">Q195 &amp; R195 &amp; S195</f>
        <v>253</v>
      </c>
      <c r="U195" t="str">
        <f t="shared" ref="U195:U258" ca="1" si="39">IF(AND(Q195&gt;=4,R195&gt;=4,S195&gt;=4),"Champion",
 IF(AND(Q195&gt;=3,R195&gt;=3,S195&gt;=3),"Loyal",
 IF(Q195&lt;=2,"At Risk",
 "Others")))</f>
        <v>At Risk</v>
      </c>
    </row>
    <row r="196" spans="1:21">
      <c r="A196" s="13" t="str">
        <f>Cleaned_Data!A196</f>
        <v>MEM0195</v>
      </c>
      <c r="B196" s="14" t="str">
        <f ca="1">Cleaned_Data!D196</f>
        <v>BR03</v>
      </c>
      <c r="C196" s="14" t="str">
        <f ca="1">Cleaned_Data!E196</f>
        <v>Basic</v>
      </c>
      <c r="D196" s="15">
        <f>Cleaned_Data!F196</f>
        <v>45187</v>
      </c>
      <c r="E196" s="15">
        <f>Cleaned_Data!G196</f>
        <v>45552</v>
      </c>
      <c r="F196" s="14">
        <f>Cleaned_Data!H196</f>
        <v>1000</v>
      </c>
      <c r="G196" s="14">
        <f ca="1">Cleaned_Data!I196</f>
        <v>5000</v>
      </c>
      <c r="H196" s="14">
        <f>Cleaned_Data!J196</f>
        <v>0</v>
      </c>
      <c r="I196" s="14" t="str">
        <f>Cleaned_Data!M196</f>
        <v>Cancelled</v>
      </c>
      <c r="J196" s="16">
        <f>Cleaned_Data!N196</f>
        <v>45203</v>
      </c>
      <c r="K196" t="str">
        <f t="shared" si="30"/>
        <v>At Risk</v>
      </c>
      <c r="L196" s="5" t="str">
        <f>IF(COUNTIF($A$2:A196,A196)&gt;1,"Duplicate","Unique")</f>
        <v>Unique</v>
      </c>
      <c r="M196" t="str">
        <f t="shared" si="31"/>
        <v>2023-09</v>
      </c>
      <c r="N196" s="2">
        <f t="shared" ca="1" si="32"/>
        <v>45203</v>
      </c>
      <c r="O196" s="4">
        <f t="shared" ca="1" si="33"/>
        <v>0</v>
      </c>
      <c r="P196" s="4">
        <f t="shared" ca="1" si="34"/>
        <v>926</v>
      </c>
      <c r="Q196">
        <f t="shared" ca="1" si="35"/>
        <v>1</v>
      </c>
      <c r="R196">
        <f t="shared" si="36"/>
        <v>1</v>
      </c>
      <c r="S196">
        <f t="shared" ca="1" si="37"/>
        <v>3</v>
      </c>
      <c r="T196" t="str">
        <f t="shared" ca="1" si="38"/>
        <v>113</v>
      </c>
      <c r="U196" t="str">
        <f t="shared" ca="1" si="39"/>
        <v>At Risk</v>
      </c>
    </row>
    <row r="197" spans="1:21">
      <c r="A197" s="17" t="str">
        <f>Cleaned_Data!A197</f>
        <v>MEM0196</v>
      </c>
      <c r="B197" s="18" t="str">
        <f ca="1">Cleaned_Data!D197</f>
        <v>BR05</v>
      </c>
      <c r="C197" s="18" t="str">
        <f ca="1">Cleaned_Data!E197</f>
        <v>Standard</v>
      </c>
      <c r="D197" s="19">
        <f>Cleaned_Data!F197</f>
        <v>44940</v>
      </c>
      <c r="E197" s="19">
        <f>Cleaned_Data!G197</f>
        <v>45030</v>
      </c>
      <c r="F197" s="18">
        <f>Cleaned_Data!H197</f>
        <v>2000</v>
      </c>
      <c r="G197" s="18">
        <f ca="1">Cleaned_Data!I197</f>
        <v>6000</v>
      </c>
      <c r="H197" s="18">
        <f>Cleaned_Data!J197</f>
        <v>11</v>
      </c>
      <c r="I197" s="18" t="str">
        <f>Cleaned_Data!M197</f>
        <v>Active</v>
      </c>
      <c r="J197" s="20">
        <f>Cleaned_Data!N197</f>
        <v>45879</v>
      </c>
      <c r="K197" t="str">
        <f t="shared" si="30"/>
        <v>Moderate</v>
      </c>
      <c r="L197" s="5" t="str">
        <f>IF(COUNTIF($A$2:A197,A197)&gt;1,"Duplicate","Unique")</f>
        <v>Unique</v>
      </c>
      <c r="M197" t="str">
        <f t="shared" si="31"/>
        <v>2023-01</v>
      </c>
      <c r="N197" s="2">
        <f t="shared" ca="1" si="32"/>
        <v>45879</v>
      </c>
      <c r="O197" s="4">
        <f t="shared" ca="1" si="33"/>
        <v>30</v>
      </c>
      <c r="P197" s="4">
        <f t="shared" ca="1" si="34"/>
        <v>250</v>
      </c>
      <c r="Q197">
        <f t="shared" ca="1" si="35"/>
        <v>2</v>
      </c>
      <c r="R197">
        <f t="shared" si="36"/>
        <v>3</v>
      </c>
      <c r="S197">
        <f t="shared" ca="1" si="37"/>
        <v>3</v>
      </c>
      <c r="T197" t="str">
        <f t="shared" ca="1" si="38"/>
        <v>233</v>
      </c>
      <c r="U197" t="str">
        <f t="shared" ca="1" si="39"/>
        <v>At Risk</v>
      </c>
    </row>
    <row r="198" spans="1:21">
      <c r="A198" s="13" t="str">
        <f>Cleaned_Data!A198</f>
        <v>MEM0197</v>
      </c>
      <c r="B198" s="14" t="str">
        <f ca="1">Cleaned_Data!D198</f>
        <v>BR03</v>
      </c>
      <c r="C198" s="14" t="str">
        <f ca="1">Cleaned_Data!E198</f>
        <v>Basic</v>
      </c>
      <c r="D198" s="15">
        <f>Cleaned_Data!F198</f>
        <v>45764</v>
      </c>
      <c r="E198" s="15">
        <f>Cleaned_Data!G198</f>
        <v>45794</v>
      </c>
      <c r="F198" s="14">
        <f>Cleaned_Data!H198</f>
        <v>1000</v>
      </c>
      <c r="G198" s="14">
        <f ca="1">Cleaned_Data!I198</f>
        <v>6000</v>
      </c>
      <c r="H198" s="14">
        <f>Cleaned_Data!J198</f>
        <v>16</v>
      </c>
      <c r="I198" s="14" t="str">
        <f>Cleaned_Data!M198</f>
        <v>Active</v>
      </c>
      <c r="J198" s="16">
        <f>Cleaned_Data!N198</f>
        <v>45989</v>
      </c>
      <c r="K198" t="str">
        <f t="shared" si="30"/>
        <v>Highly Active</v>
      </c>
      <c r="L198" s="5" t="str">
        <f>IF(COUNTIF($A$2:A198,A198)&gt;1,"Duplicate","Unique")</f>
        <v>Unique</v>
      </c>
      <c r="M198" t="str">
        <f t="shared" si="31"/>
        <v>2025-04</v>
      </c>
      <c r="N198" s="2">
        <f t="shared" ca="1" si="32"/>
        <v>45989</v>
      </c>
      <c r="O198" s="4">
        <f t="shared" ca="1" si="33"/>
        <v>7</v>
      </c>
      <c r="P198" s="4">
        <f t="shared" ca="1" si="34"/>
        <v>140</v>
      </c>
      <c r="Q198">
        <f t="shared" ca="1" si="35"/>
        <v>3</v>
      </c>
      <c r="R198">
        <f t="shared" si="36"/>
        <v>4</v>
      </c>
      <c r="S198">
        <f t="shared" ca="1" si="37"/>
        <v>3</v>
      </c>
      <c r="T198" t="str">
        <f t="shared" ca="1" si="38"/>
        <v>343</v>
      </c>
      <c r="U198" t="str">
        <f t="shared" ca="1" si="39"/>
        <v>Loyal</v>
      </c>
    </row>
    <row r="199" spans="1:21">
      <c r="A199" s="17" t="str">
        <f>Cleaned_Data!A199</f>
        <v>MEM0198</v>
      </c>
      <c r="B199" s="18" t="str">
        <f ca="1">Cleaned_Data!D199</f>
        <v>BR04</v>
      </c>
      <c r="C199" s="18" t="str">
        <f ca="1">Cleaned_Data!E199</f>
        <v>Basic</v>
      </c>
      <c r="D199" s="19">
        <f>Cleaned_Data!F199</f>
        <v>45574</v>
      </c>
      <c r="E199" s="19">
        <f>Cleaned_Data!G199</f>
        <v>45939</v>
      </c>
      <c r="F199" s="18">
        <f>Cleaned_Data!H199</f>
        <v>3500</v>
      </c>
      <c r="G199" s="18">
        <f ca="1">Cleaned_Data!I199</f>
        <v>7000</v>
      </c>
      <c r="H199" s="18">
        <f>Cleaned_Data!J199</f>
        <v>19</v>
      </c>
      <c r="I199" s="18" t="str">
        <f>Cleaned_Data!M199</f>
        <v>Active</v>
      </c>
      <c r="J199" s="20">
        <f>Cleaned_Data!N199</f>
        <v>46011</v>
      </c>
      <c r="K199" t="str">
        <f t="shared" si="30"/>
        <v>Highly Active</v>
      </c>
      <c r="L199" s="5" t="str">
        <f>IF(COUNTIF($A$2:A199,A199)&gt;1,"Duplicate","Unique")</f>
        <v>Unique</v>
      </c>
      <c r="M199" t="str">
        <f t="shared" si="31"/>
        <v>2024-10</v>
      </c>
      <c r="N199" s="2">
        <f t="shared" ca="1" si="32"/>
        <v>46011</v>
      </c>
      <c r="O199" s="4">
        <f t="shared" ca="1" si="33"/>
        <v>14</v>
      </c>
      <c r="P199" s="4">
        <f t="shared" ca="1" si="34"/>
        <v>118</v>
      </c>
      <c r="Q199">
        <f t="shared" ca="1" si="35"/>
        <v>3</v>
      </c>
      <c r="R199">
        <f t="shared" si="36"/>
        <v>4</v>
      </c>
      <c r="S199">
        <f t="shared" ca="1" si="37"/>
        <v>3</v>
      </c>
      <c r="T199" t="str">
        <f t="shared" ca="1" si="38"/>
        <v>343</v>
      </c>
      <c r="U199" t="str">
        <f t="shared" ca="1" si="39"/>
        <v>Loyal</v>
      </c>
    </row>
    <row r="200" spans="1:21">
      <c r="A200" s="13" t="str">
        <f>Cleaned_Data!A200</f>
        <v>MEM0199</v>
      </c>
      <c r="B200" s="14" t="str">
        <f ca="1">Cleaned_Data!D200</f>
        <v>BR07</v>
      </c>
      <c r="C200" s="14" t="str">
        <f ca="1">Cleaned_Data!E200</f>
        <v>Basic</v>
      </c>
      <c r="D200" s="15">
        <f>Cleaned_Data!F200</f>
        <v>45403</v>
      </c>
      <c r="E200" s="15">
        <f>Cleaned_Data!G200</f>
        <v>45433</v>
      </c>
      <c r="F200" s="14">
        <f>Cleaned_Data!H200</f>
        <v>1000</v>
      </c>
      <c r="G200" s="14">
        <f ca="1">Cleaned_Data!I200</f>
        <v>1000</v>
      </c>
      <c r="H200" s="14">
        <f>Cleaned_Data!J200</f>
        <v>23</v>
      </c>
      <c r="I200" s="14" t="str">
        <f>Cleaned_Data!M200</f>
        <v>Active</v>
      </c>
      <c r="J200" s="16">
        <f>Cleaned_Data!N200</f>
        <v>45469</v>
      </c>
      <c r="K200" t="str">
        <f t="shared" si="30"/>
        <v>Highly Active</v>
      </c>
      <c r="L200" s="5" t="str">
        <f>IF(COUNTIF($A$2:A200,A200)&gt;1,"Duplicate","Unique")</f>
        <v>Unique</v>
      </c>
      <c r="M200" t="str">
        <f t="shared" si="31"/>
        <v>2024-04</v>
      </c>
      <c r="N200" s="2">
        <f t="shared" ca="1" si="32"/>
        <v>45469</v>
      </c>
      <c r="O200" s="4">
        <f t="shared" ca="1" si="33"/>
        <v>2</v>
      </c>
      <c r="P200" s="4">
        <f t="shared" ca="1" si="34"/>
        <v>660</v>
      </c>
      <c r="Q200">
        <f t="shared" ca="1" si="35"/>
        <v>1</v>
      </c>
      <c r="R200">
        <f t="shared" si="36"/>
        <v>5</v>
      </c>
      <c r="S200">
        <f t="shared" ca="1" si="37"/>
        <v>1</v>
      </c>
      <c r="T200" t="str">
        <f t="shared" ca="1" si="38"/>
        <v>151</v>
      </c>
      <c r="U200" t="str">
        <f t="shared" ca="1" si="39"/>
        <v>At Risk</v>
      </c>
    </row>
    <row r="201" spans="1:21">
      <c r="A201" s="17" t="str">
        <f>Cleaned_Data!A201</f>
        <v>MEM0200</v>
      </c>
      <c r="B201" s="18" t="str">
        <f ca="1">Cleaned_Data!D201</f>
        <v>BR07</v>
      </c>
      <c r="C201" s="18" t="str">
        <f ca="1">Cleaned_Data!E201</f>
        <v>Standard</v>
      </c>
      <c r="D201" s="19">
        <f>Cleaned_Data!F201</f>
        <v>45157</v>
      </c>
      <c r="E201" s="19">
        <f>Cleaned_Data!G201</f>
        <v>45187</v>
      </c>
      <c r="F201" s="18">
        <f>Cleaned_Data!H201</f>
        <v>2000</v>
      </c>
      <c r="G201" s="18">
        <f ca="1">Cleaned_Data!I201</f>
        <v>14000</v>
      </c>
      <c r="H201" s="18">
        <f>Cleaned_Data!J201</f>
        <v>12</v>
      </c>
      <c r="I201" s="18" t="str">
        <f>Cleaned_Data!M201</f>
        <v>Active</v>
      </c>
      <c r="J201" s="20">
        <f>Cleaned_Data!N201</f>
        <v>45608</v>
      </c>
      <c r="K201" t="str">
        <f t="shared" si="30"/>
        <v>Moderate</v>
      </c>
      <c r="L201" s="5" t="str">
        <f>IF(COUNTIF($A$2:A201,A201)&gt;1,"Duplicate","Unique")</f>
        <v>Unique</v>
      </c>
      <c r="M201" t="str">
        <f t="shared" si="31"/>
        <v>2023-08</v>
      </c>
      <c r="N201" s="2">
        <f t="shared" ca="1" si="32"/>
        <v>45608</v>
      </c>
      <c r="O201" s="4">
        <f t="shared" ca="1" si="33"/>
        <v>14</v>
      </c>
      <c r="P201" s="4">
        <f t="shared" ca="1" si="34"/>
        <v>521</v>
      </c>
      <c r="Q201">
        <f t="shared" ca="1" si="35"/>
        <v>1</v>
      </c>
      <c r="R201">
        <f t="shared" si="36"/>
        <v>3</v>
      </c>
      <c r="S201">
        <f t="shared" ca="1" si="37"/>
        <v>4</v>
      </c>
      <c r="T201" t="str">
        <f t="shared" ca="1" si="38"/>
        <v>134</v>
      </c>
      <c r="U201" t="str">
        <f t="shared" ca="1" si="39"/>
        <v>At Risk</v>
      </c>
    </row>
    <row r="202" spans="1:21">
      <c r="A202" s="13" t="str">
        <f>Cleaned_Data!A202</f>
        <v>MEM0201</v>
      </c>
      <c r="B202" s="14" t="str">
        <f ca="1">Cleaned_Data!D202</f>
        <v>BR07</v>
      </c>
      <c r="C202" s="14" t="str">
        <f ca="1">Cleaned_Data!E202</f>
        <v>Basic</v>
      </c>
      <c r="D202" s="15">
        <f>Cleaned_Data!F202</f>
        <v>45316</v>
      </c>
      <c r="E202" s="15">
        <f>Cleaned_Data!G202</f>
        <v>45346</v>
      </c>
      <c r="F202" s="14">
        <f>Cleaned_Data!H202</f>
        <v>1000</v>
      </c>
      <c r="G202" s="14">
        <f ca="1">Cleaned_Data!I202</f>
        <v>11000</v>
      </c>
      <c r="H202" s="14">
        <f>Cleaned_Data!J202</f>
        <v>3</v>
      </c>
      <c r="I202" s="14" t="str">
        <f>Cleaned_Data!M202</f>
        <v>Cancelled</v>
      </c>
      <c r="J202" s="16">
        <f>Cleaned_Data!N202</f>
        <v>45574</v>
      </c>
      <c r="K202" t="str">
        <f t="shared" si="30"/>
        <v>At Risk</v>
      </c>
      <c r="L202" s="5" t="str">
        <f>IF(COUNTIF($A$2:A202,A202)&gt;1,"Duplicate","Unique")</f>
        <v>Unique</v>
      </c>
      <c r="M202" t="str">
        <f t="shared" si="31"/>
        <v>2024-01</v>
      </c>
      <c r="N202" s="2">
        <f t="shared" ca="1" si="32"/>
        <v>45574</v>
      </c>
      <c r="O202" s="4">
        <f t="shared" ca="1" si="33"/>
        <v>8</v>
      </c>
      <c r="P202" s="4">
        <f t="shared" ca="1" si="34"/>
        <v>555</v>
      </c>
      <c r="Q202">
        <f t="shared" ca="1" si="35"/>
        <v>1</v>
      </c>
      <c r="R202">
        <f t="shared" si="36"/>
        <v>1</v>
      </c>
      <c r="S202">
        <f t="shared" ca="1" si="37"/>
        <v>4</v>
      </c>
      <c r="T202" t="str">
        <f t="shared" ca="1" si="38"/>
        <v>114</v>
      </c>
      <c r="U202" t="str">
        <f t="shared" ca="1" si="39"/>
        <v>At Risk</v>
      </c>
    </row>
    <row r="203" spans="1:21">
      <c r="A203" s="17" t="str">
        <f>Cleaned_Data!A203</f>
        <v>MEM0202</v>
      </c>
      <c r="B203" s="18" t="str">
        <f ca="1">Cleaned_Data!D203</f>
        <v>BR06</v>
      </c>
      <c r="C203" s="18" t="str">
        <f ca="1">Cleaned_Data!E203</f>
        <v>Standard</v>
      </c>
      <c r="D203" s="19">
        <f>Cleaned_Data!F203</f>
        <v>44964</v>
      </c>
      <c r="E203" s="19">
        <f>Cleaned_Data!G203</f>
        <v>45329</v>
      </c>
      <c r="F203" s="18">
        <f>Cleaned_Data!H203</f>
        <v>1000</v>
      </c>
      <c r="G203" s="18">
        <f ca="1">Cleaned_Data!I203</f>
        <v>12000</v>
      </c>
      <c r="H203" s="18">
        <f>Cleaned_Data!J203</f>
        <v>21</v>
      </c>
      <c r="I203" s="18" t="str">
        <f>Cleaned_Data!M203</f>
        <v>Active</v>
      </c>
      <c r="J203" s="20">
        <f>Cleaned_Data!N203</f>
        <v>45736</v>
      </c>
      <c r="K203" t="str">
        <f t="shared" si="30"/>
        <v>Highly Active</v>
      </c>
      <c r="L203" s="5" t="str">
        <f>IF(COUNTIF($A$2:A203,A203)&gt;1,"Duplicate","Unique")</f>
        <v>Unique</v>
      </c>
      <c r="M203" t="str">
        <f t="shared" si="31"/>
        <v>2023-02</v>
      </c>
      <c r="N203" s="2">
        <f t="shared" ca="1" si="32"/>
        <v>45736</v>
      </c>
      <c r="O203" s="4">
        <f t="shared" ca="1" si="33"/>
        <v>25</v>
      </c>
      <c r="P203" s="4">
        <f t="shared" ca="1" si="34"/>
        <v>393</v>
      </c>
      <c r="Q203">
        <f t="shared" ca="1" si="35"/>
        <v>1</v>
      </c>
      <c r="R203">
        <f t="shared" si="36"/>
        <v>5</v>
      </c>
      <c r="S203">
        <f t="shared" ca="1" si="37"/>
        <v>4</v>
      </c>
      <c r="T203" t="str">
        <f t="shared" ca="1" si="38"/>
        <v>154</v>
      </c>
      <c r="U203" t="str">
        <f t="shared" ca="1" si="39"/>
        <v>At Risk</v>
      </c>
    </row>
    <row r="204" spans="1:21">
      <c r="A204" s="13" t="str">
        <f>Cleaned_Data!A204</f>
        <v>MEM0203</v>
      </c>
      <c r="B204" s="14" t="str">
        <f ca="1">Cleaned_Data!D204</f>
        <v>BR04</v>
      </c>
      <c r="C204" s="14" t="str">
        <f ca="1">Cleaned_Data!E204</f>
        <v>Standard</v>
      </c>
      <c r="D204" s="15">
        <f>Cleaned_Data!F204</f>
        <v>45941</v>
      </c>
      <c r="E204" s="15">
        <f>Cleaned_Data!G204</f>
        <v>46031</v>
      </c>
      <c r="F204" s="14">
        <f>Cleaned_Data!H204</f>
        <v>3500</v>
      </c>
      <c r="G204" s="14">
        <f ca="1">Cleaned_Data!I204</f>
        <v>3500</v>
      </c>
      <c r="H204" s="14">
        <f>Cleaned_Data!J204</f>
        <v>19</v>
      </c>
      <c r="I204" s="14" t="str">
        <f>Cleaned_Data!M204</f>
        <v>Active</v>
      </c>
      <c r="J204" s="16">
        <f>Cleaned_Data!N204</f>
        <v>45953</v>
      </c>
      <c r="K204" t="str">
        <f t="shared" si="30"/>
        <v>Highly Active</v>
      </c>
      <c r="L204" s="5" t="str">
        <f>IF(COUNTIF($A$2:A204,A204)&gt;1,"Duplicate","Unique")</f>
        <v>Unique</v>
      </c>
      <c r="M204" t="str">
        <f t="shared" si="31"/>
        <v>2025-10</v>
      </c>
      <c r="N204" s="2">
        <f t="shared" ca="1" si="32"/>
        <v>45953</v>
      </c>
      <c r="O204" s="4">
        <f t="shared" ca="1" si="33"/>
        <v>0</v>
      </c>
      <c r="P204" s="4">
        <f t="shared" ca="1" si="34"/>
        <v>176</v>
      </c>
      <c r="Q204">
        <f t="shared" ca="1" si="35"/>
        <v>3</v>
      </c>
      <c r="R204">
        <f t="shared" si="36"/>
        <v>4</v>
      </c>
      <c r="S204">
        <f t="shared" ca="1" si="37"/>
        <v>2</v>
      </c>
      <c r="T204" t="str">
        <f t="shared" ca="1" si="38"/>
        <v>342</v>
      </c>
      <c r="U204" t="str">
        <f t="shared" ca="1" si="39"/>
        <v>Others</v>
      </c>
    </row>
    <row r="205" spans="1:21">
      <c r="A205" s="17" t="str">
        <f>Cleaned_Data!A205</f>
        <v>MEM0204</v>
      </c>
      <c r="B205" s="18" t="str">
        <f ca="1">Cleaned_Data!D205</f>
        <v>BR03</v>
      </c>
      <c r="C205" s="18" t="str">
        <f ca="1">Cleaned_Data!E205</f>
        <v>Premium</v>
      </c>
      <c r="D205" s="19">
        <f>Cleaned_Data!F205</f>
        <v>45776</v>
      </c>
      <c r="E205" s="19">
        <f>Cleaned_Data!G205</f>
        <v>45806</v>
      </c>
      <c r="F205" s="18">
        <f>Cleaned_Data!H205</f>
        <v>2000</v>
      </c>
      <c r="G205" s="18">
        <f ca="1">Cleaned_Data!I205</f>
        <v>20000</v>
      </c>
      <c r="H205" s="18">
        <f>Cleaned_Data!J205</f>
        <v>11</v>
      </c>
      <c r="I205" s="18" t="str">
        <f>Cleaned_Data!M205</f>
        <v>Active</v>
      </c>
      <c r="J205" s="20">
        <f>Cleaned_Data!N205</f>
        <v>46020</v>
      </c>
      <c r="K205" t="str">
        <f t="shared" si="30"/>
        <v>Moderate</v>
      </c>
      <c r="L205" s="5" t="str">
        <f>IF(COUNTIF($A$2:A205,A205)&gt;1,"Duplicate","Unique")</f>
        <v>Unique</v>
      </c>
      <c r="M205" t="str">
        <f t="shared" si="31"/>
        <v>2025-04</v>
      </c>
      <c r="N205" s="2">
        <f t="shared" ca="1" si="32"/>
        <v>46020</v>
      </c>
      <c r="O205" s="4">
        <f t="shared" ca="1" si="33"/>
        <v>8</v>
      </c>
      <c r="P205" s="4">
        <f t="shared" ca="1" si="34"/>
        <v>109</v>
      </c>
      <c r="Q205">
        <f t="shared" ca="1" si="35"/>
        <v>3</v>
      </c>
      <c r="R205">
        <f t="shared" si="36"/>
        <v>3</v>
      </c>
      <c r="S205">
        <f t="shared" ca="1" si="37"/>
        <v>5</v>
      </c>
      <c r="T205" t="str">
        <f t="shared" ca="1" si="38"/>
        <v>335</v>
      </c>
      <c r="U205" t="str">
        <f t="shared" ca="1" si="39"/>
        <v>Loyal</v>
      </c>
    </row>
    <row r="206" spans="1:21">
      <c r="A206" s="13" t="str">
        <f>Cleaned_Data!A206</f>
        <v>MEM0205</v>
      </c>
      <c r="B206" s="14" t="str">
        <f ca="1">Cleaned_Data!D206</f>
        <v>BR07</v>
      </c>
      <c r="C206" s="14" t="str">
        <f ca="1">Cleaned_Data!E206</f>
        <v>Basic</v>
      </c>
      <c r="D206" s="15">
        <f>Cleaned_Data!F206</f>
        <v>45703</v>
      </c>
      <c r="E206" s="15">
        <f>Cleaned_Data!G206</f>
        <v>45793</v>
      </c>
      <c r="F206" s="14">
        <f>Cleaned_Data!H206</f>
        <v>1000</v>
      </c>
      <c r="G206" s="14">
        <f ca="1">Cleaned_Data!I206</f>
        <v>3000</v>
      </c>
      <c r="H206" s="14">
        <f>Cleaned_Data!J206</f>
        <v>20</v>
      </c>
      <c r="I206" s="14" t="str">
        <f>Cleaned_Data!M206</f>
        <v>Cancelled</v>
      </c>
      <c r="J206" s="16">
        <f>Cleaned_Data!N206</f>
        <v>46110</v>
      </c>
      <c r="K206" t="str">
        <f t="shared" si="30"/>
        <v>Highly Active</v>
      </c>
      <c r="L206" s="5" t="str">
        <f>IF(COUNTIF($A$2:A206,A206)&gt;1,"Duplicate","Unique")</f>
        <v>Unique</v>
      </c>
      <c r="M206" t="str">
        <f t="shared" si="31"/>
        <v>2025-02</v>
      </c>
      <c r="N206" s="2">
        <f t="shared" ca="1" si="32"/>
        <v>46110</v>
      </c>
      <c r="O206" s="4">
        <f t="shared" ca="1" si="33"/>
        <v>13</v>
      </c>
      <c r="P206" s="4">
        <f t="shared" ca="1" si="34"/>
        <v>19</v>
      </c>
      <c r="Q206">
        <f t="shared" ca="1" si="35"/>
        <v>5</v>
      </c>
      <c r="R206">
        <f t="shared" si="36"/>
        <v>5</v>
      </c>
      <c r="S206">
        <f t="shared" ca="1" si="37"/>
        <v>2</v>
      </c>
      <c r="T206" t="str">
        <f t="shared" ca="1" si="38"/>
        <v>552</v>
      </c>
      <c r="U206" t="str">
        <f t="shared" ca="1" si="39"/>
        <v>Others</v>
      </c>
    </row>
    <row r="207" spans="1:21">
      <c r="A207" s="17" t="str">
        <f>Cleaned_Data!A207</f>
        <v>MEM0206</v>
      </c>
      <c r="B207" s="18" t="str">
        <f ca="1">Cleaned_Data!D207</f>
        <v>BR04</v>
      </c>
      <c r="C207" s="18" t="str">
        <f ca="1">Cleaned_Data!E207</f>
        <v>Basic</v>
      </c>
      <c r="D207" s="19">
        <f>Cleaned_Data!F207</f>
        <v>45229</v>
      </c>
      <c r="E207" s="19">
        <f>Cleaned_Data!G207</f>
        <v>45319</v>
      </c>
      <c r="F207" s="18">
        <f>Cleaned_Data!H207</f>
        <v>1000</v>
      </c>
      <c r="G207" s="18">
        <f ca="1">Cleaned_Data!I207</f>
        <v>8000</v>
      </c>
      <c r="H207" s="18">
        <f>Cleaned_Data!J207</f>
        <v>13</v>
      </c>
      <c r="I207" s="18" t="str">
        <f>Cleaned_Data!M207</f>
        <v>Active</v>
      </c>
      <c r="J207" s="20">
        <f>Cleaned_Data!N207</f>
        <v>45897</v>
      </c>
      <c r="K207" t="str">
        <f t="shared" si="30"/>
        <v>Moderate</v>
      </c>
      <c r="L207" s="5" t="str">
        <f>IF(COUNTIF($A$2:A207,A207)&gt;1,"Duplicate","Unique")</f>
        <v>Unique</v>
      </c>
      <c r="M207" t="str">
        <f t="shared" si="31"/>
        <v>2023-10</v>
      </c>
      <c r="N207" s="2">
        <f t="shared" ca="1" si="32"/>
        <v>45897</v>
      </c>
      <c r="O207" s="4">
        <f t="shared" ca="1" si="33"/>
        <v>21</v>
      </c>
      <c r="P207" s="4">
        <f t="shared" ca="1" si="34"/>
        <v>232</v>
      </c>
      <c r="Q207">
        <f t="shared" ca="1" si="35"/>
        <v>2</v>
      </c>
      <c r="R207">
        <f t="shared" si="36"/>
        <v>3</v>
      </c>
      <c r="S207">
        <f t="shared" ca="1" si="37"/>
        <v>3</v>
      </c>
      <c r="T207" t="str">
        <f t="shared" ca="1" si="38"/>
        <v>233</v>
      </c>
      <c r="U207" t="str">
        <f t="shared" ca="1" si="39"/>
        <v>At Risk</v>
      </c>
    </row>
    <row r="208" spans="1:21">
      <c r="A208" s="13" t="str">
        <f>Cleaned_Data!A208</f>
        <v>MEM0207</v>
      </c>
      <c r="B208" s="14" t="str">
        <f ca="1">Cleaned_Data!D208</f>
        <v>BR01</v>
      </c>
      <c r="C208" s="14" t="str">
        <f ca="1">Cleaned_Data!E208</f>
        <v>Basic</v>
      </c>
      <c r="D208" s="15">
        <f>Cleaned_Data!F208</f>
        <v>45552</v>
      </c>
      <c r="E208" s="15">
        <f>Cleaned_Data!G208</f>
        <v>45582</v>
      </c>
      <c r="F208" s="14">
        <f>Cleaned_Data!H208</f>
        <v>1000</v>
      </c>
      <c r="G208" s="14">
        <f ca="1">Cleaned_Data!I208</f>
        <v>9000</v>
      </c>
      <c r="H208" s="14">
        <f>Cleaned_Data!J208</f>
        <v>5</v>
      </c>
      <c r="I208" s="14" t="str">
        <f>Cleaned_Data!M208</f>
        <v>Active</v>
      </c>
      <c r="J208" s="16">
        <f>Cleaned_Data!N208</f>
        <v>45700</v>
      </c>
      <c r="K208" t="str">
        <f t="shared" si="30"/>
        <v>Moderate</v>
      </c>
      <c r="L208" s="5" t="str">
        <f>IF(COUNTIF($A$2:A208,A208)&gt;1,"Duplicate","Unique")</f>
        <v>Unique</v>
      </c>
      <c r="M208" t="str">
        <f t="shared" si="31"/>
        <v>2024-09</v>
      </c>
      <c r="N208" s="2">
        <f t="shared" ca="1" si="32"/>
        <v>45700</v>
      </c>
      <c r="O208" s="4">
        <f t="shared" ca="1" si="33"/>
        <v>4</v>
      </c>
      <c r="P208" s="4">
        <f t="shared" ca="1" si="34"/>
        <v>429</v>
      </c>
      <c r="Q208">
        <f t="shared" ca="1" si="35"/>
        <v>1</v>
      </c>
      <c r="R208">
        <f t="shared" si="36"/>
        <v>2</v>
      </c>
      <c r="S208">
        <f t="shared" ca="1" si="37"/>
        <v>3</v>
      </c>
      <c r="T208" t="str">
        <f t="shared" ca="1" si="38"/>
        <v>123</v>
      </c>
      <c r="U208" t="str">
        <f t="shared" ca="1" si="39"/>
        <v>At Risk</v>
      </c>
    </row>
    <row r="209" spans="1:21">
      <c r="A209" s="17" t="str">
        <f>Cleaned_Data!A209</f>
        <v>MEM0208</v>
      </c>
      <c r="B209" s="18" t="str">
        <f ca="1">Cleaned_Data!D209</f>
        <v>BR05</v>
      </c>
      <c r="C209" s="18" t="str">
        <f ca="1">Cleaned_Data!E209</f>
        <v>Premium</v>
      </c>
      <c r="D209" s="19">
        <f>Cleaned_Data!F209</f>
        <v>45566</v>
      </c>
      <c r="E209" s="19">
        <f>Cleaned_Data!G209</f>
        <v>45656</v>
      </c>
      <c r="F209" s="18">
        <f>Cleaned_Data!H209</f>
        <v>3500</v>
      </c>
      <c r="G209" s="18">
        <f ca="1">Cleaned_Data!I209</f>
        <v>38500</v>
      </c>
      <c r="H209" s="18">
        <f>Cleaned_Data!J209</f>
        <v>4</v>
      </c>
      <c r="I209" s="18" t="str">
        <f>Cleaned_Data!M209</f>
        <v>Cancelled</v>
      </c>
      <c r="J209" s="20">
        <f>Cleaned_Data!N209</f>
        <v>45580</v>
      </c>
      <c r="K209" t="str">
        <f t="shared" si="30"/>
        <v>At Risk</v>
      </c>
      <c r="L209" s="5" t="str">
        <f>IF(COUNTIF($A$2:A209,A209)&gt;1,"Duplicate","Unique")</f>
        <v>Unique</v>
      </c>
      <c r="M209" t="str">
        <f t="shared" si="31"/>
        <v>2024-10</v>
      </c>
      <c r="N209" s="2">
        <f t="shared" ca="1" si="32"/>
        <v>45580</v>
      </c>
      <c r="O209" s="4">
        <f t="shared" ca="1" si="33"/>
        <v>0</v>
      </c>
      <c r="P209" s="4">
        <f t="shared" ca="1" si="34"/>
        <v>549</v>
      </c>
      <c r="Q209">
        <f t="shared" ca="1" si="35"/>
        <v>1</v>
      </c>
      <c r="R209">
        <f t="shared" si="36"/>
        <v>1</v>
      </c>
      <c r="S209">
        <f t="shared" ca="1" si="37"/>
        <v>5</v>
      </c>
      <c r="T209" t="str">
        <f t="shared" ca="1" si="38"/>
        <v>115</v>
      </c>
      <c r="U209" t="str">
        <f t="shared" ca="1" si="39"/>
        <v>At Risk</v>
      </c>
    </row>
    <row r="210" spans="1:21">
      <c r="A210" s="13" t="str">
        <f>Cleaned_Data!A210</f>
        <v>MEM0209</v>
      </c>
      <c r="B210" s="14" t="str">
        <f ca="1">Cleaned_Data!D210</f>
        <v>BR05</v>
      </c>
      <c r="C210" s="14" t="str">
        <f ca="1">Cleaned_Data!E210</f>
        <v>Basic</v>
      </c>
      <c r="D210" s="15">
        <f>Cleaned_Data!F210</f>
        <v>45322</v>
      </c>
      <c r="E210" s="15">
        <f>Cleaned_Data!G210</f>
        <v>45352</v>
      </c>
      <c r="F210" s="14">
        <f>Cleaned_Data!H210</f>
        <v>3500</v>
      </c>
      <c r="G210" s="14">
        <f ca="1">Cleaned_Data!I210</f>
        <v>28000</v>
      </c>
      <c r="H210" s="14">
        <f>Cleaned_Data!J210</f>
        <v>19</v>
      </c>
      <c r="I210" s="14" t="str">
        <f>Cleaned_Data!M210</f>
        <v>Active</v>
      </c>
      <c r="J210" s="16">
        <f>Cleaned_Data!N210</f>
        <v>45505</v>
      </c>
      <c r="K210" t="str">
        <f t="shared" si="30"/>
        <v>Highly Active</v>
      </c>
      <c r="L210" s="5" t="str">
        <f>IF(COUNTIF($A$2:A210,A210)&gt;1,"Duplicate","Unique")</f>
        <v>Unique</v>
      </c>
      <c r="M210" t="str">
        <f t="shared" si="31"/>
        <v>2024-01</v>
      </c>
      <c r="N210" s="2">
        <f t="shared" ca="1" si="32"/>
        <v>45505</v>
      </c>
      <c r="O210" s="4">
        <f t="shared" ca="1" si="33"/>
        <v>6</v>
      </c>
      <c r="P210" s="4">
        <f t="shared" ca="1" si="34"/>
        <v>624</v>
      </c>
      <c r="Q210">
        <f t="shared" ca="1" si="35"/>
        <v>1</v>
      </c>
      <c r="R210">
        <f t="shared" si="36"/>
        <v>4</v>
      </c>
      <c r="S210">
        <f t="shared" ca="1" si="37"/>
        <v>5</v>
      </c>
      <c r="T210" t="str">
        <f t="shared" ca="1" si="38"/>
        <v>145</v>
      </c>
      <c r="U210" t="str">
        <f t="shared" ca="1" si="39"/>
        <v>At Risk</v>
      </c>
    </row>
    <row r="211" spans="1:21">
      <c r="A211" s="17" t="str">
        <f>Cleaned_Data!A211</f>
        <v>MEM0210</v>
      </c>
      <c r="B211" s="18" t="str">
        <f ca="1">Cleaned_Data!D211</f>
        <v>BR06</v>
      </c>
      <c r="C211" s="18" t="str">
        <f ca="1">Cleaned_Data!E211</f>
        <v>Premium</v>
      </c>
      <c r="D211" s="19">
        <f>Cleaned_Data!F211</f>
        <v>45335</v>
      </c>
      <c r="E211" s="19">
        <f>Cleaned_Data!G211</f>
        <v>45700</v>
      </c>
      <c r="F211" s="18">
        <f>Cleaned_Data!H211</f>
        <v>3500</v>
      </c>
      <c r="G211" s="18">
        <f ca="1">Cleaned_Data!I211</f>
        <v>35000</v>
      </c>
      <c r="H211" s="18">
        <f>Cleaned_Data!J211</f>
        <v>21</v>
      </c>
      <c r="I211" s="18" t="str">
        <f>Cleaned_Data!M211</f>
        <v>Active</v>
      </c>
      <c r="J211" s="20">
        <f>Cleaned_Data!N211</f>
        <v>46042</v>
      </c>
      <c r="K211" t="str">
        <f t="shared" si="30"/>
        <v>Highly Active</v>
      </c>
      <c r="L211" s="5" t="str">
        <f>IF(COUNTIF($A$2:A211,A211)&gt;1,"Duplicate","Unique")</f>
        <v>Unique</v>
      </c>
      <c r="M211" t="str">
        <f t="shared" si="31"/>
        <v>2024-02</v>
      </c>
      <c r="N211" s="2">
        <f t="shared" ca="1" si="32"/>
        <v>46042</v>
      </c>
      <c r="O211" s="4">
        <f t="shared" ca="1" si="33"/>
        <v>23</v>
      </c>
      <c r="P211" s="4">
        <f t="shared" ca="1" si="34"/>
        <v>87</v>
      </c>
      <c r="Q211">
        <f t="shared" ca="1" si="35"/>
        <v>4</v>
      </c>
      <c r="R211">
        <f t="shared" si="36"/>
        <v>5</v>
      </c>
      <c r="S211">
        <f t="shared" ca="1" si="37"/>
        <v>5</v>
      </c>
      <c r="T211" t="str">
        <f t="shared" ca="1" si="38"/>
        <v>455</v>
      </c>
      <c r="U211" t="str">
        <f t="shared" ca="1" si="39"/>
        <v>Champion</v>
      </c>
    </row>
    <row r="212" spans="1:21">
      <c r="A212" s="13" t="str">
        <f>Cleaned_Data!A212</f>
        <v>MEM0211</v>
      </c>
      <c r="B212" s="14" t="str">
        <f ca="1">Cleaned_Data!D212</f>
        <v>BR03</v>
      </c>
      <c r="C212" s="14" t="str">
        <f ca="1">Cleaned_Data!E212</f>
        <v>Standard</v>
      </c>
      <c r="D212" s="15">
        <f>Cleaned_Data!F212</f>
        <v>45984</v>
      </c>
      <c r="E212" s="15">
        <f>Cleaned_Data!G212</f>
        <v>46014</v>
      </c>
      <c r="F212" s="14">
        <f>Cleaned_Data!H212</f>
        <v>3500</v>
      </c>
      <c r="G212" s="14">
        <f ca="1">Cleaned_Data!I212</f>
        <v>38500</v>
      </c>
      <c r="H212" s="14">
        <f>Cleaned_Data!J212</f>
        <v>5</v>
      </c>
      <c r="I212" s="14" t="str">
        <f>Cleaned_Data!M212</f>
        <v>Active</v>
      </c>
      <c r="J212" s="16">
        <f>Cleaned_Data!N212</f>
        <v>46055</v>
      </c>
      <c r="K212" t="str">
        <f t="shared" si="30"/>
        <v>Moderate</v>
      </c>
      <c r="L212" s="5" t="str">
        <f>IF(COUNTIF($A$2:A212,A212)&gt;1,"Duplicate","Unique")</f>
        <v>Unique</v>
      </c>
      <c r="M212" t="str">
        <f t="shared" si="31"/>
        <v>2025-11</v>
      </c>
      <c r="N212" s="2">
        <f t="shared" ca="1" si="32"/>
        <v>46055</v>
      </c>
      <c r="O212" s="4">
        <f t="shared" ca="1" si="33"/>
        <v>2</v>
      </c>
      <c r="P212" s="4">
        <f t="shared" ca="1" si="34"/>
        <v>74</v>
      </c>
      <c r="Q212">
        <f t="shared" ca="1" si="35"/>
        <v>4</v>
      </c>
      <c r="R212">
        <f t="shared" si="36"/>
        <v>2</v>
      </c>
      <c r="S212">
        <f t="shared" ca="1" si="37"/>
        <v>5</v>
      </c>
      <c r="T212" t="str">
        <f t="shared" ca="1" si="38"/>
        <v>425</v>
      </c>
      <c r="U212" t="str">
        <f t="shared" ca="1" si="39"/>
        <v>Others</v>
      </c>
    </row>
    <row r="213" spans="1:21">
      <c r="A213" s="17" t="str">
        <f>Cleaned_Data!A213</f>
        <v>MEM0212</v>
      </c>
      <c r="B213" s="18" t="str">
        <f ca="1">Cleaned_Data!D213</f>
        <v>BR05</v>
      </c>
      <c r="C213" s="18" t="str">
        <f ca="1">Cleaned_Data!E213</f>
        <v>Basic</v>
      </c>
      <c r="D213" s="19">
        <f>Cleaned_Data!F213</f>
        <v>45439</v>
      </c>
      <c r="E213" s="19">
        <f>Cleaned_Data!G213</f>
        <v>45469</v>
      </c>
      <c r="F213" s="18">
        <f>Cleaned_Data!H213</f>
        <v>1000</v>
      </c>
      <c r="G213" s="18">
        <f ca="1">Cleaned_Data!I213</f>
        <v>11000</v>
      </c>
      <c r="H213" s="18">
        <f>Cleaned_Data!J213</f>
        <v>15</v>
      </c>
      <c r="I213" s="18" t="str">
        <f>Cleaned_Data!M213</f>
        <v>Active</v>
      </c>
      <c r="J213" s="20">
        <f>Cleaned_Data!N213</f>
        <v>45702</v>
      </c>
      <c r="K213" t="str">
        <f t="shared" si="30"/>
        <v>Highly Active</v>
      </c>
      <c r="L213" s="5" t="str">
        <f>IF(COUNTIF($A$2:A213,A213)&gt;1,"Duplicate","Unique")</f>
        <v>Unique</v>
      </c>
      <c r="M213" t="str">
        <f t="shared" si="31"/>
        <v>2024-05</v>
      </c>
      <c r="N213" s="2">
        <f t="shared" ca="1" si="32"/>
        <v>45702</v>
      </c>
      <c r="O213" s="4">
        <f t="shared" ca="1" si="33"/>
        <v>8</v>
      </c>
      <c r="P213" s="4">
        <f t="shared" ca="1" si="34"/>
        <v>427</v>
      </c>
      <c r="Q213">
        <f t="shared" ca="1" si="35"/>
        <v>1</v>
      </c>
      <c r="R213">
        <f t="shared" si="36"/>
        <v>4</v>
      </c>
      <c r="S213">
        <f t="shared" ca="1" si="37"/>
        <v>4</v>
      </c>
      <c r="T213" t="str">
        <f t="shared" ca="1" si="38"/>
        <v>144</v>
      </c>
      <c r="U213" t="str">
        <f t="shared" ca="1" si="39"/>
        <v>At Risk</v>
      </c>
    </row>
    <row r="214" spans="1:21">
      <c r="A214" s="13" t="str">
        <f>Cleaned_Data!A214</f>
        <v>MEM0213</v>
      </c>
      <c r="B214" s="14" t="str">
        <f ca="1">Cleaned_Data!D214</f>
        <v>BR07</v>
      </c>
      <c r="C214" s="14" t="str">
        <f ca="1">Cleaned_Data!E214</f>
        <v>Basic</v>
      </c>
      <c r="D214" s="15">
        <f>Cleaned_Data!F214</f>
        <v>45690</v>
      </c>
      <c r="E214" s="15">
        <f>Cleaned_Data!G214</f>
        <v>46055</v>
      </c>
      <c r="F214" s="14">
        <f>Cleaned_Data!H214</f>
        <v>3500</v>
      </c>
      <c r="G214" s="14">
        <f ca="1">Cleaned_Data!I214</f>
        <v>7000</v>
      </c>
      <c r="H214" s="14">
        <f>Cleaned_Data!J214</f>
        <v>13</v>
      </c>
      <c r="I214" s="14" t="str">
        <f>Cleaned_Data!M214</f>
        <v>Active</v>
      </c>
      <c r="J214" s="16">
        <f>Cleaned_Data!N214</f>
        <v>45764</v>
      </c>
      <c r="K214" t="str">
        <f t="shared" si="30"/>
        <v>Moderate</v>
      </c>
      <c r="L214" s="5" t="str">
        <f>IF(COUNTIF($A$2:A214,A214)&gt;1,"Duplicate","Unique")</f>
        <v>Unique</v>
      </c>
      <c r="M214" t="str">
        <f t="shared" si="31"/>
        <v>2025-02</v>
      </c>
      <c r="N214" s="2">
        <f t="shared" ca="1" si="32"/>
        <v>45764</v>
      </c>
      <c r="O214" s="4">
        <f t="shared" ca="1" si="33"/>
        <v>2</v>
      </c>
      <c r="P214" s="4">
        <f t="shared" ca="1" si="34"/>
        <v>365</v>
      </c>
      <c r="Q214">
        <f t="shared" ca="1" si="35"/>
        <v>2</v>
      </c>
      <c r="R214">
        <f t="shared" si="36"/>
        <v>3</v>
      </c>
      <c r="S214">
        <f t="shared" ca="1" si="37"/>
        <v>3</v>
      </c>
      <c r="T214" t="str">
        <f t="shared" ca="1" si="38"/>
        <v>233</v>
      </c>
      <c r="U214" t="str">
        <f t="shared" ca="1" si="39"/>
        <v>At Risk</v>
      </c>
    </row>
    <row r="215" spans="1:21">
      <c r="A215" s="17" t="str">
        <f>Cleaned_Data!A215</f>
        <v>MEM0214</v>
      </c>
      <c r="B215" s="18" t="str">
        <f ca="1">Cleaned_Data!D215</f>
        <v>BR04</v>
      </c>
      <c r="C215" s="18" t="str">
        <f ca="1">Cleaned_Data!E215</f>
        <v>Premium</v>
      </c>
      <c r="D215" s="19">
        <f>Cleaned_Data!F215</f>
        <v>45986</v>
      </c>
      <c r="E215" s="19">
        <f>Cleaned_Data!G215</f>
        <v>46076</v>
      </c>
      <c r="F215" s="18">
        <f>Cleaned_Data!H215</f>
        <v>3500</v>
      </c>
      <c r="G215" s="18">
        <f ca="1">Cleaned_Data!I215</f>
        <v>24500</v>
      </c>
      <c r="H215" s="18">
        <f>Cleaned_Data!J215</f>
        <v>13</v>
      </c>
      <c r="I215" s="18" t="str">
        <f>Cleaned_Data!M215</f>
        <v>Active</v>
      </c>
      <c r="J215" s="20">
        <f>Cleaned_Data!N215</f>
        <v>46089</v>
      </c>
      <c r="K215" t="str">
        <f t="shared" si="30"/>
        <v>Moderate</v>
      </c>
      <c r="L215" s="5" t="str">
        <f>IF(COUNTIF($A$2:A215,A215)&gt;1,"Duplicate","Unique")</f>
        <v>Unique</v>
      </c>
      <c r="M215" t="str">
        <f t="shared" si="31"/>
        <v>2025-11</v>
      </c>
      <c r="N215" s="2">
        <f t="shared" ca="1" si="32"/>
        <v>46089</v>
      </c>
      <c r="O215" s="4">
        <f t="shared" ca="1" si="33"/>
        <v>3</v>
      </c>
      <c r="P215" s="4">
        <f t="shared" ca="1" si="34"/>
        <v>40</v>
      </c>
      <c r="Q215">
        <f t="shared" ca="1" si="35"/>
        <v>4</v>
      </c>
      <c r="R215">
        <f t="shared" si="36"/>
        <v>3</v>
      </c>
      <c r="S215">
        <f t="shared" ca="1" si="37"/>
        <v>5</v>
      </c>
      <c r="T215" t="str">
        <f t="shared" ca="1" si="38"/>
        <v>435</v>
      </c>
      <c r="U215" t="str">
        <f t="shared" ca="1" si="39"/>
        <v>Loyal</v>
      </c>
    </row>
    <row r="216" spans="1:21">
      <c r="A216" s="13" t="str">
        <f>Cleaned_Data!A216</f>
        <v>MEM0215</v>
      </c>
      <c r="B216" s="14" t="str">
        <f ca="1">Cleaned_Data!D216</f>
        <v>BR02</v>
      </c>
      <c r="C216" s="14" t="str">
        <f ca="1">Cleaned_Data!E216</f>
        <v>Premium</v>
      </c>
      <c r="D216" s="15">
        <f>Cleaned_Data!F216</f>
        <v>45013</v>
      </c>
      <c r="E216" s="15">
        <f>Cleaned_Data!G216</f>
        <v>45043</v>
      </c>
      <c r="F216" s="14">
        <f>Cleaned_Data!H216</f>
        <v>3500</v>
      </c>
      <c r="G216" s="14">
        <f ca="1">Cleaned_Data!I216</f>
        <v>14000</v>
      </c>
      <c r="H216" s="14">
        <f>Cleaned_Data!J216</f>
        <v>1</v>
      </c>
      <c r="I216" s="14" t="str">
        <f>Cleaned_Data!M216</f>
        <v>Cancelled</v>
      </c>
      <c r="J216" s="16">
        <f>Cleaned_Data!N216</f>
        <v>45980</v>
      </c>
      <c r="K216" t="str">
        <f t="shared" si="30"/>
        <v>At Risk</v>
      </c>
      <c r="L216" s="5" t="str">
        <f>IF(COUNTIF($A$2:A216,A216)&gt;1,"Duplicate","Unique")</f>
        <v>Unique</v>
      </c>
      <c r="M216" t="str">
        <f t="shared" si="31"/>
        <v>2023-03</v>
      </c>
      <c r="N216" s="2">
        <f t="shared" ca="1" si="32"/>
        <v>45980</v>
      </c>
      <c r="O216" s="4">
        <f t="shared" ca="1" si="33"/>
        <v>31</v>
      </c>
      <c r="P216" s="4">
        <f t="shared" ca="1" si="34"/>
        <v>149</v>
      </c>
      <c r="Q216">
        <f t="shared" ca="1" si="35"/>
        <v>3</v>
      </c>
      <c r="R216">
        <f t="shared" si="36"/>
        <v>1</v>
      </c>
      <c r="S216">
        <f t="shared" ca="1" si="37"/>
        <v>4</v>
      </c>
      <c r="T216" t="str">
        <f t="shared" ca="1" si="38"/>
        <v>314</v>
      </c>
      <c r="U216" t="str">
        <f t="shared" ca="1" si="39"/>
        <v>Others</v>
      </c>
    </row>
    <row r="217" spans="1:21">
      <c r="A217" s="17" t="str">
        <f>Cleaned_Data!A217</f>
        <v>MEM0216</v>
      </c>
      <c r="B217" s="18" t="str">
        <f ca="1">Cleaned_Data!D217</f>
        <v>BR01</v>
      </c>
      <c r="C217" s="18" t="str">
        <f ca="1">Cleaned_Data!E217</f>
        <v>Premium</v>
      </c>
      <c r="D217" s="19">
        <f>Cleaned_Data!F217</f>
        <v>45107</v>
      </c>
      <c r="E217" s="19">
        <f>Cleaned_Data!G217</f>
        <v>45472</v>
      </c>
      <c r="F217" s="18">
        <f>Cleaned_Data!H217</f>
        <v>1000</v>
      </c>
      <c r="G217" s="18">
        <f ca="1">Cleaned_Data!I217</f>
        <v>6000</v>
      </c>
      <c r="H217" s="18">
        <f>Cleaned_Data!J217</f>
        <v>21</v>
      </c>
      <c r="I217" s="18" t="str">
        <f>Cleaned_Data!M217</f>
        <v>Cancelled</v>
      </c>
      <c r="J217" s="20">
        <f>Cleaned_Data!N217</f>
        <v>45990</v>
      </c>
      <c r="K217" t="str">
        <f t="shared" si="30"/>
        <v>Highly Active</v>
      </c>
      <c r="L217" s="5" t="str">
        <f>IF(COUNTIF($A$2:A217,A217)&gt;1,"Duplicate","Unique")</f>
        <v>Unique</v>
      </c>
      <c r="M217" t="str">
        <f t="shared" si="31"/>
        <v>2023-06</v>
      </c>
      <c r="N217" s="2">
        <f t="shared" ca="1" si="32"/>
        <v>45990</v>
      </c>
      <c r="O217" s="4">
        <f t="shared" ca="1" si="33"/>
        <v>28</v>
      </c>
      <c r="P217" s="4">
        <f t="shared" ca="1" si="34"/>
        <v>139</v>
      </c>
      <c r="Q217">
        <f t="shared" ca="1" si="35"/>
        <v>3</v>
      </c>
      <c r="R217">
        <f t="shared" si="36"/>
        <v>5</v>
      </c>
      <c r="S217">
        <f t="shared" ca="1" si="37"/>
        <v>3</v>
      </c>
      <c r="T217" t="str">
        <f t="shared" ca="1" si="38"/>
        <v>353</v>
      </c>
      <c r="U217" t="str">
        <f t="shared" ca="1" si="39"/>
        <v>Loyal</v>
      </c>
    </row>
    <row r="218" spans="1:21">
      <c r="A218" s="13" t="str">
        <f>Cleaned_Data!A218</f>
        <v>MEM0217</v>
      </c>
      <c r="B218" s="14" t="str">
        <f ca="1">Cleaned_Data!D218</f>
        <v>BR07</v>
      </c>
      <c r="C218" s="14" t="str">
        <f ca="1">Cleaned_Data!E218</f>
        <v>Basic</v>
      </c>
      <c r="D218" s="15">
        <f>Cleaned_Data!F218</f>
        <v>45547</v>
      </c>
      <c r="E218" s="15">
        <f>Cleaned_Data!G218</f>
        <v>45637</v>
      </c>
      <c r="F218" s="14">
        <f>Cleaned_Data!H218</f>
        <v>3500</v>
      </c>
      <c r="G218" s="14">
        <f ca="1">Cleaned_Data!I218</f>
        <v>10500</v>
      </c>
      <c r="H218" s="14">
        <f>Cleaned_Data!J218</f>
        <v>13</v>
      </c>
      <c r="I218" s="14" t="str">
        <f>Cleaned_Data!M218</f>
        <v>Active</v>
      </c>
      <c r="J218" s="16">
        <f>Cleaned_Data!N218</f>
        <v>46105</v>
      </c>
      <c r="K218" t="str">
        <f t="shared" si="30"/>
        <v>Moderate</v>
      </c>
      <c r="L218" s="5" t="str">
        <f>IF(COUNTIF($A$2:A218,A218)&gt;1,"Duplicate","Unique")</f>
        <v>Unique</v>
      </c>
      <c r="M218" t="str">
        <f t="shared" si="31"/>
        <v>2024-09</v>
      </c>
      <c r="N218" s="2">
        <f t="shared" ca="1" si="32"/>
        <v>46105</v>
      </c>
      <c r="O218" s="4">
        <f t="shared" ca="1" si="33"/>
        <v>18</v>
      </c>
      <c r="P218" s="4">
        <f t="shared" ca="1" si="34"/>
        <v>24</v>
      </c>
      <c r="Q218">
        <f t="shared" ca="1" si="35"/>
        <v>5</v>
      </c>
      <c r="R218">
        <f t="shared" si="36"/>
        <v>3</v>
      </c>
      <c r="S218">
        <f t="shared" ca="1" si="37"/>
        <v>4</v>
      </c>
      <c r="T218" t="str">
        <f t="shared" ca="1" si="38"/>
        <v>534</v>
      </c>
      <c r="U218" t="str">
        <f t="shared" ca="1" si="39"/>
        <v>Loyal</v>
      </c>
    </row>
    <row r="219" spans="1:21">
      <c r="A219" s="17" t="str">
        <f>Cleaned_Data!A219</f>
        <v>MEM0218</v>
      </c>
      <c r="B219" s="18" t="str">
        <f ca="1">Cleaned_Data!D219</f>
        <v>BR07</v>
      </c>
      <c r="C219" s="18" t="str">
        <f ca="1">Cleaned_Data!E219</f>
        <v>Basic</v>
      </c>
      <c r="D219" s="19">
        <f>Cleaned_Data!F219</f>
        <v>45387</v>
      </c>
      <c r="E219" s="19">
        <f>Cleaned_Data!G219</f>
        <v>45417</v>
      </c>
      <c r="F219" s="18">
        <f>Cleaned_Data!H219</f>
        <v>3500</v>
      </c>
      <c r="G219" s="18">
        <f ca="1">Cleaned_Data!I219</f>
        <v>42000</v>
      </c>
      <c r="H219" s="18">
        <f>Cleaned_Data!J219</f>
        <v>5</v>
      </c>
      <c r="I219" s="18" t="str">
        <f>Cleaned_Data!M219</f>
        <v>Active</v>
      </c>
      <c r="J219" s="20">
        <f>Cleaned_Data!N219</f>
        <v>45455</v>
      </c>
      <c r="K219" t="str">
        <f t="shared" si="30"/>
        <v>Moderate</v>
      </c>
      <c r="L219" s="5" t="str">
        <f>IF(COUNTIF($A$2:A219,A219)&gt;1,"Duplicate","Unique")</f>
        <v>Unique</v>
      </c>
      <c r="M219" t="str">
        <f t="shared" si="31"/>
        <v>2024-04</v>
      </c>
      <c r="N219" s="2">
        <f t="shared" ca="1" si="32"/>
        <v>45455</v>
      </c>
      <c r="O219" s="4">
        <f t="shared" ca="1" si="33"/>
        <v>2</v>
      </c>
      <c r="P219" s="4">
        <f t="shared" ca="1" si="34"/>
        <v>674</v>
      </c>
      <c r="Q219">
        <f t="shared" ca="1" si="35"/>
        <v>1</v>
      </c>
      <c r="R219">
        <f t="shared" si="36"/>
        <v>2</v>
      </c>
      <c r="S219">
        <f t="shared" ca="1" si="37"/>
        <v>5</v>
      </c>
      <c r="T219" t="str">
        <f t="shared" ca="1" si="38"/>
        <v>125</v>
      </c>
      <c r="U219" t="str">
        <f t="shared" ca="1" si="39"/>
        <v>At Risk</v>
      </c>
    </row>
    <row r="220" spans="1:21">
      <c r="A220" s="13" t="str">
        <f>Cleaned_Data!A220</f>
        <v>MEM0219</v>
      </c>
      <c r="B220" s="14" t="str">
        <f ca="1">Cleaned_Data!D220</f>
        <v>BR06</v>
      </c>
      <c r="C220" s="14" t="str">
        <f ca="1">Cleaned_Data!E220</f>
        <v>Premium</v>
      </c>
      <c r="D220" s="15">
        <f>Cleaned_Data!F220</f>
        <v>45987</v>
      </c>
      <c r="E220" s="15">
        <f>Cleaned_Data!G220</f>
        <v>46352</v>
      </c>
      <c r="F220" s="14">
        <f>Cleaned_Data!H220</f>
        <v>2000</v>
      </c>
      <c r="G220" s="14">
        <f ca="1">Cleaned_Data!I220</f>
        <v>10000</v>
      </c>
      <c r="H220" s="14">
        <f>Cleaned_Data!J220</f>
        <v>25</v>
      </c>
      <c r="I220" s="14" t="str">
        <f>Cleaned_Data!M220</f>
        <v>Active</v>
      </c>
      <c r="J220" s="16">
        <f>Cleaned_Data!N220</f>
        <v>46025</v>
      </c>
      <c r="K220" t="str">
        <f t="shared" si="30"/>
        <v>Highly Active</v>
      </c>
      <c r="L220" s="5" t="str">
        <f>IF(COUNTIF($A$2:A220,A220)&gt;1,"Duplicate","Unique")</f>
        <v>Unique</v>
      </c>
      <c r="M220" t="str">
        <f t="shared" si="31"/>
        <v>2025-11</v>
      </c>
      <c r="N220" s="2">
        <f t="shared" ca="1" si="32"/>
        <v>46025</v>
      </c>
      <c r="O220" s="4">
        <f t="shared" ca="1" si="33"/>
        <v>1</v>
      </c>
      <c r="P220" s="4">
        <f t="shared" ca="1" si="34"/>
        <v>104</v>
      </c>
      <c r="Q220">
        <f t="shared" ca="1" si="35"/>
        <v>3</v>
      </c>
      <c r="R220">
        <f t="shared" si="36"/>
        <v>5</v>
      </c>
      <c r="S220">
        <f t="shared" ca="1" si="37"/>
        <v>4</v>
      </c>
      <c r="T220" t="str">
        <f t="shared" ca="1" si="38"/>
        <v>354</v>
      </c>
      <c r="U220" t="str">
        <f t="shared" ca="1" si="39"/>
        <v>Loyal</v>
      </c>
    </row>
    <row r="221" spans="1:21">
      <c r="A221" s="17" t="str">
        <f>Cleaned_Data!A221</f>
        <v>MEM0220</v>
      </c>
      <c r="B221" s="18" t="str">
        <f ca="1">Cleaned_Data!D221</f>
        <v>BR05</v>
      </c>
      <c r="C221" s="18" t="str">
        <f ca="1">Cleaned_Data!E221</f>
        <v>Basic</v>
      </c>
      <c r="D221" s="19">
        <f>Cleaned_Data!F221</f>
        <v>45527</v>
      </c>
      <c r="E221" s="19">
        <f>Cleaned_Data!G221</f>
        <v>45557</v>
      </c>
      <c r="F221" s="18">
        <f>Cleaned_Data!H221</f>
        <v>2000</v>
      </c>
      <c r="G221" s="18">
        <f ca="1">Cleaned_Data!I221</f>
        <v>10000</v>
      </c>
      <c r="H221" s="18">
        <f>Cleaned_Data!J221</f>
        <v>11</v>
      </c>
      <c r="I221" s="18" t="str">
        <f>Cleaned_Data!M221</f>
        <v>Active</v>
      </c>
      <c r="J221" s="20">
        <f>Cleaned_Data!N221</f>
        <v>45987</v>
      </c>
      <c r="K221" t="str">
        <f t="shared" si="30"/>
        <v>Moderate</v>
      </c>
      <c r="L221" s="5" t="str">
        <f>IF(COUNTIF($A$2:A221,A221)&gt;1,"Duplicate","Unique")</f>
        <v>Unique</v>
      </c>
      <c r="M221" t="str">
        <f t="shared" si="31"/>
        <v>2024-08</v>
      </c>
      <c r="N221" s="2">
        <f t="shared" ca="1" si="32"/>
        <v>45987</v>
      </c>
      <c r="O221" s="4">
        <f t="shared" ca="1" si="33"/>
        <v>15</v>
      </c>
      <c r="P221" s="4">
        <f t="shared" ca="1" si="34"/>
        <v>142</v>
      </c>
      <c r="Q221">
        <f t="shared" ca="1" si="35"/>
        <v>3</v>
      </c>
      <c r="R221">
        <f t="shared" si="36"/>
        <v>3</v>
      </c>
      <c r="S221">
        <f t="shared" ca="1" si="37"/>
        <v>4</v>
      </c>
      <c r="T221" t="str">
        <f t="shared" ca="1" si="38"/>
        <v>334</v>
      </c>
      <c r="U221" t="str">
        <f t="shared" ca="1" si="39"/>
        <v>Loyal</v>
      </c>
    </row>
    <row r="222" spans="1:21">
      <c r="A222" s="13" t="str">
        <f>Cleaned_Data!A222</f>
        <v>MEM0221</v>
      </c>
      <c r="B222" s="14" t="str">
        <f ca="1">Cleaned_Data!D222</f>
        <v>BR02</v>
      </c>
      <c r="C222" s="14" t="str">
        <f ca="1">Cleaned_Data!E222</f>
        <v>Premium</v>
      </c>
      <c r="D222" s="15">
        <f>Cleaned_Data!F222</f>
        <v>45623</v>
      </c>
      <c r="E222" s="15">
        <f>Cleaned_Data!G222</f>
        <v>45988</v>
      </c>
      <c r="F222" s="14">
        <f>Cleaned_Data!H222</f>
        <v>3500</v>
      </c>
      <c r="G222" s="14">
        <f ca="1">Cleaned_Data!I222</f>
        <v>42000</v>
      </c>
      <c r="H222" s="14">
        <f>Cleaned_Data!J222</f>
        <v>11</v>
      </c>
      <c r="I222" s="14" t="str">
        <f>Cleaned_Data!M222</f>
        <v>Active</v>
      </c>
      <c r="J222" s="16">
        <f>Cleaned_Data!N222</f>
        <v>45656</v>
      </c>
      <c r="K222" t="str">
        <f t="shared" si="30"/>
        <v>Moderate</v>
      </c>
      <c r="L222" s="5" t="str">
        <f>IF(COUNTIF($A$2:A222,A222)&gt;1,"Duplicate","Unique")</f>
        <v>Unique</v>
      </c>
      <c r="M222" t="str">
        <f t="shared" si="31"/>
        <v>2024-11</v>
      </c>
      <c r="N222" s="2">
        <f t="shared" ca="1" si="32"/>
        <v>45656</v>
      </c>
      <c r="O222" s="4">
        <f t="shared" ca="1" si="33"/>
        <v>1</v>
      </c>
      <c r="P222" s="4">
        <f t="shared" ca="1" si="34"/>
        <v>473</v>
      </c>
      <c r="Q222">
        <f t="shared" ca="1" si="35"/>
        <v>1</v>
      </c>
      <c r="R222">
        <f t="shared" si="36"/>
        <v>3</v>
      </c>
      <c r="S222">
        <f t="shared" ca="1" si="37"/>
        <v>5</v>
      </c>
      <c r="T222" t="str">
        <f t="shared" ca="1" si="38"/>
        <v>135</v>
      </c>
      <c r="U222" t="str">
        <f t="shared" ca="1" si="39"/>
        <v>At Risk</v>
      </c>
    </row>
    <row r="223" spans="1:21">
      <c r="A223" s="17" t="str">
        <f>Cleaned_Data!A223</f>
        <v>MEM0222</v>
      </c>
      <c r="B223" s="18" t="str">
        <f ca="1">Cleaned_Data!D223</f>
        <v>BR01</v>
      </c>
      <c r="C223" s="18" t="str">
        <f ca="1">Cleaned_Data!E223</f>
        <v>Basic</v>
      </c>
      <c r="D223" s="19">
        <f>Cleaned_Data!F223</f>
        <v>45360</v>
      </c>
      <c r="E223" s="19">
        <f>Cleaned_Data!G223</f>
        <v>45390</v>
      </c>
      <c r="F223" s="18">
        <f>Cleaned_Data!H223</f>
        <v>1000</v>
      </c>
      <c r="G223" s="18">
        <f ca="1">Cleaned_Data!I223</f>
        <v>2000</v>
      </c>
      <c r="H223" s="18">
        <f>Cleaned_Data!J223</f>
        <v>12</v>
      </c>
      <c r="I223" s="18" t="str">
        <f>Cleaned_Data!M223</f>
        <v>Active</v>
      </c>
      <c r="J223" s="20">
        <f>Cleaned_Data!N223</f>
        <v>45472</v>
      </c>
      <c r="K223" t="str">
        <f t="shared" si="30"/>
        <v>Moderate</v>
      </c>
      <c r="L223" s="5" t="str">
        <f>IF(COUNTIF($A$2:A223,A223)&gt;1,"Duplicate","Unique")</f>
        <v>Unique</v>
      </c>
      <c r="M223" t="str">
        <f t="shared" si="31"/>
        <v>2024-03</v>
      </c>
      <c r="N223" s="2">
        <f t="shared" ca="1" si="32"/>
        <v>45472</v>
      </c>
      <c r="O223" s="4">
        <f t="shared" ca="1" si="33"/>
        <v>3</v>
      </c>
      <c r="P223" s="4">
        <f t="shared" ca="1" si="34"/>
        <v>657</v>
      </c>
      <c r="Q223">
        <f t="shared" ca="1" si="35"/>
        <v>1</v>
      </c>
      <c r="R223">
        <f t="shared" si="36"/>
        <v>3</v>
      </c>
      <c r="S223">
        <f t="shared" ca="1" si="37"/>
        <v>2</v>
      </c>
      <c r="T223" t="str">
        <f t="shared" ca="1" si="38"/>
        <v>132</v>
      </c>
      <c r="U223" t="str">
        <f t="shared" ca="1" si="39"/>
        <v>At Risk</v>
      </c>
    </row>
    <row r="224" spans="1:21">
      <c r="A224" s="13" t="str">
        <f>Cleaned_Data!A224</f>
        <v>MEM0223</v>
      </c>
      <c r="B224" s="14" t="str">
        <f ca="1">Cleaned_Data!D224</f>
        <v>BR03</v>
      </c>
      <c r="C224" s="14" t="str">
        <f ca="1">Cleaned_Data!E224</f>
        <v>Standard</v>
      </c>
      <c r="D224" s="15">
        <f>Cleaned_Data!F224</f>
        <v>45341</v>
      </c>
      <c r="E224" s="15">
        <f>Cleaned_Data!G224</f>
        <v>45706</v>
      </c>
      <c r="F224" s="14">
        <f>Cleaned_Data!H224</f>
        <v>1000</v>
      </c>
      <c r="G224" s="14">
        <f ca="1">Cleaned_Data!I224</f>
        <v>5000</v>
      </c>
      <c r="H224" s="14">
        <f>Cleaned_Data!J224</f>
        <v>21</v>
      </c>
      <c r="I224" s="14" t="str">
        <f>Cleaned_Data!M224</f>
        <v>Active</v>
      </c>
      <c r="J224" s="16">
        <f>Cleaned_Data!N224</f>
        <v>45607</v>
      </c>
      <c r="K224" t="str">
        <f t="shared" si="30"/>
        <v>Highly Active</v>
      </c>
      <c r="L224" s="5" t="str">
        <f>IF(COUNTIF($A$2:A224,A224)&gt;1,"Duplicate","Unique")</f>
        <v>Unique</v>
      </c>
      <c r="M224" t="str">
        <f t="shared" si="31"/>
        <v>2024-02</v>
      </c>
      <c r="N224" s="2">
        <f t="shared" ca="1" si="32"/>
        <v>45607</v>
      </c>
      <c r="O224" s="4">
        <f t="shared" ca="1" si="33"/>
        <v>8</v>
      </c>
      <c r="P224" s="4">
        <f t="shared" ca="1" si="34"/>
        <v>522</v>
      </c>
      <c r="Q224">
        <f t="shared" ca="1" si="35"/>
        <v>1</v>
      </c>
      <c r="R224">
        <f t="shared" si="36"/>
        <v>5</v>
      </c>
      <c r="S224">
        <f t="shared" ca="1" si="37"/>
        <v>3</v>
      </c>
      <c r="T224" t="str">
        <f t="shared" ca="1" si="38"/>
        <v>153</v>
      </c>
      <c r="U224" t="str">
        <f t="shared" ca="1" si="39"/>
        <v>At Risk</v>
      </c>
    </row>
    <row r="225" spans="1:21">
      <c r="A225" s="17" t="str">
        <f>Cleaned_Data!A225</f>
        <v>MEM0224</v>
      </c>
      <c r="B225" s="18" t="str">
        <f ca="1">Cleaned_Data!D225</f>
        <v>BR02</v>
      </c>
      <c r="C225" s="18" t="str">
        <f ca="1">Cleaned_Data!E225</f>
        <v>Standard</v>
      </c>
      <c r="D225" s="19">
        <f>Cleaned_Data!F225</f>
        <v>45538</v>
      </c>
      <c r="E225" s="19">
        <f>Cleaned_Data!G225</f>
        <v>45568</v>
      </c>
      <c r="F225" s="18">
        <f>Cleaned_Data!H225</f>
        <v>3500</v>
      </c>
      <c r="G225" s="18">
        <f ca="1">Cleaned_Data!I225</f>
        <v>17500</v>
      </c>
      <c r="H225" s="18">
        <f>Cleaned_Data!J225</f>
        <v>3</v>
      </c>
      <c r="I225" s="18" t="str">
        <f>Cleaned_Data!M225</f>
        <v>Active</v>
      </c>
      <c r="J225" s="20">
        <f>Cleaned_Data!N225</f>
        <v>45559</v>
      </c>
      <c r="K225" t="str">
        <f t="shared" si="30"/>
        <v>At Risk</v>
      </c>
      <c r="L225" s="5" t="str">
        <f>IF(COUNTIF($A$2:A225,A225)&gt;1,"Duplicate","Unique")</f>
        <v>Unique</v>
      </c>
      <c r="M225" t="str">
        <f t="shared" si="31"/>
        <v>2024-09</v>
      </c>
      <c r="N225" s="2">
        <f t="shared" ca="1" si="32"/>
        <v>45559</v>
      </c>
      <c r="O225" s="4">
        <f t="shared" ca="1" si="33"/>
        <v>0</v>
      </c>
      <c r="P225" s="4">
        <f t="shared" ca="1" si="34"/>
        <v>570</v>
      </c>
      <c r="Q225">
        <f t="shared" ca="1" si="35"/>
        <v>1</v>
      </c>
      <c r="R225">
        <f t="shared" si="36"/>
        <v>1</v>
      </c>
      <c r="S225">
        <f t="shared" ca="1" si="37"/>
        <v>4</v>
      </c>
      <c r="T225" t="str">
        <f t="shared" ca="1" si="38"/>
        <v>114</v>
      </c>
      <c r="U225" t="str">
        <f t="shared" ca="1" si="39"/>
        <v>At Risk</v>
      </c>
    </row>
    <row r="226" spans="1:21">
      <c r="A226" s="13" t="str">
        <f>Cleaned_Data!A226</f>
        <v>MEM0225</v>
      </c>
      <c r="B226" s="14" t="str">
        <f ca="1">Cleaned_Data!D226</f>
        <v>BR03</v>
      </c>
      <c r="C226" s="14" t="str">
        <f ca="1">Cleaned_Data!E226</f>
        <v>Premium</v>
      </c>
      <c r="D226" s="15">
        <f>Cleaned_Data!F226</f>
        <v>45074</v>
      </c>
      <c r="E226" s="15">
        <f>Cleaned_Data!G226</f>
        <v>45104</v>
      </c>
      <c r="F226" s="14">
        <f>Cleaned_Data!H226</f>
        <v>3500</v>
      </c>
      <c r="G226" s="14">
        <f ca="1">Cleaned_Data!I226</f>
        <v>7000</v>
      </c>
      <c r="H226" s="14">
        <f>Cleaned_Data!J226</f>
        <v>24</v>
      </c>
      <c r="I226" s="14" t="str">
        <f>Cleaned_Data!M226</f>
        <v>Active</v>
      </c>
      <c r="J226" s="16">
        <f>Cleaned_Data!N226</f>
        <v>45724</v>
      </c>
      <c r="K226" t="str">
        <f t="shared" si="30"/>
        <v>Highly Active</v>
      </c>
      <c r="L226" s="5" t="str">
        <f>IF(COUNTIF($A$2:A226,A226)&gt;1,"Duplicate","Unique")</f>
        <v>Unique</v>
      </c>
      <c r="M226" t="str">
        <f t="shared" si="31"/>
        <v>2023-05</v>
      </c>
      <c r="N226" s="2">
        <f t="shared" ca="1" si="32"/>
        <v>45724</v>
      </c>
      <c r="O226" s="4">
        <f t="shared" ca="1" si="33"/>
        <v>21</v>
      </c>
      <c r="P226" s="4">
        <f t="shared" ca="1" si="34"/>
        <v>405</v>
      </c>
      <c r="Q226">
        <f t="shared" ca="1" si="35"/>
        <v>1</v>
      </c>
      <c r="R226">
        <f t="shared" si="36"/>
        <v>5</v>
      </c>
      <c r="S226">
        <f t="shared" ca="1" si="37"/>
        <v>3</v>
      </c>
      <c r="T226" t="str">
        <f t="shared" ca="1" si="38"/>
        <v>153</v>
      </c>
      <c r="U226" t="str">
        <f t="shared" ca="1" si="39"/>
        <v>At Risk</v>
      </c>
    </row>
    <row r="227" spans="1:21">
      <c r="A227" s="17" t="str">
        <f>Cleaned_Data!A227</f>
        <v>MEM0226</v>
      </c>
      <c r="B227" s="18" t="str">
        <f ca="1">Cleaned_Data!D227</f>
        <v>BR02</v>
      </c>
      <c r="C227" s="18" t="str">
        <f ca="1">Cleaned_Data!E227</f>
        <v>Basic</v>
      </c>
      <c r="D227" s="19">
        <f>Cleaned_Data!F227</f>
        <v>45850</v>
      </c>
      <c r="E227" s="19">
        <f>Cleaned_Data!G227</f>
        <v>45880</v>
      </c>
      <c r="F227" s="18">
        <f>Cleaned_Data!H227</f>
        <v>3500</v>
      </c>
      <c r="G227" s="18">
        <f ca="1">Cleaned_Data!I227</f>
        <v>21000</v>
      </c>
      <c r="H227" s="18">
        <f>Cleaned_Data!J227</f>
        <v>22</v>
      </c>
      <c r="I227" s="18" t="str">
        <f>Cleaned_Data!M227</f>
        <v>Active</v>
      </c>
      <c r="J227" s="20">
        <f>Cleaned_Data!N227</f>
        <v>46090</v>
      </c>
      <c r="K227" t="str">
        <f t="shared" si="30"/>
        <v>Highly Active</v>
      </c>
      <c r="L227" s="5" t="str">
        <f>IF(COUNTIF($A$2:A227,A227)&gt;1,"Duplicate","Unique")</f>
        <v>Unique</v>
      </c>
      <c r="M227" t="str">
        <f t="shared" si="31"/>
        <v>2025-07</v>
      </c>
      <c r="N227" s="2">
        <f t="shared" ca="1" si="32"/>
        <v>46090</v>
      </c>
      <c r="O227" s="4">
        <f t="shared" ca="1" si="33"/>
        <v>7</v>
      </c>
      <c r="P227" s="4">
        <f t="shared" ca="1" si="34"/>
        <v>39</v>
      </c>
      <c r="Q227">
        <f t="shared" ca="1" si="35"/>
        <v>4</v>
      </c>
      <c r="R227">
        <f t="shared" si="36"/>
        <v>5</v>
      </c>
      <c r="S227">
        <f t="shared" ca="1" si="37"/>
        <v>5</v>
      </c>
      <c r="T227" t="str">
        <f t="shared" ca="1" si="38"/>
        <v>455</v>
      </c>
      <c r="U227" t="str">
        <f t="shared" ca="1" si="39"/>
        <v>Champion</v>
      </c>
    </row>
    <row r="228" spans="1:21">
      <c r="A228" s="13" t="str">
        <f>Cleaned_Data!A228</f>
        <v>MEM0227</v>
      </c>
      <c r="B228" s="14" t="str">
        <f ca="1">Cleaned_Data!D228</f>
        <v>BR03</v>
      </c>
      <c r="C228" s="14" t="str">
        <f ca="1">Cleaned_Data!E228</f>
        <v>Standard</v>
      </c>
      <c r="D228" s="15">
        <f>Cleaned_Data!F228</f>
        <v>45047</v>
      </c>
      <c r="E228" s="15">
        <f>Cleaned_Data!G228</f>
        <v>45137</v>
      </c>
      <c r="F228" s="14">
        <f>Cleaned_Data!H228</f>
        <v>1000</v>
      </c>
      <c r="G228" s="14">
        <f ca="1">Cleaned_Data!I228</f>
        <v>5000</v>
      </c>
      <c r="H228" s="14">
        <f>Cleaned_Data!J228</f>
        <v>7</v>
      </c>
      <c r="I228" s="14" t="str">
        <f>Cleaned_Data!M228</f>
        <v>Active</v>
      </c>
      <c r="J228" s="16">
        <f>Cleaned_Data!N228</f>
        <v>45067</v>
      </c>
      <c r="K228" t="str">
        <f t="shared" si="30"/>
        <v>Moderate</v>
      </c>
      <c r="L228" s="5" t="str">
        <f>IF(COUNTIF($A$2:A228,A228)&gt;1,"Duplicate","Unique")</f>
        <v>Unique</v>
      </c>
      <c r="M228" t="str">
        <f t="shared" si="31"/>
        <v>2023-05</v>
      </c>
      <c r="N228" s="2">
        <f t="shared" ca="1" si="32"/>
        <v>45067</v>
      </c>
      <c r="O228" s="4">
        <f t="shared" ca="1" si="33"/>
        <v>0</v>
      </c>
      <c r="P228" s="4">
        <f t="shared" ca="1" si="34"/>
        <v>1062</v>
      </c>
      <c r="Q228">
        <f t="shared" ca="1" si="35"/>
        <v>1</v>
      </c>
      <c r="R228">
        <f t="shared" si="36"/>
        <v>2</v>
      </c>
      <c r="S228">
        <f t="shared" ca="1" si="37"/>
        <v>3</v>
      </c>
      <c r="T228" t="str">
        <f t="shared" ca="1" si="38"/>
        <v>123</v>
      </c>
      <c r="U228" t="str">
        <f t="shared" ca="1" si="39"/>
        <v>At Risk</v>
      </c>
    </row>
    <row r="229" spans="1:21">
      <c r="A229" s="17" t="str">
        <f>Cleaned_Data!A229</f>
        <v>MEM0228</v>
      </c>
      <c r="B229" s="18" t="str">
        <f ca="1">Cleaned_Data!D229</f>
        <v>BR04</v>
      </c>
      <c r="C229" s="18" t="str">
        <f ca="1">Cleaned_Data!E229</f>
        <v>Standard</v>
      </c>
      <c r="D229" s="19">
        <f>Cleaned_Data!F229</f>
        <v>46041</v>
      </c>
      <c r="E229" s="19">
        <f>Cleaned_Data!G229</f>
        <v>46406</v>
      </c>
      <c r="F229" s="18">
        <f>Cleaned_Data!H229</f>
        <v>1000</v>
      </c>
      <c r="G229" s="18">
        <f ca="1">Cleaned_Data!I229</f>
        <v>4000</v>
      </c>
      <c r="H229" s="18">
        <f>Cleaned_Data!J229</f>
        <v>10</v>
      </c>
      <c r="I229" s="18" t="str">
        <f>Cleaned_Data!M229</f>
        <v>Active</v>
      </c>
      <c r="J229" s="20">
        <f>Cleaned_Data!N229</f>
        <v>46092</v>
      </c>
      <c r="K229" t="str">
        <f t="shared" si="30"/>
        <v>Moderate</v>
      </c>
      <c r="L229" s="5" t="str">
        <f>IF(COUNTIF($A$2:A229,A229)&gt;1,"Duplicate","Unique")</f>
        <v>Unique</v>
      </c>
      <c r="M229" t="str">
        <f t="shared" si="31"/>
        <v>2026-01</v>
      </c>
      <c r="N229" s="2">
        <f t="shared" ca="1" si="32"/>
        <v>46092</v>
      </c>
      <c r="O229" s="4">
        <f t="shared" ca="1" si="33"/>
        <v>1</v>
      </c>
      <c r="P229" s="4">
        <f t="shared" ca="1" si="34"/>
        <v>37</v>
      </c>
      <c r="Q229">
        <f t="shared" ca="1" si="35"/>
        <v>4</v>
      </c>
      <c r="R229">
        <f t="shared" si="36"/>
        <v>3</v>
      </c>
      <c r="S229">
        <f t="shared" ca="1" si="37"/>
        <v>2</v>
      </c>
      <c r="T229" t="str">
        <f t="shared" ca="1" si="38"/>
        <v>432</v>
      </c>
      <c r="U229" t="str">
        <f t="shared" ca="1" si="39"/>
        <v>Others</v>
      </c>
    </row>
    <row r="230" spans="1:21">
      <c r="A230" s="13" t="str">
        <f>Cleaned_Data!A230</f>
        <v>MEM0229</v>
      </c>
      <c r="B230" s="14" t="str">
        <f ca="1">Cleaned_Data!D230</f>
        <v>BR06</v>
      </c>
      <c r="C230" s="14" t="str">
        <f ca="1">Cleaned_Data!E230</f>
        <v>Premium</v>
      </c>
      <c r="D230" s="15">
        <f>Cleaned_Data!F230</f>
        <v>45032</v>
      </c>
      <c r="E230" s="15">
        <f>Cleaned_Data!G230</f>
        <v>45122</v>
      </c>
      <c r="F230" s="14">
        <f>Cleaned_Data!H230</f>
        <v>3500</v>
      </c>
      <c r="G230" s="14">
        <f ca="1">Cleaned_Data!I230</f>
        <v>38500</v>
      </c>
      <c r="H230" s="14">
        <f>Cleaned_Data!J230</f>
        <v>11</v>
      </c>
      <c r="I230" s="14" t="str">
        <f>Cleaned_Data!M230</f>
        <v>Active</v>
      </c>
      <c r="J230" s="16">
        <f>Cleaned_Data!N230</f>
        <v>45382</v>
      </c>
      <c r="K230" t="str">
        <f t="shared" si="30"/>
        <v>Moderate</v>
      </c>
      <c r="L230" s="5" t="str">
        <f>IF(COUNTIF($A$2:A230,A230)&gt;1,"Duplicate","Unique")</f>
        <v>Unique</v>
      </c>
      <c r="M230" t="str">
        <f t="shared" si="31"/>
        <v>2023-04</v>
      </c>
      <c r="N230" s="2">
        <f t="shared" ca="1" si="32"/>
        <v>45382</v>
      </c>
      <c r="O230" s="4">
        <f t="shared" ca="1" si="33"/>
        <v>11</v>
      </c>
      <c r="P230" s="4">
        <f t="shared" ca="1" si="34"/>
        <v>747</v>
      </c>
      <c r="Q230">
        <f t="shared" ca="1" si="35"/>
        <v>1</v>
      </c>
      <c r="R230">
        <f t="shared" si="36"/>
        <v>3</v>
      </c>
      <c r="S230">
        <f t="shared" ca="1" si="37"/>
        <v>5</v>
      </c>
      <c r="T230" t="str">
        <f t="shared" ca="1" si="38"/>
        <v>135</v>
      </c>
      <c r="U230" t="str">
        <f t="shared" ca="1" si="39"/>
        <v>At Risk</v>
      </c>
    </row>
    <row r="231" spans="1:21">
      <c r="A231" s="17" t="str">
        <f>Cleaned_Data!A231</f>
        <v>MEM0230</v>
      </c>
      <c r="B231" s="18" t="str">
        <f ca="1">Cleaned_Data!D231</f>
        <v>BR02</v>
      </c>
      <c r="C231" s="18" t="str">
        <f ca="1">Cleaned_Data!E231</f>
        <v>Basic</v>
      </c>
      <c r="D231" s="19">
        <f>Cleaned_Data!F231</f>
        <v>45050</v>
      </c>
      <c r="E231" s="19">
        <f>Cleaned_Data!G231</f>
        <v>45080</v>
      </c>
      <c r="F231" s="18">
        <f>Cleaned_Data!H231</f>
        <v>2000</v>
      </c>
      <c r="G231" s="18">
        <f ca="1">Cleaned_Data!I231</f>
        <v>10000</v>
      </c>
      <c r="H231" s="18">
        <f>Cleaned_Data!J231</f>
        <v>23</v>
      </c>
      <c r="I231" s="18" t="str">
        <f>Cleaned_Data!M231</f>
        <v>Cancelled</v>
      </c>
      <c r="J231" s="20">
        <f>Cleaned_Data!N231</f>
        <v>45646</v>
      </c>
      <c r="K231" t="str">
        <f t="shared" si="30"/>
        <v>Highly Active</v>
      </c>
      <c r="L231" s="5" t="str">
        <f>IF(COUNTIF($A$2:A231,A231)&gt;1,"Duplicate","Unique")</f>
        <v>Unique</v>
      </c>
      <c r="M231" t="str">
        <f t="shared" si="31"/>
        <v>2023-05</v>
      </c>
      <c r="N231" s="2">
        <f t="shared" ca="1" si="32"/>
        <v>45646</v>
      </c>
      <c r="O231" s="4">
        <f t="shared" ca="1" si="33"/>
        <v>19</v>
      </c>
      <c r="P231" s="4">
        <f t="shared" ca="1" si="34"/>
        <v>483</v>
      </c>
      <c r="Q231">
        <f t="shared" ca="1" si="35"/>
        <v>1</v>
      </c>
      <c r="R231">
        <f t="shared" si="36"/>
        <v>5</v>
      </c>
      <c r="S231">
        <f t="shared" ca="1" si="37"/>
        <v>4</v>
      </c>
      <c r="T231" t="str">
        <f t="shared" ca="1" si="38"/>
        <v>154</v>
      </c>
      <c r="U231" t="str">
        <f t="shared" ca="1" si="39"/>
        <v>At Risk</v>
      </c>
    </row>
    <row r="232" spans="1:21">
      <c r="A232" s="13" t="str">
        <f>Cleaned_Data!A232</f>
        <v>MEM0231</v>
      </c>
      <c r="B232" s="14" t="str">
        <f ca="1">Cleaned_Data!D232</f>
        <v>BR02</v>
      </c>
      <c r="C232" s="14" t="str">
        <f ca="1">Cleaned_Data!E232</f>
        <v>Premium</v>
      </c>
      <c r="D232" s="15">
        <f>Cleaned_Data!F232</f>
        <v>45732</v>
      </c>
      <c r="E232" s="15">
        <f>Cleaned_Data!G232</f>
        <v>45762</v>
      </c>
      <c r="F232" s="14">
        <f>Cleaned_Data!H232</f>
        <v>1000</v>
      </c>
      <c r="G232" s="14">
        <f ca="1">Cleaned_Data!I232</f>
        <v>12000</v>
      </c>
      <c r="H232" s="14">
        <f>Cleaned_Data!J232</f>
        <v>22</v>
      </c>
      <c r="I232" s="14" t="str">
        <f>Cleaned_Data!M232</f>
        <v>Active</v>
      </c>
      <c r="J232" s="16">
        <f>Cleaned_Data!N232</f>
        <v>45891</v>
      </c>
      <c r="K232" t="str">
        <f t="shared" si="30"/>
        <v>Highly Active</v>
      </c>
      <c r="L232" s="5" t="str">
        <f>IF(COUNTIF($A$2:A232,A232)&gt;1,"Duplicate","Unique")</f>
        <v>Unique</v>
      </c>
      <c r="M232" t="str">
        <f t="shared" si="31"/>
        <v>2025-03</v>
      </c>
      <c r="N232" s="2">
        <f t="shared" ca="1" si="32"/>
        <v>45891</v>
      </c>
      <c r="O232" s="4">
        <f t="shared" ca="1" si="33"/>
        <v>5</v>
      </c>
      <c r="P232" s="4">
        <f t="shared" ca="1" si="34"/>
        <v>238</v>
      </c>
      <c r="Q232">
        <f t="shared" ca="1" si="35"/>
        <v>2</v>
      </c>
      <c r="R232">
        <f t="shared" si="36"/>
        <v>5</v>
      </c>
      <c r="S232">
        <f t="shared" ca="1" si="37"/>
        <v>4</v>
      </c>
      <c r="T232" t="str">
        <f t="shared" ca="1" si="38"/>
        <v>254</v>
      </c>
      <c r="U232" t="str">
        <f t="shared" ca="1" si="39"/>
        <v>At Risk</v>
      </c>
    </row>
    <row r="233" spans="1:21">
      <c r="A233" s="17" t="str">
        <f>Cleaned_Data!A233</f>
        <v>MEM0232</v>
      </c>
      <c r="B233" s="18" t="str">
        <f ca="1">Cleaned_Data!D233</f>
        <v>BR05</v>
      </c>
      <c r="C233" s="18" t="str">
        <f ca="1">Cleaned_Data!E233</f>
        <v>Standard</v>
      </c>
      <c r="D233" s="19">
        <f>Cleaned_Data!F233</f>
        <v>45337</v>
      </c>
      <c r="E233" s="19">
        <f>Cleaned_Data!G233</f>
        <v>45367</v>
      </c>
      <c r="F233" s="18">
        <f>Cleaned_Data!H233</f>
        <v>1000</v>
      </c>
      <c r="G233" s="18">
        <f ca="1">Cleaned_Data!I233</f>
        <v>4000</v>
      </c>
      <c r="H233" s="18">
        <f>Cleaned_Data!J233</f>
        <v>17</v>
      </c>
      <c r="I233" s="18" t="str">
        <f>Cleaned_Data!M233</f>
        <v>Active</v>
      </c>
      <c r="J233" s="20">
        <f>Cleaned_Data!N233</f>
        <v>45570</v>
      </c>
      <c r="K233" t="str">
        <f t="shared" si="30"/>
        <v>Highly Active</v>
      </c>
      <c r="L233" s="5" t="str">
        <f>IF(COUNTIF($A$2:A233,A233)&gt;1,"Duplicate","Unique")</f>
        <v>Unique</v>
      </c>
      <c r="M233" t="str">
        <f t="shared" si="31"/>
        <v>2024-02</v>
      </c>
      <c r="N233" s="2">
        <f t="shared" ca="1" si="32"/>
        <v>45570</v>
      </c>
      <c r="O233" s="4">
        <f t="shared" ca="1" si="33"/>
        <v>7</v>
      </c>
      <c r="P233" s="4">
        <f t="shared" ca="1" si="34"/>
        <v>559</v>
      </c>
      <c r="Q233">
        <f t="shared" ca="1" si="35"/>
        <v>1</v>
      </c>
      <c r="R233">
        <f t="shared" si="36"/>
        <v>4</v>
      </c>
      <c r="S233">
        <f t="shared" ca="1" si="37"/>
        <v>2</v>
      </c>
      <c r="T233" t="str">
        <f t="shared" ca="1" si="38"/>
        <v>142</v>
      </c>
      <c r="U233" t="str">
        <f t="shared" ca="1" si="39"/>
        <v>At Risk</v>
      </c>
    </row>
    <row r="234" spans="1:21">
      <c r="A234" s="13" t="str">
        <f>Cleaned_Data!A234</f>
        <v>MEM0233</v>
      </c>
      <c r="B234" s="14" t="str">
        <f ca="1">Cleaned_Data!D234</f>
        <v>BR03</v>
      </c>
      <c r="C234" s="14" t="str">
        <f ca="1">Cleaned_Data!E234</f>
        <v>Premium</v>
      </c>
      <c r="D234" s="15">
        <f>Cleaned_Data!F234</f>
        <v>45952</v>
      </c>
      <c r="E234" s="15">
        <f>Cleaned_Data!G234</f>
        <v>45982</v>
      </c>
      <c r="F234" s="14">
        <f>Cleaned_Data!H234</f>
        <v>2000</v>
      </c>
      <c r="G234" s="14">
        <f ca="1">Cleaned_Data!I234</f>
        <v>14000</v>
      </c>
      <c r="H234" s="14">
        <f>Cleaned_Data!J234</f>
        <v>19</v>
      </c>
      <c r="I234" s="14" t="str">
        <f>Cleaned_Data!M234</f>
        <v>Active</v>
      </c>
      <c r="J234" s="16">
        <f>Cleaned_Data!N234</f>
        <v>45997</v>
      </c>
      <c r="K234" t="str">
        <f t="shared" si="30"/>
        <v>Highly Active</v>
      </c>
      <c r="L234" s="5" t="str">
        <f>IF(COUNTIF($A$2:A234,A234)&gt;1,"Duplicate","Unique")</f>
        <v>Unique</v>
      </c>
      <c r="M234" t="str">
        <f t="shared" si="31"/>
        <v>2025-10</v>
      </c>
      <c r="N234" s="2">
        <f t="shared" ca="1" si="32"/>
        <v>45997</v>
      </c>
      <c r="O234" s="4">
        <f t="shared" ca="1" si="33"/>
        <v>1</v>
      </c>
      <c r="P234" s="4">
        <f t="shared" ca="1" si="34"/>
        <v>132</v>
      </c>
      <c r="Q234">
        <f t="shared" ca="1" si="35"/>
        <v>3</v>
      </c>
      <c r="R234">
        <f t="shared" si="36"/>
        <v>4</v>
      </c>
      <c r="S234">
        <f t="shared" ca="1" si="37"/>
        <v>4</v>
      </c>
      <c r="T234" t="str">
        <f t="shared" ca="1" si="38"/>
        <v>344</v>
      </c>
      <c r="U234" t="str">
        <f t="shared" ca="1" si="39"/>
        <v>Loyal</v>
      </c>
    </row>
    <row r="235" spans="1:21">
      <c r="A235" s="17" t="str">
        <f>Cleaned_Data!A235</f>
        <v>MEM0234</v>
      </c>
      <c r="B235" s="18" t="str">
        <f ca="1">Cleaned_Data!D235</f>
        <v>BR05</v>
      </c>
      <c r="C235" s="18" t="str">
        <f ca="1">Cleaned_Data!E235</f>
        <v>Premium</v>
      </c>
      <c r="D235" s="19">
        <f>Cleaned_Data!F235</f>
        <v>45152</v>
      </c>
      <c r="E235" s="19">
        <f>Cleaned_Data!G235</f>
        <v>45242</v>
      </c>
      <c r="F235" s="18">
        <f>Cleaned_Data!H235</f>
        <v>3500</v>
      </c>
      <c r="G235" s="18">
        <f ca="1">Cleaned_Data!I235</f>
        <v>38500</v>
      </c>
      <c r="H235" s="18">
        <f>Cleaned_Data!J235</f>
        <v>23</v>
      </c>
      <c r="I235" s="18" t="str">
        <f>Cleaned_Data!M235</f>
        <v>Active</v>
      </c>
      <c r="J235" s="20">
        <f>Cleaned_Data!N235</f>
        <v>45487</v>
      </c>
      <c r="K235" t="str">
        <f t="shared" si="30"/>
        <v>Highly Active</v>
      </c>
      <c r="L235" s="5" t="str">
        <f>IF(COUNTIF($A$2:A235,A235)&gt;1,"Duplicate","Unique")</f>
        <v>Unique</v>
      </c>
      <c r="M235" t="str">
        <f t="shared" si="31"/>
        <v>2023-08</v>
      </c>
      <c r="N235" s="2">
        <f t="shared" ca="1" si="32"/>
        <v>45487</v>
      </c>
      <c r="O235" s="4">
        <f t="shared" ca="1" si="33"/>
        <v>11</v>
      </c>
      <c r="P235" s="4">
        <f t="shared" ca="1" si="34"/>
        <v>642</v>
      </c>
      <c r="Q235">
        <f t="shared" ca="1" si="35"/>
        <v>1</v>
      </c>
      <c r="R235">
        <f t="shared" si="36"/>
        <v>5</v>
      </c>
      <c r="S235">
        <f t="shared" ca="1" si="37"/>
        <v>5</v>
      </c>
      <c r="T235" t="str">
        <f t="shared" ca="1" si="38"/>
        <v>155</v>
      </c>
      <c r="U235" t="str">
        <f t="shared" ca="1" si="39"/>
        <v>At Risk</v>
      </c>
    </row>
    <row r="236" spans="1:21">
      <c r="A236" s="13" t="str">
        <f>Cleaned_Data!A236</f>
        <v>MEM0235</v>
      </c>
      <c r="B236" s="14" t="str">
        <f ca="1">Cleaned_Data!D236</f>
        <v>BR07</v>
      </c>
      <c r="C236" s="14" t="str">
        <f ca="1">Cleaned_Data!E236</f>
        <v>Standard</v>
      </c>
      <c r="D236" s="15">
        <f>Cleaned_Data!F236</f>
        <v>44969</v>
      </c>
      <c r="E236" s="15">
        <f>Cleaned_Data!G236</f>
        <v>44999</v>
      </c>
      <c r="F236" s="14">
        <f>Cleaned_Data!H236</f>
        <v>1000</v>
      </c>
      <c r="G236" s="14">
        <f ca="1">Cleaned_Data!I236</f>
        <v>8000</v>
      </c>
      <c r="H236" s="14">
        <f>Cleaned_Data!J236</f>
        <v>9</v>
      </c>
      <c r="I236" s="14" t="str">
        <f>Cleaned_Data!M236</f>
        <v>Active</v>
      </c>
      <c r="J236" s="16">
        <f>Cleaned_Data!N236</f>
        <v>46114</v>
      </c>
      <c r="K236" t="str">
        <f t="shared" si="30"/>
        <v>Moderate</v>
      </c>
      <c r="L236" s="5" t="str">
        <f>IF(COUNTIF($A$2:A236,A236)&gt;1,"Duplicate","Unique")</f>
        <v>Unique</v>
      </c>
      <c r="M236" t="str">
        <f t="shared" si="31"/>
        <v>2023-02</v>
      </c>
      <c r="N236" s="2">
        <f t="shared" ca="1" si="32"/>
        <v>46114</v>
      </c>
      <c r="O236" s="4">
        <f t="shared" ca="1" si="33"/>
        <v>37</v>
      </c>
      <c r="P236" s="4">
        <f t="shared" ca="1" si="34"/>
        <v>15</v>
      </c>
      <c r="Q236">
        <f t="shared" ca="1" si="35"/>
        <v>5</v>
      </c>
      <c r="R236">
        <f t="shared" si="36"/>
        <v>2</v>
      </c>
      <c r="S236">
        <f t="shared" ca="1" si="37"/>
        <v>3</v>
      </c>
      <c r="T236" t="str">
        <f t="shared" ca="1" si="38"/>
        <v>523</v>
      </c>
      <c r="U236" t="str">
        <f t="shared" ca="1" si="39"/>
        <v>Others</v>
      </c>
    </row>
    <row r="237" spans="1:21">
      <c r="A237" s="17" t="str">
        <f>Cleaned_Data!A237</f>
        <v>MEM0236</v>
      </c>
      <c r="B237" s="18" t="str">
        <f ca="1">Cleaned_Data!D237</f>
        <v>BR06</v>
      </c>
      <c r="C237" s="18" t="str">
        <f ca="1">Cleaned_Data!E237</f>
        <v>Basic</v>
      </c>
      <c r="D237" s="19">
        <f>Cleaned_Data!F237</f>
        <v>45507</v>
      </c>
      <c r="E237" s="19">
        <f>Cleaned_Data!G237</f>
        <v>45872</v>
      </c>
      <c r="F237" s="18">
        <f>Cleaned_Data!H237</f>
        <v>3500</v>
      </c>
      <c r="G237" s="18">
        <f ca="1">Cleaned_Data!I237</f>
        <v>3500</v>
      </c>
      <c r="H237" s="18">
        <f>Cleaned_Data!J237</f>
        <v>17</v>
      </c>
      <c r="I237" s="18" t="str">
        <f>Cleaned_Data!M237</f>
        <v>Active</v>
      </c>
      <c r="J237" s="20">
        <f>Cleaned_Data!N237</f>
        <v>45811</v>
      </c>
      <c r="K237" t="str">
        <f t="shared" si="30"/>
        <v>Highly Active</v>
      </c>
      <c r="L237" s="5" t="str">
        <f>IF(COUNTIF($A$2:A237,A237)&gt;1,"Duplicate","Unique")</f>
        <v>Unique</v>
      </c>
      <c r="M237" t="str">
        <f t="shared" si="31"/>
        <v>2024-08</v>
      </c>
      <c r="N237" s="2">
        <f t="shared" ca="1" si="32"/>
        <v>45811</v>
      </c>
      <c r="O237" s="4">
        <f t="shared" ca="1" si="33"/>
        <v>10</v>
      </c>
      <c r="P237" s="4">
        <f t="shared" ca="1" si="34"/>
        <v>318</v>
      </c>
      <c r="Q237">
        <f t="shared" ca="1" si="35"/>
        <v>2</v>
      </c>
      <c r="R237">
        <f t="shared" si="36"/>
        <v>4</v>
      </c>
      <c r="S237">
        <f t="shared" ca="1" si="37"/>
        <v>2</v>
      </c>
      <c r="T237" t="str">
        <f t="shared" ca="1" si="38"/>
        <v>242</v>
      </c>
      <c r="U237" t="str">
        <f t="shared" ca="1" si="39"/>
        <v>At Risk</v>
      </c>
    </row>
    <row r="238" spans="1:21">
      <c r="A238" s="13" t="str">
        <f>Cleaned_Data!A238</f>
        <v>MEM0237</v>
      </c>
      <c r="B238" s="14" t="str">
        <f ca="1">Cleaned_Data!D238</f>
        <v>BR06</v>
      </c>
      <c r="C238" s="14" t="str">
        <f ca="1">Cleaned_Data!E238</f>
        <v>Premium</v>
      </c>
      <c r="D238" s="15">
        <f>Cleaned_Data!F238</f>
        <v>45278</v>
      </c>
      <c r="E238" s="15">
        <f>Cleaned_Data!G238</f>
        <v>45643</v>
      </c>
      <c r="F238" s="14">
        <f>Cleaned_Data!H238</f>
        <v>2000</v>
      </c>
      <c r="G238" s="14">
        <f ca="1">Cleaned_Data!I238</f>
        <v>18000</v>
      </c>
      <c r="H238" s="14">
        <f>Cleaned_Data!J238</f>
        <v>4</v>
      </c>
      <c r="I238" s="14" t="str">
        <f>Cleaned_Data!M238</f>
        <v>Cancelled</v>
      </c>
      <c r="J238" s="16">
        <f>Cleaned_Data!N238</f>
        <v>46070</v>
      </c>
      <c r="K238" t="str">
        <f t="shared" si="30"/>
        <v>At Risk</v>
      </c>
      <c r="L238" s="5" t="str">
        <f>IF(COUNTIF($A$2:A238,A238)&gt;1,"Duplicate","Unique")</f>
        <v>Unique</v>
      </c>
      <c r="M238" t="str">
        <f t="shared" si="31"/>
        <v>2023-12</v>
      </c>
      <c r="N238" s="2">
        <f t="shared" ca="1" si="32"/>
        <v>46070</v>
      </c>
      <c r="O238" s="4">
        <f t="shared" ca="1" si="33"/>
        <v>25</v>
      </c>
      <c r="P238" s="4">
        <f t="shared" ca="1" si="34"/>
        <v>59</v>
      </c>
      <c r="Q238">
        <f t="shared" ca="1" si="35"/>
        <v>4</v>
      </c>
      <c r="R238">
        <f t="shared" si="36"/>
        <v>1</v>
      </c>
      <c r="S238">
        <f t="shared" ca="1" si="37"/>
        <v>4</v>
      </c>
      <c r="T238" t="str">
        <f t="shared" ca="1" si="38"/>
        <v>414</v>
      </c>
      <c r="U238" t="str">
        <f t="shared" ca="1" si="39"/>
        <v>Others</v>
      </c>
    </row>
    <row r="239" spans="1:21">
      <c r="A239" s="17" t="str">
        <f>Cleaned_Data!A239</f>
        <v>MEM0238</v>
      </c>
      <c r="B239" s="18" t="str">
        <f ca="1">Cleaned_Data!D239</f>
        <v>BR05</v>
      </c>
      <c r="C239" s="18" t="str">
        <f ca="1">Cleaned_Data!E239</f>
        <v>Premium</v>
      </c>
      <c r="D239" s="19">
        <f>Cleaned_Data!F239</f>
        <v>45521</v>
      </c>
      <c r="E239" s="19">
        <f>Cleaned_Data!G239</f>
        <v>45886</v>
      </c>
      <c r="F239" s="18">
        <f>Cleaned_Data!H239</f>
        <v>2000</v>
      </c>
      <c r="G239" s="18">
        <f ca="1">Cleaned_Data!I239</f>
        <v>18000</v>
      </c>
      <c r="H239" s="18">
        <f>Cleaned_Data!J239</f>
        <v>18</v>
      </c>
      <c r="I239" s="18" t="str">
        <f>Cleaned_Data!M239</f>
        <v>Active</v>
      </c>
      <c r="J239" s="20">
        <f>Cleaned_Data!N239</f>
        <v>46107</v>
      </c>
      <c r="K239" t="str">
        <f t="shared" si="30"/>
        <v>Highly Active</v>
      </c>
      <c r="L239" s="5" t="str">
        <f>IF(COUNTIF($A$2:A239,A239)&gt;1,"Duplicate","Unique")</f>
        <v>Unique</v>
      </c>
      <c r="M239" t="str">
        <f t="shared" si="31"/>
        <v>2024-08</v>
      </c>
      <c r="N239" s="2">
        <f t="shared" ca="1" si="32"/>
        <v>46107</v>
      </c>
      <c r="O239" s="4">
        <f t="shared" ca="1" si="33"/>
        <v>19</v>
      </c>
      <c r="P239" s="4">
        <f t="shared" ca="1" si="34"/>
        <v>22</v>
      </c>
      <c r="Q239">
        <f t="shared" ca="1" si="35"/>
        <v>5</v>
      </c>
      <c r="R239">
        <f t="shared" si="36"/>
        <v>4</v>
      </c>
      <c r="S239">
        <f t="shared" ca="1" si="37"/>
        <v>4</v>
      </c>
      <c r="T239" t="str">
        <f t="shared" ca="1" si="38"/>
        <v>544</v>
      </c>
      <c r="U239" t="str">
        <f t="shared" ca="1" si="39"/>
        <v>Champion</v>
      </c>
    </row>
    <row r="240" spans="1:21">
      <c r="A240" s="13" t="str">
        <f>Cleaned_Data!A240</f>
        <v>MEM0239</v>
      </c>
      <c r="B240" s="14" t="str">
        <f ca="1">Cleaned_Data!D240</f>
        <v>BR03</v>
      </c>
      <c r="C240" s="14" t="str">
        <f ca="1">Cleaned_Data!E240</f>
        <v>Premium</v>
      </c>
      <c r="D240" s="15">
        <f>Cleaned_Data!F240</f>
        <v>45465</v>
      </c>
      <c r="E240" s="15">
        <f>Cleaned_Data!G240</f>
        <v>45555</v>
      </c>
      <c r="F240" s="14">
        <f>Cleaned_Data!H240</f>
        <v>2000</v>
      </c>
      <c r="G240" s="14">
        <f ca="1">Cleaned_Data!I240</f>
        <v>8000</v>
      </c>
      <c r="H240" s="14">
        <f>Cleaned_Data!J240</f>
        <v>0</v>
      </c>
      <c r="I240" s="14" t="str">
        <f>Cleaned_Data!M240</f>
        <v>Active</v>
      </c>
      <c r="J240" s="16">
        <f>Cleaned_Data!N240</f>
        <v>45501</v>
      </c>
      <c r="K240" t="str">
        <f t="shared" si="30"/>
        <v>At Risk</v>
      </c>
      <c r="L240" s="5" t="str">
        <f>IF(COUNTIF($A$2:A240,A240)&gt;1,"Duplicate","Unique")</f>
        <v>Unique</v>
      </c>
      <c r="M240" t="str">
        <f t="shared" si="31"/>
        <v>2024-06</v>
      </c>
      <c r="N240" s="2">
        <f t="shared" ca="1" si="32"/>
        <v>45501</v>
      </c>
      <c r="O240" s="4">
        <f t="shared" ca="1" si="33"/>
        <v>1</v>
      </c>
      <c r="P240" s="4">
        <f t="shared" ca="1" si="34"/>
        <v>628</v>
      </c>
      <c r="Q240">
        <f t="shared" ca="1" si="35"/>
        <v>1</v>
      </c>
      <c r="R240">
        <f t="shared" si="36"/>
        <v>1</v>
      </c>
      <c r="S240">
        <f t="shared" ca="1" si="37"/>
        <v>3</v>
      </c>
      <c r="T240" t="str">
        <f t="shared" ca="1" si="38"/>
        <v>113</v>
      </c>
      <c r="U240" t="str">
        <f t="shared" ca="1" si="39"/>
        <v>At Risk</v>
      </c>
    </row>
    <row r="241" spans="1:21">
      <c r="A241" s="17" t="str">
        <f>Cleaned_Data!A241</f>
        <v>MEM0240</v>
      </c>
      <c r="B241" s="18" t="str">
        <f ca="1">Cleaned_Data!D241</f>
        <v>BR02</v>
      </c>
      <c r="C241" s="18" t="str">
        <f ca="1">Cleaned_Data!E241</f>
        <v>Basic</v>
      </c>
      <c r="D241" s="19">
        <f>Cleaned_Data!F241</f>
        <v>45217</v>
      </c>
      <c r="E241" s="19">
        <f>Cleaned_Data!G241</f>
        <v>45247</v>
      </c>
      <c r="F241" s="18">
        <f>Cleaned_Data!H241</f>
        <v>2000</v>
      </c>
      <c r="G241" s="18">
        <f ca="1">Cleaned_Data!I241</f>
        <v>16000</v>
      </c>
      <c r="H241" s="18">
        <f>Cleaned_Data!J241</f>
        <v>13</v>
      </c>
      <c r="I241" s="18" t="str">
        <f>Cleaned_Data!M241</f>
        <v>Active</v>
      </c>
      <c r="J241" s="20">
        <f>Cleaned_Data!N241</f>
        <v>45859</v>
      </c>
      <c r="K241" t="str">
        <f t="shared" si="30"/>
        <v>Moderate</v>
      </c>
      <c r="L241" s="5" t="str">
        <f>IF(COUNTIF($A$2:A241,A241)&gt;1,"Duplicate","Unique")</f>
        <v>Unique</v>
      </c>
      <c r="M241" t="str">
        <f t="shared" si="31"/>
        <v>2023-10</v>
      </c>
      <c r="N241" s="2">
        <f t="shared" ca="1" si="32"/>
        <v>45859</v>
      </c>
      <c r="O241" s="4">
        <f t="shared" ca="1" si="33"/>
        <v>21</v>
      </c>
      <c r="P241" s="4">
        <f t="shared" ca="1" si="34"/>
        <v>270</v>
      </c>
      <c r="Q241">
        <f t="shared" ca="1" si="35"/>
        <v>2</v>
      </c>
      <c r="R241">
        <f t="shared" si="36"/>
        <v>3</v>
      </c>
      <c r="S241">
        <f t="shared" ca="1" si="37"/>
        <v>4</v>
      </c>
      <c r="T241" t="str">
        <f t="shared" ca="1" si="38"/>
        <v>234</v>
      </c>
      <c r="U241" t="str">
        <f t="shared" ca="1" si="39"/>
        <v>At Risk</v>
      </c>
    </row>
    <row r="242" spans="1:21">
      <c r="A242" s="13" t="str">
        <f>Cleaned_Data!A242</f>
        <v>MEM0241</v>
      </c>
      <c r="B242" s="14" t="str">
        <f ca="1">Cleaned_Data!D242</f>
        <v>BR07</v>
      </c>
      <c r="C242" s="14" t="str">
        <f ca="1">Cleaned_Data!E242</f>
        <v>Basic</v>
      </c>
      <c r="D242" s="15">
        <f>Cleaned_Data!F242</f>
        <v>45486</v>
      </c>
      <c r="E242" s="15">
        <f>Cleaned_Data!G242</f>
        <v>45516</v>
      </c>
      <c r="F242" s="14">
        <f>Cleaned_Data!H242</f>
        <v>2000</v>
      </c>
      <c r="G242" s="14">
        <f ca="1">Cleaned_Data!I242</f>
        <v>22000</v>
      </c>
      <c r="H242" s="14">
        <f>Cleaned_Data!J242</f>
        <v>17</v>
      </c>
      <c r="I242" s="14" t="str">
        <f>Cleaned_Data!M242</f>
        <v>Active</v>
      </c>
      <c r="J242" s="16">
        <f>Cleaned_Data!N242</f>
        <v>45912</v>
      </c>
      <c r="K242" t="str">
        <f t="shared" si="30"/>
        <v>Highly Active</v>
      </c>
      <c r="L242" s="5" t="str">
        <f>IF(COUNTIF($A$2:A242,A242)&gt;1,"Duplicate","Unique")</f>
        <v>Unique</v>
      </c>
      <c r="M242" t="str">
        <f t="shared" si="31"/>
        <v>2024-07</v>
      </c>
      <c r="N242" s="2">
        <f t="shared" ca="1" si="32"/>
        <v>45912</v>
      </c>
      <c r="O242" s="4">
        <f t="shared" ca="1" si="33"/>
        <v>13</v>
      </c>
      <c r="P242" s="4">
        <f t="shared" ca="1" si="34"/>
        <v>217</v>
      </c>
      <c r="Q242">
        <f t="shared" ca="1" si="35"/>
        <v>2</v>
      </c>
      <c r="R242">
        <f t="shared" si="36"/>
        <v>4</v>
      </c>
      <c r="S242">
        <f t="shared" ca="1" si="37"/>
        <v>5</v>
      </c>
      <c r="T242" t="str">
        <f t="shared" ca="1" si="38"/>
        <v>245</v>
      </c>
      <c r="U242" t="str">
        <f t="shared" ca="1" si="39"/>
        <v>At Risk</v>
      </c>
    </row>
    <row r="243" spans="1:21">
      <c r="A243" s="17" t="str">
        <f>Cleaned_Data!A243</f>
        <v>MEM0242</v>
      </c>
      <c r="B243" s="18" t="str">
        <f ca="1">Cleaned_Data!D243</f>
        <v>BR06</v>
      </c>
      <c r="C243" s="18" t="str">
        <f ca="1">Cleaned_Data!E243</f>
        <v>Standard</v>
      </c>
      <c r="D243" s="19">
        <f>Cleaned_Data!F243</f>
        <v>45882</v>
      </c>
      <c r="E243" s="19">
        <f>Cleaned_Data!G243</f>
        <v>45972</v>
      </c>
      <c r="F243" s="18">
        <f>Cleaned_Data!H243</f>
        <v>2000</v>
      </c>
      <c r="G243" s="18">
        <f ca="1">Cleaned_Data!I243</f>
        <v>6000</v>
      </c>
      <c r="H243" s="18">
        <f>Cleaned_Data!J243</f>
        <v>3</v>
      </c>
      <c r="I243" s="18" t="str">
        <f>Cleaned_Data!M243</f>
        <v>Cancelled</v>
      </c>
      <c r="J243" s="20">
        <f>Cleaned_Data!N243</f>
        <v>46047</v>
      </c>
      <c r="K243" t="str">
        <f t="shared" si="30"/>
        <v>At Risk</v>
      </c>
      <c r="L243" s="5" t="str">
        <f>IF(COUNTIF($A$2:A243,A243)&gt;1,"Duplicate","Unique")</f>
        <v>Unique</v>
      </c>
      <c r="M243" t="str">
        <f t="shared" si="31"/>
        <v>2025-08</v>
      </c>
      <c r="N243" s="2">
        <f t="shared" ca="1" si="32"/>
        <v>46047</v>
      </c>
      <c r="O243" s="4">
        <f t="shared" ca="1" si="33"/>
        <v>5</v>
      </c>
      <c r="P243" s="4">
        <f t="shared" ca="1" si="34"/>
        <v>82</v>
      </c>
      <c r="Q243">
        <f t="shared" ca="1" si="35"/>
        <v>4</v>
      </c>
      <c r="R243">
        <f t="shared" si="36"/>
        <v>1</v>
      </c>
      <c r="S243">
        <f t="shared" ca="1" si="37"/>
        <v>3</v>
      </c>
      <c r="T243" t="str">
        <f t="shared" ca="1" si="38"/>
        <v>413</v>
      </c>
      <c r="U243" t="str">
        <f t="shared" ca="1" si="39"/>
        <v>Others</v>
      </c>
    </row>
    <row r="244" spans="1:21">
      <c r="A244" s="13" t="str">
        <f>Cleaned_Data!A244</f>
        <v>MEM0243</v>
      </c>
      <c r="B244" s="14" t="str">
        <f ca="1">Cleaned_Data!D244</f>
        <v>BR07</v>
      </c>
      <c r="C244" s="14" t="str">
        <f ca="1">Cleaned_Data!E244</f>
        <v>Standard</v>
      </c>
      <c r="D244" s="15">
        <f>Cleaned_Data!F244</f>
        <v>45621</v>
      </c>
      <c r="E244" s="15">
        <f>Cleaned_Data!G244</f>
        <v>45711</v>
      </c>
      <c r="F244" s="14">
        <f>Cleaned_Data!H244</f>
        <v>2000</v>
      </c>
      <c r="G244" s="14">
        <f ca="1">Cleaned_Data!I244</f>
        <v>20000</v>
      </c>
      <c r="H244" s="14">
        <f>Cleaned_Data!J244</f>
        <v>8</v>
      </c>
      <c r="I244" s="14" t="str">
        <f>Cleaned_Data!M244</f>
        <v>Active</v>
      </c>
      <c r="J244" s="16">
        <f>Cleaned_Data!N244</f>
        <v>45868</v>
      </c>
      <c r="K244" t="str">
        <f t="shared" si="30"/>
        <v>Moderate</v>
      </c>
      <c r="L244" s="5" t="str">
        <f>IF(COUNTIF($A$2:A244,A244)&gt;1,"Duplicate","Unique")</f>
        <v>Unique</v>
      </c>
      <c r="M244" t="str">
        <f t="shared" si="31"/>
        <v>2024-11</v>
      </c>
      <c r="N244" s="2">
        <f t="shared" ca="1" si="32"/>
        <v>45868</v>
      </c>
      <c r="O244" s="4">
        <f t="shared" ca="1" si="33"/>
        <v>8</v>
      </c>
      <c r="P244" s="4">
        <f t="shared" ca="1" si="34"/>
        <v>261</v>
      </c>
      <c r="Q244">
        <f t="shared" ca="1" si="35"/>
        <v>2</v>
      </c>
      <c r="R244">
        <f t="shared" si="36"/>
        <v>2</v>
      </c>
      <c r="S244">
        <f t="shared" ca="1" si="37"/>
        <v>5</v>
      </c>
      <c r="T244" t="str">
        <f t="shared" ca="1" si="38"/>
        <v>225</v>
      </c>
      <c r="U244" t="str">
        <f t="shared" ca="1" si="39"/>
        <v>At Risk</v>
      </c>
    </row>
    <row r="245" spans="1:21">
      <c r="A245" s="17" t="str">
        <f>Cleaned_Data!A245</f>
        <v>MEM0244</v>
      </c>
      <c r="B245" s="18" t="str">
        <f ca="1">Cleaned_Data!D245</f>
        <v>BR01</v>
      </c>
      <c r="C245" s="18" t="str">
        <f ca="1">Cleaned_Data!E245</f>
        <v>Standard</v>
      </c>
      <c r="D245" s="19">
        <f>Cleaned_Data!F245</f>
        <v>45808</v>
      </c>
      <c r="E245" s="19">
        <f>Cleaned_Data!G245</f>
        <v>46173</v>
      </c>
      <c r="F245" s="18">
        <f>Cleaned_Data!H245</f>
        <v>3500</v>
      </c>
      <c r="G245" s="18">
        <f ca="1">Cleaned_Data!I245</f>
        <v>31500</v>
      </c>
      <c r="H245" s="18">
        <f>Cleaned_Data!J245</f>
        <v>22</v>
      </c>
      <c r="I245" s="18" t="str">
        <f>Cleaned_Data!M245</f>
        <v>Active</v>
      </c>
      <c r="J245" s="20">
        <f>Cleaned_Data!N245</f>
        <v>46123</v>
      </c>
      <c r="K245" t="str">
        <f t="shared" si="30"/>
        <v>Highly Active</v>
      </c>
      <c r="L245" s="5" t="str">
        <f>IF(COUNTIF($A$2:A245,A245)&gt;1,"Duplicate","Unique")</f>
        <v>Unique</v>
      </c>
      <c r="M245" t="str">
        <f t="shared" si="31"/>
        <v>2025-05</v>
      </c>
      <c r="N245" s="2">
        <f t="shared" ca="1" si="32"/>
        <v>46123</v>
      </c>
      <c r="O245" s="4">
        <f t="shared" ca="1" si="33"/>
        <v>10</v>
      </c>
      <c r="P245" s="4">
        <f t="shared" ca="1" si="34"/>
        <v>6</v>
      </c>
      <c r="Q245">
        <f t="shared" ca="1" si="35"/>
        <v>5</v>
      </c>
      <c r="R245">
        <f t="shared" si="36"/>
        <v>5</v>
      </c>
      <c r="S245">
        <f t="shared" ca="1" si="37"/>
        <v>5</v>
      </c>
      <c r="T245" t="str">
        <f t="shared" ca="1" si="38"/>
        <v>555</v>
      </c>
      <c r="U245" t="str">
        <f t="shared" ca="1" si="39"/>
        <v>Champion</v>
      </c>
    </row>
    <row r="246" spans="1:21">
      <c r="A246" s="13" t="str">
        <f>Cleaned_Data!A246</f>
        <v>MEM0245</v>
      </c>
      <c r="B246" s="14" t="str">
        <f ca="1">Cleaned_Data!D246</f>
        <v>BR02</v>
      </c>
      <c r="C246" s="14" t="str">
        <f ca="1">Cleaned_Data!E246</f>
        <v>Standard</v>
      </c>
      <c r="D246" s="15">
        <f>Cleaned_Data!F246</f>
        <v>45966</v>
      </c>
      <c r="E246" s="15">
        <f>Cleaned_Data!G246</f>
        <v>45996</v>
      </c>
      <c r="F246" s="14">
        <f>Cleaned_Data!H246</f>
        <v>1000</v>
      </c>
      <c r="G246" s="14">
        <f ca="1">Cleaned_Data!I246</f>
        <v>11000</v>
      </c>
      <c r="H246" s="14">
        <f>Cleaned_Data!J246</f>
        <v>12</v>
      </c>
      <c r="I246" s="14" t="str">
        <f>Cleaned_Data!M246</f>
        <v>Active</v>
      </c>
      <c r="J246" s="16">
        <f>Cleaned_Data!N246</f>
        <v>46061</v>
      </c>
      <c r="K246" t="str">
        <f t="shared" si="30"/>
        <v>Moderate</v>
      </c>
      <c r="L246" s="5" t="str">
        <f>IF(COUNTIF($A$2:A246,A246)&gt;1,"Duplicate","Unique")</f>
        <v>Unique</v>
      </c>
      <c r="M246" t="str">
        <f t="shared" si="31"/>
        <v>2025-11</v>
      </c>
      <c r="N246" s="2">
        <f t="shared" ca="1" si="32"/>
        <v>46061</v>
      </c>
      <c r="O246" s="4">
        <f t="shared" ca="1" si="33"/>
        <v>3</v>
      </c>
      <c r="P246" s="4">
        <f t="shared" ca="1" si="34"/>
        <v>68</v>
      </c>
      <c r="Q246">
        <f t="shared" ca="1" si="35"/>
        <v>4</v>
      </c>
      <c r="R246">
        <f t="shared" si="36"/>
        <v>3</v>
      </c>
      <c r="S246">
        <f t="shared" ca="1" si="37"/>
        <v>4</v>
      </c>
      <c r="T246" t="str">
        <f t="shared" ca="1" si="38"/>
        <v>434</v>
      </c>
      <c r="U246" t="str">
        <f t="shared" ca="1" si="39"/>
        <v>Loyal</v>
      </c>
    </row>
    <row r="247" spans="1:21">
      <c r="A247" s="17" t="str">
        <f>Cleaned_Data!A247</f>
        <v>MEM0246</v>
      </c>
      <c r="B247" s="18" t="str">
        <f ca="1">Cleaned_Data!D247</f>
        <v>BR06</v>
      </c>
      <c r="C247" s="18" t="str">
        <f ca="1">Cleaned_Data!E247</f>
        <v>Standard</v>
      </c>
      <c r="D247" s="19">
        <f>Cleaned_Data!F247</f>
        <v>45607</v>
      </c>
      <c r="E247" s="19">
        <f>Cleaned_Data!G247</f>
        <v>45697</v>
      </c>
      <c r="F247" s="18">
        <f>Cleaned_Data!H247</f>
        <v>3500</v>
      </c>
      <c r="G247" s="18">
        <f ca="1">Cleaned_Data!I247</f>
        <v>7000</v>
      </c>
      <c r="H247" s="18">
        <f>Cleaned_Data!J247</f>
        <v>17</v>
      </c>
      <c r="I247" s="18" t="str">
        <f>Cleaned_Data!M247</f>
        <v>Active</v>
      </c>
      <c r="J247" s="20">
        <f>Cleaned_Data!N247</f>
        <v>45853</v>
      </c>
      <c r="K247" t="str">
        <f t="shared" si="30"/>
        <v>Highly Active</v>
      </c>
      <c r="L247" s="5" t="str">
        <f>IF(COUNTIF($A$2:A247,A247)&gt;1,"Duplicate","Unique")</f>
        <v>Unique</v>
      </c>
      <c r="M247" t="str">
        <f t="shared" si="31"/>
        <v>2024-11</v>
      </c>
      <c r="N247" s="2">
        <f t="shared" ca="1" si="32"/>
        <v>45853</v>
      </c>
      <c r="O247" s="4">
        <f t="shared" ca="1" si="33"/>
        <v>8</v>
      </c>
      <c r="P247" s="4">
        <f t="shared" ca="1" si="34"/>
        <v>276</v>
      </c>
      <c r="Q247">
        <f t="shared" ca="1" si="35"/>
        <v>2</v>
      </c>
      <c r="R247">
        <f t="shared" si="36"/>
        <v>4</v>
      </c>
      <c r="S247">
        <f t="shared" ca="1" si="37"/>
        <v>3</v>
      </c>
      <c r="T247" t="str">
        <f t="shared" ca="1" si="38"/>
        <v>243</v>
      </c>
      <c r="U247" t="str">
        <f t="shared" ca="1" si="39"/>
        <v>At Risk</v>
      </c>
    </row>
    <row r="248" spans="1:21">
      <c r="A248" s="13" t="str">
        <f>Cleaned_Data!A248</f>
        <v>MEM0247</v>
      </c>
      <c r="B248" s="14" t="str">
        <f ca="1">Cleaned_Data!D248</f>
        <v>BR04</v>
      </c>
      <c r="C248" s="14" t="str">
        <f ca="1">Cleaned_Data!E248</f>
        <v>Standard</v>
      </c>
      <c r="D248" s="15">
        <f>Cleaned_Data!F248</f>
        <v>45692</v>
      </c>
      <c r="E248" s="15">
        <f>Cleaned_Data!G248</f>
        <v>45722</v>
      </c>
      <c r="F248" s="14">
        <f>Cleaned_Data!H248</f>
        <v>2000</v>
      </c>
      <c r="G248" s="14">
        <f ca="1">Cleaned_Data!I248</f>
        <v>22000</v>
      </c>
      <c r="H248" s="14">
        <f>Cleaned_Data!J248</f>
        <v>20</v>
      </c>
      <c r="I248" s="14" t="str">
        <f>Cleaned_Data!M248</f>
        <v>Active</v>
      </c>
      <c r="J248" s="16">
        <f>Cleaned_Data!N248</f>
        <v>45886</v>
      </c>
      <c r="K248" t="str">
        <f t="shared" si="30"/>
        <v>Highly Active</v>
      </c>
      <c r="L248" s="5" t="str">
        <f>IF(COUNTIF($A$2:A248,A248)&gt;1,"Duplicate","Unique")</f>
        <v>Unique</v>
      </c>
      <c r="M248" t="str">
        <f t="shared" si="31"/>
        <v>2025-02</v>
      </c>
      <c r="N248" s="2">
        <f t="shared" ca="1" si="32"/>
        <v>45886</v>
      </c>
      <c r="O248" s="4">
        <f t="shared" ca="1" si="33"/>
        <v>6</v>
      </c>
      <c r="P248" s="4">
        <f t="shared" ca="1" si="34"/>
        <v>243</v>
      </c>
      <c r="Q248">
        <f t="shared" ca="1" si="35"/>
        <v>2</v>
      </c>
      <c r="R248">
        <f t="shared" si="36"/>
        <v>5</v>
      </c>
      <c r="S248">
        <f t="shared" ca="1" si="37"/>
        <v>5</v>
      </c>
      <c r="T248" t="str">
        <f t="shared" ca="1" si="38"/>
        <v>255</v>
      </c>
      <c r="U248" t="str">
        <f t="shared" ca="1" si="39"/>
        <v>At Risk</v>
      </c>
    </row>
    <row r="249" spans="1:21">
      <c r="A249" s="17" t="str">
        <f>Cleaned_Data!A249</f>
        <v>MEM0248</v>
      </c>
      <c r="B249" s="18" t="str">
        <f ca="1">Cleaned_Data!D249</f>
        <v>BR02</v>
      </c>
      <c r="C249" s="18" t="str">
        <f ca="1">Cleaned_Data!E249</f>
        <v>Premium</v>
      </c>
      <c r="D249" s="19">
        <f>Cleaned_Data!F249</f>
        <v>45305</v>
      </c>
      <c r="E249" s="19">
        <f>Cleaned_Data!G249</f>
        <v>45395</v>
      </c>
      <c r="F249" s="18">
        <f>Cleaned_Data!H249</f>
        <v>3500</v>
      </c>
      <c r="G249" s="18">
        <f ca="1">Cleaned_Data!I249</f>
        <v>42000</v>
      </c>
      <c r="H249" s="18">
        <f>Cleaned_Data!J249</f>
        <v>6</v>
      </c>
      <c r="I249" s="18" t="str">
        <f>Cleaned_Data!M249</f>
        <v>Active</v>
      </c>
      <c r="J249" s="20">
        <f>Cleaned_Data!N249</f>
        <v>45674</v>
      </c>
      <c r="K249" t="str">
        <f t="shared" si="30"/>
        <v>Moderate</v>
      </c>
      <c r="L249" s="5" t="str">
        <f>IF(COUNTIF($A$2:A249,A249)&gt;1,"Duplicate","Unique")</f>
        <v>Unique</v>
      </c>
      <c r="M249" t="str">
        <f t="shared" si="31"/>
        <v>2024-01</v>
      </c>
      <c r="N249" s="2">
        <f t="shared" ca="1" si="32"/>
        <v>45674</v>
      </c>
      <c r="O249" s="4">
        <f t="shared" ca="1" si="33"/>
        <v>12</v>
      </c>
      <c r="P249" s="4">
        <f t="shared" ca="1" si="34"/>
        <v>455</v>
      </c>
      <c r="Q249">
        <f t="shared" ca="1" si="35"/>
        <v>1</v>
      </c>
      <c r="R249">
        <f t="shared" si="36"/>
        <v>2</v>
      </c>
      <c r="S249">
        <f t="shared" ca="1" si="37"/>
        <v>5</v>
      </c>
      <c r="T249" t="str">
        <f t="shared" ca="1" si="38"/>
        <v>125</v>
      </c>
      <c r="U249" t="str">
        <f t="shared" ca="1" si="39"/>
        <v>At Risk</v>
      </c>
    </row>
    <row r="250" spans="1:21">
      <c r="A250" s="13" t="str">
        <f>Cleaned_Data!A250</f>
        <v>MEM0249</v>
      </c>
      <c r="B250" s="14" t="str">
        <f ca="1">Cleaned_Data!D250</f>
        <v>BR06</v>
      </c>
      <c r="C250" s="14" t="str">
        <f ca="1">Cleaned_Data!E250</f>
        <v>Standard</v>
      </c>
      <c r="D250" s="15">
        <f>Cleaned_Data!F250</f>
        <v>45176</v>
      </c>
      <c r="E250" s="15">
        <f>Cleaned_Data!G250</f>
        <v>45206</v>
      </c>
      <c r="F250" s="14">
        <f>Cleaned_Data!H250</f>
        <v>3500</v>
      </c>
      <c r="G250" s="14">
        <f ca="1">Cleaned_Data!I250</f>
        <v>28000</v>
      </c>
      <c r="H250" s="14">
        <f>Cleaned_Data!J250</f>
        <v>21</v>
      </c>
      <c r="I250" s="14" t="str">
        <f>Cleaned_Data!M250</f>
        <v>Active</v>
      </c>
      <c r="J250" s="16">
        <f>Cleaned_Data!N250</f>
        <v>46082</v>
      </c>
      <c r="K250" t="str">
        <f t="shared" si="30"/>
        <v>Highly Active</v>
      </c>
      <c r="L250" s="5" t="str">
        <f>IF(COUNTIF($A$2:A250,A250)&gt;1,"Duplicate","Unique")</f>
        <v>Unique</v>
      </c>
      <c r="M250" t="str">
        <f t="shared" si="31"/>
        <v>2023-09</v>
      </c>
      <c r="N250" s="2">
        <f t="shared" ca="1" si="32"/>
        <v>46082</v>
      </c>
      <c r="O250" s="4">
        <f t="shared" ca="1" si="33"/>
        <v>29</v>
      </c>
      <c r="P250" s="4">
        <f t="shared" ca="1" si="34"/>
        <v>47</v>
      </c>
      <c r="Q250">
        <f t="shared" ca="1" si="35"/>
        <v>4</v>
      </c>
      <c r="R250">
        <f t="shared" si="36"/>
        <v>5</v>
      </c>
      <c r="S250">
        <f t="shared" ca="1" si="37"/>
        <v>5</v>
      </c>
      <c r="T250" t="str">
        <f t="shared" ca="1" si="38"/>
        <v>455</v>
      </c>
      <c r="U250" t="str">
        <f t="shared" ca="1" si="39"/>
        <v>Champion</v>
      </c>
    </row>
    <row r="251" spans="1:21">
      <c r="A251" s="17" t="str">
        <f>Cleaned_Data!A251</f>
        <v>MEM0250</v>
      </c>
      <c r="B251" s="18" t="str">
        <f ca="1">Cleaned_Data!D251</f>
        <v>BR03</v>
      </c>
      <c r="C251" s="18" t="str">
        <f ca="1">Cleaned_Data!E251</f>
        <v>Premium</v>
      </c>
      <c r="D251" s="19">
        <f>Cleaned_Data!F251</f>
        <v>45972</v>
      </c>
      <c r="E251" s="19">
        <f>Cleaned_Data!G251</f>
        <v>46337</v>
      </c>
      <c r="F251" s="18">
        <f>Cleaned_Data!H251</f>
        <v>2000</v>
      </c>
      <c r="G251" s="18">
        <f ca="1">Cleaned_Data!I251</f>
        <v>22000</v>
      </c>
      <c r="H251" s="18">
        <f>Cleaned_Data!J251</f>
        <v>5</v>
      </c>
      <c r="I251" s="18" t="str">
        <f>Cleaned_Data!M251</f>
        <v>Active</v>
      </c>
      <c r="J251" s="20">
        <f>Cleaned_Data!N251</f>
        <v>46025</v>
      </c>
      <c r="K251" t="str">
        <f t="shared" si="30"/>
        <v>Moderate</v>
      </c>
      <c r="L251" s="5" t="str">
        <f>IF(COUNTIF($A$2:A251,A251)&gt;1,"Duplicate","Unique")</f>
        <v>Unique</v>
      </c>
      <c r="M251" t="str">
        <f t="shared" si="31"/>
        <v>2025-11</v>
      </c>
      <c r="N251" s="2">
        <f t="shared" ca="1" si="32"/>
        <v>46025</v>
      </c>
      <c r="O251" s="4">
        <f t="shared" ca="1" si="33"/>
        <v>1</v>
      </c>
      <c r="P251" s="4">
        <f t="shared" ca="1" si="34"/>
        <v>104</v>
      </c>
      <c r="Q251">
        <f t="shared" ca="1" si="35"/>
        <v>3</v>
      </c>
      <c r="R251">
        <f t="shared" si="36"/>
        <v>2</v>
      </c>
      <c r="S251">
        <f t="shared" ca="1" si="37"/>
        <v>5</v>
      </c>
      <c r="T251" t="str">
        <f t="shared" ca="1" si="38"/>
        <v>325</v>
      </c>
      <c r="U251" t="str">
        <f t="shared" ca="1" si="39"/>
        <v>Others</v>
      </c>
    </row>
    <row r="252" spans="1:21">
      <c r="A252" s="13" t="str">
        <f>Cleaned_Data!A252</f>
        <v>MEM0251</v>
      </c>
      <c r="B252" s="14" t="str">
        <f ca="1">Cleaned_Data!D252</f>
        <v>BR05</v>
      </c>
      <c r="C252" s="14" t="str">
        <f ca="1">Cleaned_Data!E252</f>
        <v>Standard</v>
      </c>
      <c r="D252" s="15">
        <f>Cleaned_Data!F252</f>
        <v>45993</v>
      </c>
      <c r="E252" s="15">
        <f>Cleaned_Data!G252</f>
        <v>46358</v>
      </c>
      <c r="F252" s="14">
        <f>Cleaned_Data!H252</f>
        <v>1000</v>
      </c>
      <c r="G252" s="14">
        <f ca="1">Cleaned_Data!I252</f>
        <v>12000</v>
      </c>
      <c r="H252" s="14">
        <f>Cleaned_Data!J252</f>
        <v>14</v>
      </c>
      <c r="I252" s="14" t="str">
        <f>Cleaned_Data!M252</f>
        <v>Active</v>
      </c>
      <c r="J252" s="16">
        <f>Cleaned_Data!N252</f>
        <v>46042</v>
      </c>
      <c r="K252" t="str">
        <f t="shared" si="30"/>
        <v>Moderate</v>
      </c>
      <c r="L252" s="5" t="str">
        <f>IF(COUNTIF($A$2:A252,A252)&gt;1,"Duplicate","Unique")</f>
        <v>Unique</v>
      </c>
      <c r="M252" t="str">
        <f t="shared" si="31"/>
        <v>2025-12</v>
      </c>
      <c r="N252" s="2">
        <f t="shared" ca="1" si="32"/>
        <v>46042</v>
      </c>
      <c r="O252" s="4">
        <f t="shared" ca="1" si="33"/>
        <v>1</v>
      </c>
      <c r="P252" s="4">
        <f t="shared" ca="1" si="34"/>
        <v>87</v>
      </c>
      <c r="Q252">
        <f t="shared" ca="1" si="35"/>
        <v>4</v>
      </c>
      <c r="R252">
        <f t="shared" si="36"/>
        <v>3</v>
      </c>
      <c r="S252">
        <f t="shared" ca="1" si="37"/>
        <v>4</v>
      </c>
      <c r="T252" t="str">
        <f t="shared" ca="1" si="38"/>
        <v>434</v>
      </c>
      <c r="U252" t="str">
        <f t="shared" ca="1" si="39"/>
        <v>Loyal</v>
      </c>
    </row>
    <row r="253" spans="1:21">
      <c r="A253" s="17" t="str">
        <f>Cleaned_Data!A253</f>
        <v>MEM0252</v>
      </c>
      <c r="B253" s="18" t="str">
        <f ca="1">Cleaned_Data!D253</f>
        <v>BR02</v>
      </c>
      <c r="C253" s="18" t="str">
        <f ca="1">Cleaned_Data!E253</f>
        <v>Basic</v>
      </c>
      <c r="D253" s="19">
        <f>Cleaned_Data!F253</f>
        <v>45535</v>
      </c>
      <c r="E253" s="19">
        <f>Cleaned_Data!G253</f>
        <v>45565</v>
      </c>
      <c r="F253" s="18">
        <f>Cleaned_Data!H253</f>
        <v>2000</v>
      </c>
      <c r="G253" s="18">
        <f ca="1">Cleaned_Data!I253</f>
        <v>22000</v>
      </c>
      <c r="H253" s="18">
        <f>Cleaned_Data!J253</f>
        <v>8</v>
      </c>
      <c r="I253" s="18" t="str">
        <f>Cleaned_Data!M253</f>
        <v>Active</v>
      </c>
      <c r="J253" s="20">
        <f>Cleaned_Data!N253</f>
        <v>46073</v>
      </c>
      <c r="K253" t="str">
        <f t="shared" si="30"/>
        <v>Moderate</v>
      </c>
      <c r="L253" s="5" t="str">
        <f>IF(COUNTIF($A$2:A253,A253)&gt;1,"Duplicate","Unique")</f>
        <v>Unique</v>
      </c>
      <c r="M253" t="str">
        <f t="shared" si="31"/>
        <v>2024-08</v>
      </c>
      <c r="N253" s="2">
        <f t="shared" ca="1" si="32"/>
        <v>46073</v>
      </c>
      <c r="O253" s="4">
        <f t="shared" ca="1" si="33"/>
        <v>17</v>
      </c>
      <c r="P253" s="4">
        <f t="shared" ca="1" si="34"/>
        <v>56</v>
      </c>
      <c r="Q253">
        <f t="shared" ca="1" si="35"/>
        <v>4</v>
      </c>
      <c r="R253">
        <f t="shared" si="36"/>
        <v>2</v>
      </c>
      <c r="S253">
        <f t="shared" ca="1" si="37"/>
        <v>5</v>
      </c>
      <c r="T253" t="str">
        <f t="shared" ca="1" si="38"/>
        <v>425</v>
      </c>
      <c r="U253" t="str">
        <f t="shared" ca="1" si="39"/>
        <v>Others</v>
      </c>
    </row>
    <row r="254" spans="1:21">
      <c r="A254" s="13" t="str">
        <f>Cleaned_Data!A254</f>
        <v>MEM0253</v>
      </c>
      <c r="B254" s="14" t="str">
        <f ca="1">Cleaned_Data!D254</f>
        <v>BR06</v>
      </c>
      <c r="C254" s="14" t="str">
        <f ca="1">Cleaned_Data!E254</f>
        <v>Basic</v>
      </c>
      <c r="D254" s="15">
        <f>Cleaned_Data!F254</f>
        <v>45312</v>
      </c>
      <c r="E254" s="15">
        <f>Cleaned_Data!G254</f>
        <v>45402</v>
      </c>
      <c r="F254" s="14">
        <f>Cleaned_Data!H254</f>
        <v>2000</v>
      </c>
      <c r="G254" s="14">
        <f ca="1">Cleaned_Data!I254</f>
        <v>12000</v>
      </c>
      <c r="H254" s="14">
        <f>Cleaned_Data!J254</f>
        <v>0</v>
      </c>
      <c r="I254" s="14" t="str">
        <f>Cleaned_Data!M254</f>
        <v>Cancelled</v>
      </c>
      <c r="J254" s="16">
        <f>Cleaned_Data!N254</f>
        <v>45979</v>
      </c>
      <c r="K254" t="str">
        <f t="shared" si="30"/>
        <v>At Risk</v>
      </c>
      <c r="L254" s="5" t="str">
        <f>IF(COUNTIF($A$2:A254,A254)&gt;1,"Duplicate","Unique")</f>
        <v>Unique</v>
      </c>
      <c r="M254" t="str">
        <f t="shared" si="31"/>
        <v>2024-01</v>
      </c>
      <c r="N254" s="2">
        <f t="shared" ca="1" si="32"/>
        <v>45979</v>
      </c>
      <c r="O254" s="4">
        <f t="shared" ca="1" si="33"/>
        <v>21</v>
      </c>
      <c r="P254" s="4">
        <f t="shared" ca="1" si="34"/>
        <v>150</v>
      </c>
      <c r="Q254">
        <f t="shared" ca="1" si="35"/>
        <v>3</v>
      </c>
      <c r="R254">
        <f t="shared" si="36"/>
        <v>1</v>
      </c>
      <c r="S254">
        <f t="shared" ca="1" si="37"/>
        <v>4</v>
      </c>
      <c r="T254" t="str">
        <f t="shared" ca="1" si="38"/>
        <v>314</v>
      </c>
      <c r="U254" t="str">
        <f t="shared" ca="1" si="39"/>
        <v>Others</v>
      </c>
    </row>
    <row r="255" spans="1:21">
      <c r="A255" s="17" t="str">
        <f>Cleaned_Data!A255</f>
        <v>MEM0254</v>
      </c>
      <c r="B255" s="18" t="str">
        <f ca="1">Cleaned_Data!D255</f>
        <v>BR05</v>
      </c>
      <c r="C255" s="18" t="str">
        <f ca="1">Cleaned_Data!E255</f>
        <v>Basic</v>
      </c>
      <c r="D255" s="19">
        <f>Cleaned_Data!F255</f>
        <v>45830</v>
      </c>
      <c r="E255" s="19">
        <f>Cleaned_Data!G255</f>
        <v>45920</v>
      </c>
      <c r="F255" s="18">
        <f>Cleaned_Data!H255</f>
        <v>2000</v>
      </c>
      <c r="G255" s="18">
        <f ca="1">Cleaned_Data!I255</f>
        <v>24000</v>
      </c>
      <c r="H255" s="18">
        <f>Cleaned_Data!J255</f>
        <v>3</v>
      </c>
      <c r="I255" s="18" t="str">
        <f>Cleaned_Data!M255</f>
        <v>Active</v>
      </c>
      <c r="J255" s="20">
        <f>Cleaned_Data!N255</f>
        <v>45870</v>
      </c>
      <c r="K255" t="str">
        <f t="shared" si="30"/>
        <v>At Risk</v>
      </c>
      <c r="L255" s="5" t="str">
        <f>IF(COUNTIF($A$2:A255,A255)&gt;1,"Duplicate","Unique")</f>
        <v>Unique</v>
      </c>
      <c r="M255" t="str">
        <f t="shared" si="31"/>
        <v>2025-06</v>
      </c>
      <c r="N255" s="2">
        <f t="shared" ca="1" si="32"/>
        <v>45870</v>
      </c>
      <c r="O255" s="4">
        <f t="shared" ca="1" si="33"/>
        <v>1</v>
      </c>
      <c r="P255" s="4">
        <f t="shared" ca="1" si="34"/>
        <v>259</v>
      </c>
      <c r="Q255">
        <f t="shared" ca="1" si="35"/>
        <v>2</v>
      </c>
      <c r="R255">
        <f t="shared" si="36"/>
        <v>1</v>
      </c>
      <c r="S255">
        <f t="shared" ca="1" si="37"/>
        <v>5</v>
      </c>
      <c r="T255" t="str">
        <f t="shared" ca="1" si="38"/>
        <v>215</v>
      </c>
      <c r="U255" t="str">
        <f t="shared" ca="1" si="39"/>
        <v>At Risk</v>
      </c>
    </row>
    <row r="256" spans="1:21">
      <c r="A256" s="13" t="str">
        <f>Cleaned_Data!A256</f>
        <v>MEM0255</v>
      </c>
      <c r="B256" s="14" t="str">
        <f ca="1">Cleaned_Data!D256</f>
        <v>BR03</v>
      </c>
      <c r="C256" s="14" t="str">
        <f ca="1">Cleaned_Data!E256</f>
        <v>Premium</v>
      </c>
      <c r="D256" s="15">
        <f>Cleaned_Data!F256</f>
        <v>45337</v>
      </c>
      <c r="E256" s="15">
        <f>Cleaned_Data!G256</f>
        <v>45367</v>
      </c>
      <c r="F256" s="14">
        <f>Cleaned_Data!H256</f>
        <v>3500</v>
      </c>
      <c r="G256" s="14">
        <f ca="1">Cleaned_Data!I256</f>
        <v>42000</v>
      </c>
      <c r="H256" s="14">
        <f>Cleaned_Data!J256</f>
        <v>18</v>
      </c>
      <c r="I256" s="14" t="str">
        <f>Cleaned_Data!M256</f>
        <v>Active</v>
      </c>
      <c r="J256" s="16">
        <f>Cleaned_Data!N256</f>
        <v>46023</v>
      </c>
      <c r="K256" t="str">
        <f t="shared" si="30"/>
        <v>Highly Active</v>
      </c>
      <c r="L256" s="5" t="str">
        <f>IF(COUNTIF($A$2:A256,A256)&gt;1,"Duplicate","Unique")</f>
        <v>Unique</v>
      </c>
      <c r="M256" t="str">
        <f t="shared" si="31"/>
        <v>2024-02</v>
      </c>
      <c r="N256" s="2">
        <f t="shared" ca="1" si="32"/>
        <v>46023</v>
      </c>
      <c r="O256" s="4">
        <f t="shared" ca="1" si="33"/>
        <v>22</v>
      </c>
      <c r="P256" s="4">
        <f t="shared" ca="1" si="34"/>
        <v>106</v>
      </c>
      <c r="Q256">
        <f t="shared" ca="1" si="35"/>
        <v>3</v>
      </c>
      <c r="R256">
        <f t="shared" si="36"/>
        <v>4</v>
      </c>
      <c r="S256">
        <f t="shared" ca="1" si="37"/>
        <v>5</v>
      </c>
      <c r="T256" t="str">
        <f t="shared" ca="1" si="38"/>
        <v>345</v>
      </c>
      <c r="U256" t="str">
        <f t="shared" ca="1" si="39"/>
        <v>Loyal</v>
      </c>
    </row>
    <row r="257" spans="1:21">
      <c r="A257" s="17" t="str">
        <f>Cleaned_Data!A257</f>
        <v>MEM0256</v>
      </c>
      <c r="B257" s="18" t="str">
        <f ca="1">Cleaned_Data!D257</f>
        <v>BR07</v>
      </c>
      <c r="C257" s="18" t="str">
        <f ca="1">Cleaned_Data!E257</f>
        <v>Standard</v>
      </c>
      <c r="D257" s="19">
        <f>Cleaned_Data!F257</f>
        <v>45477</v>
      </c>
      <c r="E257" s="19">
        <f>Cleaned_Data!G257</f>
        <v>45567</v>
      </c>
      <c r="F257" s="18">
        <f>Cleaned_Data!H257</f>
        <v>3500</v>
      </c>
      <c r="G257" s="18">
        <f ca="1">Cleaned_Data!I257</f>
        <v>7000</v>
      </c>
      <c r="H257" s="18">
        <f>Cleaned_Data!J257</f>
        <v>24</v>
      </c>
      <c r="I257" s="18" t="str">
        <f>Cleaned_Data!M257</f>
        <v>Active</v>
      </c>
      <c r="J257" s="20">
        <f>Cleaned_Data!N257</f>
        <v>45861</v>
      </c>
      <c r="K257" t="str">
        <f t="shared" si="30"/>
        <v>Highly Active</v>
      </c>
      <c r="L257" s="5" t="str">
        <f>IF(COUNTIF($A$2:A257,A257)&gt;1,"Duplicate","Unique")</f>
        <v>Unique</v>
      </c>
      <c r="M257" t="str">
        <f t="shared" si="31"/>
        <v>2024-07</v>
      </c>
      <c r="N257" s="2">
        <f t="shared" ca="1" si="32"/>
        <v>45861</v>
      </c>
      <c r="O257" s="4">
        <f t="shared" ca="1" si="33"/>
        <v>12</v>
      </c>
      <c r="P257" s="4">
        <f t="shared" ca="1" si="34"/>
        <v>268</v>
      </c>
      <c r="Q257">
        <f t="shared" ca="1" si="35"/>
        <v>2</v>
      </c>
      <c r="R257">
        <f t="shared" si="36"/>
        <v>5</v>
      </c>
      <c r="S257">
        <f t="shared" ca="1" si="37"/>
        <v>3</v>
      </c>
      <c r="T257" t="str">
        <f t="shared" ca="1" si="38"/>
        <v>253</v>
      </c>
      <c r="U257" t="str">
        <f t="shared" ca="1" si="39"/>
        <v>At Risk</v>
      </c>
    </row>
    <row r="258" spans="1:21">
      <c r="A258" s="13" t="str">
        <f>Cleaned_Data!A258</f>
        <v>MEM0257</v>
      </c>
      <c r="B258" s="14" t="str">
        <f ca="1">Cleaned_Data!D258</f>
        <v>BR03</v>
      </c>
      <c r="C258" s="14" t="str">
        <f ca="1">Cleaned_Data!E258</f>
        <v>Standard</v>
      </c>
      <c r="D258" s="15">
        <f>Cleaned_Data!F258</f>
        <v>45724</v>
      </c>
      <c r="E258" s="15">
        <f>Cleaned_Data!G258</f>
        <v>45754</v>
      </c>
      <c r="F258" s="14">
        <f>Cleaned_Data!H258</f>
        <v>2000</v>
      </c>
      <c r="G258" s="14">
        <f ca="1">Cleaned_Data!I258</f>
        <v>12000</v>
      </c>
      <c r="H258" s="14">
        <f>Cleaned_Data!J258</f>
        <v>8</v>
      </c>
      <c r="I258" s="14" t="str">
        <f>Cleaned_Data!M258</f>
        <v>Active</v>
      </c>
      <c r="J258" s="16">
        <f>Cleaned_Data!N258</f>
        <v>45931</v>
      </c>
      <c r="K258" t="str">
        <f t="shared" si="30"/>
        <v>Moderate</v>
      </c>
      <c r="L258" s="5" t="str">
        <f>IF(COUNTIF($A$2:A258,A258)&gt;1,"Duplicate","Unique")</f>
        <v>Unique</v>
      </c>
      <c r="M258" t="str">
        <f t="shared" si="31"/>
        <v>2025-03</v>
      </c>
      <c r="N258" s="2">
        <f t="shared" ca="1" si="32"/>
        <v>45931</v>
      </c>
      <c r="O258" s="4">
        <f t="shared" ca="1" si="33"/>
        <v>6</v>
      </c>
      <c r="P258" s="4">
        <f t="shared" ca="1" si="34"/>
        <v>198</v>
      </c>
      <c r="Q258">
        <f t="shared" ca="1" si="35"/>
        <v>2</v>
      </c>
      <c r="R258">
        <f t="shared" si="36"/>
        <v>2</v>
      </c>
      <c r="S258">
        <f t="shared" ca="1" si="37"/>
        <v>4</v>
      </c>
      <c r="T258" t="str">
        <f t="shared" ca="1" si="38"/>
        <v>224</v>
      </c>
      <c r="U258" t="str">
        <f t="shared" ca="1" si="39"/>
        <v>At Risk</v>
      </c>
    </row>
    <row r="259" spans="1:21">
      <c r="A259" s="17" t="str">
        <f>Cleaned_Data!A259</f>
        <v>MEM0258</v>
      </c>
      <c r="B259" s="18" t="str">
        <f ca="1">Cleaned_Data!D259</f>
        <v>BR07</v>
      </c>
      <c r="C259" s="18" t="str">
        <f ca="1">Cleaned_Data!E259</f>
        <v>Premium</v>
      </c>
      <c r="D259" s="19">
        <f>Cleaned_Data!F259</f>
        <v>45507</v>
      </c>
      <c r="E259" s="19">
        <f>Cleaned_Data!G259</f>
        <v>45537</v>
      </c>
      <c r="F259" s="18">
        <f>Cleaned_Data!H259</f>
        <v>1000</v>
      </c>
      <c r="G259" s="18">
        <f ca="1">Cleaned_Data!I259</f>
        <v>10000</v>
      </c>
      <c r="H259" s="18">
        <f>Cleaned_Data!J259</f>
        <v>4</v>
      </c>
      <c r="I259" s="18" t="str">
        <f>Cleaned_Data!M259</f>
        <v>Cancelled</v>
      </c>
      <c r="J259" s="20">
        <f>Cleaned_Data!N259</f>
        <v>45522</v>
      </c>
      <c r="K259" t="str">
        <f t="shared" ref="K259:K322" si="40">IF(H259&lt;5,"At Risk",
 IF(H259&lt;15,"Moderate",
 "Highly Active"))</f>
        <v>At Risk</v>
      </c>
      <c r="L259" s="5" t="str">
        <f>IF(COUNTIF($A$2:A259,A259)&gt;1,"Duplicate","Unique")</f>
        <v>Unique</v>
      </c>
      <c r="M259" t="str">
        <f t="shared" ref="M259:M322" si="41">TEXT(D259,"YYYY-MM")</f>
        <v>2024-08</v>
      </c>
      <c r="N259" s="2">
        <f t="shared" ref="N259:N322" ca="1" si="42">IF(J259&lt;&gt;"",
    J259,
    IF(I259="Active", TODAY(), E259)
)</f>
        <v>45522</v>
      </c>
      <c r="O259" s="4">
        <f t="shared" ref="O259:O322" ca="1" si="43">IFERROR(
   IF(N259&gt;=D259,
      DATEDIF(D259, N259, "M"),
      0
   ),
   0
)</f>
        <v>0</v>
      </c>
      <c r="P259" s="4">
        <f t="shared" ref="P259:P322" ca="1" si="44">TODAY() - N259</f>
        <v>607</v>
      </c>
      <c r="Q259">
        <f t="shared" ref="Q259:Q322" ca="1" si="45">IF(P259&lt;=30,5,
 IF(P259&lt;=90,4,
 IF(P259&lt;=180,3,
 IF(P259&lt;=365,2,1))))</f>
        <v>1</v>
      </c>
      <c r="R259">
        <f t="shared" ref="R259:R322" si="46">IF(H259&gt;=20,5,
 IF(H259&gt;=15,4,
 IF(H259&gt;=10,3,
 IF(H259&gt;=5,2,1))))</f>
        <v>1</v>
      </c>
      <c r="S259">
        <f t="shared" ref="S259:S322" ca="1" si="47">IF(G259&gt;=20000,5,
 IF(G259&gt;=10000,4,
 IF(G259&gt;=5000,3,
 IF(G259&gt;=2000,2,1))))</f>
        <v>4</v>
      </c>
      <c r="T259" t="str">
        <f t="shared" ref="T259:T322" ca="1" si="48">Q259 &amp; R259 &amp; S259</f>
        <v>114</v>
      </c>
      <c r="U259" t="str">
        <f t="shared" ref="U259:U322" ca="1" si="49">IF(AND(Q259&gt;=4,R259&gt;=4,S259&gt;=4),"Champion",
 IF(AND(Q259&gt;=3,R259&gt;=3,S259&gt;=3),"Loyal",
 IF(Q259&lt;=2,"At Risk",
 "Others")))</f>
        <v>At Risk</v>
      </c>
    </row>
    <row r="260" spans="1:21">
      <c r="A260" s="13" t="str">
        <f>Cleaned_Data!A260</f>
        <v>MEM0259</v>
      </c>
      <c r="B260" s="14" t="str">
        <f ca="1">Cleaned_Data!D260</f>
        <v>BR06</v>
      </c>
      <c r="C260" s="14" t="str">
        <f ca="1">Cleaned_Data!E260</f>
        <v>Standard</v>
      </c>
      <c r="D260" s="15">
        <f>Cleaned_Data!F260</f>
        <v>45800</v>
      </c>
      <c r="E260" s="15">
        <f>Cleaned_Data!G260</f>
        <v>46165</v>
      </c>
      <c r="F260" s="14">
        <f>Cleaned_Data!H260</f>
        <v>3500</v>
      </c>
      <c r="G260" s="14">
        <f ca="1">Cleaned_Data!I260</f>
        <v>24500</v>
      </c>
      <c r="H260" s="14">
        <f>Cleaned_Data!J260</f>
        <v>25</v>
      </c>
      <c r="I260" s="14" t="str">
        <f>Cleaned_Data!M260</f>
        <v>Active</v>
      </c>
      <c r="J260" s="16">
        <f>Cleaned_Data!N260</f>
        <v>46006</v>
      </c>
      <c r="K260" t="str">
        <f t="shared" si="40"/>
        <v>Highly Active</v>
      </c>
      <c r="L260" s="5" t="str">
        <f>IF(COUNTIF($A$2:A260,A260)&gt;1,"Duplicate","Unique")</f>
        <v>Unique</v>
      </c>
      <c r="M260" t="str">
        <f t="shared" si="41"/>
        <v>2025-05</v>
      </c>
      <c r="N260" s="2">
        <f t="shared" ca="1" si="42"/>
        <v>46006</v>
      </c>
      <c r="O260" s="4">
        <f t="shared" ca="1" si="43"/>
        <v>6</v>
      </c>
      <c r="P260" s="4">
        <f t="shared" ca="1" si="44"/>
        <v>123</v>
      </c>
      <c r="Q260">
        <f t="shared" ca="1" si="45"/>
        <v>3</v>
      </c>
      <c r="R260">
        <f t="shared" si="46"/>
        <v>5</v>
      </c>
      <c r="S260">
        <f t="shared" ca="1" si="47"/>
        <v>5</v>
      </c>
      <c r="T260" t="str">
        <f t="shared" ca="1" si="48"/>
        <v>355</v>
      </c>
      <c r="U260" t="str">
        <f t="shared" ca="1" si="49"/>
        <v>Loyal</v>
      </c>
    </row>
    <row r="261" spans="1:21">
      <c r="A261" s="17" t="str">
        <f>Cleaned_Data!A261</f>
        <v>MEM0260</v>
      </c>
      <c r="B261" s="18" t="str">
        <f ca="1">Cleaned_Data!D261</f>
        <v>BR06</v>
      </c>
      <c r="C261" s="18" t="str">
        <f ca="1">Cleaned_Data!E261</f>
        <v>Premium</v>
      </c>
      <c r="D261" s="19">
        <f>Cleaned_Data!F261</f>
        <v>45010</v>
      </c>
      <c r="E261" s="19">
        <f>Cleaned_Data!G261</f>
        <v>45375</v>
      </c>
      <c r="F261" s="18">
        <f>Cleaned_Data!H261</f>
        <v>3500</v>
      </c>
      <c r="G261" s="18">
        <f ca="1">Cleaned_Data!I261</f>
        <v>3500</v>
      </c>
      <c r="H261" s="18">
        <f>Cleaned_Data!J261</f>
        <v>11</v>
      </c>
      <c r="I261" s="18" t="str">
        <f>Cleaned_Data!M261</f>
        <v>Active</v>
      </c>
      <c r="J261" s="20">
        <f>Cleaned_Data!N261</f>
        <v>45235</v>
      </c>
      <c r="K261" t="str">
        <f t="shared" si="40"/>
        <v>Moderate</v>
      </c>
      <c r="L261" s="5" t="str">
        <f>IF(COUNTIF($A$2:A261,A261)&gt;1,"Duplicate","Unique")</f>
        <v>Unique</v>
      </c>
      <c r="M261" t="str">
        <f t="shared" si="41"/>
        <v>2023-03</v>
      </c>
      <c r="N261" s="2">
        <f t="shared" ca="1" si="42"/>
        <v>45235</v>
      </c>
      <c r="O261" s="4">
        <f t="shared" ca="1" si="43"/>
        <v>7</v>
      </c>
      <c r="P261" s="4">
        <f t="shared" ca="1" si="44"/>
        <v>894</v>
      </c>
      <c r="Q261">
        <f t="shared" ca="1" si="45"/>
        <v>1</v>
      </c>
      <c r="R261">
        <f t="shared" si="46"/>
        <v>3</v>
      </c>
      <c r="S261">
        <f t="shared" ca="1" si="47"/>
        <v>2</v>
      </c>
      <c r="T261" t="str">
        <f t="shared" ca="1" si="48"/>
        <v>132</v>
      </c>
      <c r="U261" t="str">
        <f t="shared" ca="1" si="49"/>
        <v>At Risk</v>
      </c>
    </row>
    <row r="262" spans="1:21">
      <c r="A262" s="13" t="str">
        <f>Cleaned_Data!A262</f>
        <v>MEM0261</v>
      </c>
      <c r="B262" s="14" t="str">
        <f ca="1">Cleaned_Data!D262</f>
        <v>BR03</v>
      </c>
      <c r="C262" s="14" t="str">
        <f ca="1">Cleaned_Data!E262</f>
        <v>Basic</v>
      </c>
      <c r="D262" s="15">
        <f>Cleaned_Data!F262</f>
        <v>45350</v>
      </c>
      <c r="E262" s="15">
        <f>Cleaned_Data!G262</f>
        <v>45440</v>
      </c>
      <c r="F262" s="14">
        <f>Cleaned_Data!H262</f>
        <v>2000</v>
      </c>
      <c r="G262" s="14">
        <f ca="1">Cleaned_Data!I262</f>
        <v>10000</v>
      </c>
      <c r="H262" s="14">
        <f>Cleaned_Data!J262</f>
        <v>2</v>
      </c>
      <c r="I262" s="14" t="str">
        <f>Cleaned_Data!M262</f>
        <v>Active</v>
      </c>
      <c r="J262" s="16">
        <f>Cleaned_Data!N262</f>
        <v>45559</v>
      </c>
      <c r="K262" t="str">
        <f t="shared" si="40"/>
        <v>At Risk</v>
      </c>
      <c r="L262" s="5" t="str">
        <f>IF(COUNTIF($A$2:A262,A262)&gt;1,"Duplicate","Unique")</f>
        <v>Unique</v>
      </c>
      <c r="M262" t="str">
        <f t="shared" si="41"/>
        <v>2024-02</v>
      </c>
      <c r="N262" s="2">
        <f t="shared" ca="1" si="42"/>
        <v>45559</v>
      </c>
      <c r="O262" s="4">
        <f t="shared" ca="1" si="43"/>
        <v>6</v>
      </c>
      <c r="P262" s="4">
        <f t="shared" ca="1" si="44"/>
        <v>570</v>
      </c>
      <c r="Q262">
        <f t="shared" ca="1" si="45"/>
        <v>1</v>
      </c>
      <c r="R262">
        <f t="shared" si="46"/>
        <v>1</v>
      </c>
      <c r="S262">
        <f t="shared" ca="1" si="47"/>
        <v>4</v>
      </c>
      <c r="T262" t="str">
        <f t="shared" ca="1" si="48"/>
        <v>114</v>
      </c>
      <c r="U262" t="str">
        <f t="shared" ca="1" si="49"/>
        <v>At Risk</v>
      </c>
    </row>
    <row r="263" spans="1:21">
      <c r="A263" s="17" t="str">
        <f>Cleaned_Data!A263</f>
        <v>MEM0262</v>
      </c>
      <c r="B263" s="18" t="str">
        <f ca="1">Cleaned_Data!D263</f>
        <v>BR04</v>
      </c>
      <c r="C263" s="18" t="str">
        <f ca="1">Cleaned_Data!E263</f>
        <v>Premium</v>
      </c>
      <c r="D263" s="19">
        <f>Cleaned_Data!F263</f>
        <v>45433</v>
      </c>
      <c r="E263" s="19">
        <f>Cleaned_Data!G263</f>
        <v>45523</v>
      </c>
      <c r="F263" s="18">
        <f>Cleaned_Data!H263</f>
        <v>2000</v>
      </c>
      <c r="G263" s="18">
        <f ca="1">Cleaned_Data!I263</f>
        <v>8000</v>
      </c>
      <c r="H263" s="18">
        <f>Cleaned_Data!J263</f>
        <v>3</v>
      </c>
      <c r="I263" s="18" t="str">
        <f>Cleaned_Data!M263</f>
        <v>Cancelled</v>
      </c>
      <c r="J263" s="20">
        <f>Cleaned_Data!N263</f>
        <v>45455</v>
      </c>
      <c r="K263" t="str">
        <f t="shared" si="40"/>
        <v>At Risk</v>
      </c>
      <c r="L263" s="5" t="str">
        <f>IF(COUNTIF($A$2:A263,A263)&gt;1,"Duplicate","Unique")</f>
        <v>Unique</v>
      </c>
      <c r="M263" t="str">
        <f t="shared" si="41"/>
        <v>2024-05</v>
      </c>
      <c r="N263" s="2">
        <f t="shared" ca="1" si="42"/>
        <v>45455</v>
      </c>
      <c r="O263" s="4">
        <f t="shared" ca="1" si="43"/>
        <v>0</v>
      </c>
      <c r="P263" s="4">
        <f t="shared" ca="1" si="44"/>
        <v>674</v>
      </c>
      <c r="Q263">
        <f t="shared" ca="1" si="45"/>
        <v>1</v>
      </c>
      <c r="R263">
        <f t="shared" si="46"/>
        <v>1</v>
      </c>
      <c r="S263">
        <f t="shared" ca="1" si="47"/>
        <v>3</v>
      </c>
      <c r="T263" t="str">
        <f t="shared" ca="1" si="48"/>
        <v>113</v>
      </c>
      <c r="U263" t="str">
        <f t="shared" ca="1" si="49"/>
        <v>At Risk</v>
      </c>
    </row>
    <row r="264" spans="1:21">
      <c r="A264" s="13" t="str">
        <f>Cleaned_Data!A264</f>
        <v>MEM0263</v>
      </c>
      <c r="B264" s="14" t="str">
        <f ca="1">Cleaned_Data!D264</f>
        <v>BR05</v>
      </c>
      <c r="C264" s="14" t="str">
        <f ca="1">Cleaned_Data!E264</f>
        <v>Standard</v>
      </c>
      <c r="D264" s="15">
        <f>Cleaned_Data!F264</f>
        <v>45016</v>
      </c>
      <c r="E264" s="15">
        <f>Cleaned_Data!G264</f>
        <v>45106</v>
      </c>
      <c r="F264" s="14">
        <f>Cleaned_Data!H264</f>
        <v>2000</v>
      </c>
      <c r="G264" s="14">
        <f ca="1">Cleaned_Data!I264</f>
        <v>12000</v>
      </c>
      <c r="H264" s="14">
        <f>Cleaned_Data!J264</f>
        <v>18</v>
      </c>
      <c r="I264" s="14" t="str">
        <f>Cleaned_Data!M264</f>
        <v>Active</v>
      </c>
      <c r="J264" s="16">
        <f>Cleaned_Data!N264</f>
        <v>45592</v>
      </c>
      <c r="K264" t="str">
        <f t="shared" si="40"/>
        <v>Highly Active</v>
      </c>
      <c r="L264" s="5" t="str">
        <f>IF(COUNTIF($A$2:A264,A264)&gt;1,"Duplicate","Unique")</f>
        <v>Unique</v>
      </c>
      <c r="M264" t="str">
        <f t="shared" si="41"/>
        <v>2023-03</v>
      </c>
      <c r="N264" s="2">
        <f t="shared" ca="1" si="42"/>
        <v>45592</v>
      </c>
      <c r="O264" s="4">
        <f t="shared" ca="1" si="43"/>
        <v>18</v>
      </c>
      <c r="P264" s="4">
        <f t="shared" ca="1" si="44"/>
        <v>537</v>
      </c>
      <c r="Q264">
        <f t="shared" ca="1" si="45"/>
        <v>1</v>
      </c>
      <c r="R264">
        <f t="shared" si="46"/>
        <v>4</v>
      </c>
      <c r="S264">
        <f t="shared" ca="1" si="47"/>
        <v>4</v>
      </c>
      <c r="T264" t="str">
        <f t="shared" ca="1" si="48"/>
        <v>144</v>
      </c>
      <c r="U264" t="str">
        <f t="shared" ca="1" si="49"/>
        <v>At Risk</v>
      </c>
    </row>
    <row r="265" spans="1:21">
      <c r="A265" s="17" t="str">
        <f>Cleaned_Data!A265</f>
        <v>MEM0264</v>
      </c>
      <c r="B265" s="18" t="str">
        <f ca="1">Cleaned_Data!D265</f>
        <v>BR04</v>
      </c>
      <c r="C265" s="18" t="str">
        <f ca="1">Cleaned_Data!E265</f>
        <v>Basic</v>
      </c>
      <c r="D265" s="19">
        <f>Cleaned_Data!F265</f>
        <v>45886</v>
      </c>
      <c r="E265" s="19">
        <f>Cleaned_Data!G265</f>
        <v>46251</v>
      </c>
      <c r="F265" s="18">
        <f>Cleaned_Data!H265</f>
        <v>1000</v>
      </c>
      <c r="G265" s="18">
        <f ca="1">Cleaned_Data!I265</f>
        <v>2000</v>
      </c>
      <c r="H265" s="18">
        <f>Cleaned_Data!J265</f>
        <v>1</v>
      </c>
      <c r="I265" s="18" t="str">
        <f>Cleaned_Data!M265</f>
        <v>Cancelled</v>
      </c>
      <c r="J265" s="20">
        <f>Cleaned_Data!N265</f>
        <v>45997</v>
      </c>
      <c r="K265" t="str">
        <f t="shared" si="40"/>
        <v>At Risk</v>
      </c>
      <c r="L265" s="5" t="str">
        <f>IF(COUNTIF($A$2:A265,A265)&gt;1,"Duplicate","Unique")</f>
        <v>Unique</v>
      </c>
      <c r="M265" t="str">
        <f t="shared" si="41"/>
        <v>2025-08</v>
      </c>
      <c r="N265" s="2">
        <f t="shared" ca="1" si="42"/>
        <v>45997</v>
      </c>
      <c r="O265" s="4">
        <f t="shared" ca="1" si="43"/>
        <v>3</v>
      </c>
      <c r="P265" s="4">
        <f t="shared" ca="1" si="44"/>
        <v>132</v>
      </c>
      <c r="Q265">
        <f t="shared" ca="1" si="45"/>
        <v>3</v>
      </c>
      <c r="R265">
        <f t="shared" si="46"/>
        <v>1</v>
      </c>
      <c r="S265">
        <f t="shared" ca="1" si="47"/>
        <v>2</v>
      </c>
      <c r="T265" t="str">
        <f t="shared" ca="1" si="48"/>
        <v>312</v>
      </c>
      <c r="U265" t="str">
        <f t="shared" ca="1" si="49"/>
        <v>Others</v>
      </c>
    </row>
    <row r="266" spans="1:21">
      <c r="A266" s="13" t="str">
        <f>Cleaned_Data!A266</f>
        <v>MEM0265</v>
      </c>
      <c r="B266" s="14" t="str">
        <f ca="1">Cleaned_Data!D266</f>
        <v>BR03</v>
      </c>
      <c r="C266" s="14" t="str">
        <f ca="1">Cleaned_Data!E266</f>
        <v>Standard</v>
      </c>
      <c r="D266" s="15">
        <f>Cleaned_Data!F266</f>
        <v>44927</v>
      </c>
      <c r="E266" s="15">
        <f>Cleaned_Data!G266</f>
        <v>45017</v>
      </c>
      <c r="F266" s="14">
        <f>Cleaned_Data!H266</f>
        <v>1000</v>
      </c>
      <c r="G266" s="14">
        <f ca="1">Cleaned_Data!I266</f>
        <v>9000</v>
      </c>
      <c r="H266" s="14">
        <f>Cleaned_Data!J266</f>
        <v>4</v>
      </c>
      <c r="I266" s="14" t="str">
        <f>Cleaned_Data!M266</f>
        <v>Active</v>
      </c>
      <c r="J266" s="16">
        <f>Cleaned_Data!N266</f>
        <v>45218</v>
      </c>
      <c r="K266" t="str">
        <f t="shared" si="40"/>
        <v>At Risk</v>
      </c>
      <c r="L266" s="5" t="str">
        <f>IF(COUNTIF($A$2:A266,A266)&gt;1,"Duplicate","Unique")</f>
        <v>Unique</v>
      </c>
      <c r="M266" t="str">
        <f t="shared" si="41"/>
        <v>2023-01</v>
      </c>
      <c r="N266" s="2">
        <f t="shared" ca="1" si="42"/>
        <v>45218</v>
      </c>
      <c r="O266" s="4">
        <f t="shared" ca="1" si="43"/>
        <v>9</v>
      </c>
      <c r="P266" s="4">
        <f t="shared" ca="1" si="44"/>
        <v>911</v>
      </c>
      <c r="Q266">
        <f t="shared" ca="1" si="45"/>
        <v>1</v>
      </c>
      <c r="R266">
        <f t="shared" si="46"/>
        <v>1</v>
      </c>
      <c r="S266">
        <f t="shared" ca="1" si="47"/>
        <v>3</v>
      </c>
      <c r="T266" t="str">
        <f t="shared" ca="1" si="48"/>
        <v>113</v>
      </c>
      <c r="U266" t="str">
        <f t="shared" ca="1" si="49"/>
        <v>At Risk</v>
      </c>
    </row>
    <row r="267" spans="1:21">
      <c r="A267" s="17" t="str">
        <f>Cleaned_Data!A267</f>
        <v>MEM0266</v>
      </c>
      <c r="B267" s="18" t="str">
        <f ca="1">Cleaned_Data!D267</f>
        <v>BR03</v>
      </c>
      <c r="C267" s="18" t="str">
        <f ca="1">Cleaned_Data!E267</f>
        <v>Basic</v>
      </c>
      <c r="D267" s="19">
        <f>Cleaned_Data!F267</f>
        <v>45633</v>
      </c>
      <c r="E267" s="19">
        <f>Cleaned_Data!G267</f>
        <v>45998</v>
      </c>
      <c r="F267" s="18">
        <f>Cleaned_Data!H267</f>
        <v>3500</v>
      </c>
      <c r="G267" s="18">
        <f ca="1">Cleaned_Data!I267</f>
        <v>21000</v>
      </c>
      <c r="H267" s="18">
        <f>Cleaned_Data!J267</f>
        <v>5</v>
      </c>
      <c r="I267" s="18" t="str">
        <f>Cleaned_Data!M267</f>
        <v>Active</v>
      </c>
      <c r="J267" s="20">
        <f>Cleaned_Data!N267</f>
        <v>45764</v>
      </c>
      <c r="K267" t="str">
        <f t="shared" si="40"/>
        <v>Moderate</v>
      </c>
      <c r="L267" s="5" t="str">
        <f>IF(COUNTIF($A$2:A267,A267)&gt;1,"Duplicate","Unique")</f>
        <v>Unique</v>
      </c>
      <c r="M267" t="str">
        <f t="shared" si="41"/>
        <v>2024-12</v>
      </c>
      <c r="N267" s="2">
        <f t="shared" ca="1" si="42"/>
        <v>45764</v>
      </c>
      <c r="O267" s="4">
        <f t="shared" ca="1" si="43"/>
        <v>4</v>
      </c>
      <c r="P267" s="4">
        <f t="shared" ca="1" si="44"/>
        <v>365</v>
      </c>
      <c r="Q267">
        <f t="shared" ca="1" si="45"/>
        <v>2</v>
      </c>
      <c r="R267">
        <f t="shared" si="46"/>
        <v>2</v>
      </c>
      <c r="S267">
        <f t="shared" ca="1" si="47"/>
        <v>5</v>
      </c>
      <c r="T267" t="str">
        <f t="shared" ca="1" si="48"/>
        <v>225</v>
      </c>
      <c r="U267" t="str">
        <f t="shared" ca="1" si="49"/>
        <v>At Risk</v>
      </c>
    </row>
    <row r="268" spans="1:21">
      <c r="A268" s="13" t="str">
        <f>Cleaned_Data!A268</f>
        <v>MEM0267</v>
      </c>
      <c r="B268" s="14" t="str">
        <f ca="1">Cleaned_Data!D268</f>
        <v>BR04</v>
      </c>
      <c r="C268" s="14" t="str">
        <f ca="1">Cleaned_Data!E268</f>
        <v>Standard</v>
      </c>
      <c r="D268" s="15">
        <f>Cleaned_Data!F268</f>
        <v>45409</v>
      </c>
      <c r="E268" s="15">
        <f>Cleaned_Data!G268</f>
        <v>45439</v>
      </c>
      <c r="F268" s="14">
        <f>Cleaned_Data!H268</f>
        <v>3500</v>
      </c>
      <c r="G268" s="14">
        <f ca="1">Cleaned_Data!I268</f>
        <v>17500</v>
      </c>
      <c r="H268" s="14">
        <f>Cleaned_Data!J268</f>
        <v>25</v>
      </c>
      <c r="I268" s="14" t="str">
        <f>Cleaned_Data!M268</f>
        <v>Active</v>
      </c>
      <c r="J268" s="16">
        <f>Cleaned_Data!N268</f>
        <v>46049</v>
      </c>
      <c r="K268" t="str">
        <f t="shared" si="40"/>
        <v>Highly Active</v>
      </c>
      <c r="L268" s="5" t="str">
        <f>IF(COUNTIF($A$2:A268,A268)&gt;1,"Duplicate","Unique")</f>
        <v>Unique</v>
      </c>
      <c r="M268" t="str">
        <f t="shared" si="41"/>
        <v>2024-04</v>
      </c>
      <c r="N268" s="2">
        <f t="shared" ca="1" si="42"/>
        <v>46049</v>
      </c>
      <c r="O268" s="4">
        <f t="shared" ca="1" si="43"/>
        <v>21</v>
      </c>
      <c r="P268" s="4">
        <f t="shared" ca="1" si="44"/>
        <v>80</v>
      </c>
      <c r="Q268">
        <f t="shared" ca="1" si="45"/>
        <v>4</v>
      </c>
      <c r="R268">
        <f t="shared" si="46"/>
        <v>5</v>
      </c>
      <c r="S268">
        <f t="shared" ca="1" si="47"/>
        <v>4</v>
      </c>
      <c r="T268" t="str">
        <f t="shared" ca="1" si="48"/>
        <v>454</v>
      </c>
      <c r="U268" t="str">
        <f t="shared" ca="1" si="49"/>
        <v>Champion</v>
      </c>
    </row>
    <row r="269" spans="1:21">
      <c r="A269" s="17" t="str">
        <f>Cleaned_Data!A269</f>
        <v>MEM0268</v>
      </c>
      <c r="B269" s="18" t="str">
        <f ca="1">Cleaned_Data!D269</f>
        <v>BR02</v>
      </c>
      <c r="C269" s="18" t="str">
        <f ca="1">Cleaned_Data!E269</f>
        <v>Basic</v>
      </c>
      <c r="D269" s="19">
        <f>Cleaned_Data!F269</f>
        <v>45342</v>
      </c>
      <c r="E269" s="19">
        <f>Cleaned_Data!G269</f>
        <v>45707</v>
      </c>
      <c r="F269" s="18">
        <f>Cleaned_Data!H269</f>
        <v>3500</v>
      </c>
      <c r="G269" s="18">
        <f ca="1">Cleaned_Data!I269</f>
        <v>3500</v>
      </c>
      <c r="H269" s="18">
        <f>Cleaned_Data!J269</f>
        <v>17</v>
      </c>
      <c r="I269" s="18" t="str">
        <f>Cleaned_Data!M269</f>
        <v>Active</v>
      </c>
      <c r="J269" s="20">
        <f>Cleaned_Data!N269</f>
        <v>46012</v>
      </c>
      <c r="K269" t="str">
        <f t="shared" si="40"/>
        <v>Highly Active</v>
      </c>
      <c r="L269" s="5" t="str">
        <f>IF(COUNTIF($A$2:A269,A269)&gt;1,"Duplicate","Unique")</f>
        <v>Unique</v>
      </c>
      <c r="M269" t="str">
        <f t="shared" si="41"/>
        <v>2024-02</v>
      </c>
      <c r="N269" s="2">
        <f t="shared" ca="1" si="42"/>
        <v>46012</v>
      </c>
      <c r="O269" s="4">
        <f t="shared" ca="1" si="43"/>
        <v>22</v>
      </c>
      <c r="P269" s="4">
        <f t="shared" ca="1" si="44"/>
        <v>117</v>
      </c>
      <c r="Q269">
        <f t="shared" ca="1" si="45"/>
        <v>3</v>
      </c>
      <c r="R269">
        <f t="shared" si="46"/>
        <v>4</v>
      </c>
      <c r="S269">
        <f t="shared" ca="1" si="47"/>
        <v>2</v>
      </c>
      <c r="T269" t="str">
        <f t="shared" ca="1" si="48"/>
        <v>342</v>
      </c>
      <c r="U269" t="str">
        <f t="shared" ca="1" si="49"/>
        <v>Others</v>
      </c>
    </row>
    <row r="270" spans="1:21">
      <c r="A270" s="13" t="str">
        <f>Cleaned_Data!A270</f>
        <v>MEM0269</v>
      </c>
      <c r="B270" s="14" t="str">
        <f ca="1">Cleaned_Data!D270</f>
        <v>BR06</v>
      </c>
      <c r="C270" s="14" t="str">
        <f ca="1">Cleaned_Data!E270</f>
        <v>Basic</v>
      </c>
      <c r="D270" s="15">
        <f>Cleaned_Data!F270</f>
        <v>45038</v>
      </c>
      <c r="E270" s="15">
        <f>Cleaned_Data!G270</f>
        <v>45128</v>
      </c>
      <c r="F270" s="14">
        <f>Cleaned_Data!H270</f>
        <v>1000</v>
      </c>
      <c r="G270" s="14">
        <f ca="1">Cleaned_Data!I270</f>
        <v>5000</v>
      </c>
      <c r="H270" s="14">
        <f>Cleaned_Data!J270</f>
        <v>6</v>
      </c>
      <c r="I270" s="14" t="str">
        <f>Cleaned_Data!M270</f>
        <v>Active</v>
      </c>
      <c r="J270" s="16">
        <f>Cleaned_Data!N270</f>
        <v>46074</v>
      </c>
      <c r="K270" t="str">
        <f t="shared" si="40"/>
        <v>Moderate</v>
      </c>
      <c r="L270" s="5" t="str">
        <f>IF(COUNTIF($A$2:A270,A270)&gt;1,"Duplicate","Unique")</f>
        <v>Unique</v>
      </c>
      <c r="M270" t="str">
        <f t="shared" si="41"/>
        <v>2023-04</v>
      </c>
      <c r="N270" s="2">
        <f t="shared" ca="1" si="42"/>
        <v>46074</v>
      </c>
      <c r="O270" s="4">
        <f t="shared" ca="1" si="43"/>
        <v>33</v>
      </c>
      <c r="P270" s="4">
        <f t="shared" ca="1" si="44"/>
        <v>55</v>
      </c>
      <c r="Q270">
        <f t="shared" ca="1" si="45"/>
        <v>4</v>
      </c>
      <c r="R270">
        <f t="shared" si="46"/>
        <v>2</v>
      </c>
      <c r="S270">
        <f t="shared" ca="1" si="47"/>
        <v>3</v>
      </c>
      <c r="T270" t="str">
        <f t="shared" ca="1" si="48"/>
        <v>423</v>
      </c>
      <c r="U270" t="str">
        <f t="shared" ca="1" si="49"/>
        <v>Others</v>
      </c>
    </row>
    <row r="271" spans="1:21">
      <c r="A271" s="17" t="str">
        <f>Cleaned_Data!A271</f>
        <v>MEM0270</v>
      </c>
      <c r="B271" s="18" t="str">
        <f ca="1">Cleaned_Data!D271</f>
        <v>BR05</v>
      </c>
      <c r="C271" s="18" t="str">
        <f ca="1">Cleaned_Data!E271</f>
        <v>Premium</v>
      </c>
      <c r="D271" s="19">
        <f>Cleaned_Data!F271</f>
        <v>45447</v>
      </c>
      <c r="E271" s="19">
        <f>Cleaned_Data!G271</f>
        <v>45477</v>
      </c>
      <c r="F271" s="18">
        <f>Cleaned_Data!H271</f>
        <v>2000</v>
      </c>
      <c r="G271" s="18">
        <f ca="1">Cleaned_Data!I271</f>
        <v>8000</v>
      </c>
      <c r="H271" s="18">
        <f>Cleaned_Data!J271</f>
        <v>15</v>
      </c>
      <c r="I271" s="18" t="str">
        <f>Cleaned_Data!M271</f>
        <v>Active</v>
      </c>
      <c r="J271" s="20">
        <f>Cleaned_Data!N271</f>
        <v>45982</v>
      </c>
      <c r="K271" t="str">
        <f t="shared" si="40"/>
        <v>Highly Active</v>
      </c>
      <c r="L271" s="5" t="str">
        <f>IF(COUNTIF($A$2:A271,A271)&gt;1,"Duplicate","Unique")</f>
        <v>Unique</v>
      </c>
      <c r="M271" t="str">
        <f t="shared" si="41"/>
        <v>2024-06</v>
      </c>
      <c r="N271" s="2">
        <f t="shared" ca="1" si="42"/>
        <v>45982</v>
      </c>
      <c r="O271" s="4">
        <f t="shared" ca="1" si="43"/>
        <v>17</v>
      </c>
      <c r="P271" s="4">
        <f t="shared" ca="1" si="44"/>
        <v>147</v>
      </c>
      <c r="Q271">
        <f t="shared" ca="1" si="45"/>
        <v>3</v>
      </c>
      <c r="R271">
        <f t="shared" si="46"/>
        <v>4</v>
      </c>
      <c r="S271">
        <f t="shared" ca="1" si="47"/>
        <v>3</v>
      </c>
      <c r="T271" t="str">
        <f t="shared" ca="1" si="48"/>
        <v>343</v>
      </c>
      <c r="U271" t="str">
        <f t="shared" ca="1" si="49"/>
        <v>Loyal</v>
      </c>
    </row>
    <row r="272" spans="1:21">
      <c r="A272" s="13" t="str">
        <f>Cleaned_Data!A272</f>
        <v>MEM0271</v>
      </c>
      <c r="B272" s="14" t="str">
        <f ca="1">Cleaned_Data!D272</f>
        <v>BR03</v>
      </c>
      <c r="C272" s="14" t="str">
        <f ca="1">Cleaned_Data!E272</f>
        <v>Standard</v>
      </c>
      <c r="D272" s="15">
        <f>Cleaned_Data!F272</f>
        <v>45457</v>
      </c>
      <c r="E272" s="15">
        <f>Cleaned_Data!G272</f>
        <v>45547</v>
      </c>
      <c r="F272" s="14">
        <f>Cleaned_Data!H272</f>
        <v>2000</v>
      </c>
      <c r="G272" s="14">
        <f ca="1">Cleaned_Data!I272</f>
        <v>8000</v>
      </c>
      <c r="H272" s="14">
        <f>Cleaned_Data!J272</f>
        <v>17</v>
      </c>
      <c r="I272" s="14" t="str">
        <f>Cleaned_Data!M272</f>
        <v>Active</v>
      </c>
      <c r="J272" s="16">
        <f>Cleaned_Data!N272</f>
        <v>45883</v>
      </c>
      <c r="K272" t="str">
        <f t="shared" si="40"/>
        <v>Highly Active</v>
      </c>
      <c r="L272" s="5" t="str">
        <f>IF(COUNTIF($A$2:A272,A272)&gt;1,"Duplicate","Unique")</f>
        <v>Unique</v>
      </c>
      <c r="M272" t="str">
        <f t="shared" si="41"/>
        <v>2024-06</v>
      </c>
      <c r="N272" s="2">
        <f t="shared" ca="1" si="42"/>
        <v>45883</v>
      </c>
      <c r="O272" s="4">
        <f t="shared" ca="1" si="43"/>
        <v>14</v>
      </c>
      <c r="P272" s="4">
        <f t="shared" ca="1" si="44"/>
        <v>246</v>
      </c>
      <c r="Q272">
        <f t="shared" ca="1" si="45"/>
        <v>2</v>
      </c>
      <c r="R272">
        <f t="shared" si="46"/>
        <v>4</v>
      </c>
      <c r="S272">
        <f t="shared" ca="1" si="47"/>
        <v>3</v>
      </c>
      <c r="T272" t="str">
        <f t="shared" ca="1" si="48"/>
        <v>243</v>
      </c>
      <c r="U272" t="str">
        <f t="shared" ca="1" si="49"/>
        <v>At Risk</v>
      </c>
    </row>
    <row r="273" spans="1:21">
      <c r="A273" s="17" t="str">
        <f>Cleaned_Data!A273</f>
        <v>MEM0272</v>
      </c>
      <c r="B273" s="18" t="str">
        <f ca="1">Cleaned_Data!D273</f>
        <v>BR02</v>
      </c>
      <c r="C273" s="18" t="str">
        <f ca="1">Cleaned_Data!E273</f>
        <v>Basic</v>
      </c>
      <c r="D273" s="19">
        <f>Cleaned_Data!F273</f>
        <v>45220</v>
      </c>
      <c r="E273" s="19">
        <f>Cleaned_Data!G273</f>
        <v>45310</v>
      </c>
      <c r="F273" s="18">
        <f>Cleaned_Data!H273</f>
        <v>1000</v>
      </c>
      <c r="G273" s="18">
        <f ca="1">Cleaned_Data!I273</f>
        <v>10000</v>
      </c>
      <c r="H273" s="18">
        <f>Cleaned_Data!J273</f>
        <v>8</v>
      </c>
      <c r="I273" s="18" t="str">
        <f>Cleaned_Data!M273</f>
        <v>Active</v>
      </c>
      <c r="J273" s="20">
        <f>Cleaned_Data!N273</f>
        <v>45658</v>
      </c>
      <c r="K273" t="str">
        <f t="shared" si="40"/>
        <v>Moderate</v>
      </c>
      <c r="L273" s="5" t="str">
        <f>IF(COUNTIF($A$2:A273,A273)&gt;1,"Duplicate","Unique")</f>
        <v>Unique</v>
      </c>
      <c r="M273" t="str">
        <f t="shared" si="41"/>
        <v>2023-10</v>
      </c>
      <c r="N273" s="2">
        <f t="shared" ca="1" si="42"/>
        <v>45658</v>
      </c>
      <c r="O273" s="4">
        <f t="shared" ca="1" si="43"/>
        <v>14</v>
      </c>
      <c r="P273" s="4">
        <f t="shared" ca="1" si="44"/>
        <v>471</v>
      </c>
      <c r="Q273">
        <f t="shared" ca="1" si="45"/>
        <v>1</v>
      </c>
      <c r="R273">
        <f t="shared" si="46"/>
        <v>2</v>
      </c>
      <c r="S273">
        <f t="shared" ca="1" si="47"/>
        <v>4</v>
      </c>
      <c r="T273" t="str">
        <f t="shared" ca="1" si="48"/>
        <v>124</v>
      </c>
      <c r="U273" t="str">
        <f t="shared" ca="1" si="49"/>
        <v>At Risk</v>
      </c>
    </row>
    <row r="274" spans="1:21">
      <c r="A274" s="13" t="str">
        <f>Cleaned_Data!A274</f>
        <v>MEM0273</v>
      </c>
      <c r="B274" s="14" t="str">
        <f ca="1">Cleaned_Data!D274</f>
        <v>BR07</v>
      </c>
      <c r="C274" s="14" t="str">
        <f ca="1">Cleaned_Data!E274</f>
        <v>Basic</v>
      </c>
      <c r="D274" s="15">
        <f>Cleaned_Data!F274</f>
        <v>46016</v>
      </c>
      <c r="E274" s="15">
        <f>Cleaned_Data!G274</f>
        <v>46381</v>
      </c>
      <c r="F274" s="14">
        <f>Cleaned_Data!H274</f>
        <v>2000</v>
      </c>
      <c r="G274" s="14">
        <f ca="1">Cleaned_Data!I274</f>
        <v>24000</v>
      </c>
      <c r="H274" s="14">
        <f>Cleaned_Data!J274</f>
        <v>4</v>
      </c>
      <c r="I274" s="14" t="str">
        <f>Cleaned_Data!M274</f>
        <v>Cancelled</v>
      </c>
      <c r="J274" s="16">
        <f>Cleaned_Data!N274</f>
        <v>46057</v>
      </c>
      <c r="K274" t="str">
        <f t="shared" si="40"/>
        <v>At Risk</v>
      </c>
      <c r="L274" s="5" t="str">
        <f>IF(COUNTIF($A$2:A274,A274)&gt;1,"Duplicate","Unique")</f>
        <v>Unique</v>
      </c>
      <c r="M274" t="str">
        <f t="shared" si="41"/>
        <v>2025-12</v>
      </c>
      <c r="N274" s="2">
        <f t="shared" ca="1" si="42"/>
        <v>46057</v>
      </c>
      <c r="O274" s="4">
        <f t="shared" ca="1" si="43"/>
        <v>1</v>
      </c>
      <c r="P274" s="4">
        <f t="shared" ca="1" si="44"/>
        <v>72</v>
      </c>
      <c r="Q274">
        <f t="shared" ca="1" si="45"/>
        <v>4</v>
      </c>
      <c r="R274">
        <f t="shared" si="46"/>
        <v>1</v>
      </c>
      <c r="S274">
        <f t="shared" ca="1" si="47"/>
        <v>5</v>
      </c>
      <c r="T274" t="str">
        <f t="shared" ca="1" si="48"/>
        <v>415</v>
      </c>
      <c r="U274" t="str">
        <f t="shared" ca="1" si="49"/>
        <v>Others</v>
      </c>
    </row>
    <row r="275" spans="1:21">
      <c r="A275" s="17" t="str">
        <f>Cleaned_Data!A275</f>
        <v>MEM0274</v>
      </c>
      <c r="B275" s="18" t="str">
        <f ca="1">Cleaned_Data!D275</f>
        <v>BR06</v>
      </c>
      <c r="C275" s="18" t="str">
        <f ca="1">Cleaned_Data!E275</f>
        <v>Premium</v>
      </c>
      <c r="D275" s="19">
        <f>Cleaned_Data!F275</f>
        <v>45085</v>
      </c>
      <c r="E275" s="19">
        <f>Cleaned_Data!G275</f>
        <v>45175</v>
      </c>
      <c r="F275" s="18">
        <f>Cleaned_Data!H275</f>
        <v>1000</v>
      </c>
      <c r="G275" s="18">
        <f ca="1">Cleaned_Data!I275</f>
        <v>7000</v>
      </c>
      <c r="H275" s="18">
        <f>Cleaned_Data!J275</f>
        <v>4</v>
      </c>
      <c r="I275" s="18" t="str">
        <f>Cleaned_Data!M275</f>
        <v>Active</v>
      </c>
      <c r="J275" s="20">
        <f>Cleaned_Data!N275</f>
        <v>45725</v>
      </c>
      <c r="K275" t="str">
        <f t="shared" si="40"/>
        <v>At Risk</v>
      </c>
      <c r="L275" s="5" t="str">
        <f>IF(COUNTIF($A$2:A275,A275)&gt;1,"Duplicate","Unique")</f>
        <v>Unique</v>
      </c>
      <c r="M275" t="str">
        <f t="shared" si="41"/>
        <v>2023-06</v>
      </c>
      <c r="N275" s="2">
        <f t="shared" ca="1" si="42"/>
        <v>45725</v>
      </c>
      <c r="O275" s="4">
        <f t="shared" ca="1" si="43"/>
        <v>21</v>
      </c>
      <c r="P275" s="4">
        <f t="shared" ca="1" si="44"/>
        <v>404</v>
      </c>
      <c r="Q275">
        <f t="shared" ca="1" si="45"/>
        <v>1</v>
      </c>
      <c r="R275">
        <f t="shared" si="46"/>
        <v>1</v>
      </c>
      <c r="S275">
        <f t="shared" ca="1" si="47"/>
        <v>3</v>
      </c>
      <c r="T275" t="str">
        <f t="shared" ca="1" si="48"/>
        <v>113</v>
      </c>
      <c r="U275" t="str">
        <f t="shared" ca="1" si="49"/>
        <v>At Risk</v>
      </c>
    </row>
    <row r="276" spans="1:21">
      <c r="A276" s="13" t="str">
        <f>Cleaned_Data!A276</f>
        <v>MEM0275</v>
      </c>
      <c r="B276" s="14" t="str">
        <f ca="1">Cleaned_Data!D276</f>
        <v>BR05</v>
      </c>
      <c r="C276" s="14" t="str">
        <f ca="1">Cleaned_Data!E276</f>
        <v>Basic</v>
      </c>
      <c r="D276" s="15">
        <f>Cleaned_Data!F276</f>
        <v>45133</v>
      </c>
      <c r="E276" s="15">
        <f>Cleaned_Data!G276</f>
        <v>45498</v>
      </c>
      <c r="F276" s="14">
        <f>Cleaned_Data!H276</f>
        <v>1000</v>
      </c>
      <c r="G276" s="14">
        <f ca="1">Cleaned_Data!I276</f>
        <v>3000</v>
      </c>
      <c r="H276" s="14">
        <f>Cleaned_Data!J276</f>
        <v>8</v>
      </c>
      <c r="I276" s="14" t="str">
        <f>Cleaned_Data!M276</f>
        <v>Active</v>
      </c>
      <c r="J276" s="16">
        <f>Cleaned_Data!N276</f>
        <v>45213</v>
      </c>
      <c r="K276" t="str">
        <f t="shared" si="40"/>
        <v>Moderate</v>
      </c>
      <c r="L276" s="5" t="str">
        <f>IF(COUNTIF($A$2:A276,A276)&gt;1,"Duplicate","Unique")</f>
        <v>Unique</v>
      </c>
      <c r="M276" t="str">
        <f t="shared" si="41"/>
        <v>2023-07</v>
      </c>
      <c r="N276" s="2">
        <f t="shared" ca="1" si="42"/>
        <v>45213</v>
      </c>
      <c r="O276" s="4">
        <f t="shared" ca="1" si="43"/>
        <v>2</v>
      </c>
      <c r="P276" s="4">
        <f t="shared" ca="1" si="44"/>
        <v>916</v>
      </c>
      <c r="Q276">
        <f t="shared" ca="1" si="45"/>
        <v>1</v>
      </c>
      <c r="R276">
        <f t="shared" si="46"/>
        <v>2</v>
      </c>
      <c r="S276">
        <f t="shared" ca="1" si="47"/>
        <v>2</v>
      </c>
      <c r="T276" t="str">
        <f t="shared" ca="1" si="48"/>
        <v>122</v>
      </c>
      <c r="U276" t="str">
        <f t="shared" ca="1" si="49"/>
        <v>At Risk</v>
      </c>
    </row>
    <row r="277" spans="1:21">
      <c r="A277" s="17" t="str">
        <f>Cleaned_Data!A277</f>
        <v>MEM0276</v>
      </c>
      <c r="B277" s="18" t="str">
        <f ca="1">Cleaned_Data!D277</f>
        <v>BR02</v>
      </c>
      <c r="C277" s="18" t="str">
        <f ca="1">Cleaned_Data!E277</f>
        <v>Premium</v>
      </c>
      <c r="D277" s="19">
        <f>Cleaned_Data!F277</f>
        <v>45350</v>
      </c>
      <c r="E277" s="19">
        <f>Cleaned_Data!G277</f>
        <v>45440</v>
      </c>
      <c r="F277" s="18">
        <f>Cleaned_Data!H277</f>
        <v>3500</v>
      </c>
      <c r="G277" s="18">
        <f ca="1">Cleaned_Data!I277</f>
        <v>38500</v>
      </c>
      <c r="H277" s="18">
        <f>Cleaned_Data!J277</f>
        <v>25</v>
      </c>
      <c r="I277" s="18" t="str">
        <f>Cleaned_Data!M277</f>
        <v>Active</v>
      </c>
      <c r="J277" s="20">
        <f>Cleaned_Data!N277</f>
        <v>45711</v>
      </c>
      <c r="K277" t="str">
        <f t="shared" si="40"/>
        <v>Highly Active</v>
      </c>
      <c r="L277" s="5" t="str">
        <f>IF(COUNTIF($A$2:A277,A277)&gt;1,"Duplicate","Unique")</f>
        <v>Unique</v>
      </c>
      <c r="M277" t="str">
        <f t="shared" si="41"/>
        <v>2024-02</v>
      </c>
      <c r="N277" s="2">
        <f t="shared" ca="1" si="42"/>
        <v>45711</v>
      </c>
      <c r="O277" s="4">
        <f t="shared" ca="1" si="43"/>
        <v>11</v>
      </c>
      <c r="P277" s="4">
        <f t="shared" ca="1" si="44"/>
        <v>418</v>
      </c>
      <c r="Q277">
        <f t="shared" ca="1" si="45"/>
        <v>1</v>
      </c>
      <c r="R277">
        <f t="shared" si="46"/>
        <v>5</v>
      </c>
      <c r="S277">
        <f t="shared" ca="1" si="47"/>
        <v>5</v>
      </c>
      <c r="T277" t="str">
        <f t="shared" ca="1" si="48"/>
        <v>155</v>
      </c>
      <c r="U277" t="str">
        <f t="shared" ca="1" si="49"/>
        <v>At Risk</v>
      </c>
    </row>
    <row r="278" spans="1:21">
      <c r="A278" s="13" t="str">
        <f>Cleaned_Data!A278</f>
        <v>MEM0277</v>
      </c>
      <c r="B278" s="14" t="str">
        <f ca="1">Cleaned_Data!D278</f>
        <v>BR05</v>
      </c>
      <c r="C278" s="14" t="str">
        <f ca="1">Cleaned_Data!E278</f>
        <v>Premium</v>
      </c>
      <c r="D278" s="15">
        <f>Cleaned_Data!F278</f>
        <v>45096</v>
      </c>
      <c r="E278" s="15">
        <f>Cleaned_Data!G278</f>
        <v>45126</v>
      </c>
      <c r="F278" s="14">
        <f>Cleaned_Data!H278</f>
        <v>1000</v>
      </c>
      <c r="G278" s="14">
        <f ca="1">Cleaned_Data!I278</f>
        <v>2000</v>
      </c>
      <c r="H278" s="14">
        <f>Cleaned_Data!J278</f>
        <v>21</v>
      </c>
      <c r="I278" s="14" t="str">
        <f>Cleaned_Data!M278</f>
        <v>Active</v>
      </c>
      <c r="J278" s="16">
        <f>Cleaned_Data!N278</f>
        <v>45137</v>
      </c>
      <c r="K278" t="str">
        <f t="shared" si="40"/>
        <v>Highly Active</v>
      </c>
      <c r="L278" s="5" t="str">
        <f>IF(COUNTIF($A$2:A278,A278)&gt;1,"Duplicate","Unique")</f>
        <v>Unique</v>
      </c>
      <c r="M278" t="str">
        <f t="shared" si="41"/>
        <v>2023-06</v>
      </c>
      <c r="N278" s="2">
        <f t="shared" ca="1" si="42"/>
        <v>45137</v>
      </c>
      <c r="O278" s="4">
        <f t="shared" ca="1" si="43"/>
        <v>1</v>
      </c>
      <c r="P278" s="4">
        <f t="shared" ca="1" si="44"/>
        <v>992</v>
      </c>
      <c r="Q278">
        <f t="shared" ca="1" si="45"/>
        <v>1</v>
      </c>
      <c r="R278">
        <f t="shared" si="46"/>
        <v>5</v>
      </c>
      <c r="S278">
        <f t="shared" ca="1" si="47"/>
        <v>2</v>
      </c>
      <c r="T278" t="str">
        <f t="shared" ca="1" si="48"/>
        <v>152</v>
      </c>
      <c r="U278" t="str">
        <f t="shared" ca="1" si="49"/>
        <v>At Risk</v>
      </c>
    </row>
    <row r="279" spans="1:21">
      <c r="A279" s="17" t="str">
        <f>Cleaned_Data!A279</f>
        <v>MEM0278</v>
      </c>
      <c r="B279" s="18" t="str">
        <f ca="1">Cleaned_Data!D279</f>
        <v>BR05</v>
      </c>
      <c r="C279" s="18" t="str">
        <f ca="1">Cleaned_Data!E279</f>
        <v>Standard</v>
      </c>
      <c r="D279" s="19">
        <f>Cleaned_Data!F279</f>
        <v>45917</v>
      </c>
      <c r="E279" s="19">
        <f>Cleaned_Data!G279</f>
        <v>46007</v>
      </c>
      <c r="F279" s="18">
        <f>Cleaned_Data!H279</f>
        <v>3500</v>
      </c>
      <c r="G279" s="18">
        <f ca="1">Cleaned_Data!I279</f>
        <v>14000</v>
      </c>
      <c r="H279" s="18">
        <f>Cleaned_Data!J279</f>
        <v>2</v>
      </c>
      <c r="I279" s="18" t="str">
        <f>Cleaned_Data!M279</f>
        <v>Cancelled</v>
      </c>
      <c r="J279" s="20">
        <f>Cleaned_Data!N279</f>
        <v>45940</v>
      </c>
      <c r="K279" t="str">
        <f t="shared" si="40"/>
        <v>At Risk</v>
      </c>
      <c r="L279" s="5" t="str">
        <f>IF(COUNTIF($A$2:A279,A279)&gt;1,"Duplicate","Unique")</f>
        <v>Unique</v>
      </c>
      <c r="M279" t="str">
        <f t="shared" si="41"/>
        <v>2025-09</v>
      </c>
      <c r="N279" s="2">
        <f t="shared" ca="1" si="42"/>
        <v>45940</v>
      </c>
      <c r="O279" s="4">
        <f t="shared" ca="1" si="43"/>
        <v>0</v>
      </c>
      <c r="P279" s="4">
        <f t="shared" ca="1" si="44"/>
        <v>189</v>
      </c>
      <c r="Q279">
        <f t="shared" ca="1" si="45"/>
        <v>2</v>
      </c>
      <c r="R279">
        <f t="shared" si="46"/>
        <v>1</v>
      </c>
      <c r="S279">
        <f t="shared" ca="1" si="47"/>
        <v>4</v>
      </c>
      <c r="T279" t="str">
        <f t="shared" ca="1" si="48"/>
        <v>214</v>
      </c>
      <c r="U279" t="str">
        <f t="shared" ca="1" si="49"/>
        <v>At Risk</v>
      </c>
    </row>
    <row r="280" spans="1:21">
      <c r="A280" s="13" t="str">
        <f>Cleaned_Data!A280</f>
        <v>MEM0279</v>
      </c>
      <c r="B280" s="14" t="str">
        <f ca="1">Cleaned_Data!D280</f>
        <v>BR06</v>
      </c>
      <c r="C280" s="14" t="str">
        <f ca="1">Cleaned_Data!E280</f>
        <v>Standard</v>
      </c>
      <c r="D280" s="15">
        <f>Cleaned_Data!F280</f>
        <v>45797</v>
      </c>
      <c r="E280" s="15">
        <f>Cleaned_Data!G280</f>
        <v>46162</v>
      </c>
      <c r="F280" s="14">
        <f>Cleaned_Data!H280</f>
        <v>3500</v>
      </c>
      <c r="G280" s="14">
        <f ca="1">Cleaned_Data!I280</f>
        <v>31500</v>
      </c>
      <c r="H280" s="14">
        <f>Cleaned_Data!J280</f>
        <v>23</v>
      </c>
      <c r="I280" s="14" t="str">
        <f>Cleaned_Data!M280</f>
        <v>Active</v>
      </c>
      <c r="J280" s="16">
        <f>Cleaned_Data!N280</f>
        <v>45819</v>
      </c>
      <c r="K280" t="str">
        <f t="shared" si="40"/>
        <v>Highly Active</v>
      </c>
      <c r="L280" s="5" t="str">
        <f>IF(COUNTIF($A$2:A280,A280)&gt;1,"Duplicate","Unique")</f>
        <v>Unique</v>
      </c>
      <c r="M280" t="str">
        <f t="shared" si="41"/>
        <v>2025-05</v>
      </c>
      <c r="N280" s="2">
        <f t="shared" ca="1" si="42"/>
        <v>45819</v>
      </c>
      <c r="O280" s="4">
        <f t="shared" ca="1" si="43"/>
        <v>0</v>
      </c>
      <c r="P280" s="4">
        <f t="shared" ca="1" si="44"/>
        <v>310</v>
      </c>
      <c r="Q280">
        <f t="shared" ca="1" si="45"/>
        <v>2</v>
      </c>
      <c r="R280">
        <f t="shared" si="46"/>
        <v>5</v>
      </c>
      <c r="S280">
        <f t="shared" ca="1" si="47"/>
        <v>5</v>
      </c>
      <c r="T280" t="str">
        <f t="shared" ca="1" si="48"/>
        <v>255</v>
      </c>
      <c r="U280" t="str">
        <f t="shared" ca="1" si="49"/>
        <v>At Risk</v>
      </c>
    </row>
    <row r="281" spans="1:21">
      <c r="A281" s="17" t="str">
        <f>Cleaned_Data!A281</f>
        <v>MEM0280</v>
      </c>
      <c r="B281" s="18" t="str">
        <f ca="1">Cleaned_Data!D281</f>
        <v>BR06</v>
      </c>
      <c r="C281" s="18" t="str">
        <f ca="1">Cleaned_Data!E281</f>
        <v>Premium</v>
      </c>
      <c r="D281" s="19">
        <f>Cleaned_Data!F281</f>
        <v>45573</v>
      </c>
      <c r="E281" s="19">
        <f>Cleaned_Data!G281</f>
        <v>45663</v>
      </c>
      <c r="F281" s="18">
        <f>Cleaned_Data!H281</f>
        <v>2000</v>
      </c>
      <c r="G281" s="18">
        <f ca="1">Cleaned_Data!I281</f>
        <v>10000</v>
      </c>
      <c r="H281" s="18">
        <f>Cleaned_Data!J281</f>
        <v>15</v>
      </c>
      <c r="I281" s="18" t="str">
        <f>Cleaned_Data!M281</f>
        <v>Active</v>
      </c>
      <c r="J281" s="20">
        <f>Cleaned_Data!N281</f>
        <v>46121</v>
      </c>
      <c r="K281" t="str">
        <f t="shared" si="40"/>
        <v>Highly Active</v>
      </c>
      <c r="L281" s="5" t="str">
        <f>IF(COUNTIF($A$2:A281,A281)&gt;1,"Duplicate","Unique")</f>
        <v>Unique</v>
      </c>
      <c r="M281" t="str">
        <f t="shared" si="41"/>
        <v>2024-10</v>
      </c>
      <c r="N281" s="2">
        <f t="shared" ca="1" si="42"/>
        <v>46121</v>
      </c>
      <c r="O281" s="4">
        <f t="shared" ca="1" si="43"/>
        <v>18</v>
      </c>
      <c r="P281" s="4">
        <f t="shared" ca="1" si="44"/>
        <v>8</v>
      </c>
      <c r="Q281">
        <f t="shared" ca="1" si="45"/>
        <v>5</v>
      </c>
      <c r="R281">
        <f t="shared" si="46"/>
        <v>4</v>
      </c>
      <c r="S281">
        <f t="shared" ca="1" si="47"/>
        <v>4</v>
      </c>
      <c r="T281" t="str">
        <f t="shared" ca="1" si="48"/>
        <v>544</v>
      </c>
      <c r="U281" t="str">
        <f t="shared" ca="1" si="49"/>
        <v>Champion</v>
      </c>
    </row>
    <row r="282" spans="1:21">
      <c r="A282" s="13" t="str">
        <f>Cleaned_Data!A282</f>
        <v>MEM0281</v>
      </c>
      <c r="B282" s="14" t="str">
        <f ca="1">Cleaned_Data!D282</f>
        <v>BR07</v>
      </c>
      <c r="C282" s="14" t="str">
        <f ca="1">Cleaned_Data!E282</f>
        <v>Basic</v>
      </c>
      <c r="D282" s="15">
        <f>Cleaned_Data!F282</f>
        <v>45023</v>
      </c>
      <c r="E282" s="15">
        <f>Cleaned_Data!G282</f>
        <v>45053</v>
      </c>
      <c r="F282" s="14">
        <f>Cleaned_Data!H282</f>
        <v>2000</v>
      </c>
      <c r="G282" s="14">
        <f ca="1">Cleaned_Data!I282</f>
        <v>14000</v>
      </c>
      <c r="H282" s="14">
        <f>Cleaned_Data!J282</f>
        <v>2</v>
      </c>
      <c r="I282" s="14" t="str">
        <f>Cleaned_Data!M282</f>
        <v>Cancelled</v>
      </c>
      <c r="J282" s="16">
        <f>Cleaned_Data!N282</f>
        <v>45064</v>
      </c>
      <c r="K282" t="str">
        <f t="shared" si="40"/>
        <v>At Risk</v>
      </c>
      <c r="L282" s="5" t="str">
        <f>IF(COUNTIF($A$2:A282,A282)&gt;1,"Duplicate","Unique")</f>
        <v>Unique</v>
      </c>
      <c r="M282" t="str">
        <f t="shared" si="41"/>
        <v>2023-04</v>
      </c>
      <c r="N282" s="2">
        <f t="shared" ca="1" si="42"/>
        <v>45064</v>
      </c>
      <c r="O282" s="4">
        <f t="shared" ca="1" si="43"/>
        <v>1</v>
      </c>
      <c r="P282" s="4">
        <f t="shared" ca="1" si="44"/>
        <v>1065</v>
      </c>
      <c r="Q282">
        <f t="shared" ca="1" si="45"/>
        <v>1</v>
      </c>
      <c r="R282">
        <f t="shared" si="46"/>
        <v>1</v>
      </c>
      <c r="S282">
        <f t="shared" ca="1" si="47"/>
        <v>4</v>
      </c>
      <c r="T282" t="str">
        <f t="shared" ca="1" si="48"/>
        <v>114</v>
      </c>
      <c r="U282" t="str">
        <f t="shared" ca="1" si="49"/>
        <v>At Risk</v>
      </c>
    </row>
    <row r="283" spans="1:21">
      <c r="A283" s="17" t="str">
        <f>Cleaned_Data!A283</f>
        <v>MEM0282</v>
      </c>
      <c r="B283" s="18" t="str">
        <f ca="1">Cleaned_Data!D283</f>
        <v>BR02</v>
      </c>
      <c r="C283" s="18" t="str">
        <f ca="1">Cleaned_Data!E283</f>
        <v>Basic</v>
      </c>
      <c r="D283" s="19">
        <f>Cleaned_Data!F283</f>
        <v>45147</v>
      </c>
      <c r="E283" s="19">
        <f>Cleaned_Data!G283</f>
        <v>45512</v>
      </c>
      <c r="F283" s="18">
        <f>Cleaned_Data!H283</f>
        <v>1000</v>
      </c>
      <c r="G283" s="18">
        <f ca="1">Cleaned_Data!I283</f>
        <v>7000</v>
      </c>
      <c r="H283" s="18">
        <f>Cleaned_Data!J283</f>
        <v>8</v>
      </c>
      <c r="I283" s="18" t="str">
        <f>Cleaned_Data!M283</f>
        <v>Cancelled</v>
      </c>
      <c r="J283" s="20">
        <f>Cleaned_Data!N283</f>
        <v>45330</v>
      </c>
      <c r="K283" t="str">
        <f t="shared" si="40"/>
        <v>Moderate</v>
      </c>
      <c r="L283" s="5" t="str">
        <f>IF(COUNTIF($A$2:A283,A283)&gt;1,"Duplicate","Unique")</f>
        <v>Unique</v>
      </c>
      <c r="M283" t="str">
        <f t="shared" si="41"/>
        <v>2023-08</v>
      </c>
      <c r="N283" s="2">
        <f t="shared" ca="1" si="42"/>
        <v>45330</v>
      </c>
      <c r="O283" s="4">
        <f t="shared" ca="1" si="43"/>
        <v>5</v>
      </c>
      <c r="P283" s="4">
        <f t="shared" ca="1" si="44"/>
        <v>799</v>
      </c>
      <c r="Q283">
        <f t="shared" ca="1" si="45"/>
        <v>1</v>
      </c>
      <c r="R283">
        <f t="shared" si="46"/>
        <v>2</v>
      </c>
      <c r="S283">
        <f t="shared" ca="1" si="47"/>
        <v>3</v>
      </c>
      <c r="T283" t="str">
        <f t="shared" ca="1" si="48"/>
        <v>123</v>
      </c>
      <c r="U283" t="str">
        <f t="shared" ca="1" si="49"/>
        <v>At Risk</v>
      </c>
    </row>
    <row r="284" spans="1:21">
      <c r="A284" s="13" t="str">
        <f>Cleaned_Data!A284</f>
        <v>MEM0283</v>
      </c>
      <c r="B284" s="14" t="str">
        <f ca="1">Cleaned_Data!D284</f>
        <v>BR04</v>
      </c>
      <c r="C284" s="14" t="str">
        <f ca="1">Cleaned_Data!E284</f>
        <v>Standard</v>
      </c>
      <c r="D284" s="15">
        <f>Cleaned_Data!F284</f>
        <v>45535</v>
      </c>
      <c r="E284" s="15">
        <f>Cleaned_Data!G284</f>
        <v>45565</v>
      </c>
      <c r="F284" s="14">
        <f>Cleaned_Data!H284</f>
        <v>1000</v>
      </c>
      <c r="G284" s="14">
        <f ca="1">Cleaned_Data!I284</f>
        <v>9000</v>
      </c>
      <c r="H284" s="14">
        <f>Cleaned_Data!J284</f>
        <v>21</v>
      </c>
      <c r="I284" s="14" t="str">
        <f>Cleaned_Data!M284</f>
        <v>Active</v>
      </c>
      <c r="J284" s="16">
        <f>Cleaned_Data!N284</f>
        <v>45903</v>
      </c>
      <c r="K284" t="str">
        <f t="shared" si="40"/>
        <v>Highly Active</v>
      </c>
      <c r="L284" s="5" t="str">
        <f>IF(COUNTIF($A$2:A284,A284)&gt;1,"Duplicate","Unique")</f>
        <v>Unique</v>
      </c>
      <c r="M284" t="str">
        <f t="shared" si="41"/>
        <v>2024-08</v>
      </c>
      <c r="N284" s="2">
        <f t="shared" ca="1" si="42"/>
        <v>45903</v>
      </c>
      <c r="O284" s="4">
        <f t="shared" ca="1" si="43"/>
        <v>12</v>
      </c>
      <c r="P284" s="4">
        <f t="shared" ca="1" si="44"/>
        <v>226</v>
      </c>
      <c r="Q284">
        <f t="shared" ca="1" si="45"/>
        <v>2</v>
      </c>
      <c r="R284">
        <f t="shared" si="46"/>
        <v>5</v>
      </c>
      <c r="S284">
        <f t="shared" ca="1" si="47"/>
        <v>3</v>
      </c>
      <c r="T284" t="str">
        <f t="shared" ca="1" si="48"/>
        <v>253</v>
      </c>
      <c r="U284" t="str">
        <f t="shared" ca="1" si="49"/>
        <v>At Risk</v>
      </c>
    </row>
    <row r="285" spans="1:21">
      <c r="A285" s="17" t="str">
        <f>Cleaned_Data!A285</f>
        <v>MEM0284</v>
      </c>
      <c r="B285" s="18" t="str">
        <f ca="1">Cleaned_Data!D285</f>
        <v>BR02</v>
      </c>
      <c r="C285" s="18" t="str">
        <f ca="1">Cleaned_Data!E285</f>
        <v>Premium</v>
      </c>
      <c r="D285" s="19">
        <f>Cleaned_Data!F285</f>
        <v>45812</v>
      </c>
      <c r="E285" s="19">
        <f>Cleaned_Data!G285</f>
        <v>45842</v>
      </c>
      <c r="F285" s="18">
        <f>Cleaned_Data!H285</f>
        <v>3500</v>
      </c>
      <c r="G285" s="18">
        <f ca="1">Cleaned_Data!I285</f>
        <v>21000</v>
      </c>
      <c r="H285" s="18">
        <f>Cleaned_Data!J285</f>
        <v>16</v>
      </c>
      <c r="I285" s="18" t="str">
        <f>Cleaned_Data!M285</f>
        <v>Active</v>
      </c>
      <c r="J285" s="20">
        <f>Cleaned_Data!N285</f>
        <v>45871</v>
      </c>
      <c r="K285" t="str">
        <f t="shared" si="40"/>
        <v>Highly Active</v>
      </c>
      <c r="L285" s="5" t="str">
        <f>IF(COUNTIF($A$2:A285,A285)&gt;1,"Duplicate","Unique")</f>
        <v>Unique</v>
      </c>
      <c r="M285" t="str">
        <f t="shared" si="41"/>
        <v>2025-06</v>
      </c>
      <c r="N285" s="2">
        <f t="shared" ca="1" si="42"/>
        <v>45871</v>
      </c>
      <c r="O285" s="4">
        <f t="shared" ca="1" si="43"/>
        <v>1</v>
      </c>
      <c r="P285" s="4">
        <f t="shared" ca="1" si="44"/>
        <v>258</v>
      </c>
      <c r="Q285">
        <f t="shared" ca="1" si="45"/>
        <v>2</v>
      </c>
      <c r="R285">
        <f t="shared" si="46"/>
        <v>4</v>
      </c>
      <c r="S285">
        <f t="shared" ca="1" si="47"/>
        <v>5</v>
      </c>
      <c r="T285" t="str">
        <f t="shared" ca="1" si="48"/>
        <v>245</v>
      </c>
      <c r="U285" t="str">
        <f t="shared" ca="1" si="49"/>
        <v>At Risk</v>
      </c>
    </row>
    <row r="286" spans="1:21">
      <c r="A286" s="13" t="str">
        <f>Cleaned_Data!A286</f>
        <v>MEM0285</v>
      </c>
      <c r="B286" s="14" t="str">
        <f ca="1">Cleaned_Data!D286</f>
        <v>BR03</v>
      </c>
      <c r="C286" s="14" t="str">
        <f ca="1">Cleaned_Data!E286</f>
        <v>Premium</v>
      </c>
      <c r="D286" s="15">
        <f>Cleaned_Data!F286</f>
        <v>44960</v>
      </c>
      <c r="E286" s="15">
        <f>Cleaned_Data!G286</f>
        <v>45325</v>
      </c>
      <c r="F286" s="14">
        <f>Cleaned_Data!H286</f>
        <v>1000</v>
      </c>
      <c r="G286" s="14">
        <f ca="1">Cleaned_Data!I286</f>
        <v>5000</v>
      </c>
      <c r="H286" s="14">
        <f>Cleaned_Data!J286</f>
        <v>24</v>
      </c>
      <c r="I286" s="14" t="str">
        <f>Cleaned_Data!M286</f>
        <v>Cancelled</v>
      </c>
      <c r="J286" s="16">
        <f>Cleaned_Data!N286</f>
        <v>45146</v>
      </c>
      <c r="K286" t="str">
        <f t="shared" si="40"/>
        <v>Highly Active</v>
      </c>
      <c r="L286" s="5" t="str">
        <f>IF(COUNTIF($A$2:A286,A286)&gt;1,"Duplicate","Unique")</f>
        <v>Unique</v>
      </c>
      <c r="M286" t="str">
        <f t="shared" si="41"/>
        <v>2023-02</v>
      </c>
      <c r="N286" s="2">
        <f t="shared" ca="1" si="42"/>
        <v>45146</v>
      </c>
      <c r="O286" s="4">
        <f t="shared" ca="1" si="43"/>
        <v>6</v>
      </c>
      <c r="P286" s="4">
        <f t="shared" ca="1" si="44"/>
        <v>983</v>
      </c>
      <c r="Q286">
        <f t="shared" ca="1" si="45"/>
        <v>1</v>
      </c>
      <c r="R286">
        <f t="shared" si="46"/>
        <v>5</v>
      </c>
      <c r="S286">
        <f t="shared" ca="1" si="47"/>
        <v>3</v>
      </c>
      <c r="T286" t="str">
        <f t="shared" ca="1" si="48"/>
        <v>153</v>
      </c>
      <c r="U286" t="str">
        <f t="shared" ca="1" si="49"/>
        <v>At Risk</v>
      </c>
    </row>
    <row r="287" spans="1:21">
      <c r="A287" s="17" t="str">
        <f>Cleaned_Data!A287</f>
        <v>MEM0286</v>
      </c>
      <c r="B287" s="18" t="str">
        <f ca="1">Cleaned_Data!D287</f>
        <v>BR06</v>
      </c>
      <c r="C287" s="18" t="str">
        <f ca="1">Cleaned_Data!E287</f>
        <v>Premium</v>
      </c>
      <c r="D287" s="19">
        <f>Cleaned_Data!F287</f>
        <v>45551</v>
      </c>
      <c r="E287" s="19">
        <f>Cleaned_Data!G287</f>
        <v>45916</v>
      </c>
      <c r="F287" s="18">
        <f>Cleaned_Data!H287</f>
        <v>2000</v>
      </c>
      <c r="G287" s="18">
        <f ca="1">Cleaned_Data!I287</f>
        <v>22000</v>
      </c>
      <c r="H287" s="18">
        <f>Cleaned_Data!J287</f>
        <v>5</v>
      </c>
      <c r="I287" s="18" t="str">
        <f>Cleaned_Data!M287</f>
        <v>Active</v>
      </c>
      <c r="J287" s="20">
        <f>Cleaned_Data!N287</f>
        <v>45653</v>
      </c>
      <c r="K287" t="str">
        <f t="shared" si="40"/>
        <v>Moderate</v>
      </c>
      <c r="L287" s="5" t="str">
        <f>IF(COUNTIF($A$2:A287,A287)&gt;1,"Duplicate","Unique")</f>
        <v>Unique</v>
      </c>
      <c r="M287" t="str">
        <f t="shared" si="41"/>
        <v>2024-09</v>
      </c>
      <c r="N287" s="2">
        <f t="shared" ca="1" si="42"/>
        <v>45653</v>
      </c>
      <c r="O287" s="4">
        <f t="shared" ca="1" si="43"/>
        <v>3</v>
      </c>
      <c r="P287" s="4">
        <f t="shared" ca="1" si="44"/>
        <v>476</v>
      </c>
      <c r="Q287">
        <f t="shared" ca="1" si="45"/>
        <v>1</v>
      </c>
      <c r="R287">
        <f t="shared" si="46"/>
        <v>2</v>
      </c>
      <c r="S287">
        <f t="shared" ca="1" si="47"/>
        <v>5</v>
      </c>
      <c r="T287" t="str">
        <f t="shared" ca="1" si="48"/>
        <v>125</v>
      </c>
      <c r="U287" t="str">
        <f t="shared" ca="1" si="49"/>
        <v>At Risk</v>
      </c>
    </row>
    <row r="288" spans="1:21">
      <c r="A288" s="13" t="str">
        <f>Cleaned_Data!A288</f>
        <v>MEM0287</v>
      </c>
      <c r="B288" s="14" t="str">
        <f ca="1">Cleaned_Data!D288</f>
        <v>BR07</v>
      </c>
      <c r="C288" s="14" t="str">
        <f ca="1">Cleaned_Data!E288</f>
        <v>Standard</v>
      </c>
      <c r="D288" s="15">
        <f>Cleaned_Data!F288</f>
        <v>45189</v>
      </c>
      <c r="E288" s="15">
        <f>Cleaned_Data!G288</f>
        <v>45219</v>
      </c>
      <c r="F288" s="14">
        <f>Cleaned_Data!H288</f>
        <v>2000</v>
      </c>
      <c r="G288" s="14">
        <f ca="1">Cleaned_Data!I288</f>
        <v>24000</v>
      </c>
      <c r="H288" s="14">
        <f>Cleaned_Data!J288</f>
        <v>7</v>
      </c>
      <c r="I288" s="14" t="str">
        <f>Cleaned_Data!M288</f>
        <v>Active</v>
      </c>
      <c r="J288" s="16">
        <f>Cleaned_Data!N288</f>
        <v>45950</v>
      </c>
      <c r="K288" t="str">
        <f t="shared" si="40"/>
        <v>Moderate</v>
      </c>
      <c r="L288" s="5" t="str">
        <f>IF(COUNTIF($A$2:A288,A288)&gt;1,"Duplicate","Unique")</f>
        <v>Unique</v>
      </c>
      <c r="M288" t="str">
        <f t="shared" si="41"/>
        <v>2023-09</v>
      </c>
      <c r="N288" s="2">
        <f t="shared" ca="1" si="42"/>
        <v>45950</v>
      </c>
      <c r="O288" s="4">
        <f t="shared" ca="1" si="43"/>
        <v>25</v>
      </c>
      <c r="P288" s="4">
        <f t="shared" ca="1" si="44"/>
        <v>179</v>
      </c>
      <c r="Q288">
        <f t="shared" ca="1" si="45"/>
        <v>3</v>
      </c>
      <c r="R288">
        <f t="shared" si="46"/>
        <v>2</v>
      </c>
      <c r="S288">
        <f t="shared" ca="1" si="47"/>
        <v>5</v>
      </c>
      <c r="T288" t="str">
        <f t="shared" ca="1" si="48"/>
        <v>325</v>
      </c>
      <c r="U288" t="str">
        <f t="shared" ca="1" si="49"/>
        <v>Others</v>
      </c>
    </row>
    <row r="289" spans="1:21">
      <c r="A289" s="17" t="str">
        <f>Cleaned_Data!A289</f>
        <v>MEM0288</v>
      </c>
      <c r="B289" s="18" t="str">
        <f ca="1">Cleaned_Data!D289</f>
        <v>BR02</v>
      </c>
      <c r="C289" s="18" t="str">
        <f ca="1">Cleaned_Data!E289</f>
        <v>Premium</v>
      </c>
      <c r="D289" s="19">
        <f>Cleaned_Data!F289</f>
        <v>44949</v>
      </c>
      <c r="E289" s="19">
        <f>Cleaned_Data!G289</f>
        <v>45314</v>
      </c>
      <c r="F289" s="18">
        <f>Cleaned_Data!H289</f>
        <v>2000</v>
      </c>
      <c r="G289" s="18">
        <f ca="1">Cleaned_Data!I289</f>
        <v>16000</v>
      </c>
      <c r="H289" s="18">
        <f>Cleaned_Data!J289</f>
        <v>5</v>
      </c>
      <c r="I289" s="18" t="str">
        <f>Cleaned_Data!M289</f>
        <v>Active</v>
      </c>
      <c r="J289" s="20">
        <f>Cleaned_Data!N289</f>
        <v>45025</v>
      </c>
      <c r="K289" t="str">
        <f t="shared" si="40"/>
        <v>Moderate</v>
      </c>
      <c r="L289" s="5" t="str">
        <f>IF(COUNTIF($A$2:A289,A289)&gt;1,"Duplicate","Unique")</f>
        <v>Unique</v>
      </c>
      <c r="M289" t="str">
        <f t="shared" si="41"/>
        <v>2023-01</v>
      </c>
      <c r="N289" s="2">
        <f t="shared" ca="1" si="42"/>
        <v>45025</v>
      </c>
      <c r="O289" s="4">
        <f t="shared" ca="1" si="43"/>
        <v>2</v>
      </c>
      <c r="P289" s="4">
        <f t="shared" ca="1" si="44"/>
        <v>1104</v>
      </c>
      <c r="Q289">
        <f t="shared" ca="1" si="45"/>
        <v>1</v>
      </c>
      <c r="R289">
        <f t="shared" si="46"/>
        <v>2</v>
      </c>
      <c r="S289">
        <f t="shared" ca="1" si="47"/>
        <v>4</v>
      </c>
      <c r="T289" t="str">
        <f t="shared" ca="1" si="48"/>
        <v>124</v>
      </c>
      <c r="U289" t="str">
        <f t="shared" ca="1" si="49"/>
        <v>At Risk</v>
      </c>
    </row>
    <row r="290" spans="1:21">
      <c r="A290" s="13" t="str">
        <f>Cleaned_Data!A290</f>
        <v>MEM0289</v>
      </c>
      <c r="B290" s="14" t="str">
        <f ca="1">Cleaned_Data!D290</f>
        <v>BR01</v>
      </c>
      <c r="C290" s="14" t="str">
        <f ca="1">Cleaned_Data!E290</f>
        <v>Basic</v>
      </c>
      <c r="D290" s="15">
        <f>Cleaned_Data!F290</f>
        <v>45974</v>
      </c>
      <c r="E290" s="15">
        <f>Cleaned_Data!G290</f>
        <v>46004</v>
      </c>
      <c r="F290" s="14">
        <f>Cleaned_Data!H290</f>
        <v>3500</v>
      </c>
      <c r="G290" s="14">
        <f ca="1">Cleaned_Data!I290</f>
        <v>21000</v>
      </c>
      <c r="H290" s="14">
        <f>Cleaned_Data!J290</f>
        <v>10</v>
      </c>
      <c r="I290" s="14" t="str">
        <f>Cleaned_Data!M290</f>
        <v>Active</v>
      </c>
      <c r="J290" s="16">
        <f>Cleaned_Data!N290</f>
        <v>46106</v>
      </c>
      <c r="K290" t="str">
        <f t="shared" si="40"/>
        <v>Moderate</v>
      </c>
      <c r="L290" s="5" t="str">
        <f>IF(COUNTIF($A$2:A290,A290)&gt;1,"Duplicate","Unique")</f>
        <v>Unique</v>
      </c>
      <c r="M290" t="str">
        <f t="shared" si="41"/>
        <v>2025-11</v>
      </c>
      <c r="N290" s="2">
        <f t="shared" ca="1" si="42"/>
        <v>46106</v>
      </c>
      <c r="O290" s="4">
        <f t="shared" ca="1" si="43"/>
        <v>4</v>
      </c>
      <c r="P290" s="4">
        <f t="shared" ca="1" si="44"/>
        <v>23</v>
      </c>
      <c r="Q290">
        <f t="shared" ca="1" si="45"/>
        <v>5</v>
      </c>
      <c r="R290">
        <f t="shared" si="46"/>
        <v>3</v>
      </c>
      <c r="S290">
        <f t="shared" ca="1" si="47"/>
        <v>5</v>
      </c>
      <c r="T290" t="str">
        <f t="shared" ca="1" si="48"/>
        <v>535</v>
      </c>
      <c r="U290" t="str">
        <f t="shared" ca="1" si="49"/>
        <v>Loyal</v>
      </c>
    </row>
    <row r="291" spans="1:21">
      <c r="A291" s="17" t="str">
        <f>Cleaned_Data!A291</f>
        <v>MEM0290</v>
      </c>
      <c r="B291" s="18" t="str">
        <f ca="1">Cleaned_Data!D291</f>
        <v>BR04</v>
      </c>
      <c r="C291" s="18" t="str">
        <f ca="1">Cleaned_Data!E291</f>
        <v>Basic</v>
      </c>
      <c r="D291" s="19">
        <f>Cleaned_Data!F291</f>
        <v>45822</v>
      </c>
      <c r="E291" s="19">
        <f>Cleaned_Data!G291</f>
        <v>45912</v>
      </c>
      <c r="F291" s="18">
        <f>Cleaned_Data!H291</f>
        <v>3500</v>
      </c>
      <c r="G291" s="18">
        <f ca="1">Cleaned_Data!I291</f>
        <v>10500</v>
      </c>
      <c r="H291" s="18">
        <f>Cleaned_Data!J291</f>
        <v>8</v>
      </c>
      <c r="I291" s="18" t="str">
        <f>Cleaned_Data!M291</f>
        <v>Active</v>
      </c>
      <c r="J291" s="20">
        <f>Cleaned_Data!N291</f>
        <v>45854</v>
      </c>
      <c r="K291" t="str">
        <f t="shared" si="40"/>
        <v>Moderate</v>
      </c>
      <c r="L291" s="5" t="str">
        <f>IF(COUNTIF($A$2:A291,A291)&gt;1,"Duplicate","Unique")</f>
        <v>Unique</v>
      </c>
      <c r="M291" t="str">
        <f t="shared" si="41"/>
        <v>2025-06</v>
      </c>
      <c r="N291" s="2">
        <f t="shared" ca="1" si="42"/>
        <v>45854</v>
      </c>
      <c r="O291" s="4">
        <f t="shared" ca="1" si="43"/>
        <v>1</v>
      </c>
      <c r="P291" s="4">
        <f t="shared" ca="1" si="44"/>
        <v>275</v>
      </c>
      <c r="Q291">
        <f t="shared" ca="1" si="45"/>
        <v>2</v>
      </c>
      <c r="R291">
        <f t="shared" si="46"/>
        <v>2</v>
      </c>
      <c r="S291">
        <f t="shared" ca="1" si="47"/>
        <v>4</v>
      </c>
      <c r="T291" t="str">
        <f t="shared" ca="1" si="48"/>
        <v>224</v>
      </c>
      <c r="U291" t="str">
        <f t="shared" ca="1" si="49"/>
        <v>At Risk</v>
      </c>
    </row>
    <row r="292" spans="1:21">
      <c r="A292" s="13" t="str">
        <f>Cleaned_Data!A292</f>
        <v>MEM0291</v>
      </c>
      <c r="B292" s="14" t="str">
        <f ca="1">Cleaned_Data!D292</f>
        <v>BR06</v>
      </c>
      <c r="C292" s="14" t="str">
        <f ca="1">Cleaned_Data!E292</f>
        <v>Premium</v>
      </c>
      <c r="D292" s="15">
        <f>Cleaned_Data!F292</f>
        <v>45675</v>
      </c>
      <c r="E292" s="15">
        <f>Cleaned_Data!G292</f>
        <v>45765</v>
      </c>
      <c r="F292" s="14">
        <f>Cleaned_Data!H292</f>
        <v>3500</v>
      </c>
      <c r="G292" s="14">
        <f ca="1">Cleaned_Data!I292</f>
        <v>10500</v>
      </c>
      <c r="H292" s="14">
        <f>Cleaned_Data!J292</f>
        <v>21</v>
      </c>
      <c r="I292" s="14" t="str">
        <f>Cleaned_Data!M292</f>
        <v>Active</v>
      </c>
      <c r="J292" s="16">
        <f>Cleaned_Data!N292</f>
        <v>45776</v>
      </c>
      <c r="K292" t="str">
        <f t="shared" si="40"/>
        <v>Highly Active</v>
      </c>
      <c r="L292" s="5" t="str">
        <f>IF(COUNTIF($A$2:A292,A292)&gt;1,"Duplicate","Unique")</f>
        <v>Unique</v>
      </c>
      <c r="M292" t="str">
        <f t="shared" si="41"/>
        <v>2025-01</v>
      </c>
      <c r="N292" s="2">
        <f t="shared" ca="1" si="42"/>
        <v>45776</v>
      </c>
      <c r="O292" s="4">
        <f t="shared" ca="1" si="43"/>
        <v>3</v>
      </c>
      <c r="P292" s="4">
        <f t="shared" ca="1" si="44"/>
        <v>353</v>
      </c>
      <c r="Q292">
        <f t="shared" ca="1" si="45"/>
        <v>2</v>
      </c>
      <c r="R292">
        <f t="shared" si="46"/>
        <v>5</v>
      </c>
      <c r="S292">
        <f t="shared" ca="1" si="47"/>
        <v>4</v>
      </c>
      <c r="T292" t="str">
        <f t="shared" ca="1" si="48"/>
        <v>254</v>
      </c>
      <c r="U292" t="str">
        <f t="shared" ca="1" si="49"/>
        <v>At Risk</v>
      </c>
    </row>
    <row r="293" spans="1:21">
      <c r="A293" s="17" t="str">
        <f>Cleaned_Data!A293</f>
        <v>MEM0292</v>
      </c>
      <c r="B293" s="18" t="str">
        <f ca="1">Cleaned_Data!D293</f>
        <v>BR07</v>
      </c>
      <c r="C293" s="18" t="str">
        <f ca="1">Cleaned_Data!E293</f>
        <v>Premium</v>
      </c>
      <c r="D293" s="19">
        <f>Cleaned_Data!F293</f>
        <v>45934</v>
      </c>
      <c r="E293" s="19">
        <f>Cleaned_Data!G293</f>
        <v>45964</v>
      </c>
      <c r="F293" s="18">
        <f>Cleaned_Data!H293</f>
        <v>2000</v>
      </c>
      <c r="G293" s="18">
        <f ca="1">Cleaned_Data!I293</f>
        <v>20000</v>
      </c>
      <c r="H293" s="18">
        <f>Cleaned_Data!J293</f>
        <v>19</v>
      </c>
      <c r="I293" s="18" t="str">
        <f>Cleaned_Data!M293</f>
        <v>Cancelled</v>
      </c>
      <c r="J293" s="20">
        <f>Cleaned_Data!N293</f>
        <v>46117</v>
      </c>
      <c r="K293" t="str">
        <f t="shared" si="40"/>
        <v>Highly Active</v>
      </c>
      <c r="L293" s="5" t="str">
        <f>IF(COUNTIF($A$2:A293,A293)&gt;1,"Duplicate","Unique")</f>
        <v>Unique</v>
      </c>
      <c r="M293" t="str">
        <f t="shared" si="41"/>
        <v>2025-10</v>
      </c>
      <c r="N293" s="2">
        <f t="shared" ca="1" si="42"/>
        <v>46117</v>
      </c>
      <c r="O293" s="4">
        <f t="shared" ca="1" si="43"/>
        <v>6</v>
      </c>
      <c r="P293" s="4">
        <f t="shared" ca="1" si="44"/>
        <v>12</v>
      </c>
      <c r="Q293">
        <f t="shared" ca="1" si="45"/>
        <v>5</v>
      </c>
      <c r="R293">
        <f t="shared" si="46"/>
        <v>4</v>
      </c>
      <c r="S293">
        <f t="shared" ca="1" si="47"/>
        <v>5</v>
      </c>
      <c r="T293" t="str">
        <f t="shared" ca="1" si="48"/>
        <v>545</v>
      </c>
      <c r="U293" t="str">
        <f t="shared" ca="1" si="49"/>
        <v>Champion</v>
      </c>
    </row>
    <row r="294" spans="1:21">
      <c r="A294" s="13" t="str">
        <f>Cleaned_Data!A294</f>
        <v>MEM0293</v>
      </c>
      <c r="B294" s="14" t="str">
        <f ca="1">Cleaned_Data!D294</f>
        <v>BR06</v>
      </c>
      <c r="C294" s="14" t="str">
        <f ca="1">Cleaned_Data!E294</f>
        <v>Premium</v>
      </c>
      <c r="D294" s="15">
        <f>Cleaned_Data!F294</f>
        <v>44997</v>
      </c>
      <c r="E294" s="15">
        <f>Cleaned_Data!G294</f>
        <v>45362</v>
      </c>
      <c r="F294" s="14">
        <f>Cleaned_Data!H294</f>
        <v>3500</v>
      </c>
      <c r="G294" s="14">
        <f ca="1">Cleaned_Data!I294</f>
        <v>21000</v>
      </c>
      <c r="H294" s="14">
        <f>Cleaned_Data!J294</f>
        <v>4</v>
      </c>
      <c r="I294" s="14" t="str">
        <f>Cleaned_Data!M294</f>
        <v>Active</v>
      </c>
      <c r="J294" s="16">
        <f>Cleaned_Data!N294</f>
        <v>45961</v>
      </c>
      <c r="K294" t="str">
        <f t="shared" si="40"/>
        <v>At Risk</v>
      </c>
      <c r="L294" s="5" t="str">
        <f>IF(COUNTIF($A$2:A294,A294)&gt;1,"Duplicate","Unique")</f>
        <v>Unique</v>
      </c>
      <c r="M294" t="str">
        <f t="shared" si="41"/>
        <v>2023-03</v>
      </c>
      <c r="N294" s="2">
        <f t="shared" ca="1" si="42"/>
        <v>45961</v>
      </c>
      <c r="O294" s="4">
        <f t="shared" ca="1" si="43"/>
        <v>31</v>
      </c>
      <c r="P294" s="4">
        <f t="shared" ca="1" si="44"/>
        <v>168</v>
      </c>
      <c r="Q294">
        <f t="shared" ca="1" si="45"/>
        <v>3</v>
      </c>
      <c r="R294">
        <f t="shared" si="46"/>
        <v>1</v>
      </c>
      <c r="S294">
        <f t="shared" ca="1" si="47"/>
        <v>5</v>
      </c>
      <c r="T294" t="str">
        <f t="shared" ca="1" si="48"/>
        <v>315</v>
      </c>
      <c r="U294" t="str">
        <f t="shared" ca="1" si="49"/>
        <v>Others</v>
      </c>
    </row>
    <row r="295" spans="1:21">
      <c r="A295" s="17" t="str">
        <f>Cleaned_Data!A295</f>
        <v>MEM0294</v>
      </c>
      <c r="B295" s="18" t="str">
        <f ca="1">Cleaned_Data!D295</f>
        <v>BR02</v>
      </c>
      <c r="C295" s="18" t="str">
        <f ca="1">Cleaned_Data!E295</f>
        <v>Basic</v>
      </c>
      <c r="D295" s="19">
        <f>Cleaned_Data!F295</f>
        <v>45768</v>
      </c>
      <c r="E295" s="19">
        <f>Cleaned_Data!G295</f>
        <v>45798</v>
      </c>
      <c r="F295" s="18">
        <f>Cleaned_Data!H295</f>
        <v>1000</v>
      </c>
      <c r="G295" s="18">
        <f ca="1">Cleaned_Data!I295</f>
        <v>8000</v>
      </c>
      <c r="H295" s="18">
        <f>Cleaned_Data!J295</f>
        <v>23</v>
      </c>
      <c r="I295" s="18" t="str">
        <f>Cleaned_Data!M295</f>
        <v>Cancelled</v>
      </c>
      <c r="J295" s="20">
        <f>Cleaned_Data!N295</f>
        <v>45813</v>
      </c>
      <c r="K295" t="str">
        <f t="shared" si="40"/>
        <v>Highly Active</v>
      </c>
      <c r="L295" s="5" t="str">
        <f>IF(COUNTIF($A$2:A295,A295)&gt;1,"Duplicate","Unique")</f>
        <v>Unique</v>
      </c>
      <c r="M295" t="str">
        <f t="shared" si="41"/>
        <v>2025-04</v>
      </c>
      <c r="N295" s="2">
        <f t="shared" ca="1" si="42"/>
        <v>45813</v>
      </c>
      <c r="O295" s="4">
        <f t="shared" ca="1" si="43"/>
        <v>1</v>
      </c>
      <c r="P295" s="4">
        <f t="shared" ca="1" si="44"/>
        <v>316</v>
      </c>
      <c r="Q295">
        <f t="shared" ca="1" si="45"/>
        <v>2</v>
      </c>
      <c r="R295">
        <f t="shared" si="46"/>
        <v>5</v>
      </c>
      <c r="S295">
        <f t="shared" ca="1" si="47"/>
        <v>3</v>
      </c>
      <c r="T295" t="str">
        <f t="shared" ca="1" si="48"/>
        <v>253</v>
      </c>
      <c r="U295" t="str">
        <f t="shared" ca="1" si="49"/>
        <v>At Risk</v>
      </c>
    </row>
    <row r="296" spans="1:21">
      <c r="A296" s="13" t="str">
        <f>Cleaned_Data!A296</f>
        <v>MEM0295</v>
      </c>
      <c r="B296" s="14" t="str">
        <f ca="1">Cleaned_Data!D296</f>
        <v>BR07</v>
      </c>
      <c r="C296" s="14" t="str">
        <f ca="1">Cleaned_Data!E296</f>
        <v>Basic</v>
      </c>
      <c r="D296" s="15">
        <f>Cleaned_Data!F296</f>
        <v>45862</v>
      </c>
      <c r="E296" s="15">
        <f>Cleaned_Data!G296</f>
        <v>45892</v>
      </c>
      <c r="F296" s="14">
        <f>Cleaned_Data!H296</f>
        <v>2000</v>
      </c>
      <c r="G296" s="14">
        <f ca="1">Cleaned_Data!I296</f>
        <v>2000</v>
      </c>
      <c r="H296" s="14">
        <f>Cleaned_Data!J296</f>
        <v>15</v>
      </c>
      <c r="I296" s="14" t="str">
        <f>Cleaned_Data!M296</f>
        <v>Cancelled</v>
      </c>
      <c r="J296" s="16">
        <f>Cleaned_Data!N296</f>
        <v>45950</v>
      </c>
      <c r="K296" t="str">
        <f t="shared" si="40"/>
        <v>Highly Active</v>
      </c>
      <c r="L296" s="5" t="str">
        <f>IF(COUNTIF($A$2:A296,A296)&gt;1,"Duplicate","Unique")</f>
        <v>Unique</v>
      </c>
      <c r="M296" t="str">
        <f t="shared" si="41"/>
        <v>2025-07</v>
      </c>
      <c r="N296" s="2">
        <f t="shared" ca="1" si="42"/>
        <v>45950</v>
      </c>
      <c r="O296" s="4">
        <f t="shared" ca="1" si="43"/>
        <v>2</v>
      </c>
      <c r="P296" s="4">
        <f t="shared" ca="1" si="44"/>
        <v>179</v>
      </c>
      <c r="Q296">
        <f t="shared" ca="1" si="45"/>
        <v>3</v>
      </c>
      <c r="R296">
        <f t="shared" si="46"/>
        <v>4</v>
      </c>
      <c r="S296">
        <f t="shared" ca="1" si="47"/>
        <v>2</v>
      </c>
      <c r="T296" t="str">
        <f t="shared" ca="1" si="48"/>
        <v>342</v>
      </c>
      <c r="U296" t="str">
        <f t="shared" ca="1" si="49"/>
        <v>Others</v>
      </c>
    </row>
    <row r="297" spans="1:21">
      <c r="A297" s="17" t="str">
        <f>Cleaned_Data!A297</f>
        <v>MEM0296</v>
      </c>
      <c r="B297" s="18" t="str">
        <f ca="1">Cleaned_Data!D297</f>
        <v>BR01</v>
      </c>
      <c r="C297" s="18" t="str">
        <f ca="1">Cleaned_Data!E297</f>
        <v>Premium</v>
      </c>
      <c r="D297" s="19">
        <f>Cleaned_Data!F297</f>
        <v>45294</v>
      </c>
      <c r="E297" s="19">
        <f>Cleaned_Data!G297</f>
        <v>45324</v>
      </c>
      <c r="F297" s="18">
        <f>Cleaned_Data!H297</f>
        <v>1000</v>
      </c>
      <c r="G297" s="18">
        <f ca="1">Cleaned_Data!I297</f>
        <v>6000</v>
      </c>
      <c r="H297" s="18">
        <f>Cleaned_Data!J297</f>
        <v>16</v>
      </c>
      <c r="I297" s="18" t="str">
        <f>Cleaned_Data!M297</f>
        <v>Active</v>
      </c>
      <c r="J297" s="20">
        <f>Cleaned_Data!N297</f>
        <v>45573</v>
      </c>
      <c r="K297" t="str">
        <f t="shared" si="40"/>
        <v>Highly Active</v>
      </c>
      <c r="L297" s="5" t="str">
        <f>IF(COUNTIF($A$2:A297,A297)&gt;1,"Duplicate","Unique")</f>
        <v>Unique</v>
      </c>
      <c r="M297" t="str">
        <f t="shared" si="41"/>
        <v>2024-01</v>
      </c>
      <c r="N297" s="2">
        <f t="shared" ca="1" si="42"/>
        <v>45573</v>
      </c>
      <c r="O297" s="4">
        <f t="shared" ca="1" si="43"/>
        <v>9</v>
      </c>
      <c r="P297" s="4">
        <f t="shared" ca="1" si="44"/>
        <v>556</v>
      </c>
      <c r="Q297">
        <f t="shared" ca="1" si="45"/>
        <v>1</v>
      </c>
      <c r="R297">
        <f t="shared" si="46"/>
        <v>4</v>
      </c>
      <c r="S297">
        <f t="shared" ca="1" si="47"/>
        <v>3</v>
      </c>
      <c r="T297" t="str">
        <f t="shared" ca="1" si="48"/>
        <v>143</v>
      </c>
      <c r="U297" t="str">
        <f t="shared" ca="1" si="49"/>
        <v>At Risk</v>
      </c>
    </row>
    <row r="298" spans="1:21">
      <c r="A298" s="13" t="str">
        <f>Cleaned_Data!A298</f>
        <v>MEM0297</v>
      </c>
      <c r="B298" s="14" t="str">
        <f ca="1">Cleaned_Data!D298</f>
        <v>BR02</v>
      </c>
      <c r="C298" s="14" t="str">
        <f ca="1">Cleaned_Data!E298</f>
        <v>Basic</v>
      </c>
      <c r="D298" s="15">
        <f>Cleaned_Data!F298</f>
        <v>45137</v>
      </c>
      <c r="E298" s="15">
        <f>Cleaned_Data!G298</f>
        <v>45227</v>
      </c>
      <c r="F298" s="14">
        <f>Cleaned_Data!H298</f>
        <v>2000</v>
      </c>
      <c r="G298" s="14">
        <f ca="1">Cleaned_Data!I298</f>
        <v>14000</v>
      </c>
      <c r="H298" s="14">
        <f>Cleaned_Data!J298</f>
        <v>25</v>
      </c>
      <c r="I298" s="14" t="str">
        <f>Cleaned_Data!M298</f>
        <v>Active</v>
      </c>
      <c r="J298" s="16">
        <f>Cleaned_Data!N298</f>
        <v>45277</v>
      </c>
      <c r="K298" t="str">
        <f t="shared" si="40"/>
        <v>Highly Active</v>
      </c>
      <c r="L298" s="5" t="str">
        <f>IF(COUNTIF($A$2:A298,A298)&gt;1,"Duplicate","Unique")</f>
        <v>Unique</v>
      </c>
      <c r="M298" t="str">
        <f t="shared" si="41"/>
        <v>2023-07</v>
      </c>
      <c r="N298" s="2">
        <f t="shared" ca="1" si="42"/>
        <v>45277</v>
      </c>
      <c r="O298" s="4">
        <f t="shared" ca="1" si="43"/>
        <v>4</v>
      </c>
      <c r="P298" s="4">
        <f t="shared" ca="1" si="44"/>
        <v>852</v>
      </c>
      <c r="Q298">
        <f t="shared" ca="1" si="45"/>
        <v>1</v>
      </c>
      <c r="R298">
        <f t="shared" si="46"/>
        <v>5</v>
      </c>
      <c r="S298">
        <f t="shared" ca="1" si="47"/>
        <v>4</v>
      </c>
      <c r="T298" t="str">
        <f t="shared" ca="1" si="48"/>
        <v>154</v>
      </c>
      <c r="U298" t="str">
        <f t="shared" ca="1" si="49"/>
        <v>At Risk</v>
      </c>
    </row>
    <row r="299" spans="1:21">
      <c r="A299" s="17" t="str">
        <f>Cleaned_Data!A299</f>
        <v>MEM0298</v>
      </c>
      <c r="B299" s="18" t="str">
        <f ca="1">Cleaned_Data!D299</f>
        <v>BR02</v>
      </c>
      <c r="C299" s="18" t="str">
        <f ca="1">Cleaned_Data!E299</f>
        <v>Standard</v>
      </c>
      <c r="D299" s="19">
        <f>Cleaned_Data!F299</f>
        <v>45882</v>
      </c>
      <c r="E299" s="19">
        <f>Cleaned_Data!G299</f>
        <v>45912</v>
      </c>
      <c r="F299" s="18">
        <f>Cleaned_Data!H299</f>
        <v>1000</v>
      </c>
      <c r="G299" s="18">
        <f ca="1">Cleaned_Data!I299</f>
        <v>9000</v>
      </c>
      <c r="H299" s="18">
        <f>Cleaned_Data!J299</f>
        <v>17</v>
      </c>
      <c r="I299" s="18" t="str">
        <f>Cleaned_Data!M299</f>
        <v>Cancelled</v>
      </c>
      <c r="J299" s="20">
        <f>Cleaned_Data!N299</f>
        <v>46119</v>
      </c>
      <c r="K299" t="str">
        <f t="shared" si="40"/>
        <v>Highly Active</v>
      </c>
      <c r="L299" s="5" t="str">
        <f>IF(COUNTIF($A$2:A299,A299)&gt;1,"Duplicate","Unique")</f>
        <v>Unique</v>
      </c>
      <c r="M299" t="str">
        <f t="shared" si="41"/>
        <v>2025-08</v>
      </c>
      <c r="N299" s="2">
        <f t="shared" ca="1" si="42"/>
        <v>46119</v>
      </c>
      <c r="O299" s="4">
        <f t="shared" ca="1" si="43"/>
        <v>7</v>
      </c>
      <c r="P299" s="4">
        <f t="shared" ca="1" si="44"/>
        <v>10</v>
      </c>
      <c r="Q299">
        <f t="shared" ca="1" si="45"/>
        <v>5</v>
      </c>
      <c r="R299">
        <f t="shared" si="46"/>
        <v>4</v>
      </c>
      <c r="S299">
        <f t="shared" ca="1" si="47"/>
        <v>3</v>
      </c>
      <c r="T299" t="str">
        <f t="shared" ca="1" si="48"/>
        <v>543</v>
      </c>
      <c r="U299" t="str">
        <f t="shared" ca="1" si="49"/>
        <v>Loyal</v>
      </c>
    </row>
    <row r="300" spans="1:21">
      <c r="A300" s="13" t="str">
        <f>Cleaned_Data!A300</f>
        <v>MEM0299</v>
      </c>
      <c r="B300" s="14" t="str">
        <f ca="1">Cleaned_Data!D300</f>
        <v>BR07</v>
      </c>
      <c r="C300" s="14" t="str">
        <f ca="1">Cleaned_Data!E300</f>
        <v>Basic</v>
      </c>
      <c r="D300" s="15">
        <f>Cleaned_Data!F300</f>
        <v>46016</v>
      </c>
      <c r="E300" s="15">
        <f>Cleaned_Data!G300</f>
        <v>46381</v>
      </c>
      <c r="F300" s="14">
        <f>Cleaned_Data!H300</f>
        <v>1000</v>
      </c>
      <c r="G300" s="14">
        <f ca="1">Cleaned_Data!I300</f>
        <v>12000</v>
      </c>
      <c r="H300" s="14">
        <f>Cleaned_Data!J300</f>
        <v>1</v>
      </c>
      <c r="I300" s="14" t="str">
        <f>Cleaned_Data!M300</f>
        <v>Active</v>
      </c>
      <c r="J300" s="16">
        <f>Cleaned_Data!N300</f>
        <v>46124</v>
      </c>
      <c r="K300" t="str">
        <f t="shared" si="40"/>
        <v>At Risk</v>
      </c>
      <c r="L300" s="5" t="str">
        <f>IF(COUNTIF($A$2:A300,A300)&gt;1,"Duplicate","Unique")</f>
        <v>Unique</v>
      </c>
      <c r="M300" t="str">
        <f t="shared" si="41"/>
        <v>2025-12</v>
      </c>
      <c r="N300" s="2">
        <f t="shared" ca="1" si="42"/>
        <v>46124</v>
      </c>
      <c r="O300" s="4">
        <f t="shared" ca="1" si="43"/>
        <v>3</v>
      </c>
      <c r="P300" s="4">
        <f t="shared" ca="1" si="44"/>
        <v>5</v>
      </c>
      <c r="Q300">
        <f t="shared" ca="1" si="45"/>
        <v>5</v>
      </c>
      <c r="R300">
        <f t="shared" si="46"/>
        <v>1</v>
      </c>
      <c r="S300">
        <f t="shared" ca="1" si="47"/>
        <v>4</v>
      </c>
      <c r="T300" t="str">
        <f t="shared" ca="1" si="48"/>
        <v>514</v>
      </c>
      <c r="U300" t="str">
        <f t="shared" ca="1" si="49"/>
        <v>Others</v>
      </c>
    </row>
    <row r="301" spans="1:21">
      <c r="A301" s="17" t="str">
        <f>Cleaned_Data!A301</f>
        <v>MEM0300</v>
      </c>
      <c r="B301" s="18" t="str">
        <f ca="1">Cleaned_Data!D301</f>
        <v>BR05</v>
      </c>
      <c r="C301" s="18" t="str">
        <f ca="1">Cleaned_Data!E301</f>
        <v>Basic</v>
      </c>
      <c r="D301" s="19">
        <f>Cleaned_Data!F301</f>
        <v>46052</v>
      </c>
      <c r="E301" s="19">
        <f>Cleaned_Data!G301</f>
        <v>46142</v>
      </c>
      <c r="F301" s="18">
        <f>Cleaned_Data!H301</f>
        <v>3500</v>
      </c>
      <c r="G301" s="18">
        <f ca="1">Cleaned_Data!I301</f>
        <v>21000</v>
      </c>
      <c r="H301" s="18">
        <f>Cleaned_Data!J301</f>
        <v>2</v>
      </c>
      <c r="I301" s="18" t="str">
        <f>Cleaned_Data!M301</f>
        <v>Cancelled</v>
      </c>
      <c r="J301" s="20">
        <f>Cleaned_Data!N301</f>
        <v>46082</v>
      </c>
      <c r="K301" t="str">
        <f t="shared" si="40"/>
        <v>At Risk</v>
      </c>
      <c r="L301" s="5" t="str">
        <f>IF(COUNTIF($A$2:A301,A301)&gt;1,"Duplicate","Unique")</f>
        <v>Unique</v>
      </c>
      <c r="M301" t="str">
        <f t="shared" si="41"/>
        <v>2026-01</v>
      </c>
      <c r="N301" s="2">
        <f t="shared" ca="1" si="42"/>
        <v>46082</v>
      </c>
      <c r="O301" s="4">
        <f t="shared" ca="1" si="43"/>
        <v>1</v>
      </c>
      <c r="P301" s="4">
        <f t="shared" ca="1" si="44"/>
        <v>47</v>
      </c>
      <c r="Q301">
        <f t="shared" ca="1" si="45"/>
        <v>4</v>
      </c>
      <c r="R301">
        <f t="shared" si="46"/>
        <v>1</v>
      </c>
      <c r="S301">
        <f t="shared" ca="1" si="47"/>
        <v>5</v>
      </c>
      <c r="T301" t="str">
        <f t="shared" ca="1" si="48"/>
        <v>415</v>
      </c>
      <c r="U301" t="str">
        <f t="shared" ca="1" si="49"/>
        <v>Others</v>
      </c>
    </row>
    <row r="302" spans="1:21">
      <c r="A302" s="13" t="str">
        <f>Cleaned_Data!A302</f>
        <v>MEM0301</v>
      </c>
      <c r="B302" s="14" t="str">
        <f ca="1">Cleaned_Data!D302</f>
        <v>BR06</v>
      </c>
      <c r="C302" s="14" t="str">
        <f ca="1">Cleaned_Data!E302</f>
        <v>Standard</v>
      </c>
      <c r="D302" s="15">
        <f>Cleaned_Data!F302</f>
        <v>45614</v>
      </c>
      <c r="E302" s="15">
        <f>Cleaned_Data!G302</f>
        <v>45644</v>
      </c>
      <c r="F302" s="14">
        <f>Cleaned_Data!H302</f>
        <v>3500</v>
      </c>
      <c r="G302" s="14">
        <f ca="1">Cleaned_Data!I302</f>
        <v>31500</v>
      </c>
      <c r="H302" s="14">
        <f>Cleaned_Data!J302</f>
        <v>1</v>
      </c>
      <c r="I302" s="14" t="str">
        <f>Cleaned_Data!M302</f>
        <v>Active</v>
      </c>
      <c r="J302" s="16">
        <f>Cleaned_Data!N302</f>
        <v>45800</v>
      </c>
      <c r="K302" t="str">
        <f t="shared" si="40"/>
        <v>At Risk</v>
      </c>
      <c r="L302" s="5" t="str">
        <f>IF(COUNTIF($A$2:A302,A302)&gt;1,"Duplicate","Unique")</f>
        <v>Unique</v>
      </c>
      <c r="M302" t="str">
        <f t="shared" si="41"/>
        <v>2024-11</v>
      </c>
      <c r="N302" s="2">
        <f t="shared" ca="1" si="42"/>
        <v>45800</v>
      </c>
      <c r="O302" s="4">
        <f t="shared" ca="1" si="43"/>
        <v>6</v>
      </c>
      <c r="P302" s="4">
        <f t="shared" ca="1" si="44"/>
        <v>329</v>
      </c>
      <c r="Q302">
        <f t="shared" ca="1" si="45"/>
        <v>2</v>
      </c>
      <c r="R302">
        <f t="shared" si="46"/>
        <v>1</v>
      </c>
      <c r="S302">
        <f t="shared" ca="1" si="47"/>
        <v>5</v>
      </c>
      <c r="T302" t="str">
        <f t="shared" ca="1" si="48"/>
        <v>215</v>
      </c>
      <c r="U302" t="str">
        <f t="shared" ca="1" si="49"/>
        <v>At Risk</v>
      </c>
    </row>
    <row r="303" spans="1:21">
      <c r="A303" s="17" t="str">
        <f>Cleaned_Data!A303</f>
        <v>MEM0302</v>
      </c>
      <c r="B303" s="18" t="str">
        <f ca="1">Cleaned_Data!D303</f>
        <v>BR07</v>
      </c>
      <c r="C303" s="18" t="str">
        <f ca="1">Cleaned_Data!E303</f>
        <v>Premium</v>
      </c>
      <c r="D303" s="19">
        <f>Cleaned_Data!F303</f>
        <v>45246</v>
      </c>
      <c r="E303" s="19">
        <f>Cleaned_Data!G303</f>
        <v>45276</v>
      </c>
      <c r="F303" s="18">
        <f>Cleaned_Data!H303</f>
        <v>1000</v>
      </c>
      <c r="G303" s="18">
        <f ca="1">Cleaned_Data!I303</f>
        <v>8000</v>
      </c>
      <c r="H303" s="18">
        <f>Cleaned_Data!J303</f>
        <v>12</v>
      </c>
      <c r="I303" s="18" t="str">
        <f>Cleaned_Data!M303</f>
        <v>Active</v>
      </c>
      <c r="J303" s="20">
        <f>Cleaned_Data!N303</f>
        <v>45926</v>
      </c>
      <c r="K303" t="str">
        <f t="shared" si="40"/>
        <v>Moderate</v>
      </c>
      <c r="L303" s="5" t="str">
        <f>IF(COUNTIF($A$2:A303,A303)&gt;1,"Duplicate","Unique")</f>
        <v>Unique</v>
      </c>
      <c r="M303" t="str">
        <f t="shared" si="41"/>
        <v>2023-11</v>
      </c>
      <c r="N303" s="2">
        <f t="shared" ca="1" si="42"/>
        <v>45926</v>
      </c>
      <c r="O303" s="4">
        <f t="shared" ca="1" si="43"/>
        <v>22</v>
      </c>
      <c r="P303" s="4">
        <f t="shared" ca="1" si="44"/>
        <v>203</v>
      </c>
      <c r="Q303">
        <f t="shared" ca="1" si="45"/>
        <v>2</v>
      </c>
      <c r="R303">
        <f t="shared" si="46"/>
        <v>3</v>
      </c>
      <c r="S303">
        <f t="shared" ca="1" si="47"/>
        <v>3</v>
      </c>
      <c r="T303" t="str">
        <f t="shared" ca="1" si="48"/>
        <v>233</v>
      </c>
      <c r="U303" t="str">
        <f t="shared" ca="1" si="49"/>
        <v>At Risk</v>
      </c>
    </row>
    <row r="304" spans="1:21">
      <c r="A304" s="13" t="str">
        <f>Cleaned_Data!A304</f>
        <v>MEM0303</v>
      </c>
      <c r="B304" s="14" t="str">
        <f ca="1">Cleaned_Data!D304</f>
        <v>BR02</v>
      </c>
      <c r="C304" s="14" t="str">
        <f ca="1">Cleaned_Data!E304</f>
        <v>Premium</v>
      </c>
      <c r="D304" s="15">
        <f>Cleaned_Data!F304</f>
        <v>45647</v>
      </c>
      <c r="E304" s="15">
        <f>Cleaned_Data!G304</f>
        <v>45677</v>
      </c>
      <c r="F304" s="14">
        <f>Cleaned_Data!H304</f>
        <v>2000</v>
      </c>
      <c r="G304" s="14">
        <f ca="1">Cleaned_Data!I304</f>
        <v>20000</v>
      </c>
      <c r="H304" s="14">
        <f>Cleaned_Data!J304</f>
        <v>1</v>
      </c>
      <c r="I304" s="14" t="str">
        <f>Cleaned_Data!M304</f>
        <v>Cancelled</v>
      </c>
      <c r="J304" s="16">
        <f>Cleaned_Data!N304</f>
        <v>45811</v>
      </c>
      <c r="K304" t="str">
        <f t="shared" si="40"/>
        <v>At Risk</v>
      </c>
      <c r="L304" s="5" t="str">
        <f>IF(COUNTIF($A$2:A304,A304)&gt;1,"Duplicate","Unique")</f>
        <v>Unique</v>
      </c>
      <c r="M304" t="str">
        <f t="shared" si="41"/>
        <v>2024-12</v>
      </c>
      <c r="N304" s="2">
        <f t="shared" ca="1" si="42"/>
        <v>45811</v>
      </c>
      <c r="O304" s="4">
        <f t="shared" ca="1" si="43"/>
        <v>5</v>
      </c>
      <c r="P304" s="4">
        <f t="shared" ca="1" si="44"/>
        <v>318</v>
      </c>
      <c r="Q304">
        <f t="shared" ca="1" si="45"/>
        <v>2</v>
      </c>
      <c r="R304">
        <f t="shared" si="46"/>
        <v>1</v>
      </c>
      <c r="S304">
        <f t="shared" ca="1" si="47"/>
        <v>5</v>
      </c>
      <c r="T304" t="str">
        <f t="shared" ca="1" si="48"/>
        <v>215</v>
      </c>
      <c r="U304" t="str">
        <f t="shared" ca="1" si="49"/>
        <v>At Risk</v>
      </c>
    </row>
    <row r="305" spans="1:21">
      <c r="A305" s="17" t="str">
        <f>Cleaned_Data!A305</f>
        <v>MEM0304</v>
      </c>
      <c r="B305" s="18" t="str">
        <f ca="1">Cleaned_Data!D305</f>
        <v>BR07</v>
      </c>
      <c r="C305" s="18" t="str">
        <f ca="1">Cleaned_Data!E305</f>
        <v>Basic</v>
      </c>
      <c r="D305" s="19">
        <f>Cleaned_Data!F305</f>
        <v>45789</v>
      </c>
      <c r="E305" s="19">
        <f>Cleaned_Data!G305</f>
        <v>46154</v>
      </c>
      <c r="F305" s="18">
        <f>Cleaned_Data!H305</f>
        <v>2000</v>
      </c>
      <c r="G305" s="18">
        <f ca="1">Cleaned_Data!I305</f>
        <v>20000</v>
      </c>
      <c r="H305" s="18">
        <f>Cleaned_Data!J305</f>
        <v>17</v>
      </c>
      <c r="I305" s="18" t="str">
        <f>Cleaned_Data!M305</f>
        <v>Active</v>
      </c>
      <c r="J305" s="20">
        <f>Cleaned_Data!N305</f>
        <v>45800</v>
      </c>
      <c r="K305" t="str">
        <f t="shared" si="40"/>
        <v>Highly Active</v>
      </c>
      <c r="L305" s="5" t="str">
        <f>IF(COUNTIF($A$2:A305,A305)&gt;1,"Duplicate","Unique")</f>
        <v>Unique</v>
      </c>
      <c r="M305" t="str">
        <f t="shared" si="41"/>
        <v>2025-05</v>
      </c>
      <c r="N305" s="2">
        <f t="shared" ca="1" si="42"/>
        <v>45800</v>
      </c>
      <c r="O305" s="4">
        <f t="shared" ca="1" si="43"/>
        <v>0</v>
      </c>
      <c r="P305" s="4">
        <f t="shared" ca="1" si="44"/>
        <v>329</v>
      </c>
      <c r="Q305">
        <f t="shared" ca="1" si="45"/>
        <v>2</v>
      </c>
      <c r="R305">
        <f t="shared" si="46"/>
        <v>4</v>
      </c>
      <c r="S305">
        <f t="shared" ca="1" si="47"/>
        <v>5</v>
      </c>
      <c r="T305" t="str">
        <f t="shared" ca="1" si="48"/>
        <v>245</v>
      </c>
      <c r="U305" t="str">
        <f t="shared" ca="1" si="49"/>
        <v>At Risk</v>
      </c>
    </row>
    <row r="306" spans="1:21">
      <c r="A306" s="13" t="str">
        <f>Cleaned_Data!A306</f>
        <v>MEM0305</v>
      </c>
      <c r="B306" s="14" t="str">
        <f ca="1">Cleaned_Data!D306</f>
        <v>BR02</v>
      </c>
      <c r="C306" s="14" t="str">
        <f ca="1">Cleaned_Data!E306</f>
        <v>Premium</v>
      </c>
      <c r="D306" s="15">
        <f>Cleaned_Data!F306</f>
        <v>45774</v>
      </c>
      <c r="E306" s="15">
        <f>Cleaned_Data!G306</f>
        <v>46139</v>
      </c>
      <c r="F306" s="14">
        <f>Cleaned_Data!H306</f>
        <v>1000</v>
      </c>
      <c r="G306" s="14">
        <f ca="1">Cleaned_Data!I306</f>
        <v>12000</v>
      </c>
      <c r="H306" s="14">
        <f>Cleaned_Data!J306</f>
        <v>13</v>
      </c>
      <c r="I306" s="14" t="str">
        <f>Cleaned_Data!M306</f>
        <v>Active</v>
      </c>
      <c r="J306" s="16">
        <f>Cleaned_Data!N306</f>
        <v>45786</v>
      </c>
      <c r="K306" t="str">
        <f t="shared" si="40"/>
        <v>Moderate</v>
      </c>
      <c r="L306" s="5" t="str">
        <f>IF(COUNTIF($A$2:A306,A306)&gt;1,"Duplicate","Unique")</f>
        <v>Unique</v>
      </c>
      <c r="M306" t="str">
        <f t="shared" si="41"/>
        <v>2025-04</v>
      </c>
      <c r="N306" s="2">
        <f t="shared" ca="1" si="42"/>
        <v>45786</v>
      </c>
      <c r="O306" s="4">
        <f t="shared" ca="1" si="43"/>
        <v>0</v>
      </c>
      <c r="P306" s="4">
        <f t="shared" ca="1" si="44"/>
        <v>343</v>
      </c>
      <c r="Q306">
        <f t="shared" ca="1" si="45"/>
        <v>2</v>
      </c>
      <c r="R306">
        <f t="shared" si="46"/>
        <v>3</v>
      </c>
      <c r="S306">
        <f t="shared" ca="1" si="47"/>
        <v>4</v>
      </c>
      <c r="T306" t="str">
        <f t="shared" ca="1" si="48"/>
        <v>234</v>
      </c>
      <c r="U306" t="str">
        <f t="shared" ca="1" si="49"/>
        <v>At Risk</v>
      </c>
    </row>
    <row r="307" spans="1:21">
      <c r="A307" s="17" t="str">
        <f>Cleaned_Data!A307</f>
        <v>MEM0306</v>
      </c>
      <c r="B307" s="18" t="str">
        <f ca="1">Cleaned_Data!D307</f>
        <v>BR03</v>
      </c>
      <c r="C307" s="18" t="str">
        <f ca="1">Cleaned_Data!E307</f>
        <v>Standard</v>
      </c>
      <c r="D307" s="19">
        <f>Cleaned_Data!F307</f>
        <v>45884</v>
      </c>
      <c r="E307" s="19">
        <f>Cleaned_Data!G307</f>
        <v>46249</v>
      </c>
      <c r="F307" s="18">
        <f>Cleaned_Data!H307</f>
        <v>3500</v>
      </c>
      <c r="G307" s="18">
        <f ca="1">Cleaned_Data!I307</f>
        <v>28000</v>
      </c>
      <c r="H307" s="18">
        <f>Cleaned_Data!J307</f>
        <v>17</v>
      </c>
      <c r="I307" s="18" t="str">
        <f>Cleaned_Data!M307</f>
        <v>Active</v>
      </c>
      <c r="J307" s="20">
        <f>Cleaned_Data!N307</f>
        <v>45996</v>
      </c>
      <c r="K307" t="str">
        <f t="shared" si="40"/>
        <v>Highly Active</v>
      </c>
      <c r="L307" s="5" t="str">
        <f>IF(COUNTIF($A$2:A307,A307)&gt;1,"Duplicate","Unique")</f>
        <v>Unique</v>
      </c>
      <c r="M307" t="str">
        <f t="shared" si="41"/>
        <v>2025-08</v>
      </c>
      <c r="N307" s="2">
        <f t="shared" ca="1" si="42"/>
        <v>45996</v>
      </c>
      <c r="O307" s="4">
        <f t="shared" ca="1" si="43"/>
        <v>3</v>
      </c>
      <c r="P307" s="4">
        <f t="shared" ca="1" si="44"/>
        <v>133</v>
      </c>
      <c r="Q307">
        <f t="shared" ca="1" si="45"/>
        <v>3</v>
      </c>
      <c r="R307">
        <f t="shared" si="46"/>
        <v>4</v>
      </c>
      <c r="S307">
        <f t="shared" ca="1" si="47"/>
        <v>5</v>
      </c>
      <c r="T307" t="str">
        <f t="shared" ca="1" si="48"/>
        <v>345</v>
      </c>
      <c r="U307" t="str">
        <f t="shared" ca="1" si="49"/>
        <v>Loyal</v>
      </c>
    </row>
    <row r="308" spans="1:21">
      <c r="A308" s="13" t="str">
        <f>Cleaned_Data!A308</f>
        <v>MEM0307</v>
      </c>
      <c r="B308" s="14" t="str">
        <f ca="1">Cleaned_Data!D308</f>
        <v>BR05</v>
      </c>
      <c r="C308" s="14" t="str">
        <f ca="1">Cleaned_Data!E308</f>
        <v>Standard</v>
      </c>
      <c r="D308" s="15">
        <f>Cleaned_Data!F308</f>
        <v>45902</v>
      </c>
      <c r="E308" s="15">
        <f>Cleaned_Data!G308</f>
        <v>45992</v>
      </c>
      <c r="F308" s="14">
        <f>Cleaned_Data!H308</f>
        <v>1000</v>
      </c>
      <c r="G308" s="14">
        <f ca="1">Cleaned_Data!I308</f>
        <v>10000</v>
      </c>
      <c r="H308" s="14">
        <f>Cleaned_Data!J308</f>
        <v>2</v>
      </c>
      <c r="I308" s="14" t="str">
        <f>Cleaned_Data!M308</f>
        <v>Cancelled</v>
      </c>
      <c r="J308" s="16">
        <f>Cleaned_Data!N308</f>
        <v>46102</v>
      </c>
      <c r="K308" t="str">
        <f t="shared" si="40"/>
        <v>At Risk</v>
      </c>
      <c r="L308" s="5" t="str">
        <f>IF(COUNTIF($A$2:A308,A308)&gt;1,"Duplicate","Unique")</f>
        <v>Unique</v>
      </c>
      <c r="M308" t="str">
        <f t="shared" si="41"/>
        <v>2025-09</v>
      </c>
      <c r="N308" s="2">
        <f t="shared" ca="1" si="42"/>
        <v>46102</v>
      </c>
      <c r="O308" s="4">
        <f t="shared" ca="1" si="43"/>
        <v>6</v>
      </c>
      <c r="P308" s="4">
        <f t="shared" ca="1" si="44"/>
        <v>27</v>
      </c>
      <c r="Q308">
        <f t="shared" ca="1" si="45"/>
        <v>5</v>
      </c>
      <c r="R308">
        <f t="shared" si="46"/>
        <v>1</v>
      </c>
      <c r="S308">
        <f t="shared" ca="1" si="47"/>
        <v>4</v>
      </c>
      <c r="T308" t="str">
        <f t="shared" ca="1" si="48"/>
        <v>514</v>
      </c>
      <c r="U308" t="str">
        <f t="shared" ca="1" si="49"/>
        <v>Others</v>
      </c>
    </row>
    <row r="309" spans="1:21">
      <c r="A309" s="17" t="str">
        <f>Cleaned_Data!A309</f>
        <v>MEM0308</v>
      </c>
      <c r="B309" s="18" t="str">
        <f ca="1">Cleaned_Data!D309</f>
        <v>BR01</v>
      </c>
      <c r="C309" s="18" t="str">
        <f ca="1">Cleaned_Data!E309</f>
        <v>Basic</v>
      </c>
      <c r="D309" s="19">
        <f>Cleaned_Data!F309</f>
        <v>45358</v>
      </c>
      <c r="E309" s="19">
        <f>Cleaned_Data!G309</f>
        <v>45723</v>
      </c>
      <c r="F309" s="18">
        <f>Cleaned_Data!H309</f>
        <v>3500</v>
      </c>
      <c r="G309" s="18">
        <f ca="1">Cleaned_Data!I309</f>
        <v>14000</v>
      </c>
      <c r="H309" s="18">
        <f>Cleaned_Data!J309</f>
        <v>22</v>
      </c>
      <c r="I309" s="18" t="str">
        <f>Cleaned_Data!M309</f>
        <v>Cancelled</v>
      </c>
      <c r="J309" s="20">
        <f>Cleaned_Data!N309</f>
        <v>45479</v>
      </c>
      <c r="K309" t="str">
        <f t="shared" si="40"/>
        <v>Highly Active</v>
      </c>
      <c r="L309" s="5" t="str">
        <f>IF(COUNTIF($A$2:A309,A309)&gt;1,"Duplicate","Unique")</f>
        <v>Unique</v>
      </c>
      <c r="M309" t="str">
        <f t="shared" si="41"/>
        <v>2024-03</v>
      </c>
      <c r="N309" s="2">
        <f t="shared" ca="1" si="42"/>
        <v>45479</v>
      </c>
      <c r="O309" s="4">
        <f t="shared" ca="1" si="43"/>
        <v>3</v>
      </c>
      <c r="P309" s="4">
        <f t="shared" ca="1" si="44"/>
        <v>650</v>
      </c>
      <c r="Q309">
        <f t="shared" ca="1" si="45"/>
        <v>1</v>
      </c>
      <c r="R309">
        <f t="shared" si="46"/>
        <v>5</v>
      </c>
      <c r="S309">
        <f t="shared" ca="1" si="47"/>
        <v>4</v>
      </c>
      <c r="T309" t="str">
        <f t="shared" ca="1" si="48"/>
        <v>154</v>
      </c>
      <c r="U309" t="str">
        <f t="shared" ca="1" si="49"/>
        <v>At Risk</v>
      </c>
    </row>
    <row r="310" spans="1:21">
      <c r="A310" s="13" t="str">
        <f>Cleaned_Data!A310</f>
        <v>MEM0309</v>
      </c>
      <c r="B310" s="14" t="str">
        <f ca="1">Cleaned_Data!D310</f>
        <v>BR04</v>
      </c>
      <c r="C310" s="14" t="str">
        <f ca="1">Cleaned_Data!E310</f>
        <v>Basic</v>
      </c>
      <c r="D310" s="15">
        <f>Cleaned_Data!F310</f>
        <v>45915</v>
      </c>
      <c r="E310" s="15">
        <f>Cleaned_Data!G310</f>
        <v>45945</v>
      </c>
      <c r="F310" s="14">
        <f>Cleaned_Data!H310</f>
        <v>1000</v>
      </c>
      <c r="G310" s="14">
        <f ca="1">Cleaned_Data!I310</f>
        <v>3000</v>
      </c>
      <c r="H310" s="14">
        <f>Cleaned_Data!J310</f>
        <v>6</v>
      </c>
      <c r="I310" s="14" t="str">
        <f>Cleaned_Data!M310</f>
        <v>Active</v>
      </c>
      <c r="J310" s="16">
        <f>Cleaned_Data!N310</f>
        <v>45973</v>
      </c>
      <c r="K310" t="str">
        <f t="shared" si="40"/>
        <v>Moderate</v>
      </c>
      <c r="L310" s="5" t="str">
        <f>IF(COUNTIF($A$2:A310,A310)&gt;1,"Duplicate","Unique")</f>
        <v>Unique</v>
      </c>
      <c r="M310" t="str">
        <f t="shared" si="41"/>
        <v>2025-09</v>
      </c>
      <c r="N310" s="2">
        <f t="shared" ca="1" si="42"/>
        <v>45973</v>
      </c>
      <c r="O310" s="4">
        <f t="shared" ca="1" si="43"/>
        <v>1</v>
      </c>
      <c r="P310" s="4">
        <f t="shared" ca="1" si="44"/>
        <v>156</v>
      </c>
      <c r="Q310">
        <f t="shared" ca="1" si="45"/>
        <v>3</v>
      </c>
      <c r="R310">
        <f t="shared" si="46"/>
        <v>2</v>
      </c>
      <c r="S310">
        <f t="shared" ca="1" si="47"/>
        <v>2</v>
      </c>
      <c r="T310" t="str">
        <f t="shared" ca="1" si="48"/>
        <v>322</v>
      </c>
      <c r="U310" t="str">
        <f t="shared" ca="1" si="49"/>
        <v>Others</v>
      </c>
    </row>
    <row r="311" spans="1:21">
      <c r="A311" s="17" t="str">
        <f>Cleaned_Data!A311</f>
        <v>MEM0310</v>
      </c>
      <c r="B311" s="18" t="str">
        <f ca="1">Cleaned_Data!D311</f>
        <v>BR06</v>
      </c>
      <c r="C311" s="18" t="str">
        <f ca="1">Cleaned_Data!E311</f>
        <v>Basic</v>
      </c>
      <c r="D311" s="19">
        <f>Cleaned_Data!F311</f>
        <v>45837</v>
      </c>
      <c r="E311" s="19">
        <f>Cleaned_Data!G311</f>
        <v>46202</v>
      </c>
      <c r="F311" s="18">
        <f>Cleaned_Data!H311</f>
        <v>3500</v>
      </c>
      <c r="G311" s="18">
        <f ca="1">Cleaned_Data!I311</f>
        <v>7000</v>
      </c>
      <c r="H311" s="18">
        <f>Cleaned_Data!J311</f>
        <v>9</v>
      </c>
      <c r="I311" s="18" t="str">
        <f>Cleaned_Data!M311</f>
        <v>Cancelled</v>
      </c>
      <c r="J311" s="20">
        <f>Cleaned_Data!N311</f>
        <v>45972</v>
      </c>
      <c r="K311" t="str">
        <f t="shared" si="40"/>
        <v>Moderate</v>
      </c>
      <c r="L311" s="5" t="str">
        <f>IF(COUNTIF($A$2:A311,A311)&gt;1,"Duplicate","Unique")</f>
        <v>Unique</v>
      </c>
      <c r="M311" t="str">
        <f t="shared" si="41"/>
        <v>2025-06</v>
      </c>
      <c r="N311" s="2">
        <f t="shared" ca="1" si="42"/>
        <v>45972</v>
      </c>
      <c r="O311" s="4">
        <f t="shared" ca="1" si="43"/>
        <v>4</v>
      </c>
      <c r="P311" s="4">
        <f t="shared" ca="1" si="44"/>
        <v>157</v>
      </c>
      <c r="Q311">
        <f t="shared" ca="1" si="45"/>
        <v>3</v>
      </c>
      <c r="R311">
        <f t="shared" si="46"/>
        <v>2</v>
      </c>
      <c r="S311">
        <f t="shared" ca="1" si="47"/>
        <v>3</v>
      </c>
      <c r="T311" t="str">
        <f t="shared" ca="1" si="48"/>
        <v>323</v>
      </c>
      <c r="U311" t="str">
        <f t="shared" ca="1" si="49"/>
        <v>Others</v>
      </c>
    </row>
    <row r="312" spans="1:21">
      <c r="A312" s="13" t="str">
        <f>Cleaned_Data!A312</f>
        <v>MEM0311</v>
      </c>
      <c r="B312" s="14" t="str">
        <f ca="1">Cleaned_Data!D312</f>
        <v>BR07</v>
      </c>
      <c r="C312" s="14" t="str">
        <f ca="1">Cleaned_Data!E312</f>
        <v>Basic</v>
      </c>
      <c r="D312" s="15">
        <f>Cleaned_Data!F312</f>
        <v>45208</v>
      </c>
      <c r="E312" s="15">
        <f>Cleaned_Data!G312</f>
        <v>45573</v>
      </c>
      <c r="F312" s="14">
        <f>Cleaned_Data!H312</f>
        <v>3500</v>
      </c>
      <c r="G312" s="14">
        <f ca="1">Cleaned_Data!I312</f>
        <v>38500</v>
      </c>
      <c r="H312" s="14">
        <f>Cleaned_Data!J312</f>
        <v>2</v>
      </c>
      <c r="I312" s="14" t="str">
        <f>Cleaned_Data!M312</f>
        <v>Active</v>
      </c>
      <c r="J312" s="16">
        <f>Cleaned_Data!N312</f>
        <v>45495</v>
      </c>
      <c r="K312" t="str">
        <f t="shared" si="40"/>
        <v>At Risk</v>
      </c>
      <c r="L312" s="5" t="str">
        <f>IF(COUNTIF($A$2:A312,A312)&gt;1,"Duplicate","Unique")</f>
        <v>Unique</v>
      </c>
      <c r="M312" t="str">
        <f t="shared" si="41"/>
        <v>2023-10</v>
      </c>
      <c r="N312" s="2">
        <f t="shared" ca="1" si="42"/>
        <v>45495</v>
      </c>
      <c r="O312" s="4">
        <f t="shared" ca="1" si="43"/>
        <v>9</v>
      </c>
      <c r="P312" s="4">
        <f t="shared" ca="1" si="44"/>
        <v>634</v>
      </c>
      <c r="Q312">
        <f t="shared" ca="1" si="45"/>
        <v>1</v>
      </c>
      <c r="R312">
        <f t="shared" si="46"/>
        <v>1</v>
      </c>
      <c r="S312">
        <f t="shared" ca="1" si="47"/>
        <v>5</v>
      </c>
      <c r="T312" t="str">
        <f t="shared" ca="1" si="48"/>
        <v>115</v>
      </c>
      <c r="U312" t="str">
        <f t="shared" ca="1" si="49"/>
        <v>At Risk</v>
      </c>
    </row>
    <row r="313" spans="1:21">
      <c r="A313" s="17" t="str">
        <f>Cleaned_Data!A313</f>
        <v>MEM0312</v>
      </c>
      <c r="B313" s="18" t="str">
        <f ca="1">Cleaned_Data!D313</f>
        <v>BR05</v>
      </c>
      <c r="C313" s="18" t="str">
        <f ca="1">Cleaned_Data!E313</f>
        <v>Premium</v>
      </c>
      <c r="D313" s="19">
        <f>Cleaned_Data!F313</f>
        <v>45439</v>
      </c>
      <c r="E313" s="19">
        <f>Cleaned_Data!G313</f>
        <v>45804</v>
      </c>
      <c r="F313" s="18">
        <f>Cleaned_Data!H313</f>
        <v>1000</v>
      </c>
      <c r="G313" s="18">
        <f ca="1">Cleaned_Data!I313</f>
        <v>5000</v>
      </c>
      <c r="H313" s="18">
        <f>Cleaned_Data!J313</f>
        <v>13</v>
      </c>
      <c r="I313" s="18" t="str">
        <f>Cleaned_Data!M313</f>
        <v>Active</v>
      </c>
      <c r="J313" s="20">
        <f>Cleaned_Data!N313</f>
        <v>45935</v>
      </c>
      <c r="K313" t="str">
        <f t="shared" si="40"/>
        <v>Moderate</v>
      </c>
      <c r="L313" s="5" t="str">
        <f>IF(COUNTIF($A$2:A313,A313)&gt;1,"Duplicate","Unique")</f>
        <v>Unique</v>
      </c>
      <c r="M313" t="str">
        <f t="shared" si="41"/>
        <v>2024-05</v>
      </c>
      <c r="N313" s="2">
        <f t="shared" ca="1" si="42"/>
        <v>45935</v>
      </c>
      <c r="O313" s="4">
        <f t="shared" ca="1" si="43"/>
        <v>16</v>
      </c>
      <c r="P313" s="4">
        <f t="shared" ca="1" si="44"/>
        <v>194</v>
      </c>
      <c r="Q313">
        <f t="shared" ca="1" si="45"/>
        <v>2</v>
      </c>
      <c r="R313">
        <f t="shared" si="46"/>
        <v>3</v>
      </c>
      <c r="S313">
        <f t="shared" ca="1" si="47"/>
        <v>3</v>
      </c>
      <c r="T313" t="str">
        <f t="shared" ca="1" si="48"/>
        <v>233</v>
      </c>
      <c r="U313" t="str">
        <f t="shared" ca="1" si="49"/>
        <v>At Risk</v>
      </c>
    </row>
    <row r="314" spans="1:21">
      <c r="A314" s="13" t="str">
        <f>Cleaned_Data!A314</f>
        <v>MEM0313</v>
      </c>
      <c r="B314" s="14" t="str">
        <f ca="1">Cleaned_Data!D314</f>
        <v>BR01</v>
      </c>
      <c r="C314" s="14" t="str">
        <f ca="1">Cleaned_Data!E314</f>
        <v>Basic</v>
      </c>
      <c r="D314" s="15">
        <f>Cleaned_Data!F314</f>
        <v>45760</v>
      </c>
      <c r="E314" s="15">
        <f>Cleaned_Data!G314</f>
        <v>45790</v>
      </c>
      <c r="F314" s="14">
        <f>Cleaned_Data!H314</f>
        <v>1000</v>
      </c>
      <c r="G314" s="14">
        <f ca="1">Cleaned_Data!I314</f>
        <v>2000</v>
      </c>
      <c r="H314" s="14">
        <f>Cleaned_Data!J314</f>
        <v>15</v>
      </c>
      <c r="I314" s="14" t="str">
        <f>Cleaned_Data!M314</f>
        <v>Active</v>
      </c>
      <c r="J314" s="16">
        <f>Cleaned_Data!N314</f>
        <v>46065</v>
      </c>
      <c r="K314" t="str">
        <f t="shared" si="40"/>
        <v>Highly Active</v>
      </c>
      <c r="L314" s="5" t="str">
        <f>IF(COUNTIF($A$2:A314,A314)&gt;1,"Duplicate","Unique")</f>
        <v>Unique</v>
      </c>
      <c r="M314" t="str">
        <f t="shared" si="41"/>
        <v>2025-04</v>
      </c>
      <c r="N314" s="2">
        <f t="shared" ca="1" si="42"/>
        <v>46065</v>
      </c>
      <c r="O314" s="4">
        <f t="shared" ca="1" si="43"/>
        <v>9</v>
      </c>
      <c r="P314" s="4">
        <f t="shared" ca="1" si="44"/>
        <v>64</v>
      </c>
      <c r="Q314">
        <f t="shared" ca="1" si="45"/>
        <v>4</v>
      </c>
      <c r="R314">
        <f t="shared" si="46"/>
        <v>4</v>
      </c>
      <c r="S314">
        <f t="shared" ca="1" si="47"/>
        <v>2</v>
      </c>
      <c r="T314" t="str">
        <f t="shared" ca="1" si="48"/>
        <v>442</v>
      </c>
      <c r="U314" t="str">
        <f t="shared" ca="1" si="49"/>
        <v>Others</v>
      </c>
    </row>
    <row r="315" spans="1:21">
      <c r="A315" s="17" t="str">
        <f>Cleaned_Data!A315</f>
        <v>MEM0314</v>
      </c>
      <c r="B315" s="18" t="str">
        <f ca="1">Cleaned_Data!D315</f>
        <v>BR05</v>
      </c>
      <c r="C315" s="18" t="str">
        <f ca="1">Cleaned_Data!E315</f>
        <v>Basic</v>
      </c>
      <c r="D315" s="19">
        <f>Cleaned_Data!F315</f>
        <v>45795</v>
      </c>
      <c r="E315" s="19">
        <f>Cleaned_Data!G315</f>
        <v>45885</v>
      </c>
      <c r="F315" s="18">
        <f>Cleaned_Data!H315</f>
        <v>1000</v>
      </c>
      <c r="G315" s="18">
        <f ca="1">Cleaned_Data!I315</f>
        <v>5000</v>
      </c>
      <c r="H315" s="18">
        <f>Cleaned_Data!J315</f>
        <v>0</v>
      </c>
      <c r="I315" s="18" t="str">
        <f>Cleaned_Data!M315</f>
        <v>Active</v>
      </c>
      <c r="J315" s="20">
        <f>Cleaned_Data!N315</f>
        <v>46124</v>
      </c>
      <c r="K315" t="str">
        <f t="shared" si="40"/>
        <v>At Risk</v>
      </c>
      <c r="L315" s="5" t="str">
        <f>IF(COUNTIF($A$2:A315,A315)&gt;1,"Duplicate","Unique")</f>
        <v>Unique</v>
      </c>
      <c r="M315" t="str">
        <f t="shared" si="41"/>
        <v>2025-05</v>
      </c>
      <c r="N315" s="2">
        <f t="shared" ca="1" si="42"/>
        <v>46124</v>
      </c>
      <c r="O315" s="4">
        <f t="shared" ca="1" si="43"/>
        <v>10</v>
      </c>
      <c r="P315" s="4">
        <f t="shared" ca="1" si="44"/>
        <v>5</v>
      </c>
      <c r="Q315">
        <f t="shared" ca="1" si="45"/>
        <v>5</v>
      </c>
      <c r="R315">
        <f t="shared" si="46"/>
        <v>1</v>
      </c>
      <c r="S315">
        <f t="shared" ca="1" si="47"/>
        <v>3</v>
      </c>
      <c r="T315" t="str">
        <f t="shared" ca="1" si="48"/>
        <v>513</v>
      </c>
      <c r="U315" t="str">
        <f t="shared" ca="1" si="49"/>
        <v>Others</v>
      </c>
    </row>
    <row r="316" spans="1:21">
      <c r="A316" s="13" t="str">
        <f>Cleaned_Data!A316</f>
        <v>MEM0315</v>
      </c>
      <c r="B316" s="14" t="str">
        <f ca="1">Cleaned_Data!D316</f>
        <v>BR01</v>
      </c>
      <c r="C316" s="14" t="str">
        <f ca="1">Cleaned_Data!E316</f>
        <v>Basic</v>
      </c>
      <c r="D316" s="15">
        <f>Cleaned_Data!F316</f>
        <v>44959</v>
      </c>
      <c r="E316" s="15">
        <f>Cleaned_Data!G316</f>
        <v>44989</v>
      </c>
      <c r="F316" s="14">
        <f>Cleaned_Data!H316</f>
        <v>3500</v>
      </c>
      <c r="G316" s="14">
        <f ca="1">Cleaned_Data!I316</f>
        <v>7000</v>
      </c>
      <c r="H316" s="14">
        <f>Cleaned_Data!J316</f>
        <v>13</v>
      </c>
      <c r="I316" s="14" t="str">
        <f>Cleaned_Data!M316</f>
        <v>Active</v>
      </c>
      <c r="J316" s="16">
        <f>Cleaned_Data!N316</f>
        <v>45631</v>
      </c>
      <c r="K316" t="str">
        <f t="shared" si="40"/>
        <v>Moderate</v>
      </c>
      <c r="L316" s="5" t="str">
        <f>IF(COUNTIF($A$2:A316,A316)&gt;1,"Duplicate","Unique")</f>
        <v>Unique</v>
      </c>
      <c r="M316" t="str">
        <f t="shared" si="41"/>
        <v>2023-02</v>
      </c>
      <c r="N316" s="2">
        <f t="shared" ca="1" si="42"/>
        <v>45631</v>
      </c>
      <c r="O316" s="4">
        <f t="shared" ca="1" si="43"/>
        <v>22</v>
      </c>
      <c r="P316" s="4">
        <f t="shared" ca="1" si="44"/>
        <v>498</v>
      </c>
      <c r="Q316">
        <f t="shared" ca="1" si="45"/>
        <v>1</v>
      </c>
      <c r="R316">
        <f t="shared" si="46"/>
        <v>3</v>
      </c>
      <c r="S316">
        <f t="shared" ca="1" si="47"/>
        <v>3</v>
      </c>
      <c r="T316" t="str">
        <f t="shared" ca="1" si="48"/>
        <v>133</v>
      </c>
      <c r="U316" t="str">
        <f t="shared" ca="1" si="49"/>
        <v>At Risk</v>
      </c>
    </row>
    <row r="317" spans="1:21">
      <c r="A317" s="17" t="str">
        <f>Cleaned_Data!A317</f>
        <v>MEM0316</v>
      </c>
      <c r="B317" s="18" t="str">
        <f ca="1">Cleaned_Data!D317</f>
        <v>BR06</v>
      </c>
      <c r="C317" s="18" t="str">
        <f ca="1">Cleaned_Data!E317</f>
        <v>Premium</v>
      </c>
      <c r="D317" s="19">
        <f>Cleaned_Data!F317</f>
        <v>45355</v>
      </c>
      <c r="E317" s="19">
        <f>Cleaned_Data!G317</f>
        <v>45720</v>
      </c>
      <c r="F317" s="18">
        <f>Cleaned_Data!H317</f>
        <v>3500</v>
      </c>
      <c r="G317" s="18">
        <f ca="1">Cleaned_Data!I317</f>
        <v>35000</v>
      </c>
      <c r="H317" s="18">
        <f>Cleaned_Data!J317</f>
        <v>5</v>
      </c>
      <c r="I317" s="18" t="str">
        <f>Cleaned_Data!M317</f>
        <v>Cancelled</v>
      </c>
      <c r="J317" s="20">
        <f>Cleaned_Data!N317</f>
        <v>45722</v>
      </c>
      <c r="K317" t="str">
        <f t="shared" si="40"/>
        <v>Moderate</v>
      </c>
      <c r="L317" s="5" t="str">
        <f>IF(COUNTIF($A$2:A317,A317)&gt;1,"Duplicate","Unique")</f>
        <v>Unique</v>
      </c>
      <c r="M317" t="str">
        <f t="shared" si="41"/>
        <v>2024-03</v>
      </c>
      <c r="N317" s="2">
        <f t="shared" ca="1" si="42"/>
        <v>45722</v>
      </c>
      <c r="O317" s="4">
        <f t="shared" ca="1" si="43"/>
        <v>12</v>
      </c>
      <c r="P317" s="4">
        <f t="shared" ca="1" si="44"/>
        <v>407</v>
      </c>
      <c r="Q317">
        <f t="shared" ca="1" si="45"/>
        <v>1</v>
      </c>
      <c r="R317">
        <f t="shared" si="46"/>
        <v>2</v>
      </c>
      <c r="S317">
        <f t="shared" ca="1" si="47"/>
        <v>5</v>
      </c>
      <c r="T317" t="str">
        <f t="shared" ca="1" si="48"/>
        <v>125</v>
      </c>
      <c r="U317" t="str">
        <f t="shared" ca="1" si="49"/>
        <v>At Risk</v>
      </c>
    </row>
    <row r="318" spans="1:21">
      <c r="A318" s="13" t="str">
        <f>Cleaned_Data!A318</f>
        <v>MEM0317</v>
      </c>
      <c r="B318" s="14" t="str">
        <f ca="1">Cleaned_Data!D318</f>
        <v>BR02</v>
      </c>
      <c r="C318" s="14" t="str">
        <f ca="1">Cleaned_Data!E318</f>
        <v>Standard</v>
      </c>
      <c r="D318" s="15">
        <f>Cleaned_Data!F318</f>
        <v>45392</v>
      </c>
      <c r="E318" s="15">
        <f>Cleaned_Data!G318</f>
        <v>45757</v>
      </c>
      <c r="F318" s="14">
        <f>Cleaned_Data!H318</f>
        <v>1000</v>
      </c>
      <c r="G318" s="14">
        <f ca="1">Cleaned_Data!I318</f>
        <v>5000</v>
      </c>
      <c r="H318" s="14">
        <f>Cleaned_Data!J318</f>
        <v>16</v>
      </c>
      <c r="I318" s="14" t="str">
        <f>Cleaned_Data!M318</f>
        <v>Cancelled</v>
      </c>
      <c r="J318" s="16">
        <f>Cleaned_Data!N318</f>
        <v>45408</v>
      </c>
      <c r="K318" t="str">
        <f t="shared" si="40"/>
        <v>Highly Active</v>
      </c>
      <c r="L318" s="5" t="str">
        <f>IF(COUNTIF($A$2:A318,A318)&gt;1,"Duplicate","Unique")</f>
        <v>Unique</v>
      </c>
      <c r="M318" t="str">
        <f t="shared" si="41"/>
        <v>2024-04</v>
      </c>
      <c r="N318" s="2">
        <f t="shared" ca="1" si="42"/>
        <v>45408</v>
      </c>
      <c r="O318" s="4">
        <f t="shared" ca="1" si="43"/>
        <v>0</v>
      </c>
      <c r="P318" s="4">
        <f t="shared" ca="1" si="44"/>
        <v>721</v>
      </c>
      <c r="Q318">
        <f t="shared" ca="1" si="45"/>
        <v>1</v>
      </c>
      <c r="R318">
        <f t="shared" si="46"/>
        <v>4</v>
      </c>
      <c r="S318">
        <f t="shared" ca="1" si="47"/>
        <v>3</v>
      </c>
      <c r="T318" t="str">
        <f t="shared" ca="1" si="48"/>
        <v>143</v>
      </c>
      <c r="U318" t="str">
        <f t="shared" ca="1" si="49"/>
        <v>At Risk</v>
      </c>
    </row>
    <row r="319" spans="1:21">
      <c r="A319" s="17" t="str">
        <f>Cleaned_Data!A319</f>
        <v>MEM0318</v>
      </c>
      <c r="B319" s="18" t="str">
        <f ca="1">Cleaned_Data!D319</f>
        <v>BR04</v>
      </c>
      <c r="C319" s="18" t="str">
        <f ca="1">Cleaned_Data!E319</f>
        <v>Premium</v>
      </c>
      <c r="D319" s="19">
        <f>Cleaned_Data!F319</f>
        <v>45250</v>
      </c>
      <c r="E319" s="19">
        <f>Cleaned_Data!G319</f>
        <v>45340</v>
      </c>
      <c r="F319" s="18">
        <f>Cleaned_Data!H319</f>
        <v>3500</v>
      </c>
      <c r="G319" s="18">
        <f ca="1">Cleaned_Data!I319</f>
        <v>42000</v>
      </c>
      <c r="H319" s="18">
        <f>Cleaned_Data!J319</f>
        <v>16</v>
      </c>
      <c r="I319" s="18" t="str">
        <f>Cleaned_Data!M319</f>
        <v>Active</v>
      </c>
      <c r="J319" s="20">
        <f>Cleaned_Data!N319</f>
        <v>45446</v>
      </c>
      <c r="K319" t="str">
        <f t="shared" si="40"/>
        <v>Highly Active</v>
      </c>
      <c r="L319" s="5" t="str">
        <f>IF(COUNTIF($A$2:A319,A319)&gt;1,"Duplicate","Unique")</f>
        <v>Unique</v>
      </c>
      <c r="M319" t="str">
        <f t="shared" si="41"/>
        <v>2023-11</v>
      </c>
      <c r="N319" s="2">
        <f t="shared" ca="1" si="42"/>
        <v>45446</v>
      </c>
      <c r="O319" s="4">
        <f t="shared" ca="1" si="43"/>
        <v>6</v>
      </c>
      <c r="P319" s="4">
        <f t="shared" ca="1" si="44"/>
        <v>683</v>
      </c>
      <c r="Q319">
        <f t="shared" ca="1" si="45"/>
        <v>1</v>
      </c>
      <c r="R319">
        <f t="shared" si="46"/>
        <v>4</v>
      </c>
      <c r="S319">
        <f t="shared" ca="1" si="47"/>
        <v>5</v>
      </c>
      <c r="T319" t="str">
        <f t="shared" ca="1" si="48"/>
        <v>145</v>
      </c>
      <c r="U319" t="str">
        <f t="shared" ca="1" si="49"/>
        <v>At Risk</v>
      </c>
    </row>
    <row r="320" spans="1:21">
      <c r="A320" s="13" t="str">
        <f>Cleaned_Data!A320</f>
        <v>MEM0319</v>
      </c>
      <c r="B320" s="14" t="str">
        <f ca="1">Cleaned_Data!D320</f>
        <v>BR02</v>
      </c>
      <c r="C320" s="14" t="str">
        <f ca="1">Cleaned_Data!E320</f>
        <v>Basic</v>
      </c>
      <c r="D320" s="15">
        <f>Cleaned_Data!F320</f>
        <v>45074</v>
      </c>
      <c r="E320" s="15">
        <f>Cleaned_Data!G320</f>
        <v>45164</v>
      </c>
      <c r="F320" s="14">
        <f>Cleaned_Data!H320</f>
        <v>2000</v>
      </c>
      <c r="G320" s="14">
        <f ca="1">Cleaned_Data!I320</f>
        <v>16000</v>
      </c>
      <c r="H320" s="14">
        <f>Cleaned_Data!J320</f>
        <v>22</v>
      </c>
      <c r="I320" s="14" t="str">
        <f>Cleaned_Data!M320</f>
        <v>Active</v>
      </c>
      <c r="J320" s="16">
        <f>Cleaned_Data!N320</f>
        <v>45814</v>
      </c>
      <c r="K320" t="str">
        <f t="shared" si="40"/>
        <v>Highly Active</v>
      </c>
      <c r="L320" s="5" t="str">
        <f>IF(COUNTIF($A$2:A320,A320)&gt;1,"Duplicate","Unique")</f>
        <v>Unique</v>
      </c>
      <c r="M320" t="str">
        <f t="shared" si="41"/>
        <v>2023-05</v>
      </c>
      <c r="N320" s="2">
        <f t="shared" ca="1" si="42"/>
        <v>45814</v>
      </c>
      <c r="O320" s="4">
        <f t="shared" ca="1" si="43"/>
        <v>24</v>
      </c>
      <c r="P320" s="4">
        <f t="shared" ca="1" si="44"/>
        <v>315</v>
      </c>
      <c r="Q320">
        <f t="shared" ca="1" si="45"/>
        <v>2</v>
      </c>
      <c r="R320">
        <f t="shared" si="46"/>
        <v>5</v>
      </c>
      <c r="S320">
        <f t="shared" ca="1" si="47"/>
        <v>4</v>
      </c>
      <c r="T320" t="str">
        <f t="shared" ca="1" si="48"/>
        <v>254</v>
      </c>
      <c r="U320" t="str">
        <f t="shared" ca="1" si="49"/>
        <v>At Risk</v>
      </c>
    </row>
    <row r="321" spans="1:21">
      <c r="A321" s="17" t="str">
        <f>Cleaned_Data!A321</f>
        <v>MEM0320</v>
      </c>
      <c r="B321" s="18" t="str">
        <f ca="1">Cleaned_Data!D321</f>
        <v>BR02</v>
      </c>
      <c r="C321" s="18" t="str">
        <f ca="1">Cleaned_Data!E321</f>
        <v>Basic</v>
      </c>
      <c r="D321" s="19">
        <f>Cleaned_Data!F321</f>
        <v>46039</v>
      </c>
      <c r="E321" s="19">
        <f>Cleaned_Data!G321</f>
        <v>46404</v>
      </c>
      <c r="F321" s="18">
        <f>Cleaned_Data!H321</f>
        <v>2000</v>
      </c>
      <c r="G321" s="18">
        <f ca="1">Cleaned_Data!I321</f>
        <v>14000</v>
      </c>
      <c r="H321" s="18">
        <f>Cleaned_Data!J321</f>
        <v>14</v>
      </c>
      <c r="I321" s="18" t="str">
        <f>Cleaned_Data!M321</f>
        <v>Active</v>
      </c>
      <c r="J321" s="20">
        <f>Cleaned_Data!N321</f>
        <v>46057</v>
      </c>
      <c r="K321" t="str">
        <f t="shared" si="40"/>
        <v>Moderate</v>
      </c>
      <c r="L321" s="5" t="str">
        <f>IF(COUNTIF($A$2:A321,A321)&gt;1,"Duplicate","Unique")</f>
        <v>Unique</v>
      </c>
      <c r="M321" t="str">
        <f t="shared" si="41"/>
        <v>2026-01</v>
      </c>
      <c r="N321" s="2">
        <f t="shared" ca="1" si="42"/>
        <v>46057</v>
      </c>
      <c r="O321" s="4">
        <f t="shared" ca="1" si="43"/>
        <v>0</v>
      </c>
      <c r="P321" s="4">
        <f t="shared" ca="1" si="44"/>
        <v>72</v>
      </c>
      <c r="Q321">
        <f t="shared" ca="1" si="45"/>
        <v>4</v>
      </c>
      <c r="R321">
        <f t="shared" si="46"/>
        <v>3</v>
      </c>
      <c r="S321">
        <f t="shared" ca="1" si="47"/>
        <v>4</v>
      </c>
      <c r="T321" t="str">
        <f t="shared" ca="1" si="48"/>
        <v>434</v>
      </c>
      <c r="U321" t="str">
        <f t="shared" ca="1" si="49"/>
        <v>Loyal</v>
      </c>
    </row>
    <row r="322" spans="1:21">
      <c r="A322" s="13" t="str">
        <f>Cleaned_Data!A322</f>
        <v>MEM0321</v>
      </c>
      <c r="B322" s="14" t="str">
        <f ca="1">Cleaned_Data!D322</f>
        <v>BR07</v>
      </c>
      <c r="C322" s="14" t="str">
        <f ca="1">Cleaned_Data!E322</f>
        <v>Standard</v>
      </c>
      <c r="D322" s="15">
        <f>Cleaned_Data!F322</f>
        <v>45043</v>
      </c>
      <c r="E322" s="15">
        <f>Cleaned_Data!G322</f>
        <v>45408</v>
      </c>
      <c r="F322" s="14">
        <f>Cleaned_Data!H322</f>
        <v>1000</v>
      </c>
      <c r="G322" s="14">
        <f ca="1">Cleaned_Data!I322</f>
        <v>1000</v>
      </c>
      <c r="H322" s="14">
        <f>Cleaned_Data!J322</f>
        <v>23</v>
      </c>
      <c r="I322" s="14" t="str">
        <f>Cleaned_Data!M322</f>
        <v>Active</v>
      </c>
      <c r="J322" s="16">
        <f>Cleaned_Data!N322</f>
        <v>45497</v>
      </c>
      <c r="K322" t="str">
        <f t="shared" si="40"/>
        <v>Highly Active</v>
      </c>
      <c r="L322" s="5" t="str">
        <f>IF(COUNTIF($A$2:A322,A322)&gt;1,"Duplicate","Unique")</f>
        <v>Unique</v>
      </c>
      <c r="M322" t="str">
        <f t="shared" si="41"/>
        <v>2023-04</v>
      </c>
      <c r="N322" s="2">
        <f t="shared" ca="1" si="42"/>
        <v>45497</v>
      </c>
      <c r="O322" s="4">
        <f t="shared" ca="1" si="43"/>
        <v>14</v>
      </c>
      <c r="P322" s="4">
        <f t="shared" ca="1" si="44"/>
        <v>632</v>
      </c>
      <c r="Q322">
        <f t="shared" ca="1" si="45"/>
        <v>1</v>
      </c>
      <c r="R322">
        <f t="shared" si="46"/>
        <v>5</v>
      </c>
      <c r="S322">
        <f t="shared" ca="1" si="47"/>
        <v>1</v>
      </c>
      <c r="T322" t="str">
        <f t="shared" ca="1" si="48"/>
        <v>151</v>
      </c>
      <c r="U322" t="str">
        <f t="shared" ca="1" si="49"/>
        <v>At Risk</v>
      </c>
    </row>
    <row r="323" spans="1:21">
      <c r="A323" s="17" t="str">
        <f>Cleaned_Data!A323</f>
        <v>MEM0322</v>
      </c>
      <c r="B323" s="18" t="str">
        <f ca="1">Cleaned_Data!D323</f>
        <v>BR02</v>
      </c>
      <c r="C323" s="18" t="str">
        <f ca="1">Cleaned_Data!E323</f>
        <v>Basic</v>
      </c>
      <c r="D323" s="19">
        <f>Cleaned_Data!F323</f>
        <v>45354</v>
      </c>
      <c r="E323" s="19">
        <f>Cleaned_Data!G323</f>
        <v>45384</v>
      </c>
      <c r="F323" s="18">
        <f>Cleaned_Data!H323</f>
        <v>1000</v>
      </c>
      <c r="G323" s="18">
        <f ca="1">Cleaned_Data!I323</f>
        <v>6000</v>
      </c>
      <c r="H323" s="18">
        <f>Cleaned_Data!J323</f>
        <v>11</v>
      </c>
      <c r="I323" s="18" t="str">
        <f>Cleaned_Data!M323</f>
        <v>Active</v>
      </c>
      <c r="J323" s="20">
        <f>Cleaned_Data!N323</f>
        <v>45972</v>
      </c>
      <c r="K323" t="str">
        <f t="shared" ref="K323:K386" si="50">IF(H323&lt;5,"At Risk",
 IF(H323&lt;15,"Moderate",
 "Highly Active"))</f>
        <v>Moderate</v>
      </c>
      <c r="L323" s="5" t="str">
        <f>IF(COUNTIF($A$2:A323,A323)&gt;1,"Duplicate","Unique")</f>
        <v>Unique</v>
      </c>
      <c r="M323" t="str">
        <f t="shared" ref="M323:M386" si="51">TEXT(D323,"YYYY-MM")</f>
        <v>2024-03</v>
      </c>
      <c r="N323" s="2">
        <f t="shared" ref="N323:N386" ca="1" si="52">IF(J323&lt;&gt;"",
    J323,
    IF(I323="Active", TODAY(), E323)
)</f>
        <v>45972</v>
      </c>
      <c r="O323" s="4">
        <f t="shared" ref="O323:O386" ca="1" si="53">IFERROR(
   IF(N323&gt;=D323,
      DATEDIF(D323, N323, "M"),
      0
   ),
   0
)</f>
        <v>20</v>
      </c>
      <c r="P323" s="4">
        <f t="shared" ref="P323:P386" ca="1" si="54">TODAY() - N323</f>
        <v>157</v>
      </c>
      <c r="Q323">
        <f t="shared" ref="Q323:Q386" ca="1" si="55">IF(P323&lt;=30,5,
 IF(P323&lt;=90,4,
 IF(P323&lt;=180,3,
 IF(P323&lt;=365,2,1))))</f>
        <v>3</v>
      </c>
      <c r="R323">
        <f t="shared" ref="R323:R386" si="56">IF(H323&gt;=20,5,
 IF(H323&gt;=15,4,
 IF(H323&gt;=10,3,
 IF(H323&gt;=5,2,1))))</f>
        <v>3</v>
      </c>
      <c r="S323">
        <f t="shared" ref="S323:S386" ca="1" si="57">IF(G323&gt;=20000,5,
 IF(G323&gt;=10000,4,
 IF(G323&gt;=5000,3,
 IF(G323&gt;=2000,2,1))))</f>
        <v>3</v>
      </c>
      <c r="T323" t="str">
        <f t="shared" ref="T323:T386" ca="1" si="58">Q323 &amp; R323 &amp; S323</f>
        <v>333</v>
      </c>
      <c r="U323" t="str">
        <f t="shared" ref="U323:U386" ca="1" si="59">IF(AND(Q323&gt;=4,R323&gt;=4,S323&gt;=4),"Champion",
 IF(AND(Q323&gt;=3,R323&gt;=3,S323&gt;=3),"Loyal",
 IF(Q323&lt;=2,"At Risk",
 "Others")))</f>
        <v>Loyal</v>
      </c>
    </row>
    <row r="324" spans="1:21">
      <c r="A324" s="13" t="str">
        <f>Cleaned_Data!A324</f>
        <v>MEM0323</v>
      </c>
      <c r="B324" s="14" t="str">
        <f ca="1">Cleaned_Data!D324</f>
        <v>BR07</v>
      </c>
      <c r="C324" s="14" t="str">
        <f ca="1">Cleaned_Data!E324</f>
        <v>Premium</v>
      </c>
      <c r="D324" s="15">
        <f>Cleaned_Data!F324</f>
        <v>44968</v>
      </c>
      <c r="E324" s="15">
        <f>Cleaned_Data!G324</f>
        <v>44998</v>
      </c>
      <c r="F324" s="14">
        <f>Cleaned_Data!H324</f>
        <v>2000</v>
      </c>
      <c r="G324" s="14">
        <f ca="1">Cleaned_Data!I324</f>
        <v>6000</v>
      </c>
      <c r="H324" s="14">
        <f>Cleaned_Data!J324</f>
        <v>3</v>
      </c>
      <c r="I324" s="14" t="str">
        <f>Cleaned_Data!M324</f>
        <v>Active</v>
      </c>
      <c r="J324" s="16">
        <f>Cleaned_Data!N324</f>
        <v>44989</v>
      </c>
      <c r="K324" t="str">
        <f t="shared" si="50"/>
        <v>At Risk</v>
      </c>
      <c r="L324" s="5" t="str">
        <f>IF(COUNTIF($A$2:A324,A324)&gt;1,"Duplicate","Unique")</f>
        <v>Unique</v>
      </c>
      <c r="M324" t="str">
        <f t="shared" si="51"/>
        <v>2023-02</v>
      </c>
      <c r="N324" s="2">
        <f t="shared" ca="1" si="52"/>
        <v>44989</v>
      </c>
      <c r="O324" s="4">
        <f t="shared" ca="1" si="53"/>
        <v>0</v>
      </c>
      <c r="P324" s="4">
        <f t="shared" ca="1" si="54"/>
        <v>1140</v>
      </c>
      <c r="Q324">
        <f t="shared" ca="1" si="55"/>
        <v>1</v>
      </c>
      <c r="R324">
        <f t="shared" si="56"/>
        <v>1</v>
      </c>
      <c r="S324">
        <f t="shared" ca="1" si="57"/>
        <v>3</v>
      </c>
      <c r="T324" t="str">
        <f t="shared" ca="1" si="58"/>
        <v>113</v>
      </c>
      <c r="U324" t="str">
        <f t="shared" ca="1" si="59"/>
        <v>At Risk</v>
      </c>
    </row>
    <row r="325" spans="1:21">
      <c r="A325" s="17" t="str">
        <f>Cleaned_Data!A325</f>
        <v>MEM0324</v>
      </c>
      <c r="B325" s="18" t="str">
        <f ca="1">Cleaned_Data!D325</f>
        <v>BR07</v>
      </c>
      <c r="C325" s="18" t="str">
        <f ca="1">Cleaned_Data!E325</f>
        <v>Premium</v>
      </c>
      <c r="D325" s="19">
        <f>Cleaned_Data!F325</f>
        <v>45827</v>
      </c>
      <c r="E325" s="19">
        <f>Cleaned_Data!G325</f>
        <v>45857</v>
      </c>
      <c r="F325" s="18">
        <f>Cleaned_Data!H325</f>
        <v>1000</v>
      </c>
      <c r="G325" s="18">
        <f ca="1">Cleaned_Data!I325</f>
        <v>11000</v>
      </c>
      <c r="H325" s="18">
        <f>Cleaned_Data!J325</f>
        <v>13</v>
      </c>
      <c r="I325" s="18" t="str">
        <f>Cleaned_Data!M325</f>
        <v>Active</v>
      </c>
      <c r="J325" s="20">
        <f>Cleaned_Data!N325</f>
        <v>45989</v>
      </c>
      <c r="K325" t="str">
        <f t="shared" si="50"/>
        <v>Moderate</v>
      </c>
      <c r="L325" s="5" t="str">
        <f>IF(COUNTIF($A$2:A325,A325)&gt;1,"Duplicate","Unique")</f>
        <v>Unique</v>
      </c>
      <c r="M325" t="str">
        <f t="shared" si="51"/>
        <v>2025-06</v>
      </c>
      <c r="N325" s="2">
        <f t="shared" ca="1" si="52"/>
        <v>45989</v>
      </c>
      <c r="O325" s="4">
        <f t="shared" ca="1" si="53"/>
        <v>5</v>
      </c>
      <c r="P325" s="4">
        <f t="shared" ca="1" si="54"/>
        <v>140</v>
      </c>
      <c r="Q325">
        <f t="shared" ca="1" si="55"/>
        <v>3</v>
      </c>
      <c r="R325">
        <f t="shared" si="56"/>
        <v>3</v>
      </c>
      <c r="S325">
        <f t="shared" ca="1" si="57"/>
        <v>4</v>
      </c>
      <c r="T325" t="str">
        <f t="shared" ca="1" si="58"/>
        <v>334</v>
      </c>
      <c r="U325" t="str">
        <f t="shared" ca="1" si="59"/>
        <v>Loyal</v>
      </c>
    </row>
    <row r="326" spans="1:21">
      <c r="A326" s="13" t="str">
        <f>Cleaned_Data!A326</f>
        <v>MEM0325</v>
      </c>
      <c r="B326" s="14" t="str">
        <f ca="1">Cleaned_Data!D326</f>
        <v>BR05</v>
      </c>
      <c r="C326" s="14" t="str">
        <f ca="1">Cleaned_Data!E326</f>
        <v>Standard</v>
      </c>
      <c r="D326" s="15">
        <f>Cleaned_Data!F326</f>
        <v>45262</v>
      </c>
      <c r="E326" s="15">
        <f>Cleaned_Data!G326</f>
        <v>45627</v>
      </c>
      <c r="F326" s="14">
        <f>Cleaned_Data!H326</f>
        <v>1000</v>
      </c>
      <c r="G326" s="14">
        <f ca="1">Cleaned_Data!I326</f>
        <v>2000</v>
      </c>
      <c r="H326" s="14">
        <f>Cleaned_Data!J326</f>
        <v>20</v>
      </c>
      <c r="I326" s="14" t="str">
        <f>Cleaned_Data!M326</f>
        <v>Active</v>
      </c>
      <c r="J326" s="16">
        <f>Cleaned_Data!N326</f>
        <v>46008</v>
      </c>
      <c r="K326" t="str">
        <f t="shared" si="50"/>
        <v>Highly Active</v>
      </c>
      <c r="L326" s="5" t="str">
        <f>IF(COUNTIF($A$2:A326,A326)&gt;1,"Duplicate","Unique")</f>
        <v>Unique</v>
      </c>
      <c r="M326" t="str">
        <f t="shared" si="51"/>
        <v>2023-12</v>
      </c>
      <c r="N326" s="2">
        <f t="shared" ca="1" si="52"/>
        <v>46008</v>
      </c>
      <c r="O326" s="4">
        <f t="shared" ca="1" si="53"/>
        <v>24</v>
      </c>
      <c r="P326" s="4">
        <f t="shared" ca="1" si="54"/>
        <v>121</v>
      </c>
      <c r="Q326">
        <f t="shared" ca="1" si="55"/>
        <v>3</v>
      </c>
      <c r="R326">
        <f t="shared" si="56"/>
        <v>5</v>
      </c>
      <c r="S326">
        <f t="shared" ca="1" si="57"/>
        <v>2</v>
      </c>
      <c r="T326" t="str">
        <f t="shared" ca="1" si="58"/>
        <v>352</v>
      </c>
      <c r="U326" t="str">
        <f t="shared" ca="1" si="59"/>
        <v>Others</v>
      </c>
    </row>
    <row r="327" spans="1:21">
      <c r="A327" s="17" t="str">
        <f>Cleaned_Data!A327</f>
        <v>MEM0326</v>
      </c>
      <c r="B327" s="18" t="str">
        <f ca="1">Cleaned_Data!D327</f>
        <v>BR02</v>
      </c>
      <c r="C327" s="18" t="str">
        <f ca="1">Cleaned_Data!E327</f>
        <v>Premium</v>
      </c>
      <c r="D327" s="19">
        <f>Cleaned_Data!F327</f>
        <v>45926</v>
      </c>
      <c r="E327" s="19">
        <f>Cleaned_Data!G327</f>
        <v>45956</v>
      </c>
      <c r="F327" s="18">
        <f>Cleaned_Data!H327</f>
        <v>2000</v>
      </c>
      <c r="G327" s="18">
        <f ca="1">Cleaned_Data!I327</f>
        <v>12000</v>
      </c>
      <c r="H327" s="18">
        <f>Cleaned_Data!J327</f>
        <v>4</v>
      </c>
      <c r="I327" s="18" t="str">
        <f>Cleaned_Data!M327</f>
        <v>Cancelled</v>
      </c>
      <c r="J327" s="20">
        <f>Cleaned_Data!N327</f>
        <v>45965</v>
      </c>
      <c r="K327" t="str">
        <f t="shared" si="50"/>
        <v>At Risk</v>
      </c>
      <c r="L327" s="5" t="str">
        <f>IF(COUNTIF($A$2:A327,A327)&gt;1,"Duplicate","Unique")</f>
        <v>Unique</v>
      </c>
      <c r="M327" t="str">
        <f t="shared" si="51"/>
        <v>2025-09</v>
      </c>
      <c r="N327" s="2">
        <f t="shared" ca="1" si="52"/>
        <v>45965</v>
      </c>
      <c r="O327" s="4">
        <f t="shared" ca="1" si="53"/>
        <v>1</v>
      </c>
      <c r="P327" s="4">
        <f t="shared" ca="1" si="54"/>
        <v>164</v>
      </c>
      <c r="Q327">
        <f t="shared" ca="1" si="55"/>
        <v>3</v>
      </c>
      <c r="R327">
        <f t="shared" si="56"/>
        <v>1</v>
      </c>
      <c r="S327">
        <f t="shared" ca="1" si="57"/>
        <v>4</v>
      </c>
      <c r="T327" t="str">
        <f t="shared" ca="1" si="58"/>
        <v>314</v>
      </c>
      <c r="U327" t="str">
        <f t="shared" ca="1" si="59"/>
        <v>Others</v>
      </c>
    </row>
    <row r="328" spans="1:21">
      <c r="A328" s="13" t="str">
        <f>Cleaned_Data!A328</f>
        <v>MEM0327</v>
      </c>
      <c r="B328" s="14" t="str">
        <f ca="1">Cleaned_Data!D328</f>
        <v>BR05</v>
      </c>
      <c r="C328" s="14" t="str">
        <f ca="1">Cleaned_Data!E328</f>
        <v>Premium</v>
      </c>
      <c r="D328" s="15">
        <f>Cleaned_Data!F328</f>
        <v>45569</v>
      </c>
      <c r="E328" s="15">
        <f>Cleaned_Data!G328</f>
        <v>45659</v>
      </c>
      <c r="F328" s="14">
        <f>Cleaned_Data!H328</f>
        <v>3500</v>
      </c>
      <c r="G328" s="14">
        <f ca="1">Cleaned_Data!I328</f>
        <v>42000</v>
      </c>
      <c r="H328" s="14">
        <f>Cleaned_Data!J328</f>
        <v>21</v>
      </c>
      <c r="I328" s="14" t="str">
        <f>Cleaned_Data!M328</f>
        <v>Active</v>
      </c>
      <c r="J328" s="16">
        <f>Cleaned_Data!N328</f>
        <v>45726</v>
      </c>
      <c r="K328" t="str">
        <f t="shared" si="50"/>
        <v>Highly Active</v>
      </c>
      <c r="L328" s="5" t="str">
        <f>IF(COUNTIF($A$2:A328,A328)&gt;1,"Duplicate","Unique")</f>
        <v>Unique</v>
      </c>
      <c r="M328" t="str">
        <f t="shared" si="51"/>
        <v>2024-10</v>
      </c>
      <c r="N328" s="2">
        <f t="shared" ca="1" si="52"/>
        <v>45726</v>
      </c>
      <c r="O328" s="4">
        <f t="shared" ca="1" si="53"/>
        <v>5</v>
      </c>
      <c r="P328" s="4">
        <f t="shared" ca="1" si="54"/>
        <v>403</v>
      </c>
      <c r="Q328">
        <f t="shared" ca="1" si="55"/>
        <v>1</v>
      </c>
      <c r="R328">
        <f t="shared" si="56"/>
        <v>5</v>
      </c>
      <c r="S328">
        <f t="shared" ca="1" si="57"/>
        <v>5</v>
      </c>
      <c r="T328" t="str">
        <f t="shared" ca="1" si="58"/>
        <v>155</v>
      </c>
      <c r="U328" t="str">
        <f t="shared" ca="1" si="59"/>
        <v>At Risk</v>
      </c>
    </row>
    <row r="329" spans="1:21">
      <c r="A329" s="17" t="str">
        <f>Cleaned_Data!A329</f>
        <v>MEM0328</v>
      </c>
      <c r="B329" s="18" t="str">
        <f ca="1">Cleaned_Data!D329</f>
        <v>BR01</v>
      </c>
      <c r="C329" s="18" t="str">
        <f ca="1">Cleaned_Data!E329</f>
        <v>Premium</v>
      </c>
      <c r="D329" s="19">
        <f>Cleaned_Data!F329</f>
        <v>45291</v>
      </c>
      <c r="E329" s="19">
        <f>Cleaned_Data!G329</f>
        <v>45381</v>
      </c>
      <c r="F329" s="18">
        <f>Cleaned_Data!H329</f>
        <v>3500</v>
      </c>
      <c r="G329" s="18">
        <f ca="1">Cleaned_Data!I329</f>
        <v>10500</v>
      </c>
      <c r="H329" s="18">
        <f>Cleaned_Data!J329</f>
        <v>14</v>
      </c>
      <c r="I329" s="18" t="str">
        <f>Cleaned_Data!M329</f>
        <v>Active</v>
      </c>
      <c r="J329" s="20">
        <f>Cleaned_Data!N329</f>
        <v>46054</v>
      </c>
      <c r="K329" t="str">
        <f t="shared" si="50"/>
        <v>Moderate</v>
      </c>
      <c r="L329" s="5" t="str">
        <f>IF(COUNTIF($A$2:A329,A329)&gt;1,"Duplicate","Unique")</f>
        <v>Unique</v>
      </c>
      <c r="M329" t="str">
        <f t="shared" si="51"/>
        <v>2023-12</v>
      </c>
      <c r="N329" s="2">
        <f t="shared" ca="1" si="52"/>
        <v>46054</v>
      </c>
      <c r="O329" s="4">
        <f t="shared" ca="1" si="53"/>
        <v>25</v>
      </c>
      <c r="P329" s="4">
        <f t="shared" ca="1" si="54"/>
        <v>75</v>
      </c>
      <c r="Q329">
        <f t="shared" ca="1" si="55"/>
        <v>4</v>
      </c>
      <c r="R329">
        <f t="shared" si="56"/>
        <v>3</v>
      </c>
      <c r="S329">
        <f t="shared" ca="1" si="57"/>
        <v>4</v>
      </c>
      <c r="T329" t="str">
        <f t="shared" ca="1" si="58"/>
        <v>434</v>
      </c>
      <c r="U329" t="str">
        <f t="shared" ca="1" si="59"/>
        <v>Loyal</v>
      </c>
    </row>
    <row r="330" spans="1:21">
      <c r="A330" s="13" t="str">
        <f>Cleaned_Data!A330</f>
        <v>MEM0329</v>
      </c>
      <c r="B330" s="14" t="str">
        <f ca="1">Cleaned_Data!D330</f>
        <v>BR05</v>
      </c>
      <c r="C330" s="14" t="str">
        <f ca="1">Cleaned_Data!E330</f>
        <v>Standard</v>
      </c>
      <c r="D330" s="15">
        <f>Cleaned_Data!F330</f>
        <v>45100</v>
      </c>
      <c r="E330" s="15">
        <f>Cleaned_Data!G330</f>
        <v>45465</v>
      </c>
      <c r="F330" s="14">
        <f>Cleaned_Data!H330</f>
        <v>1000</v>
      </c>
      <c r="G330" s="14">
        <f ca="1">Cleaned_Data!I330</f>
        <v>11000</v>
      </c>
      <c r="H330" s="14">
        <f>Cleaned_Data!J330</f>
        <v>1</v>
      </c>
      <c r="I330" s="14" t="str">
        <f>Cleaned_Data!M330</f>
        <v>Active</v>
      </c>
      <c r="J330" s="16">
        <f>Cleaned_Data!N330</f>
        <v>46099</v>
      </c>
      <c r="K330" t="str">
        <f t="shared" si="50"/>
        <v>At Risk</v>
      </c>
      <c r="L330" s="5" t="str">
        <f>IF(COUNTIF($A$2:A330,A330)&gt;1,"Duplicate","Unique")</f>
        <v>Unique</v>
      </c>
      <c r="M330" t="str">
        <f t="shared" si="51"/>
        <v>2023-06</v>
      </c>
      <c r="N330" s="2">
        <f t="shared" ca="1" si="52"/>
        <v>46099</v>
      </c>
      <c r="O330" s="4">
        <f t="shared" ca="1" si="53"/>
        <v>32</v>
      </c>
      <c r="P330" s="4">
        <f t="shared" ca="1" si="54"/>
        <v>30</v>
      </c>
      <c r="Q330">
        <f t="shared" ca="1" si="55"/>
        <v>5</v>
      </c>
      <c r="R330">
        <f t="shared" si="56"/>
        <v>1</v>
      </c>
      <c r="S330">
        <f t="shared" ca="1" si="57"/>
        <v>4</v>
      </c>
      <c r="T330" t="str">
        <f t="shared" ca="1" si="58"/>
        <v>514</v>
      </c>
      <c r="U330" t="str">
        <f t="shared" ca="1" si="59"/>
        <v>Others</v>
      </c>
    </row>
    <row r="331" spans="1:21">
      <c r="A331" s="17" t="str">
        <f>Cleaned_Data!A331</f>
        <v>MEM0330</v>
      </c>
      <c r="B331" s="18" t="str">
        <f ca="1">Cleaned_Data!D331</f>
        <v>BR04</v>
      </c>
      <c r="C331" s="18" t="str">
        <f ca="1">Cleaned_Data!E331</f>
        <v>Standard</v>
      </c>
      <c r="D331" s="19">
        <f>Cleaned_Data!F331</f>
        <v>45939</v>
      </c>
      <c r="E331" s="19">
        <f>Cleaned_Data!G331</f>
        <v>45969</v>
      </c>
      <c r="F331" s="18">
        <f>Cleaned_Data!H331</f>
        <v>2000</v>
      </c>
      <c r="G331" s="18">
        <f ca="1">Cleaned_Data!I331</f>
        <v>2000</v>
      </c>
      <c r="H331" s="18">
        <f>Cleaned_Data!J331</f>
        <v>10</v>
      </c>
      <c r="I331" s="18" t="str">
        <f>Cleaned_Data!M331</f>
        <v>Active</v>
      </c>
      <c r="J331" s="20">
        <f>Cleaned_Data!N331</f>
        <v>46061</v>
      </c>
      <c r="K331" t="str">
        <f t="shared" si="50"/>
        <v>Moderate</v>
      </c>
      <c r="L331" s="5" t="str">
        <f>IF(COUNTIF($A$2:A331,A331)&gt;1,"Duplicate","Unique")</f>
        <v>Unique</v>
      </c>
      <c r="M331" t="str">
        <f t="shared" si="51"/>
        <v>2025-10</v>
      </c>
      <c r="N331" s="2">
        <f t="shared" ca="1" si="52"/>
        <v>46061</v>
      </c>
      <c r="O331" s="4">
        <f t="shared" ca="1" si="53"/>
        <v>3</v>
      </c>
      <c r="P331" s="4">
        <f t="shared" ca="1" si="54"/>
        <v>68</v>
      </c>
      <c r="Q331">
        <f t="shared" ca="1" si="55"/>
        <v>4</v>
      </c>
      <c r="R331">
        <f t="shared" si="56"/>
        <v>3</v>
      </c>
      <c r="S331">
        <f t="shared" ca="1" si="57"/>
        <v>2</v>
      </c>
      <c r="T331" t="str">
        <f t="shared" ca="1" si="58"/>
        <v>432</v>
      </c>
      <c r="U331" t="str">
        <f t="shared" ca="1" si="59"/>
        <v>Others</v>
      </c>
    </row>
    <row r="332" spans="1:21">
      <c r="A332" s="13" t="str">
        <f>Cleaned_Data!A332</f>
        <v>MEM0331</v>
      </c>
      <c r="B332" s="14" t="str">
        <f ca="1">Cleaned_Data!D332</f>
        <v>BR03</v>
      </c>
      <c r="C332" s="14" t="str">
        <f ca="1">Cleaned_Data!E332</f>
        <v>Basic</v>
      </c>
      <c r="D332" s="15">
        <f>Cleaned_Data!F332</f>
        <v>45257</v>
      </c>
      <c r="E332" s="15">
        <f>Cleaned_Data!G332</f>
        <v>45347</v>
      </c>
      <c r="F332" s="14">
        <f>Cleaned_Data!H332</f>
        <v>1000</v>
      </c>
      <c r="G332" s="14">
        <f ca="1">Cleaned_Data!I332</f>
        <v>6000</v>
      </c>
      <c r="H332" s="14">
        <f>Cleaned_Data!J332</f>
        <v>14</v>
      </c>
      <c r="I332" s="14" t="str">
        <f>Cleaned_Data!M332</f>
        <v>Active</v>
      </c>
      <c r="J332" s="16">
        <f>Cleaned_Data!N332</f>
        <v>46036</v>
      </c>
      <c r="K332" t="str">
        <f t="shared" si="50"/>
        <v>Moderate</v>
      </c>
      <c r="L332" s="5" t="str">
        <f>IF(COUNTIF($A$2:A332,A332)&gt;1,"Duplicate","Unique")</f>
        <v>Unique</v>
      </c>
      <c r="M332" t="str">
        <f t="shared" si="51"/>
        <v>2023-11</v>
      </c>
      <c r="N332" s="2">
        <f t="shared" ca="1" si="52"/>
        <v>46036</v>
      </c>
      <c r="O332" s="4">
        <f t="shared" ca="1" si="53"/>
        <v>25</v>
      </c>
      <c r="P332" s="4">
        <f t="shared" ca="1" si="54"/>
        <v>93</v>
      </c>
      <c r="Q332">
        <f t="shared" ca="1" si="55"/>
        <v>3</v>
      </c>
      <c r="R332">
        <f t="shared" si="56"/>
        <v>3</v>
      </c>
      <c r="S332">
        <f t="shared" ca="1" si="57"/>
        <v>3</v>
      </c>
      <c r="T332" t="str">
        <f t="shared" ca="1" si="58"/>
        <v>333</v>
      </c>
      <c r="U332" t="str">
        <f t="shared" ca="1" si="59"/>
        <v>Loyal</v>
      </c>
    </row>
    <row r="333" spans="1:21">
      <c r="A333" s="17" t="str">
        <f>Cleaned_Data!A333</f>
        <v>MEM0332</v>
      </c>
      <c r="B333" s="18" t="str">
        <f ca="1">Cleaned_Data!D333</f>
        <v>BR06</v>
      </c>
      <c r="C333" s="18" t="str">
        <f ca="1">Cleaned_Data!E333</f>
        <v>Premium</v>
      </c>
      <c r="D333" s="19">
        <f>Cleaned_Data!F333</f>
        <v>45218</v>
      </c>
      <c r="E333" s="19">
        <f>Cleaned_Data!G333</f>
        <v>45583</v>
      </c>
      <c r="F333" s="18">
        <f>Cleaned_Data!H333</f>
        <v>1000</v>
      </c>
      <c r="G333" s="18">
        <f ca="1">Cleaned_Data!I333</f>
        <v>3000</v>
      </c>
      <c r="H333" s="18">
        <f>Cleaned_Data!J333</f>
        <v>21</v>
      </c>
      <c r="I333" s="18" t="str">
        <f>Cleaned_Data!M333</f>
        <v>Cancelled</v>
      </c>
      <c r="J333" s="20">
        <f>Cleaned_Data!N333</f>
        <v>46021</v>
      </c>
      <c r="K333" t="str">
        <f t="shared" si="50"/>
        <v>Highly Active</v>
      </c>
      <c r="L333" s="5" t="str">
        <f>IF(COUNTIF($A$2:A333,A333)&gt;1,"Duplicate","Unique")</f>
        <v>Unique</v>
      </c>
      <c r="M333" t="str">
        <f t="shared" si="51"/>
        <v>2023-10</v>
      </c>
      <c r="N333" s="2">
        <f t="shared" ca="1" si="52"/>
        <v>46021</v>
      </c>
      <c r="O333" s="4">
        <f t="shared" ca="1" si="53"/>
        <v>26</v>
      </c>
      <c r="P333" s="4">
        <f t="shared" ca="1" si="54"/>
        <v>108</v>
      </c>
      <c r="Q333">
        <f t="shared" ca="1" si="55"/>
        <v>3</v>
      </c>
      <c r="R333">
        <f t="shared" si="56"/>
        <v>5</v>
      </c>
      <c r="S333">
        <f t="shared" ca="1" si="57"/>
        <v>2</v>
      </c>
      <c r="T333" t="str">
        <f t="shared" ca="1" si="58"/>
        <v>352</v>
      </c>
      <c r="U333" t="str">
        <f t="shared" ca="1" si="59"/>
        <v>Others</v>
      </c>
    </row>
    <row r="334" spans="1:21">
      <c r="A334" s="13" t="str">
        <f>Cleaned_Data!A334</f>
        <v>MEM0333</v>
      </c>
      <c r="B334" s="14" t="str">
        <f ca="1">Cleaned_Data!D334</f>
        <v>BR04</v>
      </c>
      <c r="C334" s="14" t="str">
        <f ca="1">Cleaned_Data!E334</f>
        <v>Premium</v>
      </c>
      <c r="D334" s="15">
        <f>Cleaned_Data!F334</f>
        <v>45497</v>
      </c>
      <c r="E334" s="15">
        <f>Cleaned_Data!G334</f>
        <v>45862</v>
      </c>
      <c r="F334" s="14">
        <f>Cleaned_Data!H334</f>
        <v>1000</v>
      </c>
      <c r="G334" s="14">
        <f ca="1">Cleaned_Data!I334</f>
        <v>10000</v>
      </c>
      <c r="H334" s="14">
        <f>Cleaned_Data!J334</f>
        <v>11</v>
      </c>
      <c r="I334" s="14" t="str">
        <f>Cleaned_Data!M334</f>
        <v>Active</v>
      </c>
      <c r="J334" s="16">
        <f>Cleaned_Data!N334</f>
        <v>46064</v>
      </c>
      <c r="K334" t="str">
        <f t="shared" si="50"/>
        <v>Moderate</v>
      </c>
      <c r="L334" s="5" t="str">
        <f>IF(COUNTIF($A$2:A334,A334)&gt;1,"Duplicate","Unique")</f>
        <v>Unique</v>
      </c>
      <c r="M334" t="str">
        <f t="shared" si="51"/>
        <v>2024-07</v>
      </c>
      <c r="N334" s="2">
        <f t="shared" ca="1" si="52"/>
        <v>46064</v>
      </c>
      <c r="O334" s="4">
        <f t="shared" ca="1" si="53"/>
        <v>18</v>
      </c>
      <c r="P334" s="4">
        <f t="shared" ca="1" si="54"/>
        <v>65</v>
      </c>
      <c r="Q334">
        <f t="shared" ca="1" si="55"/>
        <v>4</v>
      </c>
      <c r="R334">
        <f t="shared" si="56"/>
        <v>3</v>
      </c>
      <c r="S334">
        <f t="shared" ca="1" si="57"/>
        <v>4</v>
      </c>
      <c r="T334" t="str">
        <f t="shared" ca="1" si="58"/>
        <v>434</v>
      </c>
      <c r="U334" t="str">
        <f t="shared" ca="1" si="59"/>
        <v>Loyal</v>
      </c>
    </row>
    <row r="335" spans="1:21">
      <c r="A335" s="17" t="str">
        <f>Cleaned_Data!A335</f>
        <v>MEM0334</v>
      </c>
      <c r="B335" s="18" t="str">
        <f ca="1">Cleaned_Data!D335</f>
        <v>BR07</v>
      </c>
      <c r="C335" s="18" t="str">
        <f ca="1">Cleaned_Data!E335</f>
        <v>Basic</v>
      </c>
      <c r="D335" s="19">
        <f>Cleaned_Data!F335</f>
        <v>45056</v>
      </c>
      <c r="E335" s="19">
        <f>Cleaned_Data!G335</f>
        <v>45146</v>
      </c>
      <c r="F335" s="18">
        <f>Cleaned_Data!H335</f>
        <v>2000</v>
      </c>
      <c r="G335" s="18">
        <f ca="1">Cleaned_Data!I335</f>
        <v>2000</v>
      </c>
      <c r="H335" s="18">
        <f>Cleaned_Data!J335</f>
        <v>21</v>
      </c>
      <c r="I335" s="18" t="str">
        <f>Cleaned_Data!M335</f>
        <v>Active</v>
      </c>
      <c r="J335" s="20">
        <f>Cleaned_Data!N335</f>
        <v>45678</v>
      </c>
      <c r="K335" t="str">
        <f t="shared" si="50"/>
        <v>Highly Active</v>
      </c>
      <c r="L335" s="5" t="str">
        <f>IF(COUNTIF($A$2:A335,A335)&gt;1,"Duplicate","Unique")</f>
        <v>Unique</v>
      </c>
      <c r="M335" t="str">
        <f t="shared" si="51"/>
        <v>2023-05</v>
      </c>
      <c r="N335" s="2">
        <f t="shared" ca="1" si="52"/>
        <v>45678</v>
      </c>
      <c r="O335" s="4">
        <f t="shared" ca="1" si="53"/>
        <v>20</v>
      </c>
      <c r="P335" s="4">
        <f t="shared" ca="1" si="54"/>
        <v>451</v>
      </c>
      <c r="Q335">
        <f t="shared" ca="1" si="55"/>
        <v>1</v>
      </c>
      <c r="R335">
        <f t="shared" si="56"/>
        <v>5</v>
      </c>
      <c r="S335">
        <f t="shared" ca="1" si="57"/>
        <v>2</v>
      </c>
      <c r="T335" t="str">
        <f t="shared" ca="1" si="58"/>
        <v>152</v>
      </c>
      <c r="U335" t="str">
        <f t="shared" ca="1" si="59"/>
        <v>At Risk</v>
      </c>
    </row>
    <row r="336" spans="1:21">
      <c r="A336" s="13" t="str">
        <f>Cleaned_Data!A336</f>
        <v>MEM0335</v>
      </c>
      <c r="B336" s="14" t="str">
        <f ca="1">Cleaned_Data!D336</f>
        <v>BR07</v>
      </c>
      <c r="C336" s="14" t="str">
        <f ca="1">Cleaned_Data!E336</f>
        <v>Standard</v>
      </c>
      <c r="D336" s="15">
        <f>Cleaned_Data!F336</f>
        <v>45201</v>
      </c>
      <c r="E336" s="15">
        <f>Cleaned_Data!G336</f>
        <v>45291</v>
      </c>
      <c r="F336" s="14">
        <f>Cleaned_Data!H336</f>
        <v>3500</v>
      </c>
      <c r="G336" s="14">
        <f ca="1">Cleaned_Data!I336</f>
        <v>31500</v>
      </c>
      <c r="H336" s="14">
        <f>Cleaned_Data!J336</f>
        <v>15</v>
      </c>
      <c r="I336" s="14" t="str">
        <f>Cleaned_Data!M336</f>
        <v>Active</v>
      </c>
      <c r="J336" s="16">
        <f>Cleaned_Data!N336</f>
        <v>46034</v>
      </c>
      <c r="K336" t="str">
        <f t="shared" si="50"/>
        <v>Highly Active</v>
      </c>
      <c r="L336" s="5" t="str">
        <f>IF(COUNTIF($A$2:A336,A336)&gt;1,"Duplicate","Unique")</f>
        <v>Unique</v>
      </c>
      <c r="M336" t="str">
        <f t="shared" si="51"/>
        <v>2023-10</v>
      </c>
      <c r="N336" s="2">
        <f t="shared" ca="1" si="52"/>
        <v>46034</v>
      </c>
      <c r="O336" s="4">
        <f t="shared" ca="1" si="53"/>
        <v>27</v>
      </c>
      <c r="P336" s="4">
        <f t="shared" ca="1" si="54"/>
        <v>95</v>
      </c>
      <c r="Q336">
        <f t="shared" ca="1" si="55"/>
        <v>3</v>
      </c>
      <c r="R336">
        <f t="shared" si="56"/>
        <v>4</v>
      </c>
      <c r="S336">
        <f t="shared" ca="1" si="57"/>
        <v>5</v>
      </c>
      <c r="T336" t="str">
        <f t="shared" ca="1" si="58"/>
        <v>345</v>
      </c>
      <c r="U336" t="str">
        <f t="shared" ca="1" si="59"/>
        <v>Loyal</v>
      </c>
    </row>
    <row r="337" spans="1:21">
      <c r="A337" s="17" t="str">
        <f>Cleaned_Data!A337</f>
        <v>MEM0336</v>
      </c>
      <c r="B337" s="18" t="str">
        <f ca="1">Cleaned_Data!D337</f>
        <v>BR01</v>
      </c>
      <c r="C337" s="18" t="str">
        <f ca="1">Cleaned_Data!E337</f>
        <v>Standard</v>
      </c>
      <c r="D337" s="19">
        <f>Cleaned_Data!F337</f>
        <v>45681</v>
      </c>
      <c r="E337" s="19">
        <f>Cleaned_Data!G337</f>
        <v>46046</v>
      </c>
      <c r="F337" s="18">
        <f>Cleaned_Data!H337</f>
        <v>3500</v>
      </c>
      <c r="G337" s="18">
        <f ca="1">Cleaned_Data!I337</f>
        <v>3500</v>
      </c>
      <c r="H337" s="18">
        <f>Cleaned_Data!J337</f>
        <v>22</v>
      </c>
      <c r="I337" s="18" t="str">
        <f>Cleaned_Data!M337</f>
        <v>Active</v>
      </c>
      <c r="J337" s="20">
        <f>Cleaned_Data!N337</f>
        <v>45688</v>
      </c>
      <c r="K337" t="str">
        <f t="shared" si="50"/>
        <v>Highly Active</v>
      </c>
      <c r="L337" s="5" t="str">
        <f>IF(COUNTIF($A$2:A337,A337)&gt;1,"Duplicate","Unique")</f>
        <v>Unique</v>
      </c>
      <c r="M337" t="str">
        <f t="shared" si="51"/>
        <v>2025-01</v>
      </c>
      <c r="N337" s="2">
        <f t="shared" ca="1" si="52"/>
        <v>45688</v>
      </c>
      <c r="O337" s="4">
        <f t="shared" ca="1" si="53"/>
        <v>0</v>
      </c>
      <c r="P337" s="4">
        <f t="shared" ca="1" si="54"/>
        <v>441</v>
      </c>
      <c r="Q337">
        <f t="shared" ca="1" si="55"/>
        <v>1</v>
      </c>
      <c r="R337">
        <f t="shared" si="56"/>
        <v>5</v>
      </c>
      <c r="S337">
        <f t="shared" ca="1" si="57"/>
        <v>2</v>
      </c>
      <c r="T337" t="str">
        <f t="shared" ca="1" si="58"/>
        <v>152</v>
      </c>
      <c r="U337" t="str">
        <f t="shared" ca="1" si="59"/>
        <v>At Risk</v>
      </c>
    </row>
    <row r="338" spans="1:21">
      <c r="A338" s="13" t="str">
        <f>Cleaned_Data!A338</f>
        <v>MEM0337</v>
      </c>
      <c r="B338" s="14" t="str">
        <f ca="1">Cleaned_Data!D338</f>
        <v>BR04</v>
      </c>
      <c r="C338" s="14" t="str">
        <f ca="1">Cleaned_Data!E338</f>
        <v>Basic</v>
      </c>
      <c r="D338" s="15">
        <f>Cleaned_Data!F338</f>
        <v>45995</v>
      </c>
      <c r="E338" s="15">
        <f>Cleaned_Data!G338</f>
        <v>46360</v>
      </c>
      <c r="F338" s="14">
        <f>Cleaned_Data!H338</f>
        <v>1000</v>
      </c>
      <c r="G338" s="14">
        <f ca="1">Cleaned_Data!I338</f>
        <v>3000</v>
      </c>
      <c r="H338" s="14">
        <f>Cleaned_Data!J338</f>
        <v>18</v>
      </c>
      <c r="I338" s="14" t="str">
        <f>Cleaned_Data!M338</f>
        <v>Active</v>
      </c>
      <c r="J338" s="16">
        <f>Cleaned_Data!N338</f>
        <v>46109</v>
      </c>
      <c r="K338" t="str">
        <f t="shared" si="50"/>
        <v>Highly Active</v>
      </c>
      <c r="L338" s="5" t="str">
        <f>IF(COUNTIF($A$2:A338,A338)&gt;1,"Duplicate","Unique")</f>
        <v>Unique</v>
      </c>
      <c r="M338" t="str">
        <f t="shared" si="51"/>
        <v>2025-12</v>
      </c>
      <c r="N338" s="2">
        <f t="shared" ca="1" si="52"/>
        <v>46109</v>
      </c>
      <c r="O338" s="4">
        <f t="shared" ca="1" si="53"/>
        <v>3</v>
      </c>
      <c r="P338" s="4">
        <f t="shared" ca="1" si="54"/>
        <v>20</v>
      </c>
      <c r="Q338">
        <f t="shared" ca="1" si="55"/>
        <v>5</v>
      </c>
      <c r="R338">
        <f t="shared" si="56"/>
        <v>4</v>
      </c>
      <c r="S338">
        <f t="shared" ca="1" si="57"/>
        <v>2</v>
      </c>
      <c r="T338" t="str">
        <f t="shared" ca="1" si="58"/>
        <v>542</v>
      </c>
      <c r="U338" t="str">
        <f t="shared" ca="1" si="59"/>
        <v>Others</v>
      </c>
    </row>
    <row r="339" spans="1:21">
      <c r="A339" s="17" t="str">
        <f>Cleaned_Data!A339</f>
        <v>MEM0338</v>
      </c>
      <c r="B339" s="18" t="str">
        <f ca="1">Cleaned_Data!D339</f>
        <v>BR01</v>
      </c>
      <c r="C339" s="18" t="str">
        <f ca="1">Cleaned_Data!E339</f>
        <v>Basic</v>
      </c>
      <c r="D339" s="19">
        <f>Cleaned_Data!F339</f>
        <v>45821</v>
      </c>
      <c r="E339" s="19">
        <f>Cleaned_Data!G339</f>
        <v>46186</v>
      </c>
      <c r="F339" s="18">
        <f>Cleaned_Data!H339</f>
        <v>2000</v>
      </c>
      <c r="G339" s="18">
        <f ca="1">Cleaned_Data!I339</f>
        <v>16000</v>
      </c>
      <c r="H339" s="18">
        <f>Cleaned_Data!J339</f>
        <v>8</v>
      </c>
      <c r="I339" s="18" t="str">
        <f>Cleaned_Data!M339</f>
        <v>Active</v>
      </c>
      <c r="J339" s="20">
        <f>Cleaned_Data!N339</f>
        <v>46059</v>
      </c>
      <c r="K339" t="str">
        <f t="shared" si="50"/>
        <v>Moderate</v>
      </c>
      <c r="L339" s="5" t="str">
        <f>IF(COUNTIF($A$2:A339,A339)&gt;1,"Duplicate","Unique")</f>
        <v>Unique</v>
      </c>
      <c r="M339" t="str">
        <f t="shared" si="51"/>
        <v>2025-06</v>
      </c>
      <c r="N339" s="2">
        <f t="shared" ca="1" si="52"/>
        <v>46059</v>
      </c>
      <c r="O339" s="4">
        <f t="shared" ca="1" si="53"/>
        <v>7</v>
      </c>
      <c r="P339" s="4">
        <f t="shared" ca="1" si="54"/>
        <v>70</v>
      </c>
      <c r="Q339">
        <f t="shared" ca="1" si="55"/>
        <v>4</v>
      </c>
      <c r="R339">
        <f t="shared" si="56"/>
        <v>2</v>
      </c>
      <c r="S339">
        <f t="shared" ca="1" si="57"/>
        <v>4</v>
      </c>
      <c r="T339" t="str">
        <f t="shared" ca="1" si="58"/>
        <v>424</v>
      </c>
      <c r="U339" t="str">
        <f t="shared" ca="1" si="59"/>
        <v>Others</v>
      </c>
    </row>
    <row r="340" spans="1:21">
      <c r="A340" s="13" t="str">
        <f>Cleaned_Data!A340</f>
        <v>MEM0339</v>
      </c>
      <c r="B340" s="14" t="str">
        <f ca="1">Cleaned_Data!D340</f>
        <v>BR03</v>
      </c>
      <c r="C340" s="14" t="str">
        <f ca="1">Cleaned_Data!E340</f>
        <v>Basic</v>
      </c>
      <c r="D340" s="15">
        <f>Cleaned_Data!F340</f>
        <v>45656</v>
      </c>
      <c r="E340" s="15">
        <f>Cleaned_Data!G340</f>
        <v>45686</v>
      </c>
      <c r="F340" s="14">
        <f>Cleaned_Data!H340</f>
        <v>3500</v>
      </c>
      <c r="G340" s="14">
        <f ca="1">Cleaned_Data!I340</f>
        <v>21000</v>
      </c>
      <c r="H340" s="14">
        <f>Cleaned_Data!J340</f>
        <v>18</v>
      </c>
      <c r="I340" s="14" t="str">
        <f>Cleaned_Data!M340</f>
        <v>Active</v>
      </c>
      <c r="J340" s="16">
        <f>Cleaned_Data!N340</f>
        <v>45810</v>
      </c>
      <c r="K340" t="str">
        <f t="shared" si="50"/>
        <v>Highly Active</v>
      </c>
      <c r="L340" s="5" t="str">
        <f>IF(COUNTIF($A$2:A340,A340)&gt;1,"Duplicate","Unique")</f>
        <v>Unique</v>
      </c>
      <c r="M340" t="str">
        <f t="shared" si="51"/>
        <v>2024-12</v>
      </c>
      <c r="N340" s="2">
        <f t="shared" ca="1" si="52"/>
        <v>45810</v>
      </c>
      <c r="O340" s="4">
        <f t="shared" ca="1" si="53"/>
        <v>5</v>
      </c>
      <c r="P340" s="4">
        <f t="shared" ca="1" si="54"/>
        <v>319</v>
      </c>
      <c r="Q340">
        <f t="shared" ca="1" si="55"/>
        <v>2</v>
      </c>
      <c r="R340">
        <f t="shared" si="56"/>
        <v>4</v>
      </c>
      <c r="S340">
        <f t="shared" ca="1" si="57"/>
        <v>5</v>
      </c>
      <c r="T340" t="str">
        <f t="shared" ca="1" si="58"/>
        <v>245</v>
      </c>
      <c r="U340" t="str">
        <f t="shared" ca="1" si="59"/>
        <v>At Risk</v>
      </c>
    </row>
    <row r="341" spans="1:21">
      <c r="A341" s="17" t="str">
        <f>Cleaned_Data!A341</f>
        <v>MEM0340</v>
      </c>
      <c r="B341" s="18" t="str">
        <f ca="1">Cleaned_Data!D341</f>
        <v>BR02</v>
      </c>
      <c r="C341" s="18" t="str">
        <f ca="1">Cleaned_Data!E341</f>
        <v>Premium</v>
      </c>
      <c r="D341" s="19">
        <f>Cleaned_Data!F341</f>
        <v>45364</v>
      </c>
      <c r="E341" s="19">
        <f>Cleaned_Data!G341</f>
        <v>45394</v>
      </c>
      <c r="F341" s="18">
        <f>Cleaned_Data!H341</f>
        <v>3500</v>
      </c>
      <c r="G341" s="18">
        <f ca="1">Cleaned_Data!I341</f>
        <v>35000</v>
      </c>
      <c r="H341" s="18">
        <f>Cleaned_Data!J341</f>
        <v>1</v>
      </c>
      <c r="I341" s="18" t="str">
        <f>Cleaned_Data!M341</f>
        <v>Cancelled</v>
      </c>
      <c r="J341" s="20">
        <f>Cleaned_Data!N341</f>
        <v>45854</v>
      </c>
      <c r="K341" t="str">
        <f t="shared" si="50"/>
        <v>At Risk</v>
      </c>
      <c r="L341" s="5" t="str">
        <f>IF(COUNTIF($A$2:A341,A341)&gt;1,"Duplicate","Unique")</f>
        <v>Unique</v>
      </c>
      <c r="M341" t="str">
        <f t="shared" si="51"/>
        <v>2024-03</v>
      </c>
      <c r="N341" s="2">
        <f t="shared" ca="1" si="52"/>
        <v>45854</v>
      </c>
      <c r="O341" s="4">
        <f t="shared" ca="1" si="53"/>
        <v>16</v>
      </c>
      <c r="P341" s="4">
        <f t="shared" ca="1" si="54"/>
        <v>275</v>
      </c>
      <c r="Q341">
        <f t="shared" ca="1" si="55"/>
        <v>2</v>
      </c>
      <c r="R341">
        <f t="shared" si="56"/>
        <v>1</v>
      </c>
      <c r="S341">
        <f t="shared" ca="1" si="57"/>
        <v>5</v>
      </c>
      <c r="T341" t="str">
        <f t="shared" ca="1" si="58"/>
        <v>215</v>
      </c>
      <c r="U341" t="str">
        <f t="shared" ca="1" si="59"/>
        <v>At Risk</v>
      </c>
    </row>
    <row r="342" spans="1:21">
      <c r="A342" s="13" t="str">
        <f>Cleaned_Data!A342</f>
        <v>MEM0341</v>
      </c>
      <c r="B342" s="14" t="str">
        <f ca="1">Cleaned_Data!D342</f>
        <v>BR02</v>
      </c>
      <c r="C342" s="14" t="str">
        <f ca="1">Cleaned_Data!E342</f>
        <v>Standard</v>
      </c>
      <c r="D342" s="15">
        <f>Cleaned_Data!F342</f>
        <v>46013</v>
      </c>
      <c r="E342" s="15">
        <f>Cleaned_Data!G342</f>
        <v>46043</v>
      </c>
      <c r="F342" s="14">
        <f>Cleaned_Data!H342</f>
        <v>2000</v>
      </c>
      <c r="G342" s="14">
        <f ca="1">Cleaned_Data!I342</f>
        <v>24000</v>
      </c>
      <c r="H342" s="14">
        <f>Cleaned_Data!J342</f>
        <v>21</v>
      </c>
      <c r="I342" s="14" t="str">
        <f>Cleaned_Data!M342</f>
        <v>Active</v>
      </c>
      <c r="J342" s="16">
        <f>Cleaned_Data!N342</f>
        <v>46072</v>
      </c>
      <c r="K342" t="str">
        <f t="shared" si="50"/>
        <v>Highly Active</v>
      </c>
      <c r="L342" s="5" t="str">
        <f>IF(COUNTIF($A$2:A342,A342)&gt;1,"Duplicate","Unique")</f>
        <v>Unique</v>
      </c>
      <c r="M342" t="str">
        <f t="shared" si="51"/>
        <v>2025-12</v>
      </c>
      <c r="N342" s="2">
        <f t="shared" ca="1" si="52"/>
        <v>46072</v>
      </c>
      <c r="O342" s="4">
        <f t="shared" ca="1" si="53"/>
        <v>1</v>
      </c>
      <c r="P342" s="4">
        <f t="shared" ca="1" si="54"/>
        <v>57</v>
      </c>
      <c r="Q342">
        <f t="shared" ca="1" si="55"/>
        <v>4</v>
      </c>
      <c r="R342">
        <f t="shared" si="56"/>
        <v>5</v>
      </c>
      <c r="S342">
        <f t="shared" ca="1" si="57"/>
        <v>5</v>
      </c>
      <c r="T342" t="str">
        <f t="shared" ca="1" si="58"/>
        <v>455</v>
      </c>
      <c r="U342" t="str">
        <f t="shared" ca="1" si="59"/>
        <v>Champion</v>
      </c>
    </row>
    <row r="343" spans="1:21">
      <c r="A343" s="17" t="str">
        <f>Cleaned_Data!A343</f>
        <v>MEM0342</v>
      </c>
      <c r="B343" s="18" t="str">
        <f ca="1">Cleaned_Data!D343</f>
        <v>BR02</v>
      </c>
      <c r="C343" s="18" t="str">
        <f ca="1">Cleaned_Data!E343</f>
        <v>Standard</v>
      </c>
      <c r="D343" s="19">
        <f>Cleaned_Data!F343</f>
        <v>45156</v>
      </c>
      <c r="E343" s="19">
        <f>Cleaned_Data!G343</f>
        <v>45186</v>
      </c>
      <c r="F343" s="18">
        <f>Cleaned_Data!H343</f>
        <v>2000</v>
      </c>
      <c r="G343" s="18">
        <f ca="1">Cleaned_Data!I343</f>
        <v>2000</v>
      </c>
      <c r="H343" s="18">
        <f>Cleaned_Data!J343</f>
        <v>22</v>
      </c>
      <c r="I343" s="18" t="str">
        <f>Cleaned_Data!M343</f>
        <v>Active</v>
      </c>
      <c r="J343" s="20">
        <f>Cleaned_Data!N343</f>
        <v>45239</v>
      </c>
      <c r="K343" t="str">
        <f t="shared" si="50"/>
        <v>Highly Active</v>
      </c>
      <c r="L343" s="5" t="str">
        <f>IF(COUNTIF($A$2:A343,A343)&gt;1,"Duplicate","Unique")</f>
        <v>Unique</v>
      </c>
      <c r="M343" t="str">
        <f t="shared" si="51"/>
        <v>2023-08</v>
      </c>
      <c r="N343" s="2">
        <f t="shared" ca="1" si="52"/>
        <v>45239</v>
      </c>
      <c r="O343" s="4">
        <f t="shared" ca="1" si="53"/>
        <v>2</v>
      </c>
      <c r="P343" s="4">
        <f t="shared" ca="1" si="54"/>
        <v>890</v>
      </c>
      <c r="Q343">
        <f t="shared" ca="1" si="55"/>
        <v>1</v>
      </c>
      <c r="R343">
        <f t="shared" si="56"/>
        <v>5</v>
      </c>
      <c r="S343">
        <f t="shared" ca="1" si="57"/>
        <v>2</v>
      </c>
      <c r="T343" t="str">
        <f t="shared" ca="1" si="58"/>
        <v>152</v>
      </c>
      <c r="U343" t="str">
        <f t="shared" ca="1" si="59"/>
        <v>At Risk</v>
      </c>
    </row>
    <row r="344" spans="1:21">
      <c r="A344" s="13" t="str">
        <f>Cleaned_Data!A344</f>
        <v>MEM0343</v>
      </c>
      <c r="B344" s="14" t="str">
        <f ca="1">Cleaned_Data!D344</f>
        <v>BR04</v>
      </c>
      <c r="C344" s="14" t="str">
        <f ca="1">Cleaned_Data!E344</f>
        <v>Basic</v>
      </c>
      <c r="D344" s="15">
        <f>Cleaned_Data!F344</f>
        <v>45787</v>
      </c>
      <c r="E344" s="15">
        <f>Cleaned_Data!G344</f>
        <v>46152</v>
      </c>
      <c r="F344" s="14">
        <f>Cleaned_Data!H344</f>
        <v>3500</v>
      </c>
      <c r="G344" s="14">
        <f ca="1">Cleaned_Data!I344</f>
        <v>31500</v>
      </c>
      <c r="H344" s="14">
        <f>Cleaned_Data!J344</f>
        <v>18</v>
      </c>
      <c r="I344" s="14" t="str">
        <f>Cleaned_Data!M344</f>
        <v>Active</v>
      </c>
      <c r="J344" s="16">
        <f>Cleaned_Data!N344</f>
        <v>46097</v>
      </c>
      <c r="K344" t="str">
        <f t="shared" si="50"/>
        <v>Highly Active</v>
      </c>
      <c r="L344" s="5" t="str">
        <f>IF(COUNTIF($A$2:A344,A344)&gt;1,"Duplicate","Unique")</f>
        <v>Unique</v>
      </c>
      <c r="M344" t="str">
        <f t="shared" si="51"/>
        <v>2025-05</v>
      </c>
      <c r="N344" s="2">
        <f t="shared" ca="1" si="52"/>
        <v>46097</v>
      </c>
      <c r="O344" s="4">
        <f t="shared" ca="1" si="53"/>
        <v>10</v>
      </c>
      <c r="P344" s="4">
        <f t="shared" ca="1" si="54"/>
        <v>32</v>
      </c>
      <c r="Q344">
        <f t="shared" ca="1" si="55"/>
        <v>4</v>
      </c>
      <c r="R344">
        <f t="shared" si="56"/>
        <v>4</v>
      </c>
      <c r="S344">
        <f t="shared" ca="1" si="57"/>
        <v>5</v>
      </c>
      <c r="T344" t="str">
        <f t="shared" ca="1" si="58"/>
        <v>445</v>
      </c>
      <c r="U344" t="str">
        <f t="shared" ca="1" si="59"/>
        <v>Champion</v>
      </c>
    </row>
    <row r="345" spans="1:21">
      <c r="A345" s="17" t="str">
        <f>Cleaned_Data!A345</f>
        <v>MEM0344</v>
      </c>
      <c r="B345" s="18" t="str">
        <f ca="1">Cleaned_Data!D345</f>
        <v>BR01</v>
      </c>
      <c r="C345" s="18" t="str">
        <f ca="1">Cleaned_Data!E345</f>
        <v>Premium</v>
      </c>
      <c r="D345" s="19">
        <f>Cleaned_Data!F345</f>
        <v>45776</v>
      </c>
      <c r="E345" s="19">
        <f>Cleaned_Data!G345</f>
        <v>45806</v>
      </c>
      <c r="F345" s="18">
        <f>Cleaned_Data!H345</f>
        <v>2000</v>
      </c>
      <c r="G345" s="18">
        <f ca="1">Cleaned_Data!I345</f>
        <v>24000</v>
      </c>
      <c r="H345" s="18">
        <f>Cleaned_Data!J345</f>
        <v>4</v>
      </c>
      <c r="I345" s="18" t="str">
        <f>Cleaned_Data!M345</f>
        <v>Active</v>
      </c>
      <c r="J345" s="20">
        <f>Cleaned_Data!N345</f>
        <v>45838</v>
      </c>
      <c r="K345" t="str">
        <f t="shared" si="50"/>
        <v>At Risk</v>
      </c>
      <c r="L345" s="5" t="str">
        <f>IF(COUNTIF($A$2:A345,A345)&gt;1,"Duplicate","Unique")</f>
        <v>Unique</v>
      </c>
      <c r="M345" t="str">
        <f t="shared" si="51"/>
        <v>2025-04</v>
      </c>
      <c r="N345" s="2">
        <f t="shared" ca="1" si="52"/>
        <v>45838</v>
      </c>
      <c r="O345" s="4">
        <f t="shared" ca="1" si="53"/>
        <v>2</v>
      </c>
      <c r="P345" s="4">
        <f t="shared" ca="1" si="54"/>
        <v>291</v>
      </c>
      <c r="Q345">
        <f t="shared" ca="1" si="55"/>
        <v>2</v>
      </c>
      <c r="R345">
        <f t="shared" si="56"/>
        <v>1</v>
      </c>
      <c r="S345">
        <f t="shared" ca="1" si="57"/>
        <v>5</v>
      </c>
      <c r="T345" t="str">
        <f t="shared" ca="1" si="58"/>
        <v>215</v>
      </c>
      <c r="U345" t="str">
        <f t="shared" ca="1" si="59"/>
        <v>At Risk</v>
      </c>
    </row>
    <row r="346" spans="1:21">
      <c r="A346" s="13" t="str">
        <f>Cleaned_Data!A346</f>
        <v>MEM0345</v>
      </c>
      <c r="B346" s="14" t="str">
        <f ca="1">Cleaned_Data!D346</f>
        <v>BR03</v>
      </c>
      <c r="C346" s="14" t="str">
        <f ca="1">Cleaned_Data!E346</f>
        <v>Basic</v>
      </c>
      <c r="D346" s="15">
        <f>Cleaned_Data!F346</f>
        <v>45375</v>
      </c>
      <c r="E346" s="15">
        <f>Cleaned_Data!G346</f>
        <v>45405</v>
      </c>
      <c r="F346" s="14">
        <f>Cleaned_Data!H346</f>
        <v>2000</v>
      </c>
      <c r="G346" s="14">
        <f ca="1">Cleaned_Data!I346</f>
        <v>12000</v>
      </c>
      <c r="H346" s="14">
        <f>Cleaned_Data!J346</f>
        <v>17</v>
      </c>
      <c r="I346" s="14" t="str">
        <f>Cleaned_Data!M346</f>
        <v>Active</v>
      </c>
      <c r="J346" s="16">
        <f>Cleaned_Data!N346</f>
        <v>45409</v>
      </c>
      <c r="K346" t="str">
        <f t="shared" si="50"/>
        <v>Highly Active</v>
      </c>
      <c r="L346" s="5" t="str">
        <f>IF(COUNTIF($A$2:A346,A346)&gt;1,"Duplicate","Unique")</f>
        <v>Unique</v>
      </c>
      <c r="M346" t="str">
        <f t="shared" si="51"/>
        <v>2024-03</v>
      </c>
      <c r="N346" s="2">
        <f t="shared" ca="1" si="52"/>
        <v>45409</v>
      </c>
      <c r="O346" s="4">
        <f t="shared" ca="1" si="53"/>
        <v>1</v>
      </c>
      <c r="P346" s="4">
        <f t="shared" ca="1" si="54"/>
        <v>720</v>
      </c>
      <c r="Q346">
        <f t="shared" ca="1" si="55"/>
        <v>1</v>
      </c>
      <c r="R346">
        <f t="shared" si="56"/>
        <v>4</v>
      </c>
      <c r="S346">
        <f t="shared" ca="1" si="57"/>
        <v>4</v>
      </c>
      <c r="T346" t="str">
        <f t="shared" ca="1" si="58"/>
        <v>144</v>
      </c>
      <c r="U346" t="str">
        <f t="shared" ca="1" si="59"/>
        <v>At Risk</v>
      </c>
    </row>
    <row r="347" spans="1:21">
      <c r="A347" s="17" t="str">
        <f>Cleaned_Data!A347</f>
        <v>MEM0346</v>
      </c>
      <c r="B347" s="18" t="str">
        <f ca="1">Cleaned_Data!D347</f>
        <v>BR02</v>
      </c>
      <c r="C347" s="18" t="str">
        <f ca="1">Cleaned_Data!E347</f>
        <v>Standard</v>
      </c>
      <c r="D347" s="19">
        <f>Cleaned_Data!F347</f>
        <v>45901</v>
      </c>
      <c r="E347" s="19">
        <f>Cleaned_Data!G347</f>
        <v>45991</v>
      </c>
      <c r="F347" s="18">
        <f>Cleaned_Data!H347</f>
        <v>1000</v>
      </c>
      <c r="G347" s="18">
        <f ca="1">Cleaned_Data!I347</f>
        <v>4000</v>
      </c>
      <c r="H347" s="18">
        <f>Cleaned_Data!J347</f>
        <v>25</v>
      </c>
      <c r="I347" s="18" t="str">
        <f>Cleaned_Data!M347</f>
        <v>Active</v>
      </c>
      <c r="J347" s="20">
        <f>Cleaned_Data!N347</f>
        <v>46119</v>
      </c>
      <c r="K347" t="str">
        <f t="shared" si="50"/>
        <v>Highly Active</v>
      </c>
      <c r="L347" s="5" t="str">
        <f>IF(COUNTIF($A$2:A347,A347)&gt;1,"Duplicate","Unique")</f>
        <v>Unique</v>
      </c>
      <c r="M347" t="str">
        <f t="shared" si="51"/>
        <v>2025-09</v>
      </c>
      <c r="N347" s="2">
        <f t="shared" ca="1" si="52"/>
        <v>46119</v>
      </c>
      <c r="O347" s="4">
        <f t="shared" ca="1" si="53"/>
        <v>7</v>
      </c>
      <c r="P347" s="4">
        <f t="shared" ca="1" si="54"/>
        <v>10</v>
      </c>
      <c r="Q347">
        <f t="shared" ca="1" si="55"/>
        <v>5</v>
      </c>
      <c r="R347">
        <f t="shared" si="56"/>
        <v>5</v>
      </c>
      <c r="S347">
        <f t="shared" ca="1" si="57"/>
        <v>2</v>
      </c>
      <c r="T347" t="str">
        <f t="shared" ca="1" si="58"/>
        <v>552</v>
      </c>
      <c r="U347" t="str">
        <f t="shared" ca="1" si="59"/>
        <v>Others</v>
      </c>
    </row>
    <row r="348" spans="1:21">
      <c r="A348" s="13" t="str">
        <f>Cleaned_Data!A348</f>
        <v>MEM0347</v>
      </c>
      <c r="B348" s="14" t="str">
        <f ca="1">Cleaned_Data!D348</f>
        <v>BR05</v>
      </c>
      <c r="C348" s="14" t="str">
        <f ca="1">Cleaned_Data!E348</f>
        <v>Basic</v>
      </c>
      <c r="D348" s="15">
        <f>Cleaned_Data!F348</f>
        <v>44931</v>
      </c>
      <c r="E348" s="15">
        <f>Cleaned_Data!G348</f>
        <v>44961</v>
      </c>
      <c r="F348" s="14">
        <f>Cleaned_Data!H348</f>
        <v>1000</v>
      </c>
      <c r="G348" s="14">
        <f ca="1">Cleaned_Data!I348</f>
        <v>4000</v>
      </c>
      <c r="H348" s="14">
        <f>Cleaned_Data!J348</f>
        <v>3</v>
      </c>
      <c r="I348" s="14" t="str">
        <f>Cleaned_Data!M348</f>
        <v>Cancelled</v>
      </c>
      <c r="J348" s="16">
        <f>Cleaned_Data!N348</f>
        <v>46122</v>
      </c>
      <c r="K348" t="str">
        <f t="shared" si="50"/>
        <v>At Risk</v>
      </c>
      <c r="L348" s="5" t="str">
        <f>IF(COUNTIF($A$2:A348,A348)&gt;1,"Duplicate","Unique")</f>
        <v>Unique</v>
      </c>
      <c r="M348" t="str">
        <f t="shared" si="51"/>
        <v>2023-01</v>
      </c>
      <c r="N348" s="2">
        <f t="shared" ca="1" si="52"/>
        <v>46122</v>
      </c>
      <c r="O348" s="4">
        <f t="shared" ca="1" si="53"/>
        <v>39</v>
      </c>
      <c r="P348" s="4">
        <f t="shared" ca="1" si="54"/>
        <v>7</v>
      </c>
      <c r="Q348">
        <f t="shared" ca="1" si="55"/>
        <v>5</v>
      </c>
      <c r="R348">
        <f t="shared" si="56"/>
        <v>1</v>
      </c>
      <c r="S348">
        <f t="shared" ca="1" si="57"/>
        <v>2</v>
      </c>
      <c r="T348" t="str">
        <f t="shared" ca="1" si="58"/>
        <v>512</v>
      </c>
      <c r="U348" t="str">
        <f t="shared" ca="1" si="59"/>
        <v>Others</v>
      </c>
    </row>
    <row r="349" spans="1:21">
      <c r="A349" s="17" t="str">
        <f>Cleaned_Data!A349</f>
        <v>MEM0348</v>
      </c>
      <c r="B349" s="18" t="str">
        <f ca="1">Cleaned_Data!D349</f>
        <v>BR02</v>
      </c>
      <c r="C349" s="18" t="str">
        <f ca="1">Cleaned_Data!E349</f>
        <v>Basic</v>
      </c>
      <c r="D349" s="19">
        <f>Cleaned_Data!F349</f>
        <v>45071</v>
      </c>
      <c r="E349" s="19">
        <f>Cleaned_Data!G349</f>
        <v>45161</v>
      </c>
      <c r="F349" s="18">
        <f>Cleaned_Data!H349</f>
        <v>3500</v>
      </c>
      <c r="G349" s="18">
        <f ca="1">Cleaned_Data!I349</f>
        <v>7000</v>
      </c>
      <c r="H349" s="18">
        <f>Cleaned_Data!J349</f>
        <v>3</v>
      </c>
      <c r="I349" s="18" t="str">
        <f>Cleaned_Data!M349</f>
        <v>Cancelled</v>
      </c>
      <c r="J349" s="20">
        <f>Cleaned_Data!N349</f>
        <v>45890</v>
      </c>
      <c r="K349" t="str">
        <f t="shared" si="50"/>
        <v>At Risk</v>
      </c>
      <c r="L349" s="5" t="str">
        <f>IF(COUNTIF($A$2:A349,A349)&gt;1,"Duplicate","Unique")</f>
        <v>Unique</v>
      </c>
      <c r="M349" t="str">
        <f t="shared" si="51"/>
        <v>2023-05</v>
      </c>
      <c r="N349" s="2">
        <f t="shared" ca="1" si="52"/>
        <v>45890</v>
      </c>
      <c r="O349" s="4">
        <f t="shared" ca="1" si="53"/>
        <v>26</v>
      </c>
      <c r="P349" s="4">
        <f t="shared" ca="1" si="54"/>
        <v>239</v>
      </c>
      <c r="Q349">
        <f t="shared" ca="1" si="55"/>
        <v>2</v>
      </c>
      <c r="R349">
        <f t="shared" si="56"/>
        <v>1</v>
      </c>
      <c r="S349">
        <f t="shared" ca="1" si="57"/>
        <v>3</v>
      </c>
      <c r="T349" t="str">
        <f t="shared" ca="1" si="58"/>
        <v>213</v>
      </c>
      <c r="U349" t="str">
        <f t="shared" ca="1" si="59"/>
        <v>At Risk</v>
      </c>
    </row>
    <row r="350" spans="1:21">
      <c r="A350" s="13" t="str">
        <f>Cleaned_Data!A350</f>
        <v>MEM0349</v>
      </c>
      <c r="B350" s="14" t="str">
        <f ca="1">Cleaned_Data!D350</f>
        <v>BR03</v>
      </c>
      <c r="C350" s="14" t="str">
        <f ca="1">Cleaned_Data!E350</f>
        <v>Basic</v>
      </c>
      <c r="D350" s="15">
        <f>Cleaned_Data!F350</f>
        <v>45238</v>
      </c>
      <c r="E350" s="15">
        <f>Cleaned_Data!G350</f>
        <v>45268</v>
      </c>
      <c r="F350" s="14">
        <f>Cleaned_Data!H350</f>
        <v>3500</v>
      </c>
      <c r="G350" s="14">
        <f ca="1">Cleaned_Data!I350</f>
        <v>31500</v>
      </c>
      <c r="H350" s="14">
        <f>Cleaned_Data!J350</f>
        <v>18</v>
      </c>
      <c r="I350" s="14" t="str">
        <f>Cleaned_Data!M350</f>
        <v>Cancelled</v>
      </c>
      <c r="J350" s="16">
        <f>Cleaned_Data!N350</f>
        <v>46063</v>
      </c>
      <c r="K350" t="str">
        <f t="shared" si="50"/>
        <v>Highly Active</v>
      </c>
      <c r="L350" s="5" t="str">
        <f>IF(COUNTIF($A$2:A350,A350)&gt;1,"Duplicate","Unique")</f>
        <v>Unique</v>
      </c>
      <c r="M350" t="str">
        <f t="shared" si="51"/>
        <v>2023-11</v>
      </c>
      <c r="N350" s="2">
        <f t="shared" ca="1" si="52"/>
        <v>46063</v>
      </c>
      <c r="O350" s="4">
        <f t="shared" ca="1" si="53"/>
        <v>27</v>
      </c>
      <c r="P350" s="4">
        <f t="shared" ca="1" si="54"/>
        <v>66</v>
      </c>
      <c r="Q350">
        <f t="shared" ca="1" si="55"/>
        <v>4</v>
      </c>
      <c r="R350">
        <f t="shared" si="56"/>
        <v>4</v>
      </c>
      <c r="S350">
        <f t="shared" ca="1" si="57"/>
        <v>5</v>
      </c>
      <c r="T350" t="str">
        <f t="shared" ca="1" si="58"/>
        <v>445</v>
      </c>
      <c r="U350" t="str">
        <f t="shared" ca="1" si="59"/>
        <v>Champion</v>
      </c>
    </row>
    <row r="351" spans="1:21">
      <c r="A351" s="17" t="str">
        <f>Cleaned_Data!A351</f>
        <v>MEM0350</v>
      </c>
      <c r="B351" s="18" t="str">
        <f ca="1">Cleaned_Data!D351</f>
        <v>BR03</v>
      </c>
      <c r="C351" s="18" t="str">
        <f ca="1">Cleaned_Data!E351</f>
        <v>Premium</v>
      </c>
      <c r="D351" s="19">
        <f>Cleaned_Data!F351</f>
        <v>45325</v>
      </c>
      <c r="E351" s="19">
        <f>Cleaned_Data!G351</f>
        <v>45415</v>
      </c>
      <c r="F351" s="18">
        <f>Cleaned_Data!H351</f>
        <v>2000</v>
      </c>
      <c r="G351" s="18">
        <f ca="1">Cleaned_Data!I351</f>
        <v>14000</v>
      </c>
      <c r="H351" s="18">
        <f>Cleaned_Data!J351</f>
        <v>11</v>
      </c>
      <c r="I351" s="18" t="str">
        <f>Cleaned_Data!M351</f>
        <v>Active</v>
      </c>
      <c r="J351" s="20">
        <f>Cleaned_Data!N351</f>
        <v>45473</v>
      </c>
      <c r="K351" t="str">
        <f t="shared" si="50"/>
        <v>Moderate</v>
      </c>
      <c r="L351" s="5" t="str">
        <f>IF(COUNTIF($A$2:A351,A351)&gt;1,"Duplicate","Unique")</f>
        <v>Unique</v>
      </c>
      <c r="M351" t="str">
        <f t="shared" si="51"/>
        <v>2024-02</v>
      </c>
      <c r="N351" s="2">
        <f t="shared" ca="1" si="52"/>
        <v>45473</v>
      </c>
      <c r="O351" s="4">
        <f t="shared" ca="1" si="53"/>
        <v>4</v>
      </c>
      <c r="P351" s="4">
        <f t="shared" ca="1" si="54"/>
        <v>656</v>
      </c>
      <c r="Q351">
        <f t="shared" ca="1" si="55"/>
        <v>1</v>
      </c>
      <c r="R351">
        <f t="shared" si="56"/>
        <v>3</v>
      </c>
      <c r="S351">
        <f t="shared" ca="1" si="57"/>
        <v>4</v>
      </c>
      <c r="T351" t="str">
        <f t="shared" ca="1" si="58"/>
        <v>134</v>
      </c>
      <c r="U351" t="str">
        <f t="shared" ca="1" si="59"/>
        <v>At Risk</v>
      </c>
    </row>
    <row r="352" spans="1:21">
      <c r="A352" s="13" t="str">
        <f>Cleaned_Data!A352</f>
        <v>MEM0351</v>
      </c>
      <c r="B352" s="14" t="str">
        <f ca="1">Cleaned_Data!D352</f>
        <v>BR06</v>
      </c>
      <c r="C352" s="14" t="str">
        <f ca="1">Cleaned_Data!E352</f>
        <v>Basic</v>
      </c>
      <c r="D352" s="15">
        <f>Cleaned_Data!F352</f>
        <v>45001</v>
      </c>
      <c r="E352" s="15">
        <f>Cleaned_Data!G352</f>
        <v>45031</v>
      </c>
      <c r="F352" s="14">
        <f>Cleaned_Data!H352</f>
        <v>3500</v>
      </c>
      <c r="G352" s="14">
        <f ca="1">Cleaned_Data!I352</f>
        <v>7000</v>
      </c>
      <c r="H352" s="14">
        <f>Cleaned_Data!J352</f>
        <v>11</v>
      </c>
      <c r="I352" s="14" t="str">
        <f>Cleaned_Data!M352</f>
        <v>Active</v>
      </c>
      <c r="J352" s="16">
        <f>Cleaned_Data!N352</f>
        <v>45052</v>
      </c>
      <c r="K352" t="str">
        <f t="shared" si="50"/>
        <v>Moderate</v>
      </c>
      <c r="L352" s="5" t="str">
        <f>IF(COUNTIF($A$2:A352,A352)&gt;1,"Duplicate","Unique")</f>
        <v>Unique</v>
      </c>
      <c r="M352" t="str">
        <f t="shared" si="51"/>
        <v>2023-03</v>
      </c>
      <c r="N352" s="2">
        <f t="shared" ca="1" si="52"/>
        <v>45052</v>
      </c>
      <c r="O352" s="4">
        <f t="shared" ca="1" si="53"/>
        <v>1</v>
      </c>
      <c r="P352" s="4">
        <f t="shared" ca="1" si="54"/>
        <v>1077</v>
      </c>
      <c r="Q352">
        <f t="shared" ca="1" si="55"/>
        <v>1</v>
      </c>
      <c r="R352">
        <f t="shared" si="56"/>
        <v>3</v>
      </c>
      <c r="S352">
        <f t="shared" ca="1" si="57"/>
        <v>3</v>
      </c>
      <c r="T352" t="str">
        <f t="shared" ca="1" si="58"/>
        <v>133</v>
      </c>
      <c r="U352" t="str">
        <f t="shared" ca="1" si="59"/>
        <v>At Risk</v>
      </c>
    </row>
    <row r="353" spans="1:21">
      <c r="A353" s="17" t="str">
        <f>Cleaned_Data!A353</f>
        <v>MEM0352</v>
      </c>
      <c r="B353" s="18" t="str">
        <f ca="1">Cleaned_Data!D353</f>
        <v>BR03</v>
      </c>
      <c r="C353" s="18" t="str">
        <f ca="1">Cleaned_Data!E353</f>
        <v>Premium</v>
      </c>
      <c r="D353" s="19">
        <f>Cleaned_Data!F353</f>
        <v>45670</v>
      </c>
      <c r="E353" s="19">
        <f>Cleaned_Data!G353</f>
        <v>45760</v>
      </c>
      <c r="F353" s="18">
        <f>Cleaned_Data!H353</f>
        <v>1000</v>
      </c>
      <c r="G353" s="18">
        <f ca="1">Cleaned_Data!I353</f>
        <v>2000</v>
      </c>
      <c r="H353" s="18">
        <f>Cleaned_Data!J353</f>
        <v>6</v>
      </c>
      <c r="I353" s="18" t="str">
        <f>Cleaned_Data!M353</f>
        <v>Active</v>
      </c>
      <c r="J353" s="20">
        <f>Cleaned_Data!N353</f>
        <v>45904</v>
      </c>
      <c r="K353" t="str">
        <f t="shared" si="50"/>
        <v>Moderate</v>
      </c>
      <c r="L353" s="5" t="str">
        <f>IF(COUNTIF($A$2:A353,A353)&gt;1,"Duplicate","Unique")</f>
        <v>Unique</v>
      </c>
      <c r="M353" t="str">
        <f t="shared" si="51"/>
        <v>2025-01</v>
      </c>
      <c r="N353" s="2">
        <f t="shared" ca="1" si="52"/>
        <v>45904</v>
      </c>
      <c r="O353" s="4">
        <f t="shared" ca="1" si="53"/>
        <v>7</v>
      </c>
      <c r="P353" s="4">
        <f t="shared" ca="1" si="54"/>
        <v>225</v>
      </c>
      <c r="Q353">
        <f t="shared" ca="1" si="55"/>
        <v>2</v>
      </c>
      <c r="R353">
        <f t="shared" si="56"/>
        <v>2</v>
      </c>
      <c r="S353">
        <f t="shared" ca="1" si="57"/>
        <v>2</v>
      </c>
      <c r="T353" t="str">
        <f t="shared" ca="1" si="58"/>
        <v>222</v>
      </c>
      <c r="U353" t="str">
        <f t="shared" ca="1" si="59"/>
        <v>At Risk</v>
      </c>
    </row>
    <row r="354" spans="1:21">
      <c r="A354" s="13" t="str">
        <f>Cleaned_Data!A354</f>
        <v>MEM0353</v>
      </c>
      <c r="B354" s="14" t="str">
        <f ca="1">Cleaned_Data!D354</f>
        <v>BR01</v>
      </c>
      <c r="C354" s="14" t="str">
        <f ca="1">Cleaned_Data!E354</f>
        <v>Basic</v>
      </c>
      <c r="D354" s="15">
        <f>Cleaned_Data!F354</f>
        <v>45252</v>
      </c>
      <c r="E354" s="15">
        <f>Cleaned_Data!G354</f>
        <v>45617</v>
      </c>
      <c r="F354" s="14">
        <f>Cleaned_Data!H354</f>
        <v>1000</v>
      </c>
      <c r="G354" s="14">
        <f ca="1">Cleaned_Data!I354</f>
        <v>5000</v>
      </c>
      <c r="H354" s="14">
        <f>Cleaned_Data!J354</f>
        <v>7</v>
      </c>
      <c r="I354" s="14" t="str">
        <f>Cleaned_Data!M354</f>
        <v>Active</v>
      </c>
      <c r="J354" s="16">
        <f>Cleaned_Data!N354</f>
        <v>45697</v>
      </c>
      <c r="K354" t="str">
        <f t="shared" si="50"/>
        <v>Moderate</v>
      </c>
      <c r="L354" s="5" t="str">
        <f>IF(COUNTIF($A$2:A354,A354)&gt;1,"Duplicate","Unique")</f>
        <v>Unique</v>
      </c>
      <c r="M354" t="str">
        <f t="shared" si="51"/>
        <v>2023-11</v>
      </c>
      <c r="N354" s="2">
        <f t="shared" ca="1" si="52"/>
        <v>45697</v>
      </c>
      <c r="O354" s="4">
        <f t="shared" ca="1" si="53"/>
        <v>14</v>
      </c>
      <c r="P354" s="4">
        <f t="shared" ca="1" si="54"/>
        <v>432</v>
      </c>
      <c r="Q354">
        <f t="shared" ca="1" si="55"/>
        <v>1</v>
      </c>
      <c r="R354">
        <f t="shared" si="56"/>
        <v>2</v>
      </c>
      <c r="S354">
        <f t="shared" ca="1" si="57"/>
        <v>3</v>
      </c>
      <c r="T354" t="str">
        <f t="shared" ca="1" si="58"/>
        <v>123</v>
      </c>
      <c r="U354" t="str">
        <f t="shared" ca="1" si="59"/>
        <v>At Risk</v>
      </c>
    </row>
    <row r="355" spans="1:21">
      <c r="A355" s="17" t="str">
        <f>Cleaned_Data!A355</f>
        <v>MEM0354</v>
      </c>
      <c r="B355" s="18" t="str">
        <f ca="1">Cleaned_Data!D355</f>
        <v>BR05</v>
      </c>
      <c r="C355" s="18" t="str">
        <f ca="1">Cleaned_Data!E355</f>
        <v>Premium</v>
      </c>
      <c r="D355" s="19">
        <f>Cleaned_Data!F355</f>
        <v>45495</v>
      </c>
      <c r="E355" s="19">
        <f>Cleaned_Data!G355</f>
        <v>45860</v>
      </c>
      <c r="F355" s="18">
        <f>Cleaned_Data!H355</f>
        <v>3500</v>
      </c>
      <c r="G355" s="18">
        <f ca="1">Cleaned_Data!I355</f>
        <v>28000</v>
      </c>
      <c r="H355" s="18">
        <f>Cleaned_Data!J355</f>
        <v>2</v>
      </c>
      <c r="I355" s="18" t="str">
        <f>Cleaned_Data!M355</f>
        <v>Cancelled</v>
      </c>
      <c r="J355" s="20">
        <f>Cleaned_Data!N355</f>
        <v>46049</v>
      </c>
      <c r="K355" t="str">
        <f t="shared" si="50"/>
        <v>At Risk</v>
      </c>
      <c r="L355" s="5" t="str">
        <f>IF(COUNTIF($A$2:A355,A355)&gt;1,"Duplicate","Unique")</f>
        <v>Unique</v>
      </c>
      <c r="M355" t="str">
        <f t="shared" si="51"/>
        <v>2024-07</v>
      </c>
      <c r="N355" s="2">
        <f t="shared" ca="1" si="52"/>
        <v>46049</v>
      </c>
      <c r="O355" s="4">
        <f t="shared" ca="1" si="53"/>
        <v>18</v>
      </c>
      <c r="P355" s="4">
        <f t="shared" ca="1" si="54"/>
        <v>80</v>
      </c>
      <c r="Q355">
        <f t="shared" ca="1" si="55"/>
        <v>4</v>
      </c>
      <c r="R355">
        <f t="shared" si="56"/>
        <v>1</v>
      </c>
      <c r="S355">
        <f t="shared" ca="1" si="57"/>
        <v>5</v>
      </c>
      <c r="T355" t="str">
        <f t="shared" ca="1" si="58"/>
        <v>415</v>
      </c>
      <c r="U355" t="str">
        <f t="shared" ca="1" si="59"/>
        <v>Others</v>
      </c>
    </row>
    <row r="356" spans="1:21">
      <c r="A356" s="13" t="str">
        <f>Cleaned_Data!A356</f>
        <v>MEM0355</v>
      </c>
      <c r="B356" s="14" t="str">
        <f ca="1">Cleaned_Data!D356</f>
        <v>BR05</v>
      </c>
      <c r="C356" s="14" t="str">
        <f ca="1">Cleaned_Data!E356</f>
        <v>Premium</v>
      </c>
      <c r="D356" s="15">
        <f>Cleaned_Data!F356</f>
        <v>45251</v>
      </c>
      <c r="E356" s="15">
        <f>Cleaned_Data!G356</f>
        <v>45281</v>
      </c>
      <c r="F356" s="14">
        <f>Cleaned_Data!H356</f>
        <v>3500</v>
      </c>
      <c r="G356" s="14">
        <f ca="1">Cleaned_Data!I356</f>
        <v>35000</v>
      </c>
      <c r="H356" s="14">
        <f>Cleaned_Data!J356</f>
        <v>19</v>
      </c>
      <c r="I356" s="14" t="str">
        <f>Cleaned_Data!M356</f>
        <v>Active</v>
      </c>
      <c r="J356" s="16">
        <f>Cleaned_Data!N356</f>
        <v>45481</v>
      </c>
      <c r="K356" t="str">
        <f t="shared" si="50"/>
        <v>Highly Active</v>
      </c>
      <c r="L356" s="5" t="str">
        <f>IF(COUNTIF($A$2:A356,A356)&gt;1,"Duplicate","Unique")</f>
        <v>Unique</v>
      </c>
      <c r="M356" t="str">
        <f t="shared" si="51"/>
        <v>2023-11</v>
      </c>
      <c r="N356" s="2">
        <f t="shared" ca="1" si="52"/>
        <v>45481</v>
      </c>
      <c r="O356" s="4">
        <f t="shared" ca="1" si="53"/>
        <v>7</v>
      </c>
      <c r="P356" s="4">
        <f t="shared" ca="1" si="54"/>
        <v>648</v>
      </c>
      <c r="Q356">
        <f t="shared" ca="1" si="55"/>
        <v>1</v>
      </c>
      <c r="R356">
        <f t="shared" si="56"/>
        <v>4</v>
      </c>
      <c r="S356">
        <f t="shared" ca="1" si="57"/>
        <v>5</v>
      </c>
      <c r="T356" t="str">
        <f t="shared" ca="1" si="58"/>
        <v>145</v>
      </c>
      <c r="U356" t="str">
        <f t="shared" ca="1" si="59"/>
        <v>At Risk</v>
      </c>
    </row>
    <row r="357" spans="1:21">
      <c r="A357" s="17" t="str">
        <f>Cleaned_Data!A357</f>
        <v>MEM0356</v>
      </c>
      <c r="B357" s="18" t="str">
        <f ca="1">Cleaned_Data!D357</f>
        <v>BR07</v>
      </c>
      <c r="C357" s="18" t="str">
        <f ca="1">Cleaned_Data!E357</f>
        <v>Basic</v>
      </c>
      <c r="D357" s="19">
        <f>Cleaned_Data!F357</f>
        <v>45575</v>
      </c>
      <c r="E357" s="19">
        <f>Cleaned_Data!G357</f>
        <v>45605</v>
      </c>
      <c r="F357" s="18">
        <f>Cleaned_Data!H357</f>
        <v>3500</v>
      </c>
      <c r="G357" s="18">
        <f ca="1">Cleaned_Data!I357</f>
        <v>35000</v>
      </c>
      <c r="H357" s="18">
        <f>Cleaned_Data!J357</f>
        <v>17</v>
      </c>
      <c r="I357" s="18" t="str">
        <f>Cleaned_Data!M357</f>
        <v>Active</v>
      </c>
      <c r="J357" s="20">
        <f>Cleaned_Data!N357</f>
        <v>45889</v>
      </c>
      <c r="K357" t="str">
        <f t="shared" si="50"/>
        <v>Highly Active</v>
      </c>
      <c r="L357" s="5" t="str">
        <f>IF(COUNTIF($A$2:A357,A357)&gt;1,"Duplicate","Unique")</f>
        <v>Unique</v>
      </c>
      <c r="M357" t="str">
        <f t="shared" si="51"/>
        <v>2024-10</v>
      </c>
      <c r="N357" s="2">
        <f t="shared" ca="1" si="52"/>
        <v>45889</v>
      </c>
      <c r="O357" s="4">
        <f t="shared" ca="1" si="53"/>
        <v>10</v>
      </c>
      <c r="P357" s="4">
        <f t="shared" ca="1" si="54"/>
        <v>240</v>
      </c>
      <c r="Q357">
        <f t="shared" ca="1" si="55"/>
        <v>2</v>
      </c>
      <c r="R357">
        <f t="shared" si="56"/>
        <v>4</v>
      </c>
      <c r="S357">
        <f t="shared" ca="1" si="57"/>
        <v>5</v>
      </c>
      <c r="T357" t="str">
        <f t="shared" ca="1" si="58"/>
        <v>245</v>
      </c>
      <c r="U357" t="str">
        <f t="shared" ca="1" si="59"/>
        <v>At Risk</v>
      </c>
    </row>
    <row r="358" spans="1:21">
      <c r="A358" s="13" t="str">
        <f>Cleaned_Data!A358</f>
        <v>MEM0357</v>
      </c>
      <c r="B358" s="14" t="str">
        <f ca="1">Cleaned_Data!D358</f>
        <v>BR05</v>
      </c>
      <c r="C358" s="14" t="str">
        <f ca="1">Cleaned_Data!E358</f>
        <v>Basic</v>
      </c>
      <c r="D358" s="15">
        <f>Cleaned_Data!F358</f>
        <v>45989</v>
      </c>
      <c r="E358" s="15">
        <f>Cleaned_Data!G358</f>
        <v>46354</v>
      </c>
      <c r="F358" s="14">
        <f>Cleaned_Data!H358</f>
        <v>3500</v>
      </c>
      <c r="G358" s="14">
        <f ca="1">Cleaned_Data!I358</f>
        <v>24500</v>
      </c>
      <c r="H358" s="14">
        <f>Cleaned_Data!J358</f>
        <v>4</v>
      </c>
      <c r="I358" s="14" t="str">
        <f>Cleaned_Data!M358</f>
        <v>Cancelled</v>
      </c>
      <c r="J358" s="16">
        <f>Cleaned_Data!N358</f>
        <v>46014</v>
      </c>
      <c r="K358" t="str">
        <f t="shared" si="50"/>
        <v>At Risk</v>
      </c>
      <c r="L358" s="5" t="str">
        <f>IF(COUNTIF($A$2:A358,A358)&gt;1,"Duplicate","Unique")</f>
        <v>Unique</v>
      </c>
      <c r="M358" t="str">
        <f t="shared" si="51"/>
        <v>2025-11</v>
      </c>
      <c r="N358" s="2">
        <f t="shared" ca="1" si="52"/>
        <v>46014</v>
      </c>
      <c r="O358" s="4">
        <f t="shared" ca="1" si="53"/>
        <v>0</v>
      </c>
      <c r="P358" s="4">
        <f t="shared" ca="1" si="54"/>
        <v>115</v>
      </c>
      <c r="Q358">
        <f t="shared" ca="1" si="55"/>
        <v>3</v>
      </c>
      <c r="R358">
        <f t="shared" si="56"/>
        <v>1</v>
      </c>
      <c r="S358">
        <f t="shared" ca="1" si="57"/>
        <v>5</v>
      </c>
      <c r="T358" t="str">
        <f t="shared" ca="1" si="58"/>
        <v>315</v>
      </c>
      <c r="U358" t="str">
        <f t="shared" ca="1" si="59"/>
        <v>Others</v>
      </c>
    </row>
    <row r="359" spans="1:21">
      <c r="A359" s="17" t="str">
        <f>Cleaned_Data!A359</f>
        <v>MEM0358</v>
      </c>
      <c r="B359" s="18" t="str">
        <f ca="1">Cleaned_Data!D359</f>
        <v>BR04</v>
      </c>
      <c r="C359" s="18" t="str">
        <f ca="1">Cleaned_Data!E359</f>
        <v>Standard</v>
      </c>
      <c r="D359" s="19">
        <f>Cleaned_Data!F359</f>
        <v>45580</v>
      </c>
      <c r="E359" s="19">
        <f>Cleaned_Data!G359</f>
        <v>45670</v>
      </c>
      <c r="F359" s="18">
        <f>Cleaned_Data!H359</f>
        <v>1000</v>
      </c>
      <c r="G359" s="18">
        <f ca="1">Cleaned_Data!I359</f>
        <v>4000</v>
      </c>
      <c r="H359" s="18">
        <f>Cleaned_Data!J359</f>
        <v>4</v>
      </c>
      <c r="I359" s="18" t="str">
        <f>Cleaned_Data!M359</f>
        <v>Cancelled</v>
      </c>
      <c r="J359" s="20">
        <f>Cleaned_Data!N359</f>
        <v>45625</v>
      </c>
      <c r="K359" t="str">
        <f t="shared" si="50"/>
        <v>At Risk</v>
      </c>
      <c r="L359" s="5" t="str">
        <f>IF(COUNTIF($A$2:A359,A359)&gt;1,"Duplicate","Unique")</f>
        <v>Unique</v>
      </c>
      <c r="M359" t="str">
        <f t="shared" si="51"/>
        <v>2024-10</v>
      </c>
      <c r="N359" s="2">
        <f t="shared" ca="1" si="52"/>
        <v>45625</v>
      </c>
      <c r="O359" s="4">
        <f t="shared" ca="1" si="53"/>
        <v>1</v>
      </c>
      <c r="P359" s="4">
        <f t="shared" ca="1" si="54"/>
        <v>504</v>
      </c>
      <c r="Q359">
        <f t="shared" ca="1" si="55"/>
        <v>1</v>
      </c>
      <c r="R359">
        <f t="shared" si="56"/>
        <v>1</v>
      </c>
      <c r="S359">
        <f t="shared" ca="1" si="57"/>
        <v>2</v>
      </c>
      <c r="T359" t="str">
        <f t="shared" ca="1" si="58"/>
        <v>112</v>
      </c>
      <c r="U359" t="str">
        <f t="shared" ca="1" si="59"/>
        <v>At Risk</v>
      </c>
    </row>
    <row r="360" spans="1:21">
      <c r="A360" s="13" t="str">
        <f>Cleaned_Data!A360</f>
        <v>MEM0359</v>
      </c>
      <c r="B360" s="14" t="str">
        <f ca="1">Cleaned_Data!D360</f>
        <v>BR01</v>
      </c>
      <c r="C360" s="14" t="str">
        <f ca="1">Cleaned_Data!E360</f>
        <v>Standard</v>
      </c>
      <c r="D360" s="15">
        <f>Cleaned_Data!F360</f>
        <v>45645</v>
      </c>
      <c r="E360" s="15">
        <f>Cleaned_Data!G360</f>
        <v>46010</v>
      </c>
      <c r="F360" s="14">
        <f>Cleaned_Data!H360</f>
        <v>2000</v>
      </c>
      <c r="G360" s="14">
        <f ca="1">Cleaned_Data!I360</f>
        <v>16000</v>
      </c>
      <c r="H360" s="14">
        <f>Cleaned_Data!J360</f>
        <v>13</v>
      </c>
      <c r="I360" s="14" t="str">
        <f>Cleaned_Data!M360</f>
        <v>Active</v>
      </c>
      <c r="J360" s="16">
        <f>Cleaned_Data!N360</f>
        <v>45828</v>
      </c>
      <c r="K360" t="str">
        <f t="shared" si="50"/>
        <v>Moderate</v>
      </c>
      <c r="L360" s="5" t="str">
        <f>IF(COUNTIF($A$2:A360,A360)&gt;1,"Duplicate","Unique")</f>
        <v>Unique</v>
      </c>
      <c r="M360" t="str">
        <f t="shared" si="51"/>
        <v>2024-12</v>
      </c>
      <c r="N360" s="2">
        <f t="shared" ca="1" si="52"/>
        <v>45828</v>
      </c>
      <c r="O360" s="4">
        <f t="shared" ca="1" si="53"/>
        <v>6</v>
      </c>
      <c r="P360" s="4">
        <f t="shared" ca="1" si="54"/>
        <v>301</v>
      </c>
      <c r="Q360">
        <f t="shared" ca="1" si="55"/>
        <v>2</v>
      </c>
      <c r="R360">
        <f t="shared" si="56"/>
        <v>3</v>
      </c>
      <c r="S360">
        <f t="shared" ca="1" si="57"/>
        <v>4</v>
      </c>
      <c r="T360" t="str">
        <f t="shared" ca="1" si="58"/>
        <v>234</v>
      </c>
      <c r="U360" t="str">
        <f t="shared" ca="1" si="59"/>
        <v>At Risk</v>
      </c>
    </row>
    <row r="361" spans="1:21">
      <c r="A361" s="17" t="str">
        <f>Cleaned_Data!A361</f>
        <v>MEM0360</v>
      </c>
      <c r="B361" s="18" t="str">
        <f ca="1">Cleaned_Data!D361</f>
        <v>BR01</v>
      </c>
      <c r="C361" s="18" t="str">
        <f ca="1">Cleaned_Data!E361</f>
        <v>Basic</v>
      </c>
      <c r="D361" s="19">
        <f>Cleaned_Data!F361</f>
        <v>45012</v>
      </c>
      <c r="E361" s="19">
        <f>Cleaned_Data!G361</f>
        <v>45102</v>
      </c>
      <c r="F361" s="18">
        <f>Cleaned_Data!H361</f>
        <v>1000</v>
      </c>
      <c r="G361" s="18">
        <f ca="1">Cleaned_Data!I361</f>
        <v>3000</v>
      </c>
      <c r="H361" s="18">
        <f>Cleaned_Data!J361</f>
        <v>23</v>
      </c>
      <c r="I361" s="18" t="str">
        <f>Cleaned_Data!M361</f>
        <v>Active</v>
      </c>
      <c r="J361" s="20">
        <f>Cleaned_Data!N361</f>
        <v>45090</v>
      </c>
      <c r="K361" t="str">
        <f t="shared" si="50"/>
        <v>Highly Active</v>
      </c>
      <c r="L361" s="5" t="str">
        <f>IF(COUNTIF($A$2:A361,A361)&gt;1,"Duplicate","Unique")</f>
        <v>Unique</v>
      </c>
      <c r="M361" t="str">
        <f t="shared" si="51"/>
        <v>2023-03</v>
      </c>
      <c r="N361" s="2">
        <f t="shared" ca="1" si="52"/>
        <v>45090</v>
      </c>
      <c r="O361" s="4">
        <f t="shared" ca="1" si="53"/>
        <v>2</v>
      </c>
      <c r="P361" s="4">
        <f t="shared" ca="1" si="54"/>
        <v>1039</v>
      </c>
      <c r="Q361">
        <f t="shared" ca="1" si="55"/>
        <v>1</v>
      </c>
      <c r="R361">
        <f t="shared" si="56"/>
        <v>5</v>
      </c>
      <c r="S361">
        <f t="shared" ca="1" si="57"/>
        <v>2</v>
      </c>
      <c r="T361" t="str">
        <f t="shared" ca="1" si="58"/>
        <v>152</v>
      </c>
      <c r="U361" t="str">
        <f t="shared" ca="1" si="59"/>
        <v>At Risk</v>
      </c>
    </row>
    <row r="362" spans="1:21">
      <c r="A362" s="13" t="str">
        <f>Cleaned_Data!A362</f>
        <v>MEM0361</v>
      </c>
      <c r="B362" s="14" t="str">
        <f ca="1">Cleaned_Data!D362</f>
        <v>BR04</v>
      </c>
      <c r="C362" s="14" t="str">
        <f ca="1">Cleaned_Data!E362</f>
        <v>Standard</v>
      </c>
      <c r="D362" s="15">
        <f>Cleaned_Data!F362</f>
        <v>45107</v>
      </c>
      <c r="E362" s="15">
        <f>Cleaned_Data!G362</f>
        <v>45137</v>
      </c>
      <c r="F362" s="14">
        <f>Cleaned_Data!H362</f>
        <v>1000</v>
      </c>
      <c r="G362" s="14">
        <f ca="1">Cleaned_Data!I362</f>
        <v>1000</v>
      </c>
      <c r="H362" s="14">
        <f>Cleaned_Data!J362</f>
        <v>1</v>
      </c>
      <c r="I362" s="14" t="str">
        <f>Cleaned_Data!M362</f>
        <v>Cancelled</v>
      </c>
      <c r="J362" s="16">
        <f>Cleaned_Data!N362</f>
        <v>45663</v>
      </c>
      <c r="K362" t="str">
        <f t="shared" si="50"/>
        <v>At Risk</v>
      </c>
      <c r="L362" s="5" t="str">
        <f>IF(COUNTIF($A$2:A362,A362)&gt;1,"Duplicate","Unique")</f>
        <v>Unique</v>
      </c>
      <c r="M362" t="str">
        <f t="shared" si="51"/>
        <v>2023-06</v>
      </c>
      <c r="N362" s="2">
        <f t="shared" ca="1" si="52"/>
        <v>45663</v>
      </c>
      <c r="O362" s="4">
        <f t="shared" ca="1" si="53"/>
        <v>18</v>
      </c>
      <c r="P362" s="4">
        <f t="shared" ca="1" si="54"/>
        <v>466</v>
      </c>
      <c r="Q362">
        <f t="shared" ca="1" si="55"/>
        <v>1</v>
      </c>
      <c r="R362">
        <f t="shared" si="56"/>
        <v>1</v>
      </c>
      <c r="S362">
        <f t="shared" ca="1" si="57"/>
        <v>1</v>
      </c>
      <c r="T362" t="str">
        <f t="shared" ca="1" si="58"/>
        <v>111</v>
      </c>
      <c r="U362" t="str">
        <f t="shared" ca="1" si="59"/>
        <v>At Risk</v>
      </c>
    </row>
    <row r="363" spans="1:21">
      <c r="A363" s="17" t="str">
        <f>Cleaned_Data!A363</f>
        <v>MEM0362</v>
      </c>
      <c r="B363" s="18" t="str">
        <f ca="1">Cleaned_Data!D363</f>
        <v>BR05</v>
      </c>
      <c r="C363" s="18" t="str">
        <f ca="1">Cleaned_Data!E363</f>
        <v>Basic</v>
      </c>
      <c r="D363" s="19">
        <f>Cleaned_Data!F363</f>
        <v>45563</v>
      </c>
      <c r="E363" s="19">
        <f>Cleaned_Data!G363</f>
        <v>45928</v>
      </c>
      <c r="F363" s="18">
        <f>Cleaned_Data!H363</f>
        <v>3500</v>
      </c>
      <c r="G363" s="18">
        <f ca="1">Cleaned_Data!I363</f>
        <v>28000</v>
      </c>
      <c r="H363" s="18">
        <f>Cleaned_Data!J363</f>
        <v>23</v>
      </c>
      <c r="I363" s="18" t="str">
        <f>Cleaned_Data!M363</f>
        <v>Active</v>
      </c>
      <c r="J363" s="20">
        <f>Cleaned_Data!N363</f>
        <v>46009</v>
      </c>
      <c r="K363" t="str">
        <f t="shared" si="50"/>
        <v>Highly Active</v>
      </c>
      <c r="L363" s="5" t="str">
        <f>IF(COUNTIF($A$2:A363,A363)&gt;1,"Duplicate","Unique")</f>
        <v>Unique</v>
      </c>
      <c r="M363" t="str">
        <f t="shared" si="51"/>
        <v>2024-09</v>
      </c>
      <c r="N363" s="2">
        <f t="shared" ca="1" si="52"/>
        <v>46009</v>
      </c>
      <c r="O363" s="4">
        <f t="shared" ca="1" si="53"/>
        <v>14</v>
      </c>
      <c r="P363" s="4">
        <f t="shared" ca="1" si="54"/>
        <v>120</v>
      </c>
      <c r="Q363">
        <f t="shared" ca="1" si="55"/>
        <v>3</v>
      </c>
      <c r="R363">
        <f t="shared" si="56"/>
        <v>5</v>
      </c>
      <c r="S363">
        <f t="shared" ca="1" si="57"/>
        <v>5</v>
      </c>
      <c r="T363" t="str">
        <f t="shared" ca="1" si="58"/>
        <v>355</v>
      </c>
      <c r="U363" t="str">
        <f t="shared" ca="1" si="59"/>
        <v>Loyal</v>
      </c>
    </row>
    <row r="364" spans="1:21">
      <c r="A364" s="13" t="str">
        <f>Cleaned_Data!A364</f>
        <v>MEM0363</v>
      </c>
      <c r="B364" s="14" t="str">
        <f ca="1">Cleaned_Data!D364</f>
        <v>BR05</v>
      </c>
      <c r="C364" s="14" t="str">
        <f ca="1">Cleaned_Data!E364</f>
        <v>Premium</v>
      </c>
      <c r="D364" s="15">
        <f>Cleaned_Data!F364</f>
        <v>45971</v>
      </c>
      <c r="E364" s="15">
        <f>Cleaned_Data!G364</f>
        <v>46336</v>
      </c>
      <c r="F364" s="14">
        <f>Cleaned_Data!H364</f>
        <v>3500</v>
      </c>
      <c r="G364" s="14">
        <f ca="1">Cleaned_Data!I364</f>
        <v>17500</v>
      </c>
      <c r="H364" s="14">
        <f>Cleaned_Data!J364</f>
        <v>8</v>
      </c>
      <c r="I364" s="14" t="str">
        <f>Cleaned_Data!M364</f>
        <v>Active</v>
      </c>
      <c r="J364" s="16">
        <f>Cleaned_Data!N364</f>
        <v>46010</v>
      </c>
      <c r="K364" t="str">
        <f t="shared" si="50"/>
        <v>Moderate</v>
      </c>
      <c r="L364" s="5" t="str">
        <f>IF(COUNTIF($A$2:A364,A364)&gt;1,"Duplicate","Unique")</f>
        <v>Unique</v>
      </c>
      <c r="M364" t="str">
        <f t="shared" si="51"/>
        <v>2025-11</v>
      </c>
      <c r="N364" s="2">
        <f t="shared" ca="1" si="52"/>
        <v>46010</v>
      </c>
      <c r="O364" s="4">
        <f t="shared" ca="1" si="53"/>
        <v>1</v>
      </c>
      <c r="P364" s="4">
        <f t="shared" ca="1" si="54"/>
        <v>119</v>
      </c>
      <c r="Q364">
        <f t="shared" ca="1" si="55"/>
        <v>3</v>
      </c>
      <c r="R364">
        <f t="shared" si="56"/>
        <v>2</v>
      </c>
      <c r="S364">
        <f t="shared" ca="1" si="57"/>
        <v>4</v>
      </c>
      <c r="T364" t="str">
        <f t="shared" ca="1" si="58"/>
        <v>324</v>
      </c>
      <c r="U364" t="str">
        <f t="shared" ca="1" si="59"/>
        <v>Others</v>
      </c>
    </row>
    <row r="365" spans="1:21">
      <c r="A365" s="17" t="str">
        <f>Cleaned_Data!A365</f>
        <v>MEM0364</v>
      </c>
      <c r="B365" s="18" t="str">
        <f ca="1">Cleaned_Data!D365</f>
        <v>BR04</v>
      </c>
      <c r="C365" s="18" t="str">
        <f ca="1">Cleaned_Data!E365</f>
        <v>Basic</v>
      </c>
      <c r="D365" s="19">
        <f>Cleaned_Data!F365</f>
        <v>45835</v>
      </c>
      <c r="E365" s="19">
        <f>Cleaned_Data!G365</f>
        <v>46200</v>
      </c>
      <c r="F365" s="18">
        <f>Cleaned_Data!H365</f>
        <v>2000</v>
      </c>
      <c r="G365" s="18">
        <f ca="1">Cleaned_Data!I365</f>
        <v>10000</v>
      </c>
      <c r="H365" s="18">
        <f>Cleaned_Data!J365</f>
        <v>24</v>
      </c>
      <c r="I365" s="18" t="str">
        <f>Cleaned_Data!M365</f>
        <v>Active</v>
      </c>
      <c r="J365" s="20">
        <f>Cleaned_Data!N365</f>
        <v>45932</v>
      </c>
      <c r="K365" t="str">
        <f t="shared" si="50"/>
        <v>Highly Active</v>
      </c>
      <c r="L365" s="5" t="str">
        <f>IF(COUNTIF($A$2:A365,A365)&gt;1,"Duplicate","Unique")</f>
        <v>Unique</v>
      </c>
      <c r="M365" t="str">
        <f t="shared" si="51"/>
        <v>2025-06</v>
      </c>
      <c r="N365" s="2">
        <f t="shared" ca="1" si="52"/>
        <v>45932</v>
      </c>
      <c r="O365" s="4">
        <f t="shared" ca="1" si="53"/>
        <v>3</v>
      </c>
      <c r="P365" s="4">
        <f t="shared" ca="1" si="54"/>
        <v>197</v>
      </c>
      <c r="Q365">
        <f t="shared" ca="1" si="55"/>
        <v>2</v>
      </c>
      <c r="R365">
        <f t="shared" si="56"/>
        <v>5</v>
      </c>
      <c r="S365">
        <f t="shared" ca="1" si="57"/>
        <v>4</v>
      </c>
      <c r="T365" t="str">
        <f t="shared" ca="1" si="58"/>
        <v>254</v>
      </c>
      <c r="U365" t="str">
        <f t="shared" ca="1" si="59"/>
        <v>At Risk</v>
      </c>
    </row>
    <row r="366" spans="1:21">
      <c r="A366" s="13" t="str">
        <f>Cleaned_Data!A366</f>
        <v>MEM0365</v>
      </c>
      <c r="B366" s="14" t="str">
        <f ca="1">Cleaned_Data!D366</f>
        <v>BR03</v>
      </c>
      <c r="C366" s="14" t="str">
        <f ca="1">Cleaned_Data!E366</f>
        <v>Basic</v>
      </c>
      <c r="D366" s="15">
        <f>Cleaned_Data!F366</f>
        <v>46019</v>
      </c>
      <c r="E366" s="15">
        <f>Cleaned_Data!G366</f>
        <v>46049</v>
      </c>
      <c r="F366" s="14">
        <f>Cleaned_Data!H366</f>
        <v>2000</v>
      </c>
      <c r="G366" s="14">
        <f ca="1">Cleaned_Data!I366</f>
        <v>12000</v>
      </c>
      <c r="H366" s="14">
        <f>Cleaned_Data!J366</f>
        <v>24</v>
      </c>
      <c r="I366" s="14" t="str">
        <f>Cleaned_Data!M366</f>
        <v>Active</v>
      </c>
      <c r="J366" s="16">
        <f>Cleaned_Data!N366</f>
        <v>46026</v>
      </c>
      <c r="K366" t="str">
        <f t="shared" si="50"/>
        <v>Highly Active</v>
      </c>
      <c r="L366" s="5" t="str">
        <f>IF(COUNTIF($A$2:A366,A366)&gt;1,"Duplicate","Unique")</f>
        <v>Unique</v>
      </c>
      <c r="M366" t="str">
        <f t="shared" si="51"/>
        <v>2025-12</v>
      </c>
      <c r="N366" s="2">
        <f t="shared" ca="1" si="52"/>
        <v>46026</v>
      </c>
      <c r="O366" s="4">
        <f t="shared" ca="1" si="53"/>
        <v>0</v>
      </c>
      <c r="P366" s="4">
        <f t="shared" ca="1" si="54"/>
        <v>103</v>
      </c>
      <c r="Q366">
        <f t="shared" ca="1" si="55"/>
        <v>3</v>
      </c>
      <c r="R366">
        <f t="shared" si="56"/>
        <v>5</v>
      </c>
      <c r="S366">
        <f t="shared" ca="1" si="57"/>
        <v>4</v>
      </c>
      <c r="T366" t="str">
        <f t="shared" ca="1" si="58"/>
        <v>354</v>
      </c>
      <c r="U366" t="str">
        <f t="shared" ca="1" si="59"/>
        <v>Loyal</v>
      </c>
    </row>
    <row r="367" spans="1:21">
      <c r="A367" s="17" t="str">
        <f>Cleaned_Data!A367</f>
        <v>MEM0366</v>
      </c>
      <c r="B367" s="18" t="str">
        <f ca="1">Cleaned_Data!D367</f>
        <v>BR01</v>
      </c>
      <c r="C367" s="18" t="str">
        <f ca="1">Cleaned_Data!E367</f>
        <v>Premium</v>
      </c>
      <c r="D367" s="19">
        <f>Cleaned_Data!F367</f>
        <v>45121</v>
      </c>
      <c r="E367" s="19">
        <f>Cleaned_Data!G367</f>
        <v>45151</v>
      </c>
      <c r="F367" s="18">
        <f>Cleaned_Data!H367</f>
        <v>1000</v>
      </c>
      <c r="G367" s="18">
        <f ca="1">Cleaned_Data!I367</f>
        <v>2000</v>
      </c>
      <c r="H367" s="18">
        <f>Cleaned_Data!J367</f>
        <v>18</v>
      </c>
      <c r="I367" s="18" t="str">
        <f>Cleaned_Data!M367</f>
        <v>Active</v>
      </c>
      <c r="J367" s="20">
        <f>Cleaned_Data!N367</f>
        <v>46027</v>
      </c>
      <c r="K367" t="str">
        <f t="shared" si="50"/>
        <v>Highly Active</v>
      </c>
      <c r="L367" s="5" t="str">
        <f>IF(COUNTIF($A$2:A367,A367)&gt;1,"Duplicate","Unique")</f>
        <v>Unique</v>
      </c>
      <c r="M367" t="str">
        <f t="shared" si="51"/>
        <v>2023-07</v>
      </c>
      <c r="N367" s="2">
        <f t="shared" ca="1" si="52"/>
        <v>46027</v>
      </c>
      <c r="O367" s="4">
        <f t="shared" ca="1" si="53"/>
        <v>29</v>
      </c>
      <c r="P367" s="4">
        <f t="shared" ca="1" si="54"/>
        <v>102</v>
      </c>
      <c r="Q367">
        <f t="shared" ca="1" si="55"/>
        <v>3</v>
      </c>
      <c r="R367">
        <f t="shared" si="56"/>
        <v>4</v>
      </c>
      <c r="S367">
        <f t="shared" ca="1" si="57"/>
        <v>2</v>
      </c>
      <c r="T367" t="str">
        <f t="shared" ca="1" si="58"/>
        <v>342</v>
      </c>
      <c r="U367" t="str">
        <f t="shared" ca="1" si="59"/>
        <v>Others</v>
      </c>
    </row>
    <row r="368" spans="1:21">
      <c r="A368" s="13" t="str">
        <f>Cleaned_Data!A368</f>
        <v>MEM0367</v>
      </c>
      <c r="B368" s="14" t="str">
        <f ca="1">Cleaned_Data!D368</f>
        <v>BR01</v>
      </c>
      <c r="C368" s="14" t="str">
        <f ca="1">Cleaned_Data!E368</f>
        <v>Basic</v>
      </c>
      <c r="D368" s="15">
        <f>Cleaned_Data!F368</f>
        <v>45574</v>
      </c>
      <c r="E368" s="15">
        <f>Cleaned_Data!G368</f>
        <v>45939</v>
      </c>
      <c r="F368" s="14">
        <f>Cleaned_Data!H368</f>
        <v>1000</v>
      </c>
      <c r="G368" s="14">
        <f ca="1">Cleaned_Data!I368</f>
        <v>3000</v>
      </c>
      <c r="H368" s="14">
        <f>Cleaned_Data!J368</f>
        <v>8</v>
      </c>
      <c r="I368" s="14" t="str">
        <f>Cleaned_Data!M368</f>
        <v>Active</v>
      </c>
      <c r="J368" s="16">
        <f>Cleaned_Data!N368</f>
        <v>45781</v>
      </c>
      <c r="K368" t="str">
        <f t="shared" si="50"/>
        <v>Moderate</v>
      </c>
      <c r="L368" s="5" t="str">
        <f>IF(COUNTIF($A$2:A368,A368)&gt;1,"Duplicate","Unique")</f>
        <v>Unique</v>
      </c>
      <c r="M368" t="str">
        <f t="shared" si="51"/>
        <v>2024-10</v>
      </c>
      <c r="N368" s="2">
        <f t="shared" ca="1" si="52"/>
        <v>45781</v>
      </c>
      <c r="O368" s="4">
        <f t="shared" ca="1" si="53"/>
        <v>6</v>
      </c>
      <c r="P368" s="4">
        <f t="shared" ca="1" si="54"/>
        <v>348</v>
      </c>
      <c r="Q368">
        <f t="shared" ca="1" si="55"/>
        <v>2</v>
      </c>
      <c r="R368">
        <f t="shared" si="56"/>
        <v>2</v>
      </c>
      <c r="S368">
        <f t="shared" ca="1" si="57"/>
        <v>2</v>
      </c>
      <c r="T368" t="str">
        <f t="shared" ca="1" si="58"/>
        <v>222</v>
      </c>
      <c r="U368" t="str">
        <f t="shared" ca="1" si="59"/>
        <v>At Risk</v>
      </c>
    </row>
    <row r="369" spans="1:21">
      <c r="A369" s="17" t="str">
        <f>Cleaned_Data!A369</f>
        <v>MEM0368</v>
      </c>
      <c r="B369" s="18" t="str">
        <f ca="1">Cleaned_Data!D369</f>
        <v>BR01</v>
      </c>
      <c r="C369" s="18" t="str">
        <f ca="1">Cleaned_Data!E369</f>
        <v>Standard</v>
      </c>
      <c r="D369" s="19">
        <f>Cleaned_Data!F369</f>
        <v>45873</v>
      </c>
      <c r="E369" s="19">
        <f>Cleaned_Data!G369</f>
        <v>45903</v>
      </c>
      <c r="F369" s="18">
        <f>Cleaned_Data!H369</f>
        <v>3500</v>
      </c>
      <c r="G369" s="18">
        <f ca="1">Cleaned_Data!I369</f>
        <v>3500</v>
      </c>
      <c r="H369" s="18">
        <f>Cleaned_Data!J369</f>
        <v>14</v>
      </c>
      <c r="I369" s="18" t="str">
        <f>Cleaned_Data!M369</f>
        <v>Active</v>
      </c>
      <c r="J369" s="20">
        <f>Cleaned_Data!N369</f>
        <v>46055</v>
      </c>
      <c r="K369" t="str">
        <f t="shared" si="50"/>
        <v>Moderate</v>
      </c>
      <c r="L369" s="5" t="str">
        <f>IF(COUNTIF($A$2:A369,A369)&gt;1,"Duplicate","Unique")</f>
        <v>Unique</v>
      </c>
      <c r="M369" t="str">
        <f t="shared" si="51"/>
        <v>2025-08</v>
      </c>
      <c r="N369" s="2">
        <f t="shared" ca="1" si="52"/>
        <v>46055</v>
      </c>
      <c r="O369" s="4">
        <f t="shared" ca="1" si="53"/>
        <v>5</v>
      </c>
      <c r="P369" s="4">
        <f t="shared" ca="1" si="54"/>
        <v>74</v>
      </c>
      <c r="Q369">
        <f t="shared" ca="1" si="55"/>
        <v>4</v>
      </c>
      <c r="R369">
        <f t="shared" si="56"/>
        <v>3</v>
      </c>
      <c r="S369">
        <f t="shared" ca="1" si="57"/>
        <v>2</v>
      </c>
      <c r="T369" t="str">
        <f t="shared" ca="1" si="58"/>
        <v>432</v>
      </c>
      <c r="U369" t="str">
        <f t="shared" ca="1" si="59"/>
        <v>Others</v>
      </c>
    </row>
    <row r="370" spans="1:21">
      <c r="A370" s="13" t="str">
        <f>Cleaned_Data!A370</f>
        <v>MEM0369</v>
      </c>
      <c r="B370" s="14" t="str">
        <f ca="1">Cleaned_Data!D370</f>
        <v>BR06</v>
      </c>
      <c r="C370" s="14" t="str">
        <f ca="1">Cleaned_Data!E370</f>
        <v>Premium</v>
      </c>
      <c r="D370" s="15">
        <f>Cleaned_Data!F370</f>
        <v>45020</v>
      </c>
      <c r="E370" s="15">
        <f>Cleaned_Data!G370</f>
        <v>45050</v>
      </c>
      <c r="F370" s="14">
        <f>Cleaned_Data!H370</f>
        <v>2000</v>
      </c>
      <c r="G370" s="14">
        <f ca="1">Cleaned_Data!I370</f>
        <v>20000</v>
      </c>
      <c r="H370" s="14">
        <f>Cleaned_Data!J370</f>
        <v>24</v>
      </c>
      <c r="I370" s="14" t="str">
        <f>Cleaned_Data!M370</f>
        <v>Active</v>
      </c>
      <c r="J370" s="16">
        <f>Cleaned_Data!N370</f>
        <v>45855</v>
      </c>
      <c r="K370" t="str">
        <f t="shared" si="50"/>
        <v>Highly Active</v>
      </c>
      <c r="L370" s="5" t="str">
        <f>IF(COUNTIF($A$2:A370,A370)&gt;1,"Duplicate","Unique")</f>
        <v>Unique</v>
      </c>
      <c r="M370" t="str">
        <f t="shared" si="51"/>
        <v>2023-04</v>
      </c>
      <c r="N370" s="2">
        <f t="shared" ca="1" si="52"/>
        <v>45855</v>
      </c>
      <c r="O370" s="4">
        <f t="shared" ca="1" si="53"/>
        <v>27</v>
      </c>
      <c r="P370" s="4">
        <f t="shared" ca="1" si="54"/>
        <v>274</v>
      </c>
      <c r="Q370">
        <f t="shared" ca="1" si="55"/>
        <v>2</v>
      </c>
      <c r="R370">
        <f t="shared" si="56"/>
        <v>5</v>
      </c>
      <c r="S370">
        <f t="shared" ca="1" si="57"/>
        <v>5</v>
      </c>
      <c r="T370" t="str">
        <f t="shared" ca="1" si="58"/>
        <v>255</v>
      </c>
      <c r="U370" t="str">
        <f t="shared" ca="1" si="59"/>
        <v>At Risk</v>
      </c>
    </row>
    <row r="371" spans="1:21">
      <c r="A371" s="17" t="str">
        <f>Cleaned_Data!A371</f>
        <v>MEM0370</v>
      </c>
      <c r="B371" s="18" t="str">
        <f ca="1">Cleaned_Data!D371</f>
        <v>BR06</v>
      </c>
      <c r="C371" s="18" t="str">
        <f ca="1">Cleaned_Data!E371</f>
        <v>Premium</v>
      </c>
      <c r="D371" s="19">
        <f>Cleaned_Data!F371</f>
        <v>45493</v>
      </c>
      <c r="E371" s="19">
        <f>Cleaned_Data!G371</f>
        <v>45583</v>
      </c>
      <c r="F371" s="18">
        <f>Cleaned_Data!H371</f>
        <v>2000</v>
      </c>
      <c r="G371" s="18">
        <f ca="1">Cleaned_Data!I371</f>
        <v>12000</v>
      </c>
      <c r="H371" s="18">
        <f>Cleaned_Data!J371</f>
        <v>16</v>
      </c>
      <c r="I371" s="18" t="str">
        <f>Cleaned_Data!M371</f>
        <v>Active</v>
      </c>
      <c r="J371" s="20">
        <f>Cleaned_Data!N371</f>
        <v>45836</v>
      </c>
      <c r="K371" t="str">
        <f t="shared" si="50"/>
        <v>Highly Active</v>
      </c>
      <c r="L371" s="5" t="str">
        <f>IF(COUNTIF($A$2:A371,A371)&gt;1,"Duplicate","Unique")</f>
        <v>Unique</v>
      </c>
      <c r="M371" t="str">
        <f t="shared" si="51"/>
        <v>2024-07</v>
      </c>
      <c r="N371" s="2">
        <f t="shared" ca="1" si="52"/>
        <v>45836</v>
      </c>
      <c r="O371" s="4">
        <f t="shared" ca="1" si="53"/>
        <v>11</v>
      </c>
      <c r="P371" s="4">
        <f t="shared" ca="1" si="54"/>
        <v>293</v>
      </c>
      <c r="Q371">
        <f t="shared" ca="1" si="55"/>
        <v>2</v>
      </c>
      <c r="R371">
        <f t="shared" si="56"/>
        <v>4</v>
      </c>
      <c r="S371">
        <f t="shared" ca="1" si="57"/>
        <v>4</v>
      </c>
      <c r="T371" t="str">
        <f t="shared" ca="1" si="58"/>
        <v>244</v>
      </c>
      <c r="U371" t="str">
        <f t="shared" ca="1" si="59"/>
        <v>At Risk</v>
      </c>
    </row>
    <row r="372" spans="1:21">
      <c r="A372" s="13" t="str">
        <f>Cleaned_Data!A372</f>
        <v>MEM0371</v>
      </c>
      <c r="B372" s="14" t="str">
        <f ca="1">Cleaned_Data!D372</f>
        <v>BR01</v>
      </c>
      <c r="C372" s="14" t="str">
        <f ca="1">Cleaned_Data!E372</f>
        <v>Basic</v>
      </c>
      <c r="D372" s="15">
        <f>Cleaned_Data!F372</f>
        <v>45693</v>
      </c>
      <c r="E372" s="15">
        <f>Cleaned_Data!G372</f>
        <v>45723</v>
      </c>
      <c r="F372" s="14">
        <f>Cleaned_Data!H372</f>
        <v>3500</v>
      </c>
      <c r="G372" s="14">
        <f ca="1">Cleaned_Data!I372</f>
        <v>35000</v>
      </c>
      <c r="H372" s="14">
        <f>Cleaned_Data!J372</f>
        <v>16</v>
      </c>
      <c r="I372" s="14" t="str">
        <f>Cleaned_Data!M372</f>
        <v>Active</v>
      </c>
      <c r="J372" s="16">
        <f>Cleaned_Data!N372</f>
        <v>46045</v>
      </c>
      <c r="K372" t="str">
        <f t="shared" si="50"/>
        <v>Highly Active</v>
      </c>
      <c r="L372" s="5" t="str">
        <f>IF(COUNTIF($A$2:A372,A372)&gt;1,"Duplicate","Unique")</f>
        <v>Unique</v>
      </c>
      <c r="M372" t="str">
        <f t="shared" si="51"/>
        <v>2025-02</v>
      </c>
      <c r="N372" s="2">
        <f t="shared" ca="1" si="52"/>
        <v>46045</v>
      </c>
      <c r="O372" s="4">
        <f t="shared" ca="1" si="53"/>
        <v>11</v>
      </c>
      <c r="P372" s="4">
        <f t="shared" ca="1" si="54"/>
        <v>84</v>
      </c>
      <c r="Q372">
        <f t="shared" ca="1" si="55"/>
        <v>4</v>
      </c>
      <c r="R372">
        <f t="shared" si="56"/>
        <v>4</v>
      </c>
      <c r="S372">
        <f t="shared" ca="1" si="57"/>
        <v>5</v>
      </c>
      <c r="T372" t="str">
        <f t="shared" ca="1" si="58"/>
        <v>445</v>
      </c>
      <c r="U372" t="str">
        <f t="shared" ca="1" si="59"/>
        <v>Champion</v>
      </c>
    </row>
    <row r="373" spans="1:21">
      <c r="A373" s="17" t="str">
        <f>Cleaned_Data!A373</f>
        <v>MEM0372</v>
      </c>
      <c r="B373" s="18" t="str">
        <f ca="1">Cleaned_Data!D373</f>
        <v>BR03</v>
      </c>
      <c r="C373" s="18" t="str">
        <f ca="1">Cleaned_Data!E373</f>
        <v>Standard</v>
      </c>
      <c r="D373" s="19">
        <f>Cleaned_Data!F373</f>
        <v>45538</v>
      </c>
      <c r="E373" s="19">
        <f>Cleaned_Data!G373</f>
        <v>45628</v>
      </c>
      <c r="F373" s="18">
        <f>Cleaned_Data!H373</f>
        <v>3500</v>
      </c>
      <c r="G373" s="18">
        <f ca="1">Cleaned_Data!I373</f>
        <v>42000</v>
      </c>
      <c r="H373" s="18">
        <f>Cleaned_Data!J373</f>
        <v>22</v>
      </c>
      <c r="I373" s="18" t="str">
        <f>Cleaned_Data!M373</f>
        <v>Active</v>
      </c>
      <c r="J373" s="20">
        <f>Cleaned_Data!N373</f>
        <v>45577</v>
      </c>
      <c r="K373" t="str">
        <f t="shared" si="50"/>
        <v>Highly Active</v>
      </c>
      <c r="L373" s="5" t="str">
        <f>IF(COUNTIF($A$2:A373,A373)&gt;1,"Duplicate","Unique")</f>
        <v>Unique</v>
      </c>
      <c r="M373" t="str">
        <f t="shared" si="51"/>
        <v>2024-09</v>
      </c>
      <c r="N373" s="2">
        <f t="shared" ca="1" si="52"/>
        <v>45577</v>
      </c>
      <c r="O373" s="4">
        <f t="shared" ca="1" si="53"/>
        <v>1</v>
      </c>
      <c r="P373" s="4">
        <f t="shared" ca="1" si="54"/>
        <v>552</v>
      </c>
      <c r="Q373">
        <f t="shared" ca="1" si="55"/>
        <v>1</v>
      </c>
      <c r="R373">
        <f t="shared" si="56"/>
        <v>5</v>
      </c>
      <c r="S373">
        <f t="shared" ca="1" si="57"/>
        <v>5</v>
      </c>
      <c r="T373" t="str">
        <f t="shared" ca="1" si="58"/>
        <v>155</v>
      </c>
      <c r="U373" t="str">
        <f t="shared" ca="1" si="59"/>
        <v>At Risk</v>
      </c>
    </row>
    <row r="374" spans="1:21">
      <c r="A374" s="13" t="str">
        <f>Cleaned_Data!A374</f>
        <v>MEM0373</v>
      </c>
      <c r="B374" s="14" t="str">
        <f ca="1">Cleaned_Data!D374</f>
        <v>BR06</v>
      </c>
      <c r="C374" s="14" t="str">
        <f ca="1">Cleaned_Data!E374</f>
        <v>Basic</v>
      </c>
      <c r="D374" s="15">
        <f>Cleaned_Data!F374</f>
        <v>45223</v>
      </c>
      <c r="E374" s="15">
        <f>Cleaned_Data!G374</f>
        <v>45253</v>
      </c>
      <c r="F374" s="14">
        <f>Cleaned_Data!H374</f>
        <v>1000</v>
      </c>
      <c r="G374" s="14">
        <f ca="1">Cleaned_Data!I374</f>
        <v>4000</v>
      </c>
      <c r="H374" s="14">
        <f>Cleaned_Data!J374</f>
        <v>24</v>
      </c>
      <c r="I374" s="14" t="str">
        <f>Cleaned_Data!M374</f>
        <v>Active</v>
      </c>
      <c r="J374" s="16">
        <f>Cleaned_Data!N374</f>
        <v>46114</v>
      </c>
      <c r="K374" t="str">
        <f t="shared" si="50"/>
        <v>Highly Active</v>
      </c>
      <c r="L374" s="5" t="str">
        <f>IF(COUNTIF($A$2:A374,A374)&gt;1,"Duplicate","Unique")</f>
        <v>Unique</v>
      </c>
      <c r="M374" t="str">
        <f t="shared" si="51"/>
        <v>2023-10</v>
      </c>
      <c r="N374" s="2">
        <f t="shared" ca="1" si="52"/>
        <v>46114</v>
      </c>
      <c r="O374" s="4">
        <f t="shared" ca="1" si="53"/>
        <v>29</v>
      </c>
      <c r="P374" s="4">
        <f t="shared" ca="1" si="54"/>
        <v>15</v>
      </c>
      <c r="Q374">
        <f t="shared" ca="1" si="55"/>
        <v>5</v>
      </c>
      <c r="R374">
        <f t="shared" si="56"/>
        <v>5</v>
      </c>
      <c r="S374">
        <f t="shared" ca="1" si="57"/>
        <v>2</v>
      </c>
      <c r="T374" t="str">
        <f t="shared" ca="1" si="58"/>
        <v>552</v>
      </c>
      <c r="U374" t="str">
        <f t="shared" ca="1" si="59"/>
        <v>Others</v>
      </c>
    </row>
    <row r="375" spans="1:21">
      <c r="A375" s="17" t="str">
        <f>Cleaned_Data!A375</f>
        <v>MEM0374</v>
      </c>
      <c r="B375" s="18" t="str">
        <f ca="1">Cleaned_Data!D375</f>
        <v>BR05</v>
      </c>
      <c r="C375" s="18" t="str">
        <f ca="1">Cleaned_Data!E375</f>
        <v>Basic</v>
      </c>
      <c r="D375" s="19">
        <f>Cleaned_Data!F375</f>
        <v>45116</v>
      </c>
      <c r="E375" s="19">
        <f>Cleaned_Data!G375</f>
        <v>45206</v>
      </c>
      <c r="F375" s="18">
        <f>Cleaned_Data!H375</f>
        <v>1000</v>
      </c>
      <c r="G375" s="18">
        <f ca="1">Cleaned_Data!I375</f>
        <v>3000</v>
      </c>
      <c r="H375" s="18">
        <f>Cleaned_Data!J375</f>
        <v>2</v>
      </c>
      <c r="I375" s="18" t="str">
        <f>Cleaned_Data!M375</f>
        <v>Cancelled</v>
      </c>
      <c r="J375" s="20">
        <f>Cleaned_Data!N375</f>
        <v>45847</v>
      </c>
      <c r="K375" t="str">
        <f t="shared" si="50"/>
        <v>At Risk</v>
      </c>
      <c r="L375" s="5" t="str">
        <f>IF(COUNTIF($A$2:A375,A375)&gt;1,"Duplicate","Unique")</f>
        <v>Unique</v>
      </c>
      <c r="M375" t="str">
        <f t="shared" si="51"/>
        <v>2023-07</v>
      </c>
      <c r="N375" s="2">
        <f t="shared" ca="1" si="52"/>
        <v>45847</v>
      </c>
      <c r="O375" s="4">
        <f t="shared" ca="1" si="53"/>
        <v>24</v>
      </c>
      <c r="P375" s="4">
        <f t="shared" ca="1" si="54"/>
        <v>282</v>
      </c>
      <c r="Q375">
        <f t="shared" ca="1" si="55"/>
        <v>2</v>
      </c>
      <c r="R375">
        <f t="shared" si="56"/>
        <v>1</v>
      </c>
      <c r="S375">
        <f t="shared" ca="1" si="57"/>
        <v>2</v>
      </c>
      <c r="T375" t="str">
        <f t="shared" ca="1" si="58"/>
        <v>212</v>
      </c>
      <c r="U375" t="str">
        <f t="shared" ca="1" si="59"/>
        <v>At Risk</v>
      </c>
    </row>
    <row r="376" spans="1:21">
      <c r="A376" s="13" t="str">
        <f>Cleaned_Data!A376</f>
        <v>MEM0375</v>
      </c>
      <c r="B376" s="14" t="str">
        <f ca="1">Cleaned_Data!D376</f>
        <v>BR07</v>
      </c>
      <c r="C376" s="14" t="str">
        <f ca="1">Cleaned_Data!E376</f>
        <v>Basic</v>
      </c>
      <c r="D376" s="15">
        <f>Cleaned_Data!F376</f>
        <v>44961</v>
      </c>
      <c r="E376" s="15">
        <f>Cleaned_Data!G376</f>
        <v>44991</v>
      </c>
      <c r="F376" s="14">
        <f>Cleaned_Data!H376</f>
        <v>1000</v>
      </c>
      <c r="G376" s="14">
        <f ca="1">Cleaned_Data!I376</f>
        <v>9000</v>
      </c>
      <c r="H376" s="14">
        <f>Cleaned_Data!J376</f>
        <v>1</v>
      </c>
      <c r="I376" s="14" t="str">
        <f>Cleaned_Data!M376</f>
        <v>Active</v>
      </c>
      <c r="J376" s="16">
        <f>Cleaned_Data!N376</f>
        <v>45825</v>
      </c>
      <c r="K376" t="str">
        <f t="shared" si="50"/>
        <v>At Risk</v>
      </c>
      <c r="L376" s="5" t="str">
        <f>IF(COUNTIF($A$2:A376,A376)&gt;1,"Duplicate","Unique")</f>
        <v>Unique</v>
      </c>
      <c r="M376" t="str">
        <f t="shared" si="51"/>
        <v>2023-02</v>
      </c>
      <c r="N376" s="2">
        <f t="shared" ca="1" si="52"/>
        <v>45825</v>
      </c>
      <c r="O376" s="4">
        <f t="shared" ca="1" si="53"/>
        <v>28</v>
      </c>
      <c r="P376" s="4">
        <f t="shared" ca="1" si="54"/>
        <v>304</v>
      </c>
      <c r="Q376">
        <f t="shared" ca="1" si="55"/>
        <v>2</v>
      </c>
      <c r="R376">
        <f t="shared" si="56"/>
        <v>1</v>
      </c>
      <c r="S376">
        <f t="shared" ca="1" si="57"/>
        <v>3</v>
      </c>
      <c r="T376" t="str">
        <f t="shared" ca="1" si="58"/>
        <v>213</v>
      </c>
      <c r="U376" t="str">
        <f t="shared" ca="1" si="59"/>
        <v>At Risk</v>
      </c>
    </row>
    <row r="377" spans="1:21">
      <c r="A377" s="17" t="str">
        <f>Cleaned_Data!A377</f>
        <v>MEM0376</v>
      </c>
      <c r="B377" s="18" t="str">
        <f ca="1">Cleaned_Data!D377</f>
        <v>BR02</v>
      </c>
      <c r="C377" s="18" t="str">
        <f ca="1">Cleaned_Data!E377</f>
        <v>Basic</v>
      </c>
      <c r="D377" s="19">
        <f>Cleaned_Data!F377</f>
        <v>45860</v>
      </c>
      <c r="E377" s="19">
        <f>Cleaned_Data!G377</f>
        <v>45950</v>
      </c>
      <c r="F377" s="18">
        <f>Cleaned_Data!H377</f>
        <v>3500</v>
      </c>
      <c r="G377" s="18">
        <f ca="1">Cleaned_Data!I377</f>
        <v>31500</v>
      </c>
      <c r="H377" s="18">
        <f>Cleaned_Data!J377</f>
        <v>19</v>
      </c>
      <c r="I377" s="18" t="str">
        <f>Cleaned_Data!M377</f>
        <v>Active</v>
      </c>
      <c r="J377" s="20">
        <f>Cleaned_Data!N377</f>
        <v>46123</v>
      </c>
      <c r="K377" t="str">
        <f t="shared" si="50"/>
        <v>Highly Active</v>
      </c>
      <c r="L377" s="5" t="str">
        <f>IF(COUNTIF($A$2:A377,A377)&gt;1,"Duplicate","Unique")</f>
        <v>Unique</v>
      </c>
      <c r="M377" t="str">
        <f t="shared" si="51"/>
        <v>2025-07</v>
      </c>
      <c r="N377" s="2">
        <f t="shared" ca="1" si="52"/>
        <v>46123</v>
      </c>
      <c r="O377" s="4">
        <f t="shared" ca="1" si="53"/>
        <v>8</v>
      </c>
      <c r="P377" s="4">
        <f t="shared" ca="1" si="54"/>
        <v>6</v>
      </c>
      <c r="Q377">
        <f t="shared" ca="1" si="55"/>
        <v>5</v>
      </c>
      <c r="R377">
        <f t="shared" si="56"/>
        <v>4</v>
      </c>
      <c r="S377">
        <f t="shared" ca="1" si="57"/>
        <v>5</v>
      </c>
      <c r="T377" t="str">
        <f t="shared" ca="1" si="58"/>
        <v>545</v>
      </c>
      <c r="U377" t="str">
        <f t="shared" ca="1" si="59"/>
        <v>Champion</v>
      </c>
    </row>
    <row r="378" spans="1:21">
      <c r="A378" s="13" t="str">
        <f>Cleaned_Data!A378</f>
        <v>MEM0377</v>
      </c>
      <c r="B378" s="14" t="str">
        <f ca="1">Cleaned_Data!D378</f>
        <v>BR04</v>
      </c>
      <c r="C378" s="14" t="str">
        <f ca="1">Cleaned_Data!E378</f>
        <v>Premium</v>
      </c>
      <c r="D378" s="15">
        <f>Cleaned_Data!F378</f>
        <v>45379</v>
      </c>
      <c r="E378" s="15">
        <f>Cleaned_Data!G378</f>
        <v>45409</v>
      </c>
      <c r="F378" s="14">
        <f>Cleaned_Data!H378</f>
        <v>2000</v>
      </c>
      <c r="G378" s="14">
        <f ca="1">Cleaned_Data!I378</f>
        <v>12000</v>
      </c>
      <c r="H378" s="14">
        <f>Cleaned_Data!J378</f>
        <v>1</v>
      </c>
      <c r="I378" s="14" t="str">
        <f>Cleaned_Data!M378</f>
        <v>Active</v>
      </c>
      <c r="J378" s="16">
        <f>Cleaned_Data!N378</f>
        <v>45815</v>
      </c>
      <c r="K378" t="str">
        <f t="shared" si="50"/>
        <v>At Risk</v>
      </c>
      <c r="L378" s="5" t="str">
        <f>IF(COUNTIF($A$2:A378,A378)&gt;1,"Duplicate","Unique")</f>
        <v>Unique</v>
      </c>
      <c r="M378" t="str">
        <f t="shared" si="51"/>
        <v>2024-03</v>
      </c>
      <c r="N378" s="2">
        <f t="shared" ca="1" si="52"/>
        <v>45815</v>
      </c>
      <c r="O378" s="4">
        <f t="shared" ca="1" si="53"/>
        <v>14</v>
      </c>
      <c r="P378" s="4">
        <f t="shared" ca="1" si="54"/>
        <v>314</v>
      </c>
      <c r="Q378">
        <f t="shared" ca="1" si="55"/>
        <v>2</v>
      </c>
      <c r="R378">
        <f t="shared" si="56"/>
        <v>1</v>
      </c>
      <c r="S378">
        <f t="shared" ca="1" si="57"/>
        <v>4</v>
      </c>
      <c r="T378" t="str">
        <f t="shared" ca="1" si="58"/>
        <v>214</v>
      </c>
      <c r="U378" t="str">
        <f t="shared" ca="1" si="59"/>
        <v>At Risk</v>
      </c>
    </row>
    <row r="379" spans="1:21">
      <c r="A379" s="17" t="str">
        <f>Cleaned_Data!A379</f>
        <v>MEM0378</v>
      </c>
      <c r="B379" s="18" t="str">
        <f ca="1">Cleaned_Data!D379</f>
        <v>BR03</v>
      </c>
      <c r="C379" s="18" t="str">
        <f ca="1">Cleaned_Data!E379</f>
        <v>Premium</v>
      </c>
      <c r="D379" s="19">
        <f>Cleaned_Data!F379</f>
        <v>45750</v>
      </c>
      <c r="E379" s="19">
        <f>Cleaned_Data!G379</f>
        <v>46115</v>
      </c>
      <c r="F379" s="18">
        <f>Cleaned_Data!H379</f>
        <v>3500</v>
      </c>
      <c r="G379" s="18">
        <f ca="1">Cleaned_Data!I379</f>
        <v>35000</v>
      </c>
      <c r="H379" s="18">
        <f>Cleaned_Data!J379</f>
        <v>6</v>
      </c>
      <c r="I379" s="18" t="str">
        <f>Cleaned_Data!M379</f>
        <v>Active</v>
      </c>
      <c r="J379" s="20">
        <f>Cleaned_Data!N379</f>
        <v>45917</v>
      </c>
      <c r="K379" t="str">
        <f t="shared" si="50"/>
        <v>Moderate</v>
      </c>
      <c r="L379" s="5" t="str">
        <f>IF(COUNTIF($A$2:A379,A379)&gt;1,"Duplicate","Unique")</f>
        <v>Unique</v>
      </c>
      <c r="M379" t="str">
        <f t="shared" si="51"/>
        <v>2025-04</v>
      </c>
      <c r="N379" s="2">
        <f t="shared" ca="1" si="52"/>
        <v>45917</v>
      </c>
      <c r="O379" s="4">
        <f t="shared" ca="1" si="53"/>
        <v>5</v>
      </c>
      <c r="P379" s="4">
        <f t="shared" ca="1" si="54"/>
        <v>212</v>
      </c>
      <c r="Q379">
        <f t="shared" ca="1" si="55"/>
        <v>2</v>
      </c>
      <c r="R379">
        <f t="shared" si="56"/>
        <v>2</v>
      </c>
      <c r="S379">
        <f t="shared" ca="1" si="57"/>
        <v>5</v>
      </c>
      <c r="T379" t="str">
        <f t="shared" ca="1" si="58"/>
        <v>225</v>
      </c>
      <c r="U379" t="str">
        <f t="shared" ca="1" si="59"/>
        <v>At Risk</v>
      </c>
    </row>
    <row r="380" spans="1:21">
      <c r="A380" s="13" t="str">
        <f>Cleaned_Data!A380</f>
        <v>MEM0379</v>
      </c>
      <c r="B380" s="14" t="str">
        <f ca="1">Cleaned_Data!D380</f>
        <v>BR05</v>
      </c>
      <c r="C380" s="14" t="str">
        <f ca="1">Cleaned_Data!E380</f>
        <v>Premium</v>
      </c>
      <c r="D380" s="15">
        <f>Cleaned_Data!F380</f>
        <v>45842</v>
      </c>
      <c r="E380" s="15">
        <f>Cleaned_Data!G380</f>
        <v>46207</v>
      </c>
      <c r="F380" s="14">
        <f>Cleaned_Data!H380</f>
        <v>2000</v>
      </c>
      <c r="G380" s="14">
        <f ca="1">Cleaned_Data!I380</f>
        <v>4000</v>
      </c>
      <c r="H380" s="14">
        <f>Cleaned_Data!J380</f>
        <v>3</v>
      </c>
      <c r="I380" s="14" t="str">
        <f>Cleaned_Data!M380</f>
        <v>Active</v>
      </c>
      <c r="J380" s="16">
        <f>Cleaned_Data!N380</f>
        <v>45851</v>
      </c>
      <c r="K380" t="str">
        <f t="shared" si="50"/>
        <v>At Risk</v>
      </c>
      <c r="L380" s="5" t="str">
        <f>IF(COUNTIF($A$2:A380,A380)&gt;1,"Duplicate","Unique")</f>
        <v>Unique</v>
      </c>
      <c r="M380" t="str">
        <f t="shared" si="51"/>
        <v>2025-07</v>
      </c>
      <c r="N380" s="2">
        <f t="shared" ca="1" si="52"/>
        <v>45851</v>
      </c>
      <c r="O380" s="4">
        <f t="shared" ca="1" si="53"/>
        <v>0</v>
      </c>
      <c r="P380" s="4">
        <f t="shared" ca="1" si="54"/>
        <v>278</v>
      </c>
      <c r="Q380">
        <f t="shared" ca="1" si="55"/>
        <v>2</v>
      </c>
      <c r="R380">
        <f t="shared" si="56"/>
        <v>1</v>
      </c>
      <c r="S380">
        <f t="shared" ca="1" si="57"/>
        <v>2</v>
      </c>
      <c r="T380" t="str">
        <f t="shared" ca="1" si="58"/>
        <v>212</v>
      </c>
      <c r="U380" t="str">
        <f t="shared" ca="1" si="59"/>
        <v>At Risk</v>
      </c>
    </row>
    <row r="381" spans="1:21">
      <c r="A381" s="17" t="str">
        <f>Cleaned_Data!A381</f>
        <v>MEM0380</v>
      </c>
      <c r="B381" s="18" t="str">
        <f ca="1">Cleaned_Data!D381</f>
        <v>BR02</v>
      </c>
      <c r="C381" s="18" t="str">
        <f ca="1">Cleaned_Data!E381</f>
        <v>Premium</v>
      </c>
      <c r="D381" s="19">
        <f>Cleaned_Data!F381</f>
        <v>45143</v>
      </c>
      <c r="E381" s="19">
        <f>Cleaned_Data!G381</f>
        <v>45233</v>
      </c>
      <c r="F381" s="18">
        <f>Cleaned_Data!H381</f>
        <v>1000</v>
      </c>
      <c r="G381" s="18">
        <f ca="1">Cleaned_Data!I381</f>
        <v>6000</v>
      </c>
      <c r="H381" s="18">
        <f>Cleaned_Data!J381</f>
        <v>11</v>
      </c>
      <c r="I381" s="18" t="str">
        <f>Cleaned_Data!M381</f>
        <v>Active</v>
      </c>
      <c r="J381" s="20">
        <f>Cleaned_Data!N381</f>
        <v>45360</v>
      </c>
      <c r="K381" t="str">
        <f t="shared" si="50"/>
        <v>Moderate</v>
      </c>
      <c r="L381" s="5" t="str">
        <f>IF(COUNTIF($A$2:A381,A381)&gt;1,"Duplicate","Unique")</f>
        <v>Unique</v>
      </c>
      <c r="M381" t="str">
        <f t="shared" si="51"/>
        <v>2023-08</v>
      </c>
      <c r="N381" s="2">
        <f t="shared" ca="1" si="52"/>
        <v>45360</v>
      </c>
      <c r="O381" s="4">
        <f t="shared" ca="1" si="53"/>
        <v>7</v>
      </c>
      <c r="P381" s="4">
        <f t="shared" ca="1" si="54"/>
        <v>769</v>
      </c>
      <c r="Q381">
        <f t="shared" ca="1" si="55"/>
        <v>1</v>
      </c>
      <c r="R381">
        <f t="shared" si="56"/>
        <v>3</v>
      </c>
      <c r="S381">
        <f t="shared" ca="1" si="57"/>
        <v>3</v>
      </c>
      <c r="T381" t="str">
        <f t="shared" ca="1" si="58"/>
        <v>133</v>
      </c>
      <c r="U381" t="str">
        <f t="shared" ca="1" si="59"/>
        <v>At Risk</v>
      </c>
    </row>
    <row r="382" spans="1:21">
      <c r="A382" s="13" t="str">
        <f>Cleaned_Data!A382</f>
        <v>MEM0381</v>
      </c>
      <c r="B382" s="14" t="str">
        <f ca="1">Cleaned_Data!D382</f>
        <v>BR03</v>
      </c>
      <c r="C382" s="14" t="str">
        <f ca="1">Cleaned_Data!E382</f>
        <v>Premium</v>
      </c>
      <c r="D382" s="15">
        <f>Cleaned_Data!F382</f>
        <v>45607</v>
      </c>
      <c r="E382" s="15">
        <f>Cleaned_Data!G382</f>
        <v>45697</v>
      </c>
      <c r="F382" s="14">
        <f>Cleaned_Data!H382</f>
        <v>3500</v>
      </c>
      <c r="G382" s="14">
        <f ca="1">Cleaned_Data!I382</f>
        <v>10500</v>
      </c>
      <c r="H382" s="14">
        <f>Cleaned_Data!J382</f>
        <v>12</v>
      </c>
      <c r="I382" s="14" t="str">
        <f>Cleaned_Data!M382</f>
        <v>Active</v>
      </c>
      <c r="J382" s="16">
        <f>Cleaned_Data!N382</f>
        <v>45828</v>
      </c>
      <c r="K382" t="str">
        <f t="shared" si="50"/>
        <v>Moderate</v>
      </c>
      <c r="L382" s="5" t="str">
        <f>IF(COUNTIF($A$2:A382,A382)&gt;1,"Duplicate","Unique")</f>
        <v>Unique</v>
      </c>
      <c r="M382" t="str">
        <f t="shared" si="51"/>
        <v>2024-11</v>
      </c>
      <c r="N382" s="2">
        <f t="shared" ca="1" si="52"/>
        <v>45828</v>
      </c>
      <c r="O382" s="4">
        <f t="shared" ca="1" si="53"/>
        <v>7</v>
      </c>
      <c r="P382" s="4">
        <f t="shared" ca="1" si="54"/>
        <v>301</v>
      </c>
      <c r="Q382">
        <f t="shared" ca="1" si="55"/>
        <v>2</v>
      </c>
      <c r="R382">
        <f t="shared" si="56"/>
        <v>3</v>
      </c>
      <c r="S382">
        <f t="shared" ca="1" si="57"/>
        <v>4</v>
      </c>
      <c r="T382" t="str">
        <f t="shared" ca="1" si="58"/>
        <v>234</v>
      </c>
      <c r="U382" t="str">
        <f t="shared" ca="1" si="59"/>
        <v>At Risk</v>
      </c>
    </row>
    <row r="383" spans="1:21">
      <c r="A383" s="17" t="str">
        <f>Cleaned_Data!A383</f>
        <v>MEM0382</v>
      </c>
      <c r="B383" s="18" t="str">
        <f ca="1">Cleaned_Data!D383</f>
        <v>BR03</v>
      </c>
      <c r="C383" s="18" t="str">
        <f ca="1">Cleaned_Data!E383</f>
        <v>Standard</v>
      </c>
      <c r="D383" s="19">
        <f>Cleaned_Data!F383</f>
        <v>45705</v>
      </c>
      <c r="E383" s="19">
        <f>Cleaned_Data!G383</f>
        <v>46070</v>
      </c>
      <c r="F383" s="18">
        <f>Cleaned_Data!H383</f>
        <v>1000</v>
      </c>
      <c r="G383" s="18">
        <f ca="1">Cleaned_Data!I383</f>
        <v>9000</v>
      </c>
      <c r="H383" s="18">
        <f>Cleaned_Data!J383</f>
        <v>22</v>
      </c>
      <c r="I383" s="18" t="str">
        <f>Cleaned_Data!M383</f>
        <v>Active</v>
      </c>
      <c r="J383" s="20">
        <f>Cleaned_Data!N383</f>
        <v>46009</v>
      </c>
      <c r="K383" t="str">
        <f t="shared" si="50"/>
        <v>Highly Active</v>
      </c>
      <c r="L383" s="5" t="str">
        <f>IF(COUNTIF($A$2:A383,A383)&gt;1,"Duplicate","Unique")</f>
        <v>Unique</v>
      </c>
      <c r="M383" t="str">
        <f t="shared" si="51"/>
        <v>2025-02</v>
      </c>
      <c r="N383" s="2">
        <f t="shared" ca="1" si="52"/>
        <v>46009</v>
      </c>
      <c r="O383" s="4">
        <f t="shared" ca="1" si="53"/>
        <v>10</v>
      </c>
      <c r="P383" s="4">
        <f t="shared" ca="1" si="54"/>
        <v>120</v>
      </c>
      <c r="Q383">
        <f t="shared" ca="1" si="55"/>
        <v>3</v>
      </c>
      <c r="R383">
        <f t="shared" si="56"/>
        <v>5</v>
      </c>
      <c r="S383">
        <f t="shared" ca="1" si="57"/>
        <v>3</v>
      </c>
      <c r="T383" t="str">
        <f t="shared" ca="1" si="58"/>
        <v>353</v>
      </c>
      <c r="U383" t="str">
        <f t="shared" ca="1" si="59"/>
        <v>Loyal</v>
      </c>
    </row>
    <row r="384" spans="1:21">
      <c r="A384" s="13" t="str">
        <f>Cleaned_Data!A384</f>
        <v>MEM0383</v>
      </c>
      <c r="B384" s="14" t="str">
        <f ca="1">Cleaned_Data!D384</f>
        <v>BR07</v>
      </c>
      <c r="C384" s="14" t="str">
        <f ca="1">Cleaned_Data!E384</f>
        <v>Premium</v>
      </c>
      <c r="D384" s="15">
        <f>Cleaned_Data!F384</f>
        <v>45456</v>
      </c>
      <c r="E384" s="15">
        <f>Cleaned_Data!G384</f>
        <v>45486</v>
      </c>
      <c r="F384" s="14">
        <f>Cleaned_Data!H384</f>
        <v>1000</v>
      </c>
      <c r="G384" s="14">
        <f ca="1">Cleaned_Data!I384</f>
        <v>11000</v>
      </c>
      <c r="H384" s="14">
        <f>Cleaned_Data!J384</f>
        <v>4</v>
      </c>
      <c r="I384" s="14" t="str">
        <f>Cleaned_Data!M384</f>
        <v>Active</v>
      </c>
      <c r="J384" s="16">
        <f>Cleaned_Data!N384</f>
        <v>45468</v>
      </c>
      <c r="K384" t="str">
        <f t="shared" si="50"/>
        <v>At Risk</v>
      </c>
      <c r="L384" s="5" t="str">
        <f>IF(COUNTIF($A$2:A384,A384)&gt;1,"Duplicate","Unique")</f>
        <v>Unique</v>
      </c>
      <c r="M384" t="str">
        <f t="shared" si="51"/>
        <v>2024-06</v>
      </c>
      <c r="N384" s="2">
        <f t="shared" ca="1" si="52"/>
        <v>45468</v>
      </c>
      <c r="O384" s="4">
        <f t="shared" ca="1" si="53"/>
        <v>0</v>
      </c>
      <c r="P384" s="4">
        <f t="shared" ca="1" si="54"/>
        <v>661</v>
      </c>
      <c r="Q384">
        <f t="shared" ca="1" si="55"/>
        <v>1</v>
      </c>
      <c r="R384">
        <f t="shared" si="56"/>
        <v>1</v>
      </c>
      <c r="S384">
        <f t="shared" ca="1" si="57"/>
        <v>4</v>
      </c>
      <c r="T384" t="str">
        <f t="shared" ca="1" si="58"/>
        <v>114</v>
      </c>
      <c r="U384" t="str">
        <f t="shared" ca="1" si="59"/>
        <v>At Risk</v>
      </c>
    </row>
    <row r="385" spans="1:21">
      <c r="A385" s="17" t="str">
        <f>Cleaned_Data!A385</f>
        <v>MEM0384</v>
      </c>
      <c r="B385" s="18" t="str">
        <f ca="1">Cleaned_Data!D385</f>
        <v>BR03</v>
      </c>
      <c r="C385" s="18" t="str">
        <f ca="1">Cleaned_Data!E385</f>
        <v>Basic</v>
      </c>
      <c r="D385" s="19">
        <f>Cleaned_Data!F385</f>
        <v>45676</v>
      </c>
      <c r="E385" s="19">
        <f>Cleaned_Data!G385</f>
        <v>46041</v>
      </c>
      <c r="F385" s="18">
        <f>Cleaned_Data!H385</f>
        <v>1000</v>
      </c>
      <c r="G385" s="18">
        <f ca="1">Cleaned_Data!I385</f>
        <v>6000</v>
      </c>
      <c r="H385" s="18">
        <f>Cleaned_Data!J385</f>
        <v>12</v>
      </c>
      <c r="I385" s="18" t="str">
        <f>Cleaned_Data!M385</f>
        <v>Active</v>
      </c>
      <c r="J385" s="20">
        <f>Cleaned_Data!N385</f>
        <v>46079</v>
      </c>
      <c r="K385" t="str">
        <f t="shared" si="50"/>
        <v>Moderate</v>
      </c>
      <c r="L385" s="5" t="str">
        <f>IF(COUNTIF($A$2:A385,A385)&gt;1,"Duplicate","Unique")</f>
        <v>Unique</v>
      </c>
      <c r="M385" t="str">
        <f t="shared" si="51"/>
        <v>2025-01</v>
      </c>
      <c r="N385" s="2">
        <f t="shared" ca="1" si="52"/>
        <v>46079</v>
      </c>
      <c r="O385" s="4">
        <f t="shared" ca="1" si="53"/>
        <v>13</v>
      </c>
      <c r="P385" s="4">
        <f t="shared" ca="1" si="54"/>
        <v>50</v>
      </c>
      <c r="Q385">
        <f t="shared" ca="1" si="55"/>
        <v>4</v>
      </c>
      <c r="R385">
        <f t="shared" si="56"/>
        <v>3</v>
      </c>
      <c r="S385">
        <f t="shared" ca="1" si="57"/>
        <v>3</v>
      </c>
      <c r="T385" t="str">
        <f t="shared" ca="1" si="58"/>
        <v>433</v>
      </c>
      <c r="U385" t="str">
        <f t="shared" ca="1" si="59"/>
        <v>Loyal</v>
      </c>
    </row>
    <row r="386" spans="1:21">
      <c r="A386" s="13" t="str">
        <f>Cleaned_Data!A386</f>
        <v>MEM0385</v>
      </c>
      <c r="B386" s="14" t="str">
        <f ca="1">Cleaned_Data!D386</f>
        <v>BR03</v>
      </c>
      <c r="C386" s="14" t="str">
        <f ca="1">Cleaned_Data!E386</f>
        <v>Premium</v>
      </c>
      <c r="D386" s="15">
        <f>Cleaned_Data!F386</f>
        <v>45771</v>
      </c>
      <c r="E386" s="15">
        <f>Cleaned_Data!G386</f>
        <v>45801</v>
      </c>
      <c r="F386" s="14">
        <f>Cleaned_Data!H386</f>
        <v>1000</v>
      </c>
      <c r="G386" s="14">
        <f ca="1">Cleaned_Data!I386</f>
        <v>11000</v>
      </c>
      <c r="H386" s="14">
        <f>Cleaned_Data!J386</f>
        <v>25</v>
      </c>
      <c r="I386" s="14" t="str">
        <f>Cleaned_Data!M386</f>
        <v>Active</v>
      </c>
      <c r="J386" s="16">
        <f>Cleaned_Data!N386</f>
        <v>45933</v>
      </c>
      <c r="K386" t="str">
        <f t="shared" si="50"/>
        <v>Highly Active</v>
      </c>
      <c r="L386" s="5" t="str">
        <f>IF(COUNTIF($A$2:A386,A386)&gt;1,"Duplicate","Unique")</f>
        <v>Unique</v>
      </c>
      <c r="M386" t="str">
        <f t="shared" si="51"/>
        <v>2025-04</v>
      </c>
      <c r="N386" s="2">
        <f t="shared" ca="1" si="52"/>
        <v>45933</v>
      </c>
      <c r="O386" s="4">
        <f t="shared" ca="1" si="53"/>
        <v>5</v>
      </c>
      <c r="P386" s="4">
        <f t="shared" ca="1" si="54"/>
        <v>196</v>
      </c>
      <c r="Q386">
        <f t="shared" ca="1" si="55"/>
        <v>2</v>
      </c>
      <c r="R386">
        <f t="shared" si="56"/>
        <v>5</v>
      </c>
      <c r="S386">
        <f t="shared" ca="1" si="57"/>
        <v>4</v>
      </c>
      <c r="T386" t="str">
        <f t="shared" ca="1" si="58"/>
        <v>254</v>
      </c>
      <c r="U386" t="str">
        <f t="shared" ca="1" si="59"/>
        <v>At Risk</v>
      </c>
    </row>
    <row r="387" spans="1:21">
      <c r="A387" s="17" t="str">
        <f>Cleaned_Data!A387</f>
        <v>MEM0386</v>
      </c>
      <c r="B387" s="18" t="str">
        <f ca="1">Cleaned_Data!D387</f>
        <v>BR04</v>
      </c>
      <c r="C387" s="18" t="str">
        <f ca="1">Cleaned_Data!E387</f>
        <v>Premium</v>
      </c>
      <c r="D387" s="19">
        <f>Cleaned_Data!F387</f>
        <v>45941</v>
      </c>
      <c r="E387" s="19">
        <f>Cleaned_Data!G387</f>
        <v>46031</v>
      </c>
      <c r="F387" s="18">
        <f>Cleaned_Data!H387</f>
        <v>2000</v>
      </c>
      <c r="G387" s="18">
        <f ca="1">Cleaned_Data!I387</f>
        <v>4000</v>
      </c>
      <c r="H387" s="18">
        <f>Cleaned_Data!J387</f>
        <v>5</v>
      </c>
      <c r="I387" s="18" t="str">
        <f>Cleaned_Data!M387</f>
        <v>Active</v>
      </c>
      <c r="J387" s="20">
        <f>Cleaned_Data!N387</f>
        <v>46063</v>
      </c>
      <c r="K387" t="str">
        <f t="shared" ref="K387:K450" si="60">IF(H387&lt;5,"At Risk",
 IF(H387&lt;15,"Moderate",
 "Highly Active"))</f>
        <v>Moderate</v>
      </c>
      <c r="L387" s="5" t="str">
        <f>IF(COUNTIF($A$2:A387,A387)&gt;1,"Duplicate","Unique")</f>
        <v>Unique</v>
      </c>
      <c r="M387" t="str">
        <f t="shared" ref="M387:M450" si="61">TEXT(D387,"YYYY-MM")</f>
        <v>2025-10</v>
      </c>
      <c r="N387" s="2">
        <f t="shared" ref="N387:N450" ca="1" si="62">IF(J387&lt;&gt;"",
    J387,
    IF(I387="Active", TODAY(), E387)
)</f>
        <v>46063</v>
      </c>
      <c r="O387" s="4">
        <f t="shared" ref="O387:O450" ca="1" si="63">IFERROR(
   IF(N387&gt;=D387,
      DATEDIF(D387, N387, "M"),
      0
   ),
   0
)</f>
        <v>3</v>
      </c>
      <c r="P387" s="4">
        <f t="shared" ref="P387:P450" ca="1" si="64">TODAY() - N387</f>
        <v>66</v>
      </c>
      <c r="Q387">
        <f t="shared" ref="Q387:Q450" ca="1" si="65">IF(P387&lt;=30,5,
 IF(P387&lt;=90,4,
 IF(P387&lt;=180,3,
 IF(P387&lt;=365,2,1))))</f>
        <v>4</v>
      </c>
      <c r="R387">
        <f t="shared" ref="R387:R450" si="66">IF(H387&gt;=20,5,
 IF(H387&gt;=15,4,
 IF(H387&gt;=10,3,
 IF(H387&gt;=5,2,1))))</f>
        <v>2</v>
      </c>
      <c r="S387">
        <f t="shared" ref="S387:S450" ca="1" si="67">IF(G387&gt;=20000,5,
 IF(G387&gt;=10000,4,
 IF(G387&gt;=5000,3,
 IF(G387&gt;=2000,2,1))))</f>
        <v>2</v>
      </c>
      <c r="T387" t="str">
        <f t="shared" ref="T387:T450" ca="1" si="68">Q387 &amp; R387 &amp; S387</f>
        <v>422</v>
      </c>
      <c r="U387" t="str">
        <f t="shared" ref="U387:U450" ca="1" si="69">IF(AND(Q387&gt;=4,R387&gt;=4,S387&gt;=4),"Champion",
 IF(AND(Q387&gt;=3,R387&gt;=3,S387&gt;=3),"Loyal",
 IF(Q387&lt;=2,"At Risk",
 "Others")))</f>
        <v>Others</v>
      </c>
    </row>
    <row r="388" spans="1:21">
      <c r="A388" s="13" t="str">
        <f>Cleaned_Data!A388</f>
        <v>MEM0387</v>
      </c>
      <c r="B388" s="14" t="str">
        <f ca="1">Cleaned_Data!D388</f>
        <v>BR07</v>
      </c>
      <c r="C388" s="14" t="str">
        <f ca="1">Cleaned_Data!E388</f>
        <v>Standard</v>
      </c>
      <c r="D388" s="15">
        <f>Cleaned_Data!F388</f>
        <v>45090</v>
      </c>
      <c r="E388" s="15">
        <f>Cleaned_Data!G388</f>
        <v>45180</v>
      </c>
      <c r="F388" s="14">
        <f>Cleaned_Data!H388</f>
        <v>1000</v>
      </c>
      <c r="G388" s="14">
        <f ca="1">Cleaned_Data!I388</f>
        <v>9000</v>
      </c>
      <c r="H388" s="14">
        <f>Cleaned_Data!J388</f>
        <v>22</v>
      </c>
      <c r="I388" s="14" t="str">
        <f>Cleaned_Data!M388</f>
        <v>Active</v>
      </c>
      <c r="J388" s="16">
        <f>Cleaned_Data!N388</f>
        <v>45167</v>
      </c>
      <c r="K388" t="str">
        <f t="shared" si="60"/>
        <v>Highly Active</v>
      </c>
      <c r="L388" s="5" t="str">
        <f>IF(COUNTIF($A$2:A388,A388)&gt;1,"Duplicate","Unique")</f>
        <v>Unique</v>
      </c>
      <c r="M388" t="str">
        <f t="shared" si="61"/>
        <v>2023-06</v>
      </c>
      <c r="N388" s="2">
        <f t="shared" ca="1" si="62"/>
        <v>45167</v>
      </c>
      <c r="O388" s="4">
        <f t="shared" ca="1" si="63"/>
        <v>2</v>
      </c>
      <c r="P388" s="4">
        <f t="shared" ca="1" si="64"/>
        <v>962</v>
      </c>
      <c r="Q388">
        <f t="shared" ca="1" si="65"/>
        <v>1</v>
      </c>
      <c r="R388">
        <f t="shared" si="66"/>
        <v>5</v>
      </c>
      <c r="S388">
        <f t="shared" ca="1" si="67"/>
        <v>3</v>
      </c>
      <c r="T388" t="str">
        <f t="shared" ca="1" si="68"/>
        <v>153</v>
      </c>
      <c r="U388" t="str">
        <f t="shared" ca="1" si="69"/>
        <v>At Risk</v>
      </c>
    </row>
    <row r="389" spans="1:21">
      <c r="A389" s="17" t="str">
        <f>Cleaned_Data!A389</f>
        <v>MEM0388</v>
      </c>
      <c r="B389" s="18" t="str">
        <f ca="1">Cleaned_Data!D389</f>
        <v>BR02</v>
      </c>
      <c r="C389" s="18" t="str">
        <f ca="1">Cleaned_Data!E389</f>
        <v>Standard</v>
      </c>
      <c r="D389" s="19">
        <f>Cleaned_Data!F389</f>
        <v>45847</v>
      </c>
      <c r="E389" s="19">
        <f>Cleaned_Data!G389</f>
        <v>45937</v>
      </c>
      <c r="F389" s="18">
        <f>Cleaned_Data!H389</f>
        <v>2000</v>
      </c>
      <c r="G389" s="18">
        <f ca="1">Cleaned_Data!I389</f>
        <v>20000</v>
      </c>
      <c r="H389" s="18">
        <f>Cleaned_Data!J389</f>
        <v>6</v>
      </c>
      <c r="I389" s="18" t="str">
        <f>Cleaned_Data!M389</f>
        <v>Active</v>
      </c>
      <c r="J389" s="20">
        <f>Cleaned_Data!N389</f>
        <v>45897</v>
      </c>
      <c r="K389" t="str">
        <f t="shared" si="60"/>
        <v>Moderate</v>
      </c>
      <c r="L389" s="5" t="str">
        <f>IF(COUNTIF($A$2:A389,A389)&gt;1,"Duplicate","Unique")</f>
        <v>Unique</v>
      </c>
      <c r="M389" t="str">
        <f t="shared" si="61"/>
        <v>2025-07</v>
      </c>
      <c r="N389" s="2">
        <f t="shared" ca="1" si="62"/>
        <v>45897</v>
      </c>
      <c r="O389" s="4">
        <f t="shared" ca="1" si="63"/>
        <v>1</v>
      </c>
      <c r="P389" s="4">
        <f t="shared" ca="1" si="64"/>
        <v>232</v>
      </c>
      <c r="Q389">
        <f t="shared" ca="1" si="65"/>
        <v>2</v>
      </c>
      <c r="R389">
        <f t="shared" si="66"/>
        <v>2</v>
      </c>
      <c r="S389">
        <f t="shared" ca="1" si="67"/>
        <v>5</v>
      </c>
      <c r="T389" t="str">
        <f t="shared" ca="1" si="68"/>
        <v>225</v>
      </c>
      <c r="U389" t="str">
        <f t="shared" ca="1" si="69"/>
        <v>At Risk</v>
      </c>
    </row>
    <row r="390" spans="1:21">
      <c r="A390" s="13" t="str">
        <f>Cleaned_Data!A390</f>
        <v>MEM0389</v>
      </c>
      <c r="B390" s="14" t="str">
        <f ca="1">Cleaned_Data!D390</f>
        <v>BR04</v>
      </c>
      <c r="C390" s="14" t="str">
        <f ca="1">Cleaned_Data!E390</f>
        <v>Premium</v>
      </c>
      <c r="D390" s="15">
        <f>Cleaned_Data!F390</f>
        <v>45384</v>
      </c>
      <c r="E390" s="15">
        <f>Cleaned_Data!G390</f>
        <v>45474</v>
      </c>
      <c r="F390" s="14">
        <f>Cleaned_Data!H390</f>
        <v>1000</v>
      </c>
      <c r="G390" s="14">
        <f ca="1">Cleaned_Data!I390</f>
        <v>8000</v>
      </c>
      <c r="H390" s="14">
        <f>Cleaned_Data!J390</f>
        <v>13</v>
      </c>
      <c r="I390" s="14" t="str">
        <f>Cleaned_Data!M390</f>
        <v>Active</v>
      </c>
      <c r="J390" s="16">
        <f>Cleaned_Data!N390</f>
        <v>45918</v>
      </c>
      <c r="K390" t="str">
        <f t="shared" si="60"/>
        <v>Moderate</v>
      </c>
      <c r="L390" s="5" t="str">
        <f>IF(COUNTIF($A$2:A390,A390)&gt;1,"Duplicate","Unique")</f>
        <v>Unique</v>
      </c>
      <c r="M390" t="str">
        <f t="shared" si="61"/>
        <v>2024-04</v>
      </c>
      <c r="N390" s="2">
        <f t="shared" ca="1" si="62"/>
        <v>45918</v>
      </c>
      <c r="O390" s="4">
        <f t="shared" ca="1" si="63"/>
        <v>17</v>
      </c>
      <c r="P390" s="4">
        <f t="shared" ca="1" si="64"/>
        <v>211</v>
      </c>
      <c r="Q390">
        <f t="shared" ca="1" si="65"/>
        <v>2</v>
      </c>
      <c r="R390">
        <f t="shared" si="66"/>
        <v>3</v>
      </c>
      <c r="S390">
        <f t="shared" ca="1" si="67"/>
        <v>3</v>
      </c>
      <c r="T390" t="str">
        <f t="shared" ca="1" si="68"/>
        <v>233</v>
      </c>
      <c r="U390" t="str">
        <f t="shared" ca="1" si="69"/>
        <v>At Risk</v>
      </c>
    </row>
    <row r="391" spans="1:21">
      <c r="A391" s="17" t="str">
        <f>Cleaned_Data!A391</f>
        <v>MEM0390</v>
      </c>
      <c r="B391" s="18" t="str">
        <f ca="1">Cleaned_Data!D391</f>
        <v>BR07</v>
      </c>
      <c r="C391" s="18" t="str">
        <f ca="1">Cleaned_Data!E391</f>
        <v>Basic</v>
      </c>
      <c r="D391" s="19">
        <f>Cleaned_Data!F391</f>
        <v>45762</v>
      </c>
      <c r="E391" s="19">
        <f>Cleaned_Data!G391</f>
        <v>45792</v>
      </c>
      <c r="F391" s="18">
        <f>Cleaned_Data!H391</f>
        <v>3500</v>
      </c>
      <c r="G391" s="18">
        <f ca="1">Cleaned_Data!I391</f>
        <v>14000</v>
      </c>
      <c r="H391" s="18">
        <f>Cleaned_Data!J391</f>
        <v>24</v>
      </c>
      <c r="I391" s="18" t="str">
        <f>Cleaned_Data!M391</f>
        <v>Active</v>
      </c>
      <c r="J391" s="20">
        <f>Cleaned_Data!N391</f>
        <v>45944</v>
      </c>
      <c r="K391" t="str">
        <f t="shared" si="60"/>
        <v>Highly Active</v>
      </c>
      <c r="L391" s="5" t="str">
        <f>IF(COUNTIF($A$2:A391,A391)&gt;1,"Duplicate","Unique")</f>
        <v>Unique</v>
      </c>
      <c r="M391" t="str">
        <f t="shared" si="61"/>
        <v>2025-04</v>
      </c>
      <c r="N391" s="2">
        <f t="shared" ca="1" si="62"/>
        <v>45944</v>
      </c>
      <c r="O391" s="4">
        <f t="shared" ca="1" si="63"/>
        <v>5</v>
      </c>
      <c r="P391" s="4">
        <f t="shared" ca="1" si="64"/>
        <v>185</v>
      </c>
      <c r="Q391">
        <f t="shared" ca="1" si="65"/>
        <v>2</v>
      </c>
      <c r="R391">
        <f t="shared" si="66"/>
        <v>5</v>
      </c>
      <c r="S391">
        <f t="shared" ca="1" si="67"/>
        <v>4</v>
      </c>
      <c r="T391" t="str">
        <f t="shared" ca="1" si="68"/>
        <v>254</v>
      </c>
      <c r="U391" t="str">
        <f t="shared" ca="1" si="69"/>
        <v>At Risk</v>
      </c>
    </row>
    <row r="392" spans="1:21">
      <c r="A392" s="13" t="str">
        <f>Cleaned_Data!A392</f>
        <v>MEM0391</v>
      </c>
      <c r="B392" s="14" t="str">
        <f ca="1">Cleaned_Data!D392</f>
        <v>BR03</v>
      </c>
      <c r="C392" s="14" t="str">
        <f ca="1">Cleaned_Data!E392</f>
        <v>Premium</v>
      </c>
      <c r="D392" s="15">
        <f>Cleaned_Data!F392</f>
        <v>45240</v>
      </c>
      <c r="E392" s="15">
        <f>Cleaned_Data!G392</f>
        <v>45605</v>
      </c>
      <c r="F392" s="14">
        <f>Cleaned_Data!H392</f>
        <v>1000</v>
      </c>
      <c r="G392" s="14">
        <f ca="1">Cleaned_Data!I392</f>
        <v>9000</v>
      </c>
      <c r="H392" s="14">
        <f>Cleaned_Data!J392</f>
        <v>21</v>
      </c>
      <c r="I392" s="14" t="str">
        <f>Cleaned_Data!M392</f>
        <v>Active</v>
      </c>
      <c r="J392" s="16">
        <f>Cleaned_Data!N392</f>
        <v>45554</v>
      </c>
      <c r="K392" t="str">
        <f t="shared" si="60"/>
        <v>Highly Active</v>
      </c>
      <c r="L392" s="5" t="str">
        <f>IF(COUNTIF($A$2:A392,A392)&gt;1,"Duplicate","Unique")</f>
        <v>Unique</v>
      </c>
      <c r="M392" t="str">
        <f t="shared" si="61"/>
        <v>2023-11</v>
      </c>
      <c r="N392" s="2">
        <f t="shared" ca="1" si="62"/>
        <v>45554</v>
      </c>
      <c r="O392" s="4">
        <f t="shared" ca="1" si="63"/>
        <v>10</v>
      </c>
      <c r="P392" s="4">
        <f t="shared" ca="1" si="64"/>
        <v>575</v>
      </c>
      <c r="Q392">
        <f t="shared" ca="1" si="65"/>
        <v>1</v>
      </c>
      <c r="R392">
        <f t="shared" si="66"/>
        <v>5</v>
      </c>
      <c r="S392">
        <f t="shared" ca="1" si="67"/>
        <v>3</v>
      </c>
      <c r="T392" t="str">
        <f t="shared" ca="1" si="68"/>
        <v>153</v>
      </c>
      <c r="U392" t="str">
        <f t="shared" ca="1" si="69"/>
        <v>At Risk</v>
      </c>
    </row>
    <row r="393" spans="1:21">
      <c r="A393" s="17" t="str">
        <f>Cleaned_Data!A393</f>
        <v>MEM0392</v>
      </c>
      <c r="B393" s="18" t="str">
        <f ca="1">Cleaned_Data!D393</f>
        <v>BR04</v>
      </c>
      <c r="C393" s="18" t="str">
        <f ca="1">Cleaned_Data!E393</f>
        <v>Standard</v>
      </c>
      <c r="D393" s="19">
        <f>Cleaned_Data!F393</f>
        <v>44946</v>
      </c>
      <c r="E393" s="19">
        <f>Cleaned_Data!G393</f>
        <v>44976</v>
      </c>
      <c r="F393" s="18">
        <f>Cleaned_Data!H393</f>
        <v>1000</v>
      </c>
      <c r="G393" s="18">
        <f ca="1">Cleaned_Data!I393</f>
        <v>11000</v>
      </c>
      <c r="H393" s="18">
        <f>Cleaned_Data!J393</f>
        <v>25</v>
      </c>
      <c r="I393" s="18" t="str">
        <f>Cleaned_Data!M393</f>
        <v>Active</v>
      </c>
      <c r="J393" s="20">
        <f>Cleaned_Data!N393</f>
        <v>45395</v>
      </c>
      <c r="K393" t="str">
        <f t="shared" si="60"/>
        <v>Highly Active</v>
      </c>
      <c r="L393" s="5" t="str">
        <f>IF(COUNTIF($A$2:A393,A393)&gt;1,"Duplicate","Unique")</f>
        <v>Unique</v>
      </c>
      <c r="M393" t="str">
        <f t="shared" si="61"/>
        <v>2023-01</v>
      </c>
      <c r="N393" s="2">
        <f t="shared" ca="1" si="62"/>
        <v>45395</v>
      </c>
      <c r="O393" s="4">
        <f t="shared" ca="1" si="63"/>
        <v>14</v>
      </c>
      <c r="P393" s="4">
        <f t="shared" ca="1" si="64"/>
        <v>734</v>
      </c>
      <c r="Q393">
        <f t="shared" ca="1" si="65"/>
        <v>1</v>
      </c>
      <c r="R393">
        <f t="shared" si="66"/>
        <v>5</v>
      </c>
      <c r="S393">
        <f t="shared" ca="1" si="67"/>
        <v>4</v>
      </c>
      <c r="T393" t="str">
        <f t="shared" ca="1" si="68"/>
        <v>154</v>
      </c>
      <c r="U393" t="str">
        <f t="shared" ca="1" si="69"/>
        <v>At Risk</v>
      </c>
    </row>
    <row r="394" spans="1:21">
      <c r="A394" s="13" t="str">
        <f>Cleaned_Data!A394</f>
        <v>MEM0393</v>
      </c>
      <c r="B394" s="14" t="str">
        <f ca="1">Cleaned_Data!D394</f>
        <v>BR05</v>
      </c>
      <c r="C394" s="14" t="str">
        <f ca="1">Cleaned_Data!E394</f>
        <v>Standard</v>
      </c>
      <c r="D394" s="15">
        <f>Cleaned_Data!F394</f>
        <v>45804</v>
      </c>
      <c r="E394" s="15">
        <f>Cleaned_Data!G394</f>
        <v>46169</v>
      </c>
      <c r="F394" s="14">
        <f>Cleaned_Data!H394</f>
        <v>2000</v>
      </c>
      <c r="G394" s="14">
        <f ca="1">Cleaned_Data!I394</f>
        <v>4000</v>
      </c>
      <c r="H394" s="14">
        <f>Cleaned_Data!J394</f>
        <v>12</v>
      </c>
      <c r="I394" s="14" t="str">
        <f>Cleaned_Data!M394</f>
        <v>Active</v>
      </c>
      <c r="J394" s="16">
        <f>Cleaned_Data!N394</f>
        <v>45835</v>
      </c>
      <c r="K394" t="str">
        <f t="shared" si="60"/>
        <v>Moderate</v>
      </c>
      <c r="L394" s="5" t="str">
        <f>IF(COUNTIF($A$2:A394,A394)&gt;1,"Duplicate","Unique")</f>
        <v>Unique</v>
      </c>
      <c r="M394" t="str">
        <f t="shared" si="61"/>
        <v>2025-05</v>
      </c>
      <c r="N394" s="2">
        <f t="shared" ca="1" si="62"/>
        <v>45835</v>
      </c>
      <c r="O394" s="4">
        <f t="shared" ca="1" si="63"/>
        <v>1</v>
      </c>
      <c r="P394" s="4">
        <f t="shared" ca="1" si="64"/>
        <v>294</v>
      </c>
      <c r="Q394">
        <f t="shared" ca="1" si="65"/>
        <v>2</v>
      </c>
      <c r="R394">
        <f t="shared" si="66"/>
        <v>3</v>
      </c>
      <c r="S394">
        <f t="shared" ca="1" si="67"/>
        <v>2</v>
      </c>
      <c r="T394" t="str">
        <f t="shared" ca="1" si="68"/>
        <v>232</v>
      </c>
      <c r="U394" t="str">
        <f t="shared" ca="1" si="69"/>
        <v>At Risk</v>
      </c>
    </row>
    <row r="395" spans="1:21">
      <c r="A395" s="17" t="str">
        <f>Cleaned_Data!A395</f>
        <v>MEM0394</v>
      </c>
      <c r="B395" s="18" t="str">
        <f ca="1">Cleaned_Data!D395</f>
        <v>BR04</v>
      </c>
      <c r="C395" s="18" t="str">
        <f ca="1">Cleaned_Data!E395</f>
        <v>Standard</v>
      </c>
      <c r="D395" s="19">
        <f>Cleaned_Data!F395</f>
        <v>45120</v>
      </c>
      <c r="E395" s="19">
        <f>Cleaned_Data!G395</f>
        <v>45485</v>
      </c>
      <c r="F395" s="18">
        <f>Cleaned_Data!H395</f>
        <v>2000</v>
      </c>
      <c r="G395" s="18">
        <f ca="1">Cleaned_Data!I395</f>
        <v>2000</v>
      </c>
      <c r="H395" s="18">
        <f>Cleaned_Data!J395</f>
        <v>3</v>
      </c>
      <c r="I395" s="18" t="str">
        <f>Cleaned_Data!M395</f>
        <v>Cancelled</v>
      </c>
      <c r="J395" s="20">
        <f>Cleaned_Data!N395</f>
        <v>45140</v>
      </c>
      <c r="K395" t="str">
        <f t="shared" si="60"/>
        <v>At Risk</v>
      </c>
      <c r="L395" s="5" t="str">
        <f>IF(COUNTIF($A$2:A395,A395)&gt;1,"Duplicate","Unique")</f>
        <v>Unique</v>
      </c>
      <c r="M395" t="str">
        <f t="shared" si="61"/>
        <v>2023-07</v>
      </c>
      <c r="N395" s="2">
        <f t="shared" ca="1" si="62"/>
        <v>45140</v>
      </c>
      <c r="O395" s="4">
        <f t="shared" ca="1" si="63"/>
        <v>0</v>
      </c>
      <c r="P395" s="4">
        <f t="shared" ca="1" si="64"/>
        <v>989</v>
      </c>
      <c r="Q395">
        <f t="shared" ca="1" si="65"/>
        <v>1</v>
      </c>
      <c r="R395">
        <f t="shared" si="66"/>
        <v>1</v>
      </c>
      <c r="S395">
        <f t="shared" ca="1" si="67"/>
        <v>2</v>
      </c>
      <c r="T395" t="str">
        <f t="shared" ca="1" si="68"/>
        <v>112</v>
      </c>
      <c r="U395" t="str">
        <f t="shared" ca="1" si="69"/>
        <v>At Risk</v>
      </c>
    </row>
    <row r="396" spans="1:21">
      <c r="A396" s="13" t="str">
        <f>Cleaned_Data!A396</f>
        <v>MEM0395</v>
      </c>
      <c r="B396" s="14" t="str">
        <f ca="1">Cleaned_Data!D396</f>
        <v>BR01</v>
      </c>
      <c r="C396" s="14" t="str">
        <f ca="1">Cleaned_Data!E396</f>
        <v>Standard</v>
      </c>
      <c r="D396" s="15">
        <f>Cleaned_Data!F396</f>
        <v>45630</v>
      </c>
      <c r="E396" s="15">
        <f>Cleaned_Data!G396</f>
        <v>45995</v>
      </c>
      <c r="F396" s="14">
        <f>Cleaned_Data!H396</f>
        <v>3500</v>
      </c>
      <c r="G396" s="14">
        <f ca="1">Cleaned_Data!I396</f>
        <v>17500</v>
      </c>
      <c r="H396" s="14">
        <f>Cleaned_Data!J396</f>
        <v>3</v>
      </c>
      <c r="I396" s="14" t="str">
        <f>Cleaned_Data!M396</f>
        <v>Active</v>
      </c>
      <c r="J396" s="16">
        <f>Cleaned_Data!N396</f>
        <v>45697</v>
      </c>
      <c r="K396" t="str">
        <f t="shared" si="60"/>
        <v>At Risk</v>
      </c>
      <c r="L396" s="5" t="str">
        <f>IF(COUNTIF($A$2:A396,A396)&gt;1,"Duplicate","Unique")</f>
        <v>Unique</v>
      </c>
      <c r="M396" t="str">
        <f t="shared" si="61"/>
        <v>2024-12</v>
      </c>
      <c r="N396" s="2">
        <f t="shared" ca="1" si="62"/>
        <v>45697</v>
      </c>
      <c r="O396" s="4">
        <f t="shared" ca="1" si="63"/>
        <v>2</v>
      </c>
      <c r="P396" s="4">
        <f t="shared" ca="1" si="64"/>
        <v>432</v>
      </c>
      <c r="Q396">
        <f t="shared" ca="1" si="65"/>
        <v>1</v>
      </c>
      <c r="R396">
        <f t="shared" si="66"/>
        <v>1</v>
      </c>
      <c r="S396">
        <f t="shared" ca="1" si="67"/>
        <v>4</v>
      </c>
      <c r="T396" t="str">
        <f t="shared" ca="1" si="68"/>
        <v>114</v>
      </c>
      <c r="U396" t="str">
        <f t="shared" ca="1" si="69"/>
        <v>At Risk</v>
      </c>
    </row>
    <row r="397" spans="1:21">
      <c r="A397" s="17" t="str">
        <f>Cleaned_Data!A397</f>
        <v>MEM0396</v>
      </c>
      <c r="B397" s="18" t="str">
        <f ca="1">Cleaned_Data!D397</f>
        <v>BR06</v>
      </c>
      <c r="C397" s="18" t="str">
        <f ca="1">Cleaned_Data!E397</f>
        <v>Premium</v>
      </c>
      <c r="D397" s="19">
        <f>Cleaned_Data!F397</f>
        <v>45483</v>
      </c>
      <c r="E397" s="19">
        <f>Cleaned_Data!G397</f>
        <v>45513</v>
      </c>
      <c r="F397" s="18">
        <f>Cleaned_Data!H397</f>
        <v>2000</v>
      </c>
      <c r="G397" s="18">
        <f ca="1">Cleaned_Data!I397</f>
        <v>22000</v>
      </c>
      <c r="H397" s="18">
        <f>Cleaned_Data!J397</f>
        <v>22</v>
      </c>
      <c r="I397" s="18" t="str">
        <f>Cleaned_Data!M397</f>
        <v>Active</v>
      </c>
      <c r="J397" s="20">
        <f>Cleaned_Data!N397</f>
        <v>45703</v>
      </c>
      <c r="K397" t="str">
        <f t="shared" si="60"/>
        <v>Highly Active</v>
      </c>
      <c r="L397" s="5" t="str">
        <f>IF(COUNTIF($A$2:A397,A397)&gt;1,"Duplicate","Unique")</f>
        <v>Unique</v>
      </c>
      <c r="M397" t="str">
        <f t="shared" si="61"/>
        <v>2024-07</v>
      </c>
      <c r="N397" s="2">
        <f t="shared" ca="1" si="62"/>
        <v>45703</v>
      </c>
      <c r="O397" s="4">
        <f t="shared" ca="1" si="63"/>
        <v>7</v>
      </c>
      <c r="P397" s="4">
        <f t="shared" ca="1" si="64"/>
        <v>426</v>
      </c>
      <c r="Q397">
        <f t="shared" ca="1" si="65"/>
        <v>1</v>
      </c>
      <c r="R397">
        <f t="shared" si="66"/>
        <v>5</v>
      </c>
      <c r="S397">
        <f t="shared" ca="1" si="67"/>
        <v>5</v>
      </c>
      <c r="T397" t="str">
        <f t="shared" ca="1" si="68"/>
        <v>155</v>
      </c>
      <c r="U397" t="str">
        <f t="shared" ca="1" si="69"/>
        <v>At Risk</v>
      </c>
    </row>
    <row r="398" spans="1:21">
      <c r="A398" s="13" t="str">
        <f>Cleaned_Data!A398</f>
        <v>MEM0397</v>
      </c>
      <c r="B398" s="14" t="str">
        <f ca="1">Cleaned_Data!D398</f>
        <v>BR01</v>
      </c>
      <c r="C398" s="14" t="str">
        <f ca="1">Cleaned_Data!E398</f>
        <v>Premium</v>
      </c>
      <c r="D398" s="15">
        <f>Cleaned_Data!F398</f>
        <v>46039</v>
      </c>
      <c r="E398" s="15">
        <f>Cleaned_Data!G398</f>
        <v>46069</v>
      </c>
      <c r="F398" s="14">
        <f>Cleaned_Data!H398</f>
        <v>2000</v>
      </c>
      <c r="G398" s="14">
        <f ca="1">Cleaned_Data!I398</f>
        <v>24000</v>
      </c>
      <c r="H398" s="14">
        <f>Cleaned_Data!J398</f>
        <v>8</v>
      </c>
      <c r="I398" s="14" t="str">
        <f>Cleaned_Data!M398</f>
        <v>Active</v>
      </c>
      <c r="J398" s="16">
        <f>Cleaned_Data!N398</f>
        <v>46061</v>
      </c>
      <c r="K398" t="str">
        <f t="shared" si="60"/>
        <v>Moderate</v>
      </c>
      <c r="L398" s="5" t="str">
        <f>IF(COUNTIF($A$2:A398,A398)&gt;1,"Duplicate","Unique")</f>
        <v>Unique</v>
      </c>
      <c r="M398" t="str">
        <f t="shared" si="61"/>
        <v>2026-01</v>
      </c>
      <c r="N398" s="2">
        <f t="shared" ca="1" si="62"/>
        <v>46061</v>
      </c>
      <c r="O398" s="4">
        <f t="shared" ca="1" si="63"/>
        <v>0</v>
      </c>
      <c r="P398" s="4">
        <f t="shared" ca="1" si="64"/>
        <v>68</v>
      </c>
      <c r="Q398">
        <f t="shared" ca="1" si="65"/>
        <v>4</v>
      </c>
      <c r="R398">
        <f t="shared" si="66"/>
        <v>2</v>
      </c>
      <c r="S398">
        <f t="shared" ca="1" si="67"/>
        <v>5</v>
      </c>
      <c r="T398" t="str">
        <f t="shared" ca="1" si="68"/>
        <v>425</v>
      </c>
      <c r="U398" t="str">
        <f t="shared" ca="1" si="69"/>
        <v>Others</v>
      </c>
    </row>
    <row r="399" spans="1:21">
      <c r="A399" s="17" t="str">
        <f>Cleaned_Data!A399</f>
        <v>MEM0398</v>
      </c>
      <c r="B399" s="18" t="str">
        <f ca="1">Cleaned_Data!D399</f>
        <v>BR02</v>
      </c>
      <c r="C399" s="18" t="str">
        <f ca="1">Cleaned_Data!E399</f>
        <v>Standard</v>
      </c>
      <c r="D399" s="19">
        <f>Cleaned_Data!F399</f>
        <v>45501</v>
      </c>
      <c r="E399" s="19">
        <f>Cleaned_Data!G399</f>
        <v>45591</v>
      </c>
      <c r="F399" s="18">
        <f>Cleaned_Data!H399</f>
        <v>2000</v>
      </c>
      <c r="G399" s="18">
        <f ca="1">Cleaned_Data!I399</f>
        <v>12000</v>
      </c>
      <c r="H399" s="18">
        <f>Cleaned_Data!J399</f>
        <v>7</v>
      </c>
      <c r="I399" s="18" t="str">
        <f>Cleaned_Data!M399</f>
        <v>Active</v>
      </c>
      <c r="J399" s="20">
        <f>Cleaned_Data!N399</f>
        <v>45904</v>
      </c>
      <c r="K399" t="str">
        <f t="shared" si="60"/>
        <v>Moderate</v>
      </c>
      <c r="L399" s="5" t="str">
        <f>IF(COUNTIF($A$2:A399,A399)&gt;1,"Duplicate","Unique")</f>
        <v>Unique</v>
      </c>
      <c r="M399" t="str">
        <f t="shared" si="61"/>
        <v>2024-07</v>
      </c>
      <c r="N399" s="2">
        <f t="shared" ca="1" si="62"/>
        <v>45904</v>
      </c>
      <c r="O399" s="4">
        <f t="shared" ca="1" si="63"/>
        <v>13</v>
      </c>
      <c r="P399" s="4">
        <f t="shared" ca="1" si="64"/>
        <v>225</v>
      </c>
      <c r="Q399">
        <f t="shared" ca="1" si="65"/>
        <v>2</v>
      </c>
      <c r="R399">
        <f t="shared" si="66"/>
        <v>2</v>
      </c>
      <c r="S399">
        <f t="shared" ca="1" si="67"/>
        <v>4</v>
      </c>
      <c r="T399" t="str">
        <f t="shared" ca="1" si="68"/>
        <v>224</v>
      </c>
      <c r="U399" t="str">
        <f t="shared" ca="1" si="69"/>
        <v>At Risk</v>
      </c>
    </row>
    <row r="400" spans="1:21">
      <c r="A400" s="13" t="str">
        <f>Cleaned_Data!A400</f>
        <v>MEM0399</v>
      </c>
      <c r="B400" s="14" t="str">
        <f ca="1">Cleaned_Data!D400</f>
        <v>BR05</v>
      </c>
      <c r="C400" s="14" t="str">
        <f ca="1">Cleaned_Data!E400</f>
        <v>Basic</v>
      </c>
      <c r="D400" s="15">
        <f>Cleaned_Data!F400</f>
        <v>45500</v>
      </c>
      <c r="E400" s="15">
        <f>Cleaned_Data!G400</f>
        <v>45530</v>
      </c>
      <c r="F400" s="14">
        <f>Cleaned_Data!H400</f>
        <v>2000</v>
      </c>
      <c r="G400" s="14">
        <f ca="1">Cleaned_Data!I400</f>
        <v>22000</v>
      </c>
      <c r="H400" s="14">
        <f>Cleaned_Data!J400</f>
        <v>20</v>
      </c>
      <c r="I400" s="14" t="str">
        <f>Cleaned_Data!M400</f>
        <v>Active</v>
      </c>
      <c r="J400" s="16">
        <f>Cleaned_Data!N400</f>
        <v>45643</v>
      </c>
      <c r="K400" t="str">
        <f t="shared" si="60"/>
        <v>Highly Active</v>
      </c>
      <c r="L400" s="5" t="str">
        <f>IF(COUNTIF($A$2:A400,A400)&gt;1,"Duplicate","Unique")</f>
        <v>Unique</v>
      </c>
      <c r="M400" t="str">
        <f t="shared" si="61"/>
        <v>2024-07</v>
      </c>
      <c r="N400" s="2">
        <f t="shared" ca="1" si="62"/>
        <v>45643</v>
      </c>
      <c r="O400" s="4">
        <f t="shared" ca="1" si="63"/>
        <v>4</v>
      </c>
      <c r="P400" s="4">
        <f t="shared" ca="1" si="64"/>
        <v>486</v>
      </c>
      <c r="Q400">
        <f t="shared" ca="1" si="65"/>
        <v>1</v>
      </c>
      <c r="R400">
        <f t="shared" si="66"/>
        <v>5</v>
      </c>
      <c r="S400">
        <f t="shared" ca="1" si="67"/>
        <v>5</v>
      </c>
      <c r="T400" t="str">
        <f t="shared" ca="1" si="68"/>
        <v>155</v>
      </c>
      <c r="U400" t="str">
        <f t="shared" ca="1" si="69"/>
        <v>At Risk</v>
      </c>
    </row>
    <row r="401" spans="1:21">
      <c r="A401" s="17" t="str">
        <f>Cleaned_Data!A401</f>
        <v>MEM0400</v>
      </c>
      <c r="B401" s="18" t="str">
        <f ca="1">Cleaned_Data!D401</f>
        <v>BR01</v>
      </c>
      <c r="C401" s="18" t="str">
        <f ca="1">Cleaned_Data!E401</f>
        <v>Standard</v>
      </c>
      <c r="D401" s="19">
        <f>Cleaned_Data!F401</f>
        <v>45728</v>
      </c>
      <c r="E401" s="19">
        <f>Cleaned_Data!G401</f>
        <v>45758</v>
      </c>
      <c r="F401" s="18">
        <f>Cleaned_Data!H401</f>
        <v>2000</v>
      </c>
      <c r="G401" s="18">
        <f ca="1">Cleaned_Data!I401</f>
        <v>14000</v>
      </c>
      <c r="H401" s="18">
        <f>Cleaned_Data!J401</f>
        <v>7</v>
      </c>
      <c r="I401" s="18" t="str">
        <f>Cleaned_Data!M401</f>
        <v>Active</v>
      </c>
      <c r="J401" s="20">
        <f>Cleaned_Data!N401</f>
        <v>45873</v>
      </c>
      <c r="K401" t="str">
        <f t="shared" si="60"/>
        <v>Moderate</v>
      </c>
      <c r="L401" s="5" t="str">
        <f>IF(COUNTIF($A$2:A401,A401)&gt;1,"Duplicate","Unique")</f>
        <v>Unique</v>
      </c>
      <c r="M401" t="str">
        <f t="shared" si="61"/>
        <v>2025-03</v>
      </c>
      <c r="N401" s="2">
        <f t="shared" ca="1" si="62"/>
        <v>45873</v>
      </c>
      <c r="O401" s="4">
        <f t="shared" ca="1" si="63"/>
        <v>4</v>
      </c>
      <c r="P401" s="4">
        <f t="shared" ca="1" si="64"/>
        <v>256</v>
      </c>
      <c r="Q401">
        <f t="shared" ca="1" si="65"/>
        <v>2</v>
      </c>
      <c r="R401">
        <f t="shared" si="66"/>
        <v>2</v>
      </c>
      <c r="S401">
        <f t="shared" ca="1" si="67"/>
        <v>4</v>
      </c>
      <c r="T401" t="str">
        <f t="shared" ca="1" si="68"/>
        <v>224</v>
      </c>
      <c r="U401" t="str">
        <f t="shared" ca="1" si="69"/>
        <v>At Risk</v>
      </c>
    </row>
    <row r="402" spans="1:21">
      <c r="A402" s="13" t="str">
        <f>Cleaned_Data!A402</f>
        <v>MEM0401</v>
      </c>
      <c r="B402" s="14" t="str">
        <f ca="1">Cleaned_Data!D402</f>
        <v>BR01</v>
      </c>
      <c r="C402" s="14" t="str">
        <f ca="1">Cleaned_Data!E402</f>
        <v>Standard</v>
      </c>
      <c r="D402" s="15">
        <f>Cleaned_Data!F402</f>
        <v>45162</v>
      </c>
      <c r="E402" s="15">
        <f>Cleaned_Data!G402</f>
        <v>45192</v>
      </c>
      <c r="F402" s="14">
        <f>Cleaned_Data!H402</f>
        <v>3500</v>
      </c>
      <c r="G402" s="14">
        <f ca="1">Cleaned_Data!I402</f>
        <v>28000</v>
      </c>
      <c r="H402" s="14">
        <f>Cleaned_Data!J402</f>
        <v>0</v>
      </c>
      <c r="I402" s="14" t="str">
        <f>Cleaned_Data!M402</f>
        <v>Active</v>
      </c>
      <c r="J402" s="16">
        <f>Cleaned_Data!N402</f>
        <v>45393</v>
      </c>
      <c r="K402" t="str">
        <f t="shared" si="60"/>
        <v>At Risk</v>
      </c>
      <c r="L402" s="5" t="str">
        <f>IF(COUNTIF($A$2:A402,A402)&gt;1,"Duplicate","Unique")</f>
        <v>Unique</v>
      </c>
      <c r="M402" t="str">
        <f t="shared" si="61"/>
        <v>2023-08</v>
      </c>
      <c r="N402" s="2">
        <f t="shared" ca="1" si="62"/>
        <v>45393</v>
      </c>
      <c r="O402" s="4">
        <f t="shared" ca="1" si="63"/>
        <v>7</v>
      </c>
      <c r="P402" s="4">
        <f t="shared" ca="1" si="64"/>
        <v>736</v>
      </c>
      <c r="Q402">
        <f t="shared" ca="1" si="65"/>
        <v>1</v>
      </c>
      <c r="R402">
        <f t="shared" si="66"/>
        <v>1</v>
      </c>
      <c r="S402">
        <f t="shared" ca="1" si="67"/>
        <v>5</v>
      </c>
      <c r="T402" t="str">
        <f t="shared" ca="1" si="68"/>
        <v>115</v>
      </c>
      <c r="U402" t="str">
        <f t="shared" ca="1" si="69"/>
        <v>At Risk</v>
      </c>
    </row>
    <row r="403" spans="1:21">
      <c r="A403" s="17" t="str">
        <f>Cleaned_Data!A403</f>
        <v>MEM0402</v>
      </c>
      <c r="B403" s="18" t="str">
        <f ca="1">Cleaned_Data!D403</f>
        <v>BR07</v>
      </c>
      <c r="C403" s="18" t="str">
        <f ca="1">Cleaned_Data!E403</f>
        <v>Premium</v>
      </c>
      <c r="D403" s="19">
        <f>Cleaned_Data!F403</f>
        <v>45865</v>
      </c>
      <c r="E403" s="19">
        <f>Cleaned_Data!G403</f>
        <v>46230</v>
      </c>
      <c r="F403" s="18">
        <f>Cleaned_Data!H403</f>
        <v>3500</v>
      </c>
      <c r="G403" s="18">
        <f ca="1">Cleaned_Data!I403</f>
        <v>24500</v>
      </c>
      <c r="H403" s="18">
        <f>Cleaned_Data!J403</f>
        <v>21</v>
      </c>
      <c r="I403" s="18" t="str">
        <f>Cleaned_Data!M403</f>
        <v>Active</v>
      </c>
      <c r="J403" s="20">
        <f>Cleaned_Data!N403</f>
        <v>46082</v>
      </c>
      <c r="K403" t="str">
        <f t="shared" si="60"/>
        <v>Highly Active</v>
      </c>
      <c r="L403" s="5" t="str">
        <f>IF(COUNTIF($A$2:A403,A403)&gt;1,"Duplicate","Unique")</f>
        <v>Unique</v>
      </c>
      <c r="M403" t="str">
        <f t="shared" si="61"/>
        <v>2025-07</v>
      </c>
      <c r="N403" s="2">
        <f t="shared" ca="1" si="62"/>
        <v>46082</v>
      </c>
      <c r="O403" s="4">
        <f t="shared" ca="1" si="63"/>
        <v>7</v>
      </c>
      <c r="P403" s="4">
        <f t="shared" ca="1" si="64"/>
        <v>47</v>
      </c>
      <c r="Q403">
        <f t="shared" ca="1" si="65"/>
        <v>4</v>
      </c>
      <c r="R403">
        <f t="shared" si="66"/>
        <v>5</v>
      </c>
      <c r="S403">
        <f t="shared" ca="1" si="67"/>
        <v>5</v>
      </c>
      <c r="T403" t="str">
        <f t="shared" ca="1" si="68"/>
        <v>455</v>
      </c>
      <c r="U403" t="str">
        <f t="shared" ca="1" si="69"/>
        <v>Champion</v>
      </c>
    </row>
    <row r="404" spans="1:21">
      <c r="A404" s="13" t="str">
        <f>Cleaned_Data!A404</f>
        <v>MEM0403</v>
      </c>
      <c r="B404" s="14" t="str">
        <f ca="1">Cleaned_Data!D404</f>
        <v>BR04</v>
      </c>
      <c r="C404" s="14" t="str">
        <f ca="1">Cleaned_Data!E404</f>
        <v>Premium</v>
      </c>
      <c r="D404" s="15">
        <f>Cleaned_Data!F404</f>
        <v>45971</v>
      </c>
      <c r="E404" s="15">
        <f>Cleaned_Data!G404</f>
        <v>46336</v>
      </c>
      <c r="F404" s="14">
        <f>Cleaned_Data!H404</f>
        <v>1000</v>
      </c>
      <c r="G404" s="14">
        <f ca="1">Cleaned_Data!I404</f>
        <v>2000</v>
      </c>
      <c r="H404" s="14">
        <f>Cleaned_Data!J404</f>
        <v>9</v>
      </c>
      <c r="I404" s="14" t="str">
        <f>Cleaned_Data!M404</f>
        <v>Active</v>
      </c>
      <c r="J404" s="16">
        <f>Cleaned_Data!N404</f>
        <v>46030</v>
      </c>
      <c r="K404" t="str">
        <f t="shared" si="60"/>
        <v>Moderate</v>
      </c>
      <c r="L404" s="5" t="str">
        <f>IF(COUNTIF($A$2:A404,A404)&gt;1,"Duplicate","Unique")</f>
        <v>Unique</v>
      </c>
      <c r="M404" t="str">
        <f t="shared" si="61"/>
        <v>2025-11</v>
      </c>
      <c r="N404" s="2">
        <f t="shared" ca="1" si="62"/>
        <v>46030</v>
      </c>
      <c r="O404" s="4">
        <f t="shared" ca="1" si="63"/>
        <v>1</v>
      </c>
      <c r="P404" s="4">
        <f t="shared" ca="1" si="64"/>
        <v>99</v>
      </c>
      <c r="Q404">
        <f t="shared" ca="1" si="65"/>
        <v>3</v>
      </c>
      <c r="R404">
        <f t="shared" si="66"/>
        <v>2</v>
      </c>
      <c r="S404">
        <f t="shared" ca="1" si="67"/>
        <v>2</v>
      </c>
      <c r="T404" t="str">
        <f t="shared" ca="1" si="68"/>
        <v>322</v>
      </c>
      <c r="U404" t="str">
        <f t="shared" ca="1" si="69"/>
        <v>Others</v>
      </c>
    </row>
    <row r="405" spans="1:21">
      <c r="A405" s="17" t="str">
        <f>Cleaned_Data!A405</f>
        <v>MEM0404</v>
      </c>
      <c r="B405" s="18" t="str">
        <f ca="1">Cleaned_Data!D405</f>
        <v>BR02</v>
      </c>
      <c r="C405" s="18" t="str">
        <f ca="1">Cleaned_Data!E405</f>
        <v>Premium</v>
      </c>
      <c r="D405" s="19">
        <f>Cleaned_Data!F405</f>
        <v>45494</v>
      </c>
      <c r="E405" s="19">
        <f>Cleaned_Data!G405</f>
        <v>45524</v>
      </c>
      <c r="F405" s="18">
        <f>Cleaned_Data!H405</f>
        <v>3500</v>
      </c>
      <c r="G405" s="18">
        <f ca="1">Cleaned_Data!I405</f>
        <v>38500</v>
      </c>
      <c r="H405" s="18">
        <f>Cleaned_Data!J405</f>
        <v>17</v>
      </c>
      <c r="I405" s="18" t="str">
        <f>Cleaned_Data!M405</f>
        <v>Active</v>
      </c>
      <c r="J405" s="20">
        <f>Cleaned_Data!N405</f>
        <v>45832</v>
      </c>
      <c r="K405" t="str">
        <f t="shared" si="60"/>
        <v>Highly Active</v>
      </c>
      <c r="L405" s="5" t="str">
        <f>IF(COUNTIF($A$2:A405,A405)&gt;1,"Duplicate","Unique")</f>
        <v>Unique</v>
      </c>
      <c r="M405" t="str">
        <f t="shared" si="61"/>
        <v>2024-07</v>
      </c>
      <c r="N405" s="2">
        <f t="shared" ca="1" si="62"/>
        <v>45832</v>
      </c>
      <c r="O405" s="4">
        <f t="shared" ca="1" si="63"/>
        <v>11</v>
      </c>
      <c r="P405" s="4">
        <f t="shared" ca="1" si="64"/>
        <v>297</v>
      </c>
      <c r="Q405">
        <f t="shared" ca="1" si="65"/>
        <v>2</v>
      </c>
      <c r="R405">
        <f t="shared" si="66"/>
        <v>4</v>
      </c>
      <c r="S405">
        <f t="shared" ca="1" si="67"/>
        <v>5</v>
      </c>
      <c r="T405" t="str">
        <f t="shared" ca="1" si="68"/>
        <v>245</v>
      </c>
      <c r="U405" t="str">
        <f t="shared" ca="1" si="69"/>
        <v>At Risk</v>
      </c>
    </row>
    <row r="406" spans="1:21">
      <c r="A406" s="13" t="str">
        <f>Cleaned_Data!A406</f>
        <v>MEM0405</v>
      </c>
      <c r="B406" s="14" t="str">
        <f ca="1">Cleaned_Data!D406</f>
        <v>BR02</v>
      </c>
      <c r="C406" s="14" t="str">
        <f ca="1">Cleaned_Data!E406</f>
        <v>Standard</v>
      </c>
      <c r="D406" s="15">
        <f>Cleaned_Data!F406</f>
        <v>45457</v>
      </c>
      <c r="E406" s="15">
        <f>Cleaned_Data!G406</f>
        <v>45487</v>
      </c>
      <c r="F406" s="14">
        <f>Cleaned_Data!H406</f>
        <v>3500</v>
      </c>
      <c r="G406" s="14">
        <f ca="1">Cleaned_Data!I406</f>
        <v>7000</v>
      </c>
      <c r="H406" s="14">
        <f>Cleaned_Data!J406</f>
        <v>7</v>
      </c>
      <c r="I406" s="14" t="str">
        <f>Cleaned_Data!M406</f>
        <v>Active</v>
      </c>
      <c r="J406" s="16">
        <f>Cleaned_Data!N406</f>
        <v>45725</v>
      </c>
      <c r="K406" t="str">
        <f t="shared" si="60"/>
        <v>Moderate</v>
      </c>
      <c r="L406" s="5" t="str">
        <f>IF(COUNTIF($A$2:A406,A406)&gt;1,"Duplicate","Unique")</f>
        <v>Unique</v>
      </c>
      <c r="M406" t="str">
        <f t="shared" si="61"/>
        <v>2024-06</v>
      </c>
      <c r="N406" s="2">
        <f t="shared" ca="1" si="62"/>
        <v>45725</v>
      </c>
      <c r="O406" s="4">
        <f t="shared" ca="1" si="63"/>
        <v>8</v>
      </c>
      <c r="P406" s="4">
        <f t="shared" ca="1" si="64"/>
        <v>404</v>
      </c>
      <c r="Q406">
        <f t="shared" ca="1" si="65"/>
        <v>1</v>
      </c>
      <c r="R406">
        <f t="shared" si="66"/>
        <v>2</v>
      </c>
      <c r="S406">
        <f t="shared" ca="1" si="67"/>
        <v>3</v>
      </c>
      <c r="T406" t="str">
        <f t="shared" ca="1" si="68"/>
        <v>123</v>
      </c>
      <c r="U406" t="str">
        <f t="shared" ca="1" si="69"/>
        <v>At Risk</v>
      </c>
    </row>
    <row r="407" spans="1:21">
      <c r="A407" s="17" t="str">
        <f>Cleaned_Data!A407</f>
        <v>MEM0406</v>
      </c>
      <c r="B407" s="18" t="str">
        <f ca="1">Cleaned_Data!D407</f>
        <v>BR01</v>
      </c>
      <c r="C407" s="18" t="str">
        <f ca="1">Cleaned_Data!E407</f>
        <v>Premium</v>
      </c>
      <c r="D407" s="19">
        <f>Cleaned_Data!F407</f>
        <v>45758</v>
      </c>
      <c r="E407" s="19">
        <f>Cleaned_Data!G407</f>
        <v>45788</v>
      </c>
      <c r="F407" s="18">
        <f>Cleaned_Data!H407</f>
        <v>3500</v>
      </c>
      <c r="G407" s="18">
        <f ca="1">Cleaned_Data!I407</f>
        <v>10500</v>
      </c>
      <c r="H407" s="18">
        <f>Cleaned_Data!J407</f>
        <v>25</v>
      </c>
      <c r="I407" s="18" t="str">
        <f>Cleaned_Data!M407</f>
        <v>Active</v>
      </c>
      <c r="J407" s="20">
        <f>Cleaned_Data!N407</f>
        <v>45930</v>
      </c>
      <c r="K407" t="str">
        <f t="shared" si="60"/>
        <v>Highly Active</v>
      </c>
      <c r="L407" s="5" t="str">
        <f>IF(COUNTIF($A$2:A407,A407)&gt;1,"Duplicate","Unique")</f>
        <v>Unique</v>
      </c>
      <c r="M407" t="str">
        <f t="shared" si="61"/>
        <v>2025-04</v>
      </c>
      <c r="N407" s="2">
        <f t="shared" ca="1" si="62"/>
        <v>45930</v>
      </c>
      <c r="O407" s="4">
        <f t="shared" ca="1" si="63"/>
        <v>5</v>
      </c>
      <c r="P407" s="4">
        <f t="shared" ca="1" si="64"/>
        <v>199</v>
      </c>
      <c r="Q407">
        <f t="shared" ca="1" si="65"/>
        <v>2</v>
      </c>
      <c r="R407">
        <f t="shared" si="66"/>
        <v>5</v>
      </c>
      <c r="S407">
        <f t="shared" ca="1" si="67"/>
        <v>4</v>
      </c>
      <c r="T407" t="str">
        <f t="shared" ca="1" si="68"/>
        <v>254</v>
      </c>
      <c r="U407" t="str">
        <f t="shared" ca="1" si="69"/>
        <v>At Risk</v>
      </c>
    </row>
    <row r="408" spans="1:21">
      <c r="A408" s="13" t="str">
        <f>Cleaned_Data!A408</f>
        <v>MEM0407</v>
      </c>
      <c r="B408" s="14" t="str">
        <f ca="1">Cleaned_Data!D408</f>
        <v>BR02</v>
      </c>
      <c r="C408" s="14" t="str">
        <f ca="1">Cleaned_Data!E408</f>
        <v>Premium</v>
      </c>
      <c r="D408" s="15">
        <f>Cleaned_Data!F408</f>
        <v>45774</v>
      </c>
      <c r="E408" s="15">
        <f>Cleaned_Data!G408</f>
        <v>45804</v>
      </c>
      <c r="F408" s="14">
        <f>Cleaned_Data!H408</f>
        <v>2000</v>
      </c>
      <c r="G408" s="14">
        <f ca="1">Cleaned_Data!I408</f>
        <v>2000</v>
      </c>
      <c r="H408" s="14">
        <f>Cleaned_Data!J408</f>
        <v>3</v>
      </c>
      <c r="I408" s="14" t="str">
        <f>Cleaned_Data!M408</f>
        <v>Active</v>
      </c>
      <c r="J408" s="16">
        <f>Cleaned_Data!N408</f>
        <v>45793</v>
      </c>
      <c r="K408" t="str">
        <f t="shared" si="60"/>
        <v>At Risk</v>
      </c>
      <c r="L408" s="5" t="str">
        <f>IF(COUNTIF($A$2:A408,A408)&gt;1,"Duplicate","Unique")</f>
        <v>Unique</v>
      </c>
      <c r="M408" t="str">
        <f t="shared" si="61"/>
        <v>2025-04</v>
      </c>
      <c r="N408" s="2">
        <f t="shared" ca="1" si="62"/>
        <v>45793</v>
      </c>
      <c r="O408" s="4">
        <f t="shared" ca="1" si="63"/>
        <v>0</v>
      </c>
      <c r="P408" s="4">
        <f t="shared" ca="1" si="64"/>
        <v>336</v>
      </c>
      <c r="Q408">
        <f t="shared" ca="1" si="65"/>
        <v>2</v>
      </c>
      <c r="R408">
        <f t="shared" si="66"/>
        <v>1</v>
      </c>
      <c r="S408">
        <f t="shared" ca="1" si="67"/>
        <v>2</v>
      </c>
      <c r="T408" t="str">
        <f t="shared" ca="1" si="68"/>
        <v>212</v>
      </c>
      <c r="U408" t="str">
        <f t="shared" ca="1" si="69"/>
        <v>At Risk</v>
      </c>
    </row>
    <row r="409" spans="1:21">
      <c r="A409" s="17" t="str">
        <f>Cleaned_Data!A409</f>
        <v>MEM0408</v>
      </c>
      <c r="B409" s="18" t="str">
        <f ca="1">Cleaned_Data!D409</f>
        <v>BR03</v>
      </c>
      <c r="C409" s="18" t="str">
        <f ca="1">Cleaned_Data!E409</f>
        <v>Standard</v>
      </c>
      <c r="D409" s="19">
        <f>Cleaned_Data!F409</f>
        <v>45669</v>
      </c>
      <c r="E409" s="19">
        <f>Cleaned_Data!G409</f>
        <v>46034</v>
      </c>
      <c r="F409" s="18">
        <f>Cleaned_Data!H409</f>
        <v>2000</v>
      </c>
      <c r="G409" s="18">
        <f ca="1">Cleaned_Data!I409</f>
        <v>24000</v>
      </c>
      <c r="H409" s="18">
        <f>Cleaned_Data!J409</f>
        <v>16</v>
      </c>
      <c r="I409" s="18" t="str">
        <f>Cleaned_Data!M409</f>
        <v>Cancelled</v>
      </c>
      <c r="J409" s="20">
        <f>Cleaned_Data!N409</f>
        <v>45791</v>
      </c>
      <c r="K409" t="str">
        <f t="shared" si="60"/>
        <v>Highly Active</v>
      </c>
      <c r="L409" s="5" t="str">
        <f>IF(COUNTIF($A$2:A409,A409)&gt;1,"Duplicate","Unique")</f>
        <v>Unique</v>
      </c>
      <c r="M409" t="str">
        <f t="shared" si="61"/>
        <v>2025-01</v>
      </c>
      <c r="N409" s="2">
        <f t="shared" ca="1" si="62"/>
        <v>45791</v>
      </c>
      <c r="O409" s="4">
        <f t="shared" ca="1" si="63"/>
        <v>4</v>
      </c>
      <c r="P409" s="4">
        <f t="shared" ca="1" si="64"/>
        <v>338</v>
      </c>
      <c r="Q409">
        <f t="shared" ca="1" si="65"/>
        <v>2</v>
      </c>
      <c r="R409">
        <f t="shared" si="66"/>
        <v>4</v>
      </c>
      <c r="S409">
        <f t="shared" ca="1" si="67"/>
        <v>5</v>
      </c>
      <c r="T409" t="str">
        <f t="shared" ca="1" si="68"/>
        <v>245</v>
      </c>
      <c r="U409" t="str">
        <f t="shared" ca="1" si="69"/>
        <v>At Risk</v>
      </c>
    </row>
    <row r="410" spans="1:21">
      <c r="A410" s="13" t="str">
        <f>Cleaned_Data!A410</f>
        <v>MEM0409</v>
      </c>
      <c r="B410" s="14" t="str">
        <f ca="1">Cleaned_Data!D410</f>
        <v>BR01</v>
      </c>
      <c r="C410" s="14" t="str">
        <f ca="1">Cleaned_Data!E410</f>
        <v>Standard</v>
      </c>
      <c r="D410" s="15">
        <f>Cleaned_Data!F410</f>
        <v>45194</v>
      </c>
      <c r="E410" s="15">
        <f>Cleaned_Data!G410</f>
        <v>45559</v>
      </c>
      <c r="F410" s="14">
        <f>Cleaned_Data!H410</f>
        <v>2000</v>
      </c>
      <c r="G410" s="14">
        <f ca="1">Cleaned_Data!I410</f>
        <v>10000</v>
      </c>
      <c r="H410" s="14">
        <f>Cleaned_Data!J410</f>
        <v>9</v>
      </c>
      <c r="I410" s="14" t="str">
        <f>Cleaned_Data!M410</f>
        <v>Active</v>
      </c>
      <c r="J410" s="16">
        <f>Cleaned_Data!N410</f>
        <v>45316</v>
      </c>
      <c r="K410" t="str">
        <f t="shared" si="60"/>
        <v>Moderate</v>
      </c>
      <c r="L410" s="5" t="str">
        <f>IF(COUNTIF($A$2:A410,A410)&gt;1,"Duplicate","Unique")</f>
        <v>Unique</v>
      </c>
      <c r="M410" t="str">
        <f t="shared" si="61"/>
        <v>2023-09</v>
      </c>
      <c r="N410" s="2">
        <f t="shared" ca="1" si="62"/>
        <v>45316</v>
      </c>
      <c r="O410" s="4">
        <f t="shared" ca="1" si="63"/>
        <v>4</v>
      </c>
      <c r="P410" s="4">
        <f t="shared" ca="1" si="64"/>
        <v>813</v>
      </c>
      <c r="Q410">
        <f t="shared" ca="1" si="65"/>
        <v>1</v>
      </c>
      <c r="R410">
        <f t="shared" si="66"/>
        <v>2</v>
      </c>
      <c r="S410">
        <f t="shared" ca="1" si="67"/>
        <v>4</v>
      </c>
      <c r="T410" t="str">
        <f t="shared" ca="1" si="68"/>
        <v>124</v>
      </c>
      <c r="U410" t="str">
        <f t="shared" ca="1" si="69"/>
        <v>At Risk</v>
      </c>
    </row>
    <row r="411" spans="1:21">
      <c r="A411" s="17" t="str">
        <f>Cleaned_Data!A411</f>
        <v>MEM0410</v>
      </c>
      <c r="B411" s="18" t="str">
        <f ca="1">Cleaned_Data!D411</f>
        <v>BR06</v>
      </c>
      <c r="C411" s="18" t="str">
        <f ca="1">Cleaned_Data!E411</f>
        <v>Premium</v>
      </c>
      <c r="D411" s="19">
        <f>Cleaned_Data!F411</f>
        <v>45127</v>
      </c>
      <c r="E411" s="19">
        <f>Cleaned_Data!G411</f>
        <v>45492</v>
      </c>
      <c r="F411" s="18">
        <f>Cleaned_Data!H411</f>
        <v>2000</v>
      </c>
      <c r="G411" s="18">
        <f ca="1">Cleaned_Data!I411</f>
        <v>24000</v>
      </c>
      <c r="H411" s="18">
        <f>Cleaned_Data!J411</f>
        <v>12</v>
      </c>
      <c r="I411" s="18" t="str">
        <f>Cleaned_Data!M411</f>
        <v>Active</v>
      </c>
      <c r="J411" s="20">
        <f>Cleaned_Data!N411</f>
        <v>45746</v>
      </c>
      <c r="K411" t="str">
        <f t="shared" si="60"/>
        <v>Moderate</v>
      </c>
      <c r="L411" s="5" t="str">
        <f>IF(COUNTIF($A$2:A411,A411)&gt;1,"Duplicate","Unique")</f>
        <v>Unique</v>
      </c>
      <c r="M411" t="str">
        <f t="shared" si="61"/>
        <v>2023-07</v>
      </c>
      <c r="N411" s="2">
        <f t="shared" ca="1" si="62"/>
        <v>45746</v>
      </c>
      <c r="O411" s="4">
        <f t="shared" ca="1" si="63"/>
        <v>20</v>
      </c>
      <c r="P411" s="4">
        <f t="shared" ca="1" si="64"/>
        <v>383</v>
      </c>
      <c r="Q411">
        <f t="shared" ca="1" si="65"/>
        <v>1</v>
      </c>
      <c r="R411">
        <f t="shared" si="66"/>
        <v>3</v>
      </c>
      <c r="S411">
        <f t="shared" ca="1" si="67"/>
        <v>5</v>
      </c>
      <c r="T411" t="str">
        <f t="shared" ca="1" si="68"/>
        <v>135</v>
      </c>
      <c r="U411" t="str">
        <f t="shared" ca="1" si="69"/>
        <v>At Risk</v>
      </c>
    </row>
    <row r="412" spans="1:21">
      <c r="A412" s="13" t="str">
        <f>Cleaned_Data!A412</f>
        <v>MEM0411</v>
      </c>
      <c r="B412" s="14" t="str">
        <f ca="1">Cleaned_Data!D412</f>
        <v>BR07</v>
      </c>
      <c r="C412" s="14" t="str">
        <f ca="1">Cleaned_Data!E412</f>
        <v>Premium</v>
      </c>
      <c r="D412" s="15">
        <f>Cleaned_Data!F412</f>
        <v>45416</v>
      </c>
      <c r="E412" s="15">
        <f>Cleaned_Data!G412</f>
        <v>45446</v>
      </c>
      <c r="F412" s="14">
        <f>Cleaned_Data!H412</f>
        <v>2000</v>
      </c>
      <c r="G412" s="14">
        <f ca="1">Cleaned_Data!I412</f>
        <v>24000</v>
      </c>
      <c r="H412" s="14">
        <f>Cleaned_Data!J412</f>
        <v>21</v>
      </c>
      <c r="I412" s="14" t="str">
        <f>Cleaned_Data!M412</f>
        <v>Active</v>
      </c>
      <c r="J412" s="16">
        <f>Cleaned_Data!N412</f>
        <v>45968</v>
      </c>
      <c r="K412" t="str">
        <f t="shared" si="60"/>
        <v>Highly Active</v>
      </c>
      <c r="L412" s="5" t="str">
        <f>IF(COUNTIF($A$2:A412,A412)&gt;1,"Duplicate","Unique")</f>
        <v>Unique</v>
      </c>
      <c r="M412" t="str">
        <f t="shared" si="61"/>
        <v>2024-05</v>
      </c>
      <c r="N412" s="2">
        <f t="shared" ca="1" si="62"/>
        <v>45968</v>
      </c>
      <c r="O412" s="4">
        <f t="shared" ca="1" si="63"/>
        <v>18</v>
      </c>
      <c r="P412" s="4">
        <f t="shared" ca="1" si="64"/>
        <v>161</v>
      </c>
      <c r="Q412">
        <f t="shared" ca="1" si="65"/>
        <v>3</v>
      </c>
      <c r="R412">
        <f t="shared" si="66"/>
        <v>5</v>
      </c>
      <c r="S412">
        <f t="shared" ca="1" si="67"/>
        <v>5</v>
      </c>
      <c r="T412" t="str">
        <f t="shared" ca="1" si="68"/>
        <v>355</v>
      </c>
      <c r="U412" t="str">
        <f t="shared" ca="1" si="69"/>
        <v>Loyal</v>
      </c>
    </row>
    <row r="413" spans="1:21">
      <c r="A413" s="17" t="str">
        <f>Cleaned_Data!A413</f>
        <v>MEM0412</v>
      </c>
      <c r="B413" s="18" t="str">
        <f ca="1">Cleaned_Data!D413</f>
        <v>BR06</v>
      </c>
      <c r="C413" s="18" t="str">
        <f ca="1">Cleaned_Data!E413</f>
        <v>Basic</v>
      </c>
      <c r="D413" s="19">
        <f>Cleaned_Data!F413</f>
        <v>45403</v>
      </c>
      <c r="E413" s="19">
        <f>Cleaned_Data!G413</f>
        <v>45433</v>
      </c>
      <c r="F413" s="18">
        <f>Cleaned_Data!H413</f>
        <v>3500</v>
      </c>
      <c r="G413" s="18">
        <f ca="1">Cleaned_Data!I413</f>
        <v>14000</v>
      </c>
      <c r="H413" s="18">
        <f>Cleaned_Data!J413</f>
        <v>0</v>
      </c>
      <c r="I413" s="18" t="str">
        <f>Cleaned_Data!M413</f>
        <v>Active</v>
      </c>
      <c r="J413" s="20">
        <f>Cleaned_Data!N413</f>
        <v>45519</v>
      </c>
      <c r="K413" t="str">
        <f t="shared" si="60"/>
        <v>At Risk</v>
      </c>
      <c r="L413" s="5" t="str">
        <f>IF(COUNTIF($A$2:A413,A413)&gt;1,"Duplicate","Unique")</f>
        <v>Unique</v>
      </c>
      <c r="M413" t="str">
        <f t="shared" si="61"/>
        <v>2024-04</v>
      </c>
      <c r="N413" s="2">
        <f t="shared" ca="1" si="62"/>
        <v>45519</v>
      </c>
      <c r="O413" s="4">
        <f t="shared" ca="1" si="63"/>
        <v>3</v>
      </c>
      <c r="P413" s="4">
        <f t="shared" ca="1" si="64"/>
        <v>610</v>
      </c>
      <c r="Q413">
        <f t="shared" ca="1" si="65"/>
        <v>1</v>
      </c>
      <c r="R413">
        <f t="shared" si="66"/>
        <v>1</v>
      </c>
      <c r="S413">
        <f t="shared" ca="1" si="67"/>
        <v>4</v>
      </c>
      <c r="T413" t="str">
        <f t="shared" ca="1" si="68"/>
        <v>114</v>
      </c>
      <c r="U413" t="str">
        <f t="shared" ca="1" si="69"/>
        <v>At Risk</v>
      </c>
    </row>
    <row r="414" spans="1:21">
      <c r="A414" s="13" t="str">
        <f>Cleaned_Data!A414</f>
        <v>MEM0413</v>
      </c>
      <c r="B414" s="14" t="str">
        <f ca="1">Cleaned_Data!D414</f>
        <v>BR05</v>
      </c>
      <c r="C414" s="14" t="str">
        <f ca="1">Cleaned_Data!E414</f>
        <v>Basic</v>
      </c>
      <c r="D414" s="15">
        <f>Cleaned_Data!F414</f>
        <v>45704</v>
      </c>
      <c r="E414" s="15">
        <f>Cleaned_Data!G414</f>
        <v>46069</v>
      </c>
      <c r="F414" s="14">
        <f>Cleaned_Data!H414</f>
        <v>1000</v>
      </c>
      <c r="G414" s="14">
        <f ca="1">Cleaned_Data!I414</f>
        <v>1000</v>
      </c>
      <c r="H414" s="14">
        <f>Cleaned_Data!J414</f>
        <v>10</v>
      </c>
      <c r="I414" s="14" t="str">
        <f>Cleaned_Data!M414</f>
        <v>Active</v>
      </c>
      <c r="J414" s="16">
        <f>Cleaned_Data!N414</f>
        <v>45909</v>
      </c>
      <c r="K414" t="str">
        <f t="shared" si="60"/>
        <v>Moderate</v>
      </c>
      <c r="L414" s="5" t="str">
        <f>IF(COUNTIF($A$2:A414,A414)&gt;1,"Duplicate","Unique")</f>
        <v>Unique</v>
      </c>
      <c r="M414" t="str">
        <f t="shared" si="61"/>
        <v>2025-02</v>
      </c>
      <c r="N414" s="2">
        <f t="shared" ca="1" si="62"/>
        <v>45909</v>
      </c>
      <c r="O414" s="4">
        <f t="shared" ca="1" si="63"/>
        <v>6</v>
      </c>
      <c r="P414" s="4">
        <f t="shared" ca="1" si="64"/>
        <v>220</v>
      </c>
      <c r="Q414">
        <f t="shared" ca="1" si="65"/>
        <v>2</v>
      </c>
      <c r="R414">
        <f t="shared" si="66"/>
        <v>3</v>
      </c>
      <c r="S414">
        <f t="shared" ca="1" si="67"/>
        <v>1</v>
      </c>
      <c r="T414" t="str">
        <f t="shared" ca="1" si="68"/>
        <v>231</v>
      </c>
      <c r="U414" t="str">
        <f t="shared" ca="1" si="69"/>
        <v>At Risk</v>
      </c>
    </row>
    <row r="415" spans="1:21">
      <c r="A415" s="17" t="str">
        <f>Cleaned_Data!A415</f>
        <v>MEM0414</v>
      </c>
      <c r="B415" s="18" t="str">
        <f ca="1">Cleaned_Data!D415</f>
        <v>BR04</v>
      </c>
      <c r="C415" s="18" t="str">
        <f ca="1">Cleaned_Data!E415</f>
        <v>Premium</v>
      </c>
      <c r="D415" s="19">
        <f>Cleaned_Data!F415</f>
        <v>45867</v>
      </c>
      <c r="E415" s="19">
        <f>Cleaned_Data!G415</f>
        <v>45897</v>
      </c>
      <c r="F415" s="18">
        <f>Cleaned_Data!H415</f>
        <v>2000</v>
      </c>
      <c r="G415" s="18">
        <f ca="1">Cleaned_Data!I415</f>
        <v>8000</v>
      </c>
      <c r="H415" s="18">
        <f>Cleaned_Data!J415</f>
        <v>11</v>
      </c>
      <c r="I415" s="18" t="str">
        <f>Cleaned_Data!M415</f>
        <v>Active</v>
      </c>
      <c r="J415" s="20">
        <f>Cleaned_Data!N415</f>
        <v>45887</v>
      </c>
      <c r="K415" t="str">
        <f t="shared" si="60"/>
        <v>Moderate</v>
      </c>
      <c r="L415" s="5" t="str">
        <f>IF(COUNTIF($A$2:A415,A415)&gt;1,"Duplicate","Unique")</f>
        <v>Unique</v>
      </c>
      <c r="M415" t="str">
        <f t="shared" si="61"/>
        <v>2025-07</v>
      </c>
      <c r="N415" s="2">
        <f t="shared" ca="1" si="62"/>
        <v>45887</v>
      </c>
      <c r="O415" s="4">
        <f t="shared" ca="1" si="63"/>
        <v>0</v>
      </c>
      <c r="P415" s="4">
        <f t="shared" ca="1" si="64"/>
        <v>242</v>
      </c>
      <c r="Q415">
        <f t="shared" ca="1" si="65"/>
        <v>2</v>
      </c>
      <c r="R415">
        <f t="shared" si="66"/>
        <v>3</v>
      </c>
      <c r="S415">
        <f t="shared" ca="1" si="67"/>
        <v>3</v>
      </c>
      <c r="T415" t="str">
        <f t="shared" ca="1" si="68"/>
        <v>233</v>
      </c>
      <c r="U415" t="str">
        <f t="shared" ca="1" si="69"/>
        <v>At Risk</v>
      </c>
    </row>
    <row r="416" spans="1:21">
      <c r="A416" s="13" t="str">
        <f>Cleaned_Data!A416</f>
        <v>MEM0415</v>
      </c>
      <c r="B416" s="14" t="str">
        <f ca="1">Cleaned_Data!D416</f>
        <v>BR05</v>
      </c>
      <c r="C416" s="14" t="str">
        <f ca="1">Cleaned_Data!E416</f>
        <v>Basic</v>
      </c>
      <c r="D416" s="15">
        <f>Cleaned_Data!F416</f>
        <v>45626</v>
      </c>
      <c r="E416" s="15">
        <f>Cleaned_Data!G416</f>
        <v>45716</v>
      </c>
      <c r="F416" s="14">
        <f>Cleaned_Data!H416</f>
        <v>2000</v>
      </c>
      <c r="G416" s="14">
        <f ca="1">Cleaned_Data!I416</f>
        <v>6000</v>
      </c>
      <c r="H416" s="14">
        <f>Cleaned_Data!J416</f>
        <v>20</v>
      </c>
      <c r="I416" s="14" t="str">
        <f>Cleaned_Data!M416</f>
        <v>Active</v>
      </c>
      <c r="J416" s="16">
        <f>Cleaned_Data!N416</f>
        <v>45975</v>
      </c>
      <c r="K416" t="str">
        <f t="shared" si="60"/>
        <v>Highly Active</v>
      </c>
      <c r="L416" s="5" t="str">
        <f>IF(COUNTIF($A$2:A416,A416)&gt;1,"Duplicate","Unique")</f>
        <v>Unique</v>
      </c>
      <c r="M416" t="str">
        <f t="shared" si="61"/>
        <v>2024-11</v>
      </c>
      <c r="N416" s="2">
        <f t="shared" ca="1" si="62"/>
        <v>45975</v>
      </c>
      <c r="O416" s="4">
        <f t="shared" ca="1" si="63"/>
        <v>11</v>
      </c>
      <c r="P416" s="4">
        <f t="shared" ca="1" si="64"/>
        <v>154</v>
      </c>
      <c r="Q416">
        <f t="shared" ca="1" si="65"/>
        <v>3</v>
      </c>
      <c r="R416">
        <f t="shared" si="66"/>
        <v>5</v>
      </c>
      <c r="S416">
        <f t="shared" ca="1" si="67"/>
        <v>3</v>
      </c>
      <c r="T416" t="str">
        <f t="shared" ca="1" si="68"/>
        <v>353</v>
      </c>
      <c r="U416" t="str">
        <f t="shared" ca="1" si="69"/>
        <v>Loyal</v>
      </c>
    </row>
    <row r="417" spans="1:21">
      <c r="A417" s="17" t="str">
        <f>Cleaned_Data!A417</f>
        <v>MEM0416</v>
      </c>
      <c r="B417" s="18" t="str">
        <f ca="1">Cleaned_Data!D417</f>
        <v>BR01</v>
      </c>
      <c r="C417" s="18" t="str">
        <f ca="1">Cleaned_Data!E417</f>
        <v>Standard</v>
      </c>
      <c r="D417" s="19">
        <f>Cleaned_Data!F417</f>
        <v>46052</v>
      </c>
      <c r="E417" s="19">
        <f>Cleaned_Data!G417</f>
        <v>46082</v>
      </c>
      <c r="F417" s="18">
        <f>Cleaned_Data!H417</f>
        <v>3500</v>
      </c>
      <c r="G417" s="18">
        <f ca="1">Cleaned_Data!I417</f>
        <v>3500</v>
      </c>
      <c r="H417" s="18">
        <f>Cleaned_Data!J417</f>
        <v>12</v>
      </c>
      <c r="I417" s="18" t="str">
        <f>Cleaned_Data!M417</f>
        <v>Active</v>
      </c>
      <c r="J417" s="20">
        <f>Cleaned_Data!N417</f>
        <v>46073</v>
      </c>
      <c r="K417" t="str">
        <f t="shared" si="60"/>
        <v>Moderate</v>
      </c>
      <c r="L417" s="5" t="str">
        <f>IF(COUNTIF($A$2:A417,A417)&gt;1,"Duplicate","Unique")</f>
        <v>Unique</v>
      </c>
      <c r="M417" t="str">
        <f t="shared" si="61"/>
        <v>2026-01</v>
      </c>
      <c r="N417" s="2">
        <f t="shared" ca="1" si="62"/>
        <v>46073</v>
      </c>
      <c r="O417" s="4">
        <f t="shared" ca="1" si="63"/>
        <v>0</v>
      </c>
      <c r="P417" s="4">
        <f t="shared" ca="1" si="64"/>
        <v>56</v>
      </c>
      <c r="Q417">
        <f t="shared" ca="1" si="65"/>
        <v>4</v>
      </c>
      <c r="R417">
        <f t="shared" si="66"/>
        <v>3</v>
      </c>
      <c r="S417">
        <f t="shared" ca="1" si="67"/>
        <v>2</v>
      </c>
      <c r="T417" t="str">
        <f t="shared" ca="1" si="68"/>
        <v>432</v>
      </c>
      <c r="U417" t="str">
        <f t="shared" ca="1" si="69"/>
        <v>Others</v>
      </c>
    </row>
    <row r="418" spans="1:21">
      <c r="A418" s="13" t="str">
        <f>Cleaned_Data!A418</f>
        <v>MEM0417</v>
      </c>
      <c r="B418" s="14" t="str">
        <f ca="1">Cleaned_Data!D418</f>
        <v>BR05</v>
      </c>
      <c r="C418" s="14" t="str">
        <f ca="1">Cleaned_Data!E418</f>
        <v>Basic</v>
      </c>
      <c r="D418" s="15">
        <f>Cleaned_Data!F418</f>
        <v>46021</v>
      </c>
      <c r="E418" s="15">
        <f>Cleaned_Data!G418</f>
        <v>46111</v>
      </c>
      <c r="F418" s="14">
        <f>Cleaned_Data!H418</f>
        <v>3500</v>
      </c>
      <c r="G418" s="14">
        <f ca="1">Cleaned_Data!I418</f>
        <v>10500</v>
      </c>
      <c r="H418" s="14">
        <f>Cleaned_Data!J418</f>
        <v>16</v>
      </c>
      <c r="I418" s="14" t="str">
        <f>Cleaned_Data!M418</f>
        <v>Cancelled</v>
      </c>
      <c r="J418" s="16">
        <f>Cleaned_Data!N418</f>
        <v>46036</v>
      </c>
      <c r="K418" t="str">
        <f t="shared" si="60"/>
        <v>Highly Active</v>
      </c>
      <c r="L418" s="5" t="str">
        <f>IF(COUNTIF($A$2:A418,A418)&gt;1,"Duplicate","Unique")</f>
        <v>Unique</v>
      </c>
      <c r="M418" t="str">
        <f t="shared" si="61"/>
        <v>2025-12</v>
      </c>
      <c r="N418" s="2">
        <f t="shared" ca="1" si="62"/>
        <v>46036</v>
      </c>
      <c r="O418" s="4">
        <f t="shared" ca="1" si="63"/>
        <v>0</v>
      </c>
      <c r="P418" s="4">
        <f t="shared" ca="1" si="64"/>
        <v>93</v>
      </c>
      <c r="Q418">
        <f t="shared" ca="1" si="65"/>
        <v>3</v>
      </c>
      <c r="R418">
        <f t="shared" si="66"/>
        <v>4</v>
      </c>
      <c r="S418">
        <f t="shared" ca="1" si="67"/>
        <v>4</v>
      </c>
      <c r="T418" t="str">
        <f t="shared" ca="1" si="68"/>
        <v>344</v>
      </c>
      <c r="U418" t="str">
        <f t="shared" ca="1" si="69"/>
        <v>Loyal</v>
      </c>
    </row>
    <row r="419" spans="1:21">
      <c r="A419" s="17" t="str">
        <f>Cleaned_Data!A419</f>
        <v>MEM0418</v>
      </c>
      <c r="B419" s="18" t="str">
        <f ca="1">Cleaned_Data!D419</f>
        <v>BR05</v>
      </c>
      <c r="C419" s="18" t="str">
        <f ca="1">Cleaned_Data!E419</f>
        <v>Standard</v>
      </c>
      <c r="D419" s="19">
        <f>Cleaned_Data!F419</f>
        <v>45495</v>
      </c>
      <c r="E419" s="19">
        <f>Cleaned_Data!G419</f>
        <v>45585</v>
      </c>
      <c r="F419" s="18">
        <f>Cleaned_Data!H419</f>
        <v>2000</v>
      </c>
      <c r="G419" s="18">
        <f ca="1">Cleaned_Data!I419</f>
        <v>4000</v>
      </c>
      <c r="H419" s="18">
        <f>Cleaned_Data!J419</f>
        <v>18</v>
      </c>
      <c r="I419" s="18" t="str">
        <f>Cleaned_Data!M419</f>
        <v>Active</v>
      </c>
      <c r="J419" s="20">
        <f>Cleaned_Data!N419</f>
        <v>45566</v>
      </c>
      <c r="K419" t="str">
        <f t="shared" si="60"/>
        <v>Highly Active</v>
      </c>
      <c r="L419" s="5" t="str">
        <f>IF(COUNTIF($A$2:A419,A419)&gt;1,"Duplicate","Unique")</f>
        <v>Unique</v>
      </c>
      <c r="M419" t="str">
        <f t="shared" si="61"/>
        <v>2024-07</v>
      </c>
      <c r="N419" s="2">
        <f t="shared" ca="1" si="62"/>
        <v>45566</v>
      </c>
      <c r="O419" s="4">
        <f t="shared" ca="1" si="63"/>
        <v>2</v>
      </c>
      <c r="P419" s="4">
        <f t="shared" ca="1" si="64"/>
        <v>563</v>
      </c>
      <c r="Q419">
        <f t="shared" ca="1" si="65"/>
        <v>1</v>
      </c>
      <c r="R419">
        <f t="shared" si="66"/>
        <v>4</v>
      </c>
      <c r="S419">
        <f t="shared" ca="1" si="67"/>
        <v>2</v>
      </c>
      <c r="T419" t="str">
        <f t="shared" ca="1" si="68"/>
        <v>142</v>
      </c>
      <c r="U419" t="str">
        <f t="shared" ca="1" si="69"/>
        <v>At Risk</v>
      </c>
    </row>
    <row r="420" spans="1:21">
      <c r="A420" s="13" t="str">
        <f>Cleaned_Data!A420</f>
        <v>MEM0419</v>
      </c>
      <c r="B420" s="14" t="str">
        <f ca="1">Cleaned_Data!D420</f>
        <v>BR07</v>
      </c>
      <c r="C420" s="14" t="str">
        <f ca="1">Cleaned_Data!E420</f>
        <v>Premium</v>
      </c>
      <c r="D420" s="15">
        <f>Cleaned_Data!F420</f>
        <v>45503</v>
      </c>
      <c r="E420" s="15">
        <f>Cleaned_Data!G420</f>
        <v>45868</v>
      </c>
      <c r="F420" s="14">
        <f>Cleaned_Data!H420</f>
        <v>2000</v>
      </c>
      <c r="G420" s="14">
        <f ca="1">Cleaned_Data!I420</f>
        <v>18000</v>
      </c>
      <c r="H420" s="14">
        <f>Cleaned_Data!J420</f>
        <v>17</v>
      </c>
      <c r="I420" s="14" t="str">
        <f>Cleaned_Data!M420</f>
        <v>Active</v>
      </c>
      <c r="J420" s="16">
        <f>Cleaned_Data!N420</f>
        <v>45870</v>
      </c>
      <c r="K420" t="str">
        <f t="shared" si="60"/>
        <v>Highly Active</v>
      </c>
      <c r="L420" s="5" t="str">
        <f>IF(COUNTIF($A$2:A420,A420)&gt;1,"Duplicate","Unique")</f>
        <v>Unique</v>
      </c>
      <c r="M420" t="str">
        <f t="shared" si="61"/>
        <v>2024-07</v>
      </c>
      <c r="N420" s="2">
        <f t="shared" ca="1" si="62"/>
        <v>45870</v>
      </c>
      <c r="O420" s="4">
        <f t="shared" ca="1" si="63"/>
        <v>12</v>
      </c>
      <c r="P420" s="4">
        <f t="shared" ca="1" si="64"/>
        <v>259</v>
      </c>
      <c r="Q420">
        <f t="shared" ca="1" si="65"/>
        <v>2</v>
      </c>
      <c r="R420">
        <f t="shared" si="66"/>
        <v>4</v>
      </c>
      <c r="S420">
        <f t="shared" ca="1" si="67"/>
        <v>4</v>
      </c>
      <c r="T420" t="str">
        <f t="shared" ca="1" si="68"/>
        <v>244</v>
      </c>
      <c r="U420" t="str">
        <f t="shared" ca="1" si="69"/>
        <v>At Risk</v>
      </c>
    </row>
    <row r="421" spans="1:21">
      <c r="A421" s="17" t="str">
        <f>Cleaned_Data!A421</f>
        <v>MEM0420</v>
      </c>
      <c r="B421" s="18" t="str">
        <f ca="1">Cleaned_Data!D421</f>
        <v>BR07</v>
      </c>
      <c r="C421" s="18" t="str">
        <f ca="1">Cleaned_Data!E421</f>
        <v>Premium</v>
      </c>
      <c r="D421" s="19">
        <f>Cleaned_Data!F421</f>
        <v>45622</v>
      </c>
      <c r="E421" s="19">
        <f>Cleaned_Data!G421</f>
        <v>45652</v>
      </c>
      <c r="F421" s="18">
        <f>Cleaned_Data!H421</f>
        <v>3500</v>
      </c>
      <c r="G421" s="18">
        <f ca="1">Cleaned_Data!I421</f>
        <v>28000</v>
      </c>
      <c r="H421" s="18">
        <f>Cleaned_Data!J421</f>
        <v>25</v>
      </c>
      <c r="I421" s="18" t="str">
        <f>Cleaned_Data!M421</f>
        <v>Cancelled</v>
      </c>
      <c r="J421" s="20">
        <f>Cleaned_Data!N421</f>
        <v>46111</v>
      </c>
      <c r="K421" t="str">
        <f t="shared" si="60"/>
        <v>Highly Active</v>
      </c>
      <c r="L421" s="5" t="str">
        <f>IF(COUNTIF($A$2:A421,A421)&gt;1,"Duplicate","Unique")</f>
        <v>Unique</v>
      </c>
      <c r="M421" t="str">
        <f t="shared" si="61"/>
        <v>2024-11</v>
      </c>
      <c r="N421" s="2">
        <f t="shared" ca="1" si="62"/>
        <v>46111</v>
      </c>
      <c r="O421" s="4">
        <f t="shared" ca="1" si="63"/>
        <v>16</v>
      </c>
      <c r="P421" s="4">
        <f t="shared" ca="1" si="64"/>
        <v>18</v>
      </c>
      <c r="Q421">
        <f t="shared" ca="1" si="65"/>
        <v>5</v>
      </c>
      <c r="R421">
        <f t="shared" si="66"/>
        <v>5</v>
      </c>
      <c r="S421">
        <f t="shared" ca="1" si="67"/>
        <v>5</v>
      </c>
      <c r="T421" t="str">
        <f t="shared" ca="1" si="68"/>
        <v>555</v>
      </c>
      <c r="U421" t="str">
        <f t="shared" ca="1" si="69"/>
        <v>Champion</v>
      </c>
    </row>
    <row r="422" spans="1:21">
      <c r="A422" s="13" t="str">
        <f>Cleaned_Data!A422</f>
        <v>MEM0421</v>
      </c>
      <c r="B422" s="14" t="str">
        <f ca="1">Cleaned_Data!D422</f>
        <v>BR07</v>
      </c>
      <c r="C422" s="14" t="str">
        <f ca="1">Cleaned_Data!E422</f>
        <v>Standard</v>
      </c>
      <c r="D422" s="15">
        <f>Cleaned_Data!F422</f>
        <v>45439</v>
      </c>
      <c r="E422" s="15">
        <f>Cleaned_Data!G422</f>
        <v>45804</v>
      </c>
      <c r="F422" s="14">
        <f>Cleaned_Data!H422</f>
        <v>1000</v>
      </c>
      <c r="G422" s="14">
        <f ca="1">Cleaned_Data!I422</f>
        <v>10000</v>
      </c>
      <c r="H422" s="14">
        <f>Cleaned_Data!J422</f>
        <v>10</v>
      </c>
      <c r="I422" s="14" t="str">
        <f>Cleaned_Data!M422</f>
        <v>Active</v>
      </c>
      <c r="J422" s="16">
        <f>Cleaned_Data!N422</f>
        <v>46032</v>
      </c>
      <c r="K422" t="str">
        <f t="shared" si="60"/>
        <v>Moderate</v>
      </c>
      <c r="L422" s="5" t="str">
        <f>IF(COUNTIF($A$2:A422,A422)&gt;1,"Duplicate","Unique")</f>
        <v>Unique</v>
      </c>
      <c r="M422" t="str">
        <f t="shared" si="61"/>
        <v>2024-05</v>
      </c>
      <c r="N422" s="2">
        <f t="shared" ca="1" si="62"/>
        <v>46032</v>
      </c>
      <c r="O422" s="4">
        <f t="shared" ca="1" si="63"/>
        <v>19</v>
      </c>
      <c r="P422" s="4">
        <f t="shared" ca="1" si="64"/>
        <v>97</v>
      </c>
      <c r="Q422">
        <f t="shared" ca="1" si="65"/>
        <v>3</v>
      </c>
      <c r="R422">
        <f t="shared" si="66"/>
        <v>3</v>
      </c>
      <c r="S422">
        <f t="shared" ca="1" si="67"/>
        <v>4</v>
      </c>
      <c r="T422" t="str">
        <f t="shared" ca="1" si="68"/>
        <v>334</v>
      </c>
      <c r="U422" t="str">
        <f t="shared" ca="1" si="69"/>
        <v>Loyal</v>
      </c>
    </row>
    <row r="423" spans="1:21">
      <c r="A423" s="17" t="str">
        <f>Cleaned_Data!A423</f>
        <v>MEM0422</v>
      </c>
      <c r="B423" s="18" t="str">
        <f ca="1">Cleaned_Data!D423</f>
        <v>BR07</v>
      </c>
      <c r="C423" s="18" t="str">
        <f ca="1">Cleaned_Data!E423</f>
        <v>Standard</v>
      </c>
      <c r="D423" s="19">
        <f>Cleaned_Data!F423</f>
        <v>45478</v>
      </c>
      <c r="E423" s="19">
        <f>Cleaned_Data!G423</f>
        <v>45568</v>
      </c>
      <c r="F423" s="18">
        <f>Cleaned_Data!H423</f>
        <v>2000</v>
      </c>
      <c r="G423" s="18">
        <f ca="1">Cleaned_Data!I423</f>
        <v>6000</v>
      </c>
      <c r="H423" s="18">
        <f>Cleaned_Data!J423</f>
        <v>12</v>
      </c>
      <c r="I423" s="18" t="str">
        <f>Cleaned_Data!M423</f>
        <v>Active</v>
      </c>
      <c r="J423" s="20">
        <f>Cleaned_Data!N423</f>
        <v>45909</v>
      </c>
      <c r="K423" t="str">
        <f t="shared" si="60"/>
        <v>Moderate</v>
      </c>
      <c r="L423" s="5" t="str">
        <f>IF(COUNTIF($A$2:A423,A423)&gt;1,"Duplicate","Unique")</f>
        <v>Unique</v>
      </c>
      <c r="M423" t="str">
        <f t="shared" si="61"/>
        <v>2024-07</v>
      </c>
      <c r="N423" s="2">
        <f t="shared" ca="1" si="62"/>
        <v>45909</v>
      </c>
      <c r="O423" s="4">
        <f t="shared" ca="1" si="63"/>
        <v>14</v>
      </c>
      <c r="P423" s="4">
        <f t="shared" ca="1" si="64"/>
        <v>220</v>
      </c>
      <c r="Q423">
        <f t="shared" ca="1" si="65"/>
        <v>2</v>
      </c>
      <c r="R423">
        <f t="shared" si="66"/>
        <v>3</v>
      </c>
      <c r="S423">
        <f t="shared" ca="1" si="67"/>
        <v>3</v>
      </c>
      <c r="T423" t="str">
        <f t="shared" ca="1" si="68"/>
        <v>233</v>
      </c>
      <c r="U423" t="str">
        <f t="shared" ca="1" si="69"/>
        <v>At Risk</v>
      </c>
    </row>
    <row r="424" spans="1:21">
      <c r="A424" s="13" t="str">
        <f>Cleaned_Data!A424</f>
        <v>MEM0423</v>
      </c>
      <c r="B424" s="14" t="str">
        <f ca="1">Cleaned_Data!D424</f>
        <v>BR02</v>
      </c>
      <c r="C424" s="14" t="str">
        <f ca="1">Cleaned_Data!E424</f>
        <v>Standard</v>
      </c>
      <c r="D424" s="15">
        <f>Cleaned_Data!F424</f>
        <v>45176</v>
      </c>
      <c r="E424" s="15">
        <f>Cleaned_Data!G424</f>
        <v>45541</v>
      </c>
      <c r="F424" s="14">
        <f>Cleaned_Data!H424</f>
        <v>2000</v>
      </c>
      <c r="G424" s="14">
        <f ca="1">Cleaned_Data!I424</f>
        <v>12000</v>
      </c>
      <c r="H424" s="14">
        <f>Cleaned_Data!J424</f>
        <v>23</v>
      </c>
      <c r="I424" s="14" t="str">
        <f>Cleaned_Data!M424</f>
        <v>Active</v>
      </c>
      <c r="J424" s="16">
        <f>Cleaned_Data!N424</f>
        <v>45473</v>
      </c>
      <c r="K424" t="str">
        <f t="shared" si="60"/>
        <v>Highly Active</v>
      </c>
      <c r="L424" s="5" t="str">
        <f>IF(COUNTIF($A$2:A424,A424)&gt;1,"Duplicate","Unique")</f>
        <v>Unique</v>
      </c>
      <c r="M424" t="str">
        <f t="shared" si="61"/>
        <v>2023-09</v>
      </c>
      <c r="N424" s="2">
        <f t="shared" ca="1" si="62"/>
        <v>45473</v>
      </c>
      <c r="O424" s="4">
        <f t="shared" ca="1" si="63"/>
        <v>9</v>
      </c>
      <c r="P424" s="4">
        <f t="shared" ca="1" si="64"/>
        <v>656</v>
      </c>
      <c r="Q424">
        <f t="shared" ca="1" si="65"/>
        <v>1</v>
      </c>
      <c r="R424">
        <f t="shared" si="66"/>
        <v>5</v>
      </c>
      <c r="S424">
        <f t="shared" ca="1" si="67"/>
        <v>4</v>
      </c>
      <c r="T424" t="str">
        <f t="shared" ca="1" si="68"/>
        <v>154</v>
      </c>
      <c r="U424" t="str">
        <f t="shared" ca="1" si="69"/>
        <v>At Risk</v>
      </c>
    </row>
    <row r="425" spans="1:21">
      <c r="A425" s="17" t="str">
        <f>Cleaned_Data!A425</f>
        <v>MEM0424</v>
      </c>
      <c r="B425" s="18" t="str">
        <f ca="1">Cleaned_Data!D425</f>
        <v>BR04</v>
      </c>
      <c r="C425" s="18" t="str">
        <f ca="1">Cleaned_Data!E425</f>
        <v>Standard</v>
      </c>
      <c r="D425" s="19">
        <f>Cleaned_Data!F425</f>
        <v>45183</v>
      </c>
      <c r="E425" s="19">
        <f>Cleaned_Data!G425</f>
        <v>45213</v>
      </c>
      <c r="F425" s="18">
        <f>Cleaned_Data!H425</f>
        <v>1000</v>
      </c>
      <c r="G425" s="18">
        <f ca="1">Cleaned_Data!I425</f>
        <v>11000</v>
      </c>
      <c r="H425" s="18">
        <f>Cleaned_Data!J425</f>
        <v>1</v>
      </c>
      <c r="I425" s="18" t="str">
        <f>Cleaned_Data!M425</f>
        <v>Cancelled</v>
      </c>
      <c r="J425" s="20">
        <f>Cleaned_Data!N425</f>
        <v>45216</v>
      </c>
      <c r="K425" t="str">
        <f t="shared" si="60"/>
        <v>At Risk</v>
      </c>
      <c r="L425" s="5" t="str">
        <f>IF(COUNTIF($A$2:A425,A425)&gt;1,"Duplicate","Unique")</f>
        <v>Unique</v>
      </c>
      <c r="M425" t="str">
        <f t="shared" si="61"/>
        <v>2023-09</v>
      </c>
      <c r="N425" s="2">
        <f t="shared" ca="1" si="62"/>
        <v>45216</v>
      </c>
      <c r="O425" s="4">
        <f t="shared" ca="1" si="63"/>
        <v>1</v>
      </c>
      <c r="P425" s="4">
        <f t="shared" ca="1" si="64"/>
        <v>913</v>
      </c>
      <c r="Q425">
        <f t="shared" ca="1" si="65"/>
        <v>1</v>
      </c>
      <c r="R425">
        <f t="shared" si="66"/>
        <v>1</v>
      </c>
      <c r="S425">
        <f t="shared" ca="1" si="67"/>
        <v>4</v>
      </c>
      <c r="T425" t="str">
        <f t="shared" ca="1" si="68"/>
        <v>114</v>
      </c>
      <c r="U425" t="str">
        <f t="shared" ca="1" si="69"/>
        <v>At Risk</v>
      </c>
    </row>
    <row r="426" spans="1:21">
      <c r="A426" s="13" t="str">
        <f>Cleaned_Data!A426</f>
        <v>MEM0425</v>
      </c>
      <c r="B426" s="14" t="str">
        <f ca="1">Cleaned_Data!D426</f>
        <v>BR01</v>
      </c>
      <c r="C426" s="14" t="str">
        <f ca="1">Cleaned_Data!E426</f>
        <v>Standard</v>
      </c>
      <c r="D426" s="15">
        <f>Cleaned_Data!F426</f>
        <v>45500</v>
      </c>
      <c r="E426" s="15">
        <f>Cleaned_Data!G426</f>
        <v>45530</v>
      </c>
      <c r="F426" s="14">
        <f>Cleaned_Data!H426</f>
        <v>3500</v>
      </c>
      <c r="G426" s="14">
        <f ca="1">Cleaned_Data!I426</f>
        <v>7000</v>
      </c>
      <c r="H426" s="14">
        <f>Cleaned_Data!J426</f>
        <v>5</v>
      </c>
      <c r="I426" s="14" t="str">
        <f>Cleaned_Data!M426</f>
        <v>Active</v>
      </c>
      <c r="J426" s="16">
        <f>Cleaned_Data!N426</f>
        <v>45750</v>
      </c>
      <c r="K426" t="str">
        <f t="shared" si="60"/>
        <v>Moderate</v>
      </c>
      <c r="L426" s="5" t="str">
        <f>IF(COUNTIF($A$2:A426,A426)&gt;1,"Duplicate","Unique")</f>
        <v>Unique</v>
      </c>
      <c r="M426" t="str">
        <f t="shared" si="61"/>
        <v>2024-07</v>
      </c>
      <c r="N426" s="2">
        <f t="shared" ca="1" si="62"/>
        <v>45750</v>
      </c>
      <c r="O426" s="4">
        <f t="shared" ca="1" si="63"/>
        <v>8</v>
      </c>
      <c r="P426" s="4">
        <f t="shared" ca="1" si="64"/>
        <v>379</v>
      </c>
      <c r="Q426">
        <f t="shared" ca="1" si="65"/>
        <v>1</v>
      </c>
      <c r="R426">
        <f t="shared" si="66"/>
        <v>2</v>
      </c>
      <c r="S426">
        <f t="shared" ca="1" si="67"/>
        <v>3</v>
      </c>
      <c r="T426" t="str">
        <f t="shared" ca="1" si="68"/>
        <v>123</v>
      </c>
      <c r="U426" t="str">
        <f t="shared" ca="1" si="69"/>
        <v>At Risk</v>
      </c>
    </row>
    <row r="427" spans="1:21">
      <c r="A427" s="17" t="str">
        <f>Cleaned_Data!A427</f>
        <v>MEM0426</v>
      </c>
      <c r="B427" s="18" t="str">
        <f ca="1">Cleaned_Data!D427</f>
        <v>BR05</v>
      </c>
      <c r="C427" s="18" t="str">
        <f ca="1">Cleaned_Data!E427</f>
        <v>Basic</v>
      </c>
      <c r="D427" s="19">
        <f>Cleaned_Data!F427</f>
        <v>45758</v>
      </c>
      <c r="E427" s="19">
        <f>Cleaned_Data!G427</f>
        <v>46123</v>
      </c>
      <c r="F427" s="18">
        <f>Cleaned_Data!H427</f>
        <v>3500</v>
      </c>
      <c r="G427" s="18">
        <f ca="1">Cleaned_Data!I427</f>
        <v>21000</v>
      </c>
      <c r="H427" s="18">
        <f>Cleaned_Data!J427</f>
        <v>13</v>
      </c>
      <c r="I427" s="18" t="str">
        <f>Cleaned_Data!M427</f>
        <v>Active</v>
      </c>
      <c r="J427" s="20">
        <f>Cleaned_Data!N427</f>
        <v>46042</v>
      </c>
      <c r="K427" t="str">
        <f t="shared" si="60"/>
        <v>Moderate</v>
      </c>
      <c r="L427" s="5" t="str">
        <f>IF(COUNTIF($A$2:A427,A427)&gt;1,"Duplicate","Unique")</f>
        <v>Unique</v>
      </c>
      <c r="M427" t="str">
        <f t="shared" si="61"/>
        <v>2025-04</v>
      </c>
      <c r="N427" s="2">
        <f t="shared" ca="1" si="62"/>
        <v>46042</v>
      </c>
      <c r="O427" s="4">
        <f t="shared" ca="1" si="63"/>
        <v>9</v>
      </c>
      <c r="P427" s="4">
        <f t="shared" ca="1" si="64"/>
        <v>87</v>
      </c>
      <c r="Q427">
        <f t="shared" ca="1" si="65"/>
        <v>4</v>
      </c>
      <c r="R427">
        <f t="shared" si="66"/>
        <v>3</v>
      </c>
      <c r="S427">
        <f t="shared" ca="1" si="67"/>
        <v>5</v>
      </c>
      <c r="T427" t="str">
        <f t="shared" ca="1" si="68"/>
        <v>435</v>
      </c>
      <c r="U427" t="str">
        <f t="shared" ca="1" si="69"/>
        <v>Loyal</v>
      </c>
    </row>
    <row r="428" spans="1:21">
      <c r="A428" s="13" t="str">
        <f>Cleaned_Data!A428</f>
        <v>MEM0427</v>
      </c>
      <c r="B428" s="14" t="str">
        <f ca="1">Cleaned_Data!D428</f>
        <v>BR03</v>
      </c>
      <c r="C428" s="14" t="str">
        <f ca="1">Cleaned_Data!E428</f>
        <v>Premium</v>
      </c>
      <c r="D428" s="15">
        <f>Cleaned_Data!F428</f>
        <v>44948</v>
      </c>
      <c r="E428" s="15">
        <f>Cleaned_Data!G428</f>
        <v>44978</v>
      </c>
      <c r="F428" s="14">
        <f>Cleaned_Data!H428</f>
        <v>2000</v>
      </c>
      <c r="G428" s="14">
        <f ca="1">Cleaned_Data!I428</f>
        <v>18000</v>
      </c>
      <c r="H428" s="14">
        <f>Cleaned_Data!J428</f>
        <v>17</v>
      </c>
      <c r="I428" s="14" t="str">
        <f>Cleaned_Data!M428</f>
        <v>Active</v>
      </c>
      <c r="J428" s="16">
        <f>Cleaned_Data!N428</f>
        <v>45810</v>
      </c>
      <c r="K428" t="str">
        <f t="shared" si="60"/>
        <v>Highly Active</v>
      </c>
      <c r="L428" s="5" t="str">
        <f>IF(COUNTIF($A$2:A428,A428)&gt;1,"Duplicate","Unique")</f>
        <v>Unique</v>
      </c>
      <c r="M428" t="str">
        <f t="shared" si="61"/>
        <v>2023-01</v>
      </c>
      <c r="N428" s="2">
        <f t="shared" ca="1" si="62"/>
        <v>45810</v>
      </c>
      <c r="O428" s="4">
        <f t="shared" ca="1" si="63"/>
        <v>28</v>
      </c>
      <c r="P428" s="4">
        <f t="shared" ca="1" si="64"/>
        <v>319</v>
      </c>
      <c r="Q428">
        <f t="shared" ca="1" si="65"/>
        <v>2</v>
      </c>
      <c r="R428">
        <f t="shared" si="66"/>
        <v>4</v>
      </c>
      <c r="S428">
        <f t="shared" ca="1" si="67"/>
        <v>4</v>
      </c>
      <c r="T428" t="str">
        <f t="shared" ca="1" si="68"/>
        <v>244</v>
      </c>
      <c r="U428" t="str">
        <f t="shared" ca="1" si="69"/>
        <v>At Risk</v>
      </c>
    </row>
    <row r="429" spans="1:21">
      <c r="A429" s="17" t="str">
        <f>Cleaned_Data!A429</f>
        <v>MEM0428</v>
      </c>
      <c r="B429" s="18" t="str">
        <f ca="1">Cleaned_Data!D429</f>
        <v>BR07</v>
      </c>
      <c r="C429" s="18" t="str">
        <f ca="1">Cleaned_Data!E429</f>
        <v>Premium</v>
      </c>
      <c r="D429" s="19">
        <f>Cleaned_Data!F429</f>
        <v>45923</v>
      </c>
      <c r="E429" s="19">
        <f>Cleaned_Data!G429</f>
        <v>45953</v>
      </c>
      <c r="F429" s="18">
        <f>Cleaned_Data!H429</f>
        <v>2000</v>
      </c>
      <c r="G429" s="18">
        <f ca="1">Cleaned_Data!I429</f>
        <v>14000</v>
      </c>
      <c r="H429" s="18">
        <f>Cleaned_Data!J429</f>
        <v>9</v>
      </c>
      <c r="I429" s="18" t="str">
        <f>Cleaned_Data!M429</f>
        <v>Active</v>
      </c>
      <c r="J429" s="20">
        <f>Cleaned_Data!N429</f>
        <v>45961</v>
      </c>
      <c r="K429" t="str">
        <f t="shared" si="60"/>
        <v>Moderate</v>
      </c>
      <c r="L429" s="5" t="str">
        <f>IF(COUNTIF($A$2:A429,A429)&gt;1,"Duplicate","Unique")</f>
        <v>Unique</v>
      </c>
      <c r="M429" t="str">
        <f t="shared" si="61"/>
        <v>2025-09</v>
      </c>
      <c r="N429" s="2">
        <f t="shared" ca="1" si="62"/>
        <v>45961</v>
      </c>
      <c r="O429" s="4">
        <f t="shared" ca="1" si="63"/>
        <v>1</v>
      </c>
      <c r="P429" s="4">
        <f t="shared" ca="1" si="64"/>
        <v>168</v>
      </c>
      <c r="Q429">
        <f t="shared" ca="1" si="65"/>
        <v>3</v>
      </c>
      <c r="R429">
        <f t="shared" si="66"/>
        <v>2</v>
      </c>
      <c r="S429">
        <f t="shared" ca="1" si="67"/>
        <v>4</v>
      </c>
      <c r="T429" t="str">
        <f t="shared" ca="1" si="68"/>
        <v>324</v>
      </c>
      <c r="U429" t="str">
        <f t="shared" ca="1" si="69"/>
        <v>Others</v>
      </c>
    </row>
    <row r="430" spans="1:21">
      <c r="A430" s="13" t="str">
        <f>Cleaned_Data!A430</f>
        <v>MEM0429</v>
      </c>
      <c r="B430" s="14" t="str">
        <f ca="1">Cleaned_Data!D430</f>
        <v>BR01</v>
      </c>
      <c r="C430" s="14" t="str">
        <f ca="1">Cleaned_Data!E430</f>
        <v>Basic</v>
      </c>
      <c r="D430" s="15">
        <f>Cleaned_Data!F430</f>
        <v>45438</v>
      </c>
      <c r="E430" s="15">
        <f>Cleaned_Data!G430</f>
        <v>45468</v>
      </c>
      <c r="F430" s="14">
        <f>Cleaned_Data!H430</f>
        <v>2000</v>
      </c>
      <c r="G430" s="14">
        <f ca="1">Cleaned_Data!I430</f>
        <v>6000</v>
      </c>
      <c r="H430" s="14">
        <f>Cleaned_Data!J430</f>
        <v>12</v>
      </c>
      <c r="I430" s="14" t="str">
        <f>Cleaned_Data!M430</f>
        <v>Active</v>
      </c>
      <c r="J430" s="16">
        <f>Cleaned_Data!N430</f>
        <v>45865</v>
      </c>
      <c r="K430" t="str">
        <f t="shared" si="60"/>
        <v>Moderate</v>
      </c>
      <c r="L430" s="5" t="str">
        <f>IF(COUNTIF($A$2:A430,A430)&gt;1,"Duplicate","Unique")</f>
        <v>Unique</v>
      </c>
      <c r="M430" t="str">
        <f t="shared" si="61"/>
        <v>2024-05</v>
      </c>
      <c r="N430" s="2">
        <f t="shared" ca="1" si="62"/>
        <v>45865</v>
      </c>
      <c r="O430" s="4">
        <f t="shared" ca="1" si="63"/>
        <v>14</v>
      </c>
      <c r="P430" s="4">
        <f t="shared" ca="1" si="64"/>
        <v>264</v>
      </c>
      <c r="Q430">
        <f t="shared" ca="1" si="65"/>
        <v>2</v>
      </c>
      <c r="R430">
        <f t="shared" si="66"/>
        <v>3</v>
      </c>
      <c r="S430">
        <f t="shared" ca="1" si="67"/>
        <v>3</v>
      </c>
      <c r="T430" t="str">
        <f t="shared" ca="1" si="68"/>
        <v>233</v>
      </c>
      <c r="U430" t="str">
        <f t="shared" ca="1" si="69"/>
        <v>At Risk</v>
      </c>
    </row>
    <row r="431" spans="1:21">
      <c r="A431" s="17" t="str">
        <f>Cleaned_Data!A431</f>
        <v>MEM0430</v>
      </c>
      <c r="B431" s="18" t="str">
        <f ca="1">Cleaned_Data!D431</f>
        <v>BR07</v>
      </c>
      <c r="C431" s="18" t="str">
        <f ca="1">Cleaned_Data!E431</f>
        <v>Basic</v>
      </c>
      <c r="D431" s="19">
        <f>Cleaned_Data!F431</f>
        <v>45231</v>
      </c>
      <c r="E431" s="19">
        <f>Cleaned_Data!G431</f>
        <v>45261</v>
      </c>
      <c r="F431" s="18">
        <f>Cleaned_Data!H431</f>
        <v>2000</v>
      </c>
      <c r="G431" s="18">
        <f ca="1">Cleaned_Data!I431</f>
        <v>12000</v>
      </c>
      <c r="H431" s="18">
        <f>Cleaned_Data!J431</f>
        <v>16</v>
      </c>
      <c r="I431" s="18" t="str">
        <f>Cleaned_Data!M431</f>
        <v>Active</v>
      </c>
      <c r="J431" s="20">
        <f>Cleaned_Data!N431</f>
        <v>46115</v>
      </c>
      <c r="K431" t="str">
        <f t="shared" si="60"/>
        <v>Highly Active</v>
      </c>
      <c r="L431" s="5" t="str">
        <f>IF(COUNTIF($A$2:A431,A431)&gt;1,"Duplicate","Unique")</f>
        <v>Unique</v>
      </c>
      <c r="M431" t="str">
        <f t="shared" si="61"/>
        <v>2023-11</v>
      </c>
      <c r="N431" s="2">
        <f t="shared" ca="1" si="62"/>
        <v>46115</v>
      </c>
      <c r="O431" s="4">
        <f t="shared" ca="1" si="63"/>
        <v>29</v>
      </c>
      <c r="P431" s="4">
        <f t="shared" ca="1" si="64"/>
        <v>14</v>
      </c>
      <c r="Q431">
        <f t="shared" ca="1" si="65"/>
        <v>5</v>
      </c>
      <c r="R431">
        <f t="shared" si="66"/>
        <v>4</v>
      </c>
      <c r="S431">
        <f t="shared" ca="1" si="67"/>
        <v>4</v>
      </c>
      <c r="T431" t="str">
        <f t="shared" ca="1" si="68"/>
        <v>544</v>
      </c>
      <c r="U431" t="str">
        <f t="shared" ca="1" si="69"/>
        <v>Champion</v>
      </c>
    </row>
    <row r="432" spans="1:21">
      <c r="A432" s="13" t="str">
        <f>Cleaned_Data!A432</f>
        <v>MEM0431</v>
      </c>
      <c r="B432" s="14" t="str">
        <f ca="1">Cleaned_Data!D432</f>
        <v>BR05</v>
      </c>
      <c r="C432" s="14" t="str">
        <f ca="1">Cleaned_Data!E432</f>
        <v>Standard</v>
      </c>
      <c r="D432" s="15">
        <f>Cleaned_Data!F432</f>
        <v>45506</v>
      </c>
      <c r="E432" s="15">
        <f>Cleaned_Data!G432</f>
        <v>45871</v>
      </c>
      <c r="F432" s="14">
        <f>Cleaned_Data!H432</f>
        <v>3500</v>
      </c>
      <c r="G432" s="14">
        <f ca="1">Cleaned_Data!I432</f>
        <v>38500</v>
      </c>
      <c r="H432" s="14">
        <f>Cleaned_Data!J432</f>
        <v>24</v>
      </c>
      <c r="I432" s="14" t="str">
        <f>Cleaned_Data!M432</f>
        <v>Active</v>
      </c>
      <c r="J432" s="16">
        <f>Cleaned_Data!N432</f>
        <v>45530</v>
      </c>
      <c r="K432" t="str">
        <f t="shared" si="60"/>
        <v>Highly Active</v>
      </c>
      <c r="L432" s="5" t="str">
        <f>IF(COUNTIF($A$2:A432,A432)&gt;1,"Duplicate","Unique")</f>
        <v>Unique</v>
      </c>
      <c r="M432" t="str">
        <f t="shared" si="61"/>
        <v>2024-08</v>
      </c>
      <c r="N432" s="2">
        <f t="shared" ca="1" si="62"/>
        <v>45530</v>
      </c>
      <c r="O432" s="4">
        <f t="shared" ca="1" si="63"/>
        <v>0</v>
      </c>
      <c r="P432" s="4">
        <f t="shared" ca="1" si="64"/>
        <v>599</v>
      </c>
      <c r="Q432">
        <f t="shared" ca="1" si="65"/>
        <v>1</v>
      </c>
      <c r="R432">
        <f t="shared" si="66"/>
        <v>5</v>
      </c>
      <c r="S432">
        <f t="shared" ca="1" si="67"/>
        <v>5</v>
      </c>
      <c r="T432" t="str">
        <f t="shared" ca="1" si="68"/>
        <v>155</v>
      </c>
      <c r="U432" t="str">
        <f t="shared" ca="1" si="69"/>
        <v>At Risk</v>
      </c>
    </row>
    <row r="433" spans="1:21">
      <c r="A433" s="17" t="str">
        <f>Cleaned_Data!A433</f>
        <v>MEM0432</v>
      </c>
      <c r="B433" s="18" t="str">
        <f ca="1">Cleaned_Data!D433</f>
        <v>BR01</v>
      </c>
      <c r="C433" s="18" t="str">
        <f ca="1">Cleaned_Data!E433</f>
        <v>Premium</v>
      </c>
      <c r="D433" s="19">
        <f>Cleaned_Data!F433</f>
        <v>45346</v>
      </c>
      <c r="E433" s="19">
        <f>Cleaned_Data!G433</f>
        <v>45376</v>
      </c>
      <c r="F433" s="18">
        <f>Cleaned_Data!H433</f>
        <v>3500</v>
      </c>
      <c r="G433" s="18">
        <f ca="1">Cleaned_Data!I433</f>
        <v>24500</v>
      </c>
      <c r="H433" s="18">
        <f>Cleaned_Data!J433</f>
        <v>13</v>
      </c>
      <c r="I433" s="18" t="str">
        <f>Cleaned_Data!M433</f>
        <v>Active</v>
      </c>
      <c r="J433" s="20">
        <f>Cleaned_Data!N433</f>
        <v>45520</v>
      </c>
      <c r="K433" t="str">
        <f t="shared" si="60"/>
        <v>Moderate</v>
      </c>
      <c r="L433" s="5" t="str">
        <f>IF(COUNTIF($A$2:A433,A433)&gt;1,"Duplicate","Unique")</f>
        <v>Unique</v>
      </c>
      <c r="M433" t="str">
        <f t="shared" si="61"/>
        <v>2024-02</v>
      </c>
      <c r="N433" s="2">
        <f t="shared" ca="1" si="62"/>
        <v>45520</v>
      </c>
      <c r="O433" s="4">
        <f t="shared" ca="1" si="63"/>
        <v>5</v>
      </c>
      <c r="P433" s="4">
        <f t="shared" ca="1" si="64"/>
        <v>609</v>
      </c>
      <c r="Q433">
        <f t="shared" ca="1" si="65"/>
        <v>1</v>
      </c>
      <c r="R433">
        <f t="shared" si="66"/>
        <v>3</v>
      </c>
      <c r="S433">
        <f t="shared" ca="1" si="67"/>
        <v>5</v>
      </c>
      <c r="T433" t="str">
        <f t="shared" ca="1" si="68"/>
        <v>135</v>
      </c>
      <c r="U433" t="str">
        <f t="shared" ca="1" si="69"/>
        <v>At Risk</v>
      </c>
    </row>
    <row r="434" spans="1:21">
      <c r="A434" s="13" t="str">
        <f>Cleaned_Data!A434</f>
        <v>MEM0433</v>
      </c>
      <c r="B434" s="14" t="str">
        <f ca="1">Cleaned_Data!D434</f>
        <v>BR07</v>
      </c>
      <c r="C434" s="14" t="str">
        <f ca="1">Cleaned_Data!E434</f>
        <v>Basic</v>
      </c>
      <c r="D434" s="15">
        <f>Cleaned_Data!F434</f>
        <v>45873</v>
      </c>
      <c r="E434" s="15">
        <f>Cleaned_Data!G434</f>
        <v>45963</v>
      </c>
      <c r="F434" s="14">
        <f>Cleaned_Data!H434</f>
        <v>2000</v>
      </c>
      <c r="G434" s="14">
        <f ca="1">Cleaned_Data!I434</f>
        <v>20000</v>
      </c>
      <c r="H434" s="14">
        <f>Cleaned_Data!J434</f>
        <v>17</v>
      </c>
      <c r="I434" s="14" t="str">
        <f>Cleaned_Data!M434</f>
        <v>Cancelled</v>
      </c>
      <c r="J434" s="16">
        <f>Cleaned_Data!N434</f>
        <v>45949</v>
      </c>
      <c r="K434" t="str">
        <f t="shared" si="60"/>
        <v>Highly Active</v>
      </c>
      <c r="L434" s="5" t="str">
        <f>IF(COUNTIF($A$2:A434,A434)&gt;1,"Duplicate","Unique")</f>
        <v>Unique</v>
      </c>
      <c r="M434" t="str">
        <f t="shared" si="61"/>
        <v>2025-08</v>
      </c>
      <c r="N434" s="2">
        <f t="shared" ca="1" si="62"/>
        <v>45949</v>
      </c>
      <c r="O434" s="4">
        <f t="shared" ca="1" si="63"/>
        <v>2</v>
      </c>
      <c r="P434" s="4">
        <f t="shared" ca="1" si="64"/>
        <v>180</v>
      </c>
      <c r="Q434">
        <f t="shared" ca="1" si="65"/>
        <v>3</v>
      </c>
      <c r="R434">
        <f t="shared" si="66"/>
        <v>4</v>
      </c>
      <c r="S434">
        <f t="shared" ca="1" si="67"/>
        <v>5</v>
      </c>
      <c r="T434" t="str">
        <f t="shared" ca="1" si="68"/>
        <v>345</v>
      </c>
      <c r="U434" t="str">
        <f t="shared" ca="1" si="69"/>
        <v>Loyal</v>
      </c>
    </row>
    <row r="435" spans="1:21">
      <c r="A435" s="17" t="str">
        <f>Cleaned_Data!A435</f>
        <v>MEM0434</v>
      </c>
      <c r="B435" s="18" t="str">
        <f ca="1">Cleaned_Data!D435</f>
        <v>BR02</v>
      </c>
      <c r="C435" s="18" t="str">
        <f ca="1">Cleaned_Data!E435</f>
        <v>Basic</v>
      </c>
      <c r="D435" s="19">
        <f>Cleaned_Data!F435</f>
        <v>45043</v>
      </c>
      <c r="E435" s="19">
        <f>Cleaned_Data!G435</f>
        <v>45073</v>
      </c>
      <c r="F435" s="18">
        <f>Cleaned_Data!H435</f>
        <v>1000</v>
      </c>
      <c r="G435" s="18">
        <f ca="1">Cleaned_Data!I435</f>
        <v>1000</v>
      </c>
      <c r="H435" s="18">
        <f>Cleaned_Data!J435</f>
        <v>15</v>
      </c>
      <c r="I435" s="18" t="str">
        <f>Cleaned_Data!M435</f>
        <v>Active</v>
      </c>
      <c r="J435" s="20">
        <f>Cleaned_Data!N435</f>
        <v>45618</v>
      </c>
      <c r="K435" t="str">
        <f t="shared" si="60"/>
        <v>Highly Active</v>
      </c>
      <c r="L435" s="5" t="str">
        <f>IF(COUNTIF($A$2:A435,A435)&gt;1,"Duplicate","Unique")</f>
        <v>Unique</v>
      </c>
      <c r="M435" t="str">
        <f t="shared" si="61"/>
        <v>2023-04</v>
      </c>
      <c r="N435" s="2">
        <f t="shared" ca="1" si="62"/>
        <v>45618</v>
      </c>
      <c r="O435" s="4">
        <f t="shared" ca="1" si="63"/>
        <v>18</v>
      </c>
      <c r="P435" s="4">
        <f t="shared" ca="1" si="64"/>
        <v>511</v>
      </c>
      <c r="Q435">
        <f t="shared" ca="1" si="65"/>
        <v>1</v>
      </c>
      <c r="R435">
        <f t="shared" si="66"/>
        <v>4</v>
      </c>
      <c r="S435">
        <f t="shared" ca="1" si="67"/>
        <v>1</v>
      </c>
      <c r="T435" t="str">
        <f t="shared" ca="1" si="68"/>
        <v>141</v>
      </c>
      <c r="U435" t="str">
        <f t="shared" ca="1" si="69"/>
        <v>At Risk</v>
      </c>
    </row>
    <row r="436" spans="1:21">
      <c r="A436" s="13" t="str">
        <f>Cleaned_Data!A436</f>
        <v>MEM0435</v>
      </c>
      <c r="B436" s="14" t="str">
        <f ca="1">Cleaned_Data!D436</f>
        <v>BR01</v>
      </c>
      <c r="C436" s="14" t="str">
        <f ca="1">Cleaned_Data!E436</f>
        <v>Basic</v>
      </c>
      <c r="D436" s="15">
        <f>Cleaned_Data!F436</f>
        <v>45981</v>
      </c>
      <c r="E436" s="15">
        <f>Cleaned_Data!G436</f>
        <v>46011</v>
      </c>
      <c r="F436" s="14">
        <f>Cleaned_Data!H436</f>
        <v>3500</v>
      </c>
      <c r="G436" s="14">
        <f ca="1">Cleaned_Data!I436</f>
        <v>7000</v>
      </c>
      <c r="H436" s="14">
        <f>Cleaned_Data!J436</f>
        <v>17</v>
      </c>
      <c r="I436" s="14" t="str">
        <f>Cleaned_Data!M436</f>
        <v>Cancelled</v>
      </c>
      <c r="J436" s="16">
        <f>Cleaned_Data!N436</f>
        <v>46117</v>
      </c>
      <c r="K436" t="str">
        <f t="shared" si="60"/>
        <v>Highly Active</v>
      </c>
      <c r="L436" s="5" t="str">
        <f>IF(COUNTIF($A$2:A436,A436)&gt;1,"Duplicate","Unique")</f>
        <v>Unique</v>
      </c>
      <c r="M436" t="str">
        <f t="shared" si="61"/>
        <v>2025-11</v>
      </c>
      <c r="N436" s="2">
        <f t="shared" ca="1" si="62"/>
        <v>46117</v>
      </c>
      <c r="O436" s="4">
        <f t="shared" ca="1" si="63"/>
        <v>4</v>
      </c>
      <c r="P436" s="4">
        <f t="shared" ca="1" si="64"/>
        <v>12</v>
      </c>
      <c r="Q436">
        <f t="shared" ca="1" si="65"/>
        <v>5</v>
      </c>
      <c r="R436">
        <f t="shared" si="66"/>
        <v>4</v>
      </c>
      <c r="S436">
        <f t="shared" ca="1" si="67"/>
        <v>3</v>
      </c>
      <c r="T436" t="str">
        <f t="shared" ca="1" si="68"/>
        <v>543</v>
      </c>
      <c r="U436" t="str">
        <f t="shared" ca="1" si="69"/>
        <v>Loyal</v>
      </c>
    </row>
    <row r="437" spans="1:21">
      <c r="A437" s="17" t="str">
        <f>Cleaned_Data!A437</f>
        <v>MEM0436</v>
      </c>
      <c r="B437" s="18" t="str">
        <f ca="1">Cleaned_Data!D437</f>
        <v>BR06</v>
      </c>
      <c r="C437" s="18" t="str">
        <f ca="1">Cleaned_Data!E437</f>
        <v>Standard</v>
      </c>
      <c r="D437" s="19">
        <f>Cleaned_Data!F437</f>
        <v>45282</v>
      </c>
      <c r="E437" s="19">
        <f>Cleaned_Data!G437</f>
        <v>45312</v>
      </c>
      <c r="F437" s="18">
        <f>Cleaned_Data!H437</f>
        <v>2000</v>
      </c>
      <c r="G437" s="18">
        <f ca="1">Cleaned_Data!I437</f>
        <v>20000</v>
      </c>
      <c r="H437" s="18">
        <f>Cleaned_Data!J437</f>
        <v>15</v>
      </c>
      <c r="I437" s="18" t="str">
        <f>Cleaned_Data!M437</f>
        <v>Active</v>
      </c>
      <c r="J437" s="20">
        <f>Cleaned_Data!N437</f>
        <v>45442</v>
      </c>
      <c r="K437" t="str">
        <f t="shared" si="60"/>
        <v>Highly Active</v>
      </c>
      <c r="L437" s="5" t="str">
        <f>IF(COUNTIF($A$2:A437,A437)&gt;1,"Duplicate","Unique")</f>
        <v>Unique</v>
      </c>
      <c r="M437" t="str">
        <f t="shared" si="61"/>
        <v>2023-12</v>
      </c>
      <c r="N437" s="2">
        <f t="shared" ca="1" si="62"/>
        <v>45442</v>
      </c>
      <c r="O437" s="4">
        <f t="shared" ca="1" si="63"/>
        <v>5</v>
      </c>
      <c r="P437" s="4">
        <f t="shared" ca="1" si="64"/>
        <v>687</v>
      </c>
      <c r="Q437">
        <f t="shared" ca="1" si="65"/>
        <v>1</v>
      </c>
      <c r="R437">
        <f t="shared" si="66"/>
        <v>4</v>
      </c>
      <c r="S437">
        <f t="shared" ca="1" si="67"/>
        <v>5</v>
      </c>
      <c r="T437" t="str">
        <f t="shared" ca="1" si="68"/>
        <v>145</v>
      </c>
      <c r="U437" t="str">
        <f t="shared" ca="1" si="69"/>
        <v>At Risk</v>
      </c>
    </row>
    <row r="438" spans="1:21">
      <c r="A438" s="13" t="str">
        <f>Cleaned_Data!A438</f>
        <v>MEM0437</v>
      </c>
      <c r="B438" s="14" t="str">
        <f ca="1">Cleaned_Data!D438</f>
        <v>BR03</v>
      </c>
      <c r="C438" s="14" t="str">
        <f ca="1">Cleaned_Data!E438</f>
        <v>Premium</v>
      </c>
      <c r="D438" s="15">
        <f>Cleaned_Data!F438</f>
        <v>45347</v>
      </c>
      <c r="E438" s="15">
        <f>Cleaned_Data!G438</f>
        <v>45437</v>
      </c>
      <c r="F438" s="14">
        <f>Cleaned_Data!H438</f>
        <v>1000</v>
      </c>
      <c r="G438" s="14">
        <f ca="1">Cleaned_Data!I438</f>
        <v>4000</v>
      </c>
      <c r="H438" s="14">
        <f>Cleaned_Data!J438</f>
        <v>24</v>
      </c>
      <c r="I438" s="14" t="str">
        <f>Cleaned_Data!M438</f>
        <v>Active</v>
      </c>
      <c r="J438" s="16">
        <f>Cleaned_Data!N438</f>
        <v>45956</v>
      </c>
      <c r="K438" t="str">
        <f t="shared" si="60"/>
        <v>Highly Active</v>
      </c>
      <c r="L438" s="5" t="str">
        <f>IF(COUNTIF($A$2:A438,A438)&gt;1,"Duplicate","Unique")</f>
        <v>Unique</v>
      </c>
      <c r="M438" t="str">
        <f t="shared" si="61"/>
        <v>2024-02</v>
      </c>
      <c r="N438" s="2">
        <f t="shared" ca="1" si="62"/>
        <v>45956</v>
      </c>
      <c r="O438" s="4">
        <f t="shared" ca="1" si="63"/>
        <v>20</v>
      </c>
      <c r="P438" s="4">
        <f t="shared" ca="1" si="64"/>
        <v>173</v>
      </c>
      <c r="Q438">
        <f t="shared" ca="1" si="65"/>
        <v>3</v>
      </c>
      <c r="R438">
        <f t="shared" si="66"/>
        <v>5</v>
      </c>
      <c r="S438">
        <f t="shared" ca="1" si="67"/>
        <v>2</v>
      </c>
      <c r="T438" t="str">
        <f t="shared" ca="1" si="68"/>
        <v>352</v>
      </c>
      <c r="U438" t="str">
        <f t="shared" ca="1" si="69"/>
        <v>Others</v>
      </c>
    </row>
    <row r="439" spans="1:21">
      <c r="A439" s="17" t="str">
        <f>Cleaned_Data!A439</f>
        <v>MEM0438</v>
      </c>
      <c r="B439" s="18" t="str">
        <f ca="1">Cleaned_Data!D439</f>
        <v>BR03</v>
      </c>
      <c r="C439" s="18" t="str">
        <f ca="1">Cleaned_Data!E439</f>
        <v>Basic</v>
      </c>
      <c r="D439" s="19">
        <f>Cleaned_Data!F439</f>
        <v>45457</v>
      </c>
      <c r="E439" s="19">
        <f>Cleaned_Data!G439</f>
        <v>45822</v>
      </c>
      <c r="F439" s="18">
        <f>Cleaned_Data!H439</f>
        <v>2000</v>
      </c>
      <c r="G439" s="18">
        <f ca="1">Cleaned_Data!I439</f>
        <v>4000</v>
      </c>
      <c r="H439" s="18">
        <f>Cleaned_Data!J439</f>
        <v>23</v>
      </c>
      <c r="I439" s="18" t="str">
        <f>Cleaned_Data!M439</f>
        <v>Active</v>
      </c>
      <c r="J439" s="20">
        <f>Cleaned_Data!N439</f>
        <v>45850</v>
      </c>
      <c r="K439" t="str">
        <f t="shared" si="60"/>
        <v>Highly Active</v>
      </c>
      <c r="L439" s="5" t="str">
        <f>IF(COUNTIF($A$2:A439,A439)&gt;1,"Duplicate","Unique")</f>
        <v>Unique</v>
      </c>
      <c r="M439" t="str">
        <f t="shared" si="61"/>
        <v>2024-06</v>
      </c>
      <c r="N439" s="2">
        <f t="shared" ca="1" si="62"/>
        <v>45850</v>
      </c>
      <c r="O439" s="4">
        <f t="shared" ca="1" si="63"/>
        <v>12</v>
      </c>
      <c r="P439" s="4">
        <f t="shared" ca="1" si="64"/>
        <v>279</v>
      </c>
      <c r="Q439">
        <f t="shared" ca="1" si="65"/>
        <v>2</v>
      </c>
      <c r="R439">
        <f t="shared" si="66"/>
        <v>5</v>
      </c>
      <c r="S439">
        <f t="shared" ca="1" si="67"/>
        <v>2</v>
      </c>
      <c r="T439" t="str">
        <f t="shared" ca="1" si="68"/>
        <v>252</v>
      </c>
      <c r="U439" t="str">
        <f t="shared" ca="1" si="69"/>
        <v>At Risk</v>
      </c>
    </row>
    <row r="440" spans="1:21">
      <c r="A440" s="13" t="str">
        <f>Cleaned_Data!A440</f>
        <v>MEM0439</v>
      </c>
      <c r="B440" s="14" t="str">
        <f ca="1">Cleaned_Data!D440</f>
        <v>BR04</v>
      </c>
      <c r="C440" s="14" t="str">
        <f ca="1">Cleaned_Data!E440</f>
        <v>Basic</v>
      </c>
      <c r="D440" s="15">
        <f>Cleaned_Data!F440</f>
        <v>45443</v>
      </c>
      <c r="E440" s="15">
        <f>Cleaned_Data!G440</f>
        <v>45533</v>
      </c>
      <c r="F440" s="14">
        <f>Cleaned_Data!H440</f>
        <v>3500</v>
      </c>
      <c r="G440" s="14">
        <f ca="1">Cleaned_Data!I440</f>
        <v>17500</v>
      </c>
      <c r="H440" s="14">
        <f>Cleaned_Data!J440</f>
        <v>5</v>
      </c>
      <c r="I440" s="14" t="str">
        <f>Cleaned_Data!M440</f>
        <v>Active</v>
      </c>
      <c r="J440" s="16">
        <f>Cleaned_Data!N440</f>
        <v>45938</v>
      </c>
      <c r="K440" t="str">
        <f t="shared" si="60"/>
        <v>Moderate</v>
      </c>
      <c r="L440" s="5" t="str">
        <f>IF(COUNTIF($A$2:A440,A440)&gt;1,"Duplicate","Unique")</f>
        <v>Unique</v>
      </c>
      <c r="M440" t="str">
        <f t="shared" si="61"/>
        <v>2024-05</v>
      </c>
      <c r="N440" s="2">
        <f t="shared" ca="1" si="62"/>
        <v>45938</v>
      </c>
      <c r="O440" s="4">
        <f t="shared" ca="1" si="63"/>
        <v>16</v>
      </c>
      <c r="P440" s="4">
        <f t="shared" ca="1" si="64"/>
        <v>191</v>
      </c>
      <c r="Q440">
        <f t="shared" ca="1" si="65"/>
        <v>2</v>
      </c>
      <c r="R440">
        <f t="shared" si="66"/>
        <v>2</v>
      </c>
      <c r="S440">
        <f t="shared" ca="1" si="67"/>
        <v>4</v>
      </c>
      <c r="T440" t="str">
        <f t="shared" ca="1" si="68"/>
        <v>224</v>
      </c>
      <c r="U440" t="str">
        <f t="shared" ca="1" si="69"/>
        <v>At Risk</v>
      </c>
    </row>
    <row r="441" spans="1:21">
      <c r="A441" s="17" t="str">
        <f>Cleaned_Data!A441</f>
        <v>MEM0440</v>
      </c>
      <c r="B441" s="18" t="str">
        <f ca="1">Cleaned_Data!D441</f>
        <v>BR01</v>
      </c>
      <c r="C441" s="18" t="str">
        <f ca="1">Cleaned_Data!E441</f>
        <v>Premium</v>
      </c>
      <c r="D441" s="19">
        <f>Cleaned_Data!F441</f>
        <v>45601</v>
      </c>
      <c r="E441" s="19">
        <f>Cleaned_Data!G441</f>
        <v>45691</v>
      </c>
      <c r="F441" s="18">
        <f>Cleaned_Data!H441</f>
        <v>2000</v>
      </c>
      <c r="G441" s="18">
        <f ca="1">Cleaned_Data!I441</f>
        <v>12000</v>
      </c>
      <c r="H441" s="18">
        <f>Cleaned_Data!J441</f>
        <v>18</v>
      </c>
      <c r="I441" s="18" t="str">
        <f>Cleaned_Data!M441</f>
        <v>Active</v>
      </c>
      <c r="J441" s="20">
        <f>Cleaned_Data!N441</f>
        <v>46086</v>
      </c>
      <c r="K441" t="str">
        <f t="shared" si="60"/>
        <v>Highly Active</v>
      </c>
      <c r="L441" s="5" t="str">
        <f>IF(COUNTIF($A$2:A441,A441)&gt;1,"Duplicate","Unique")</f>
        <v>Unique</v>
      </c>
      <c r="M441" t="str">
        <f t="shared" si="61"/>
        <v>2024-11</v>
      </c>
      <c r="N441" s="2">
        <f t="shared" ca="1" si="62"/>
        <v>46086</v>
      </c>
      <c r="O441" s="4">
        <f t="shared" ca="1" si="63"/>
        <v>16</v>
      </c>
      <c r="P441" s="4">
        <f t="shared" ca="1" si="64"/>
        <v>43</v>
      </c>
      <c r="Q441">
        <f t="shared" ca="1" si="65"/>
        <v>4</v>
      </c>
      <c r="R441">
        <f t="shared" si="66"/>
        <v>4</v>
      </c>
      <c r="S441">
        <f t="shared" ca="1" si="67"/>
        <v>4</v>
      </c>
      <c r="T441" t="str">
        <f t="shared" ca="1" si="68"/>
        <v>444</v>
      </c>
      <c r="U441" t="str">
        <f t="shared" ca="1" si="69"/>
        <v>Champion</v>
      </c>
    </row>
    <row r="442" spans="1:21">
      <c r="A442" s="13" t="str">
        <f>Cleaned_Data!A442</f>
        <v>MEM0441</v>
      </c>
      <c r="B442" s="14" t="str">
        <f ca="1">Cleaned_Data!D442</f>
        <v>BR02</v>
      </c>
      <c r="C442" s="14" t="str">
        <f ca="1">Cleaned_Data!E442</f>
        <v>Premium</v>
      </c>
      <c r="D442" s="15">
        <f>Cleaned_Data!F442</f>
        <v>45798</v>
      </c>
      <c r="E442" s="15">
        <f>Cleaned_Data!G442</f>
        <v>45828</v>
      </c>
      <c r="F442" s="14">
        <f>Cleaned_Data!H442</f>
        <v>1000</v>
      </c>
      <c r="G442" s="14">
        <f ca="1">Cleaned_Data!I442</f>
        <v>10000</v>
      </c>
      <c r="H442" s="14">
        <f>Cleaned_Data!J442</f>
        <v>11</v>
      </c>
      <c r="I442" s="14" t="str">
        <f>Cleaned_Data!M442</f>
        <v>Active</v>
      </c>
      <c r="J442" s="16">
        <f>Cleaned_Data!N442</f>
        <v>45993</v>
      </c>
      <c r="K442" t="str">
        <f t="shared" si="60"/>
        <v>Moderate</v>
      </c>
      <c r="L442" s="5" t="str">
        <f>IF(COUNTIF($A$2:A442,A442)&gt;1,"Duplicate","Unique")</f>
        <v>Unique</v>
      </c>
      <c r="M442" t="str">
        <f t="shared" si="61"/>
        <v>2025-05</v>
      </c>
      <c r="N442" s="2">
        <f t="shared" ca="1" si="62"/>
        <v>45993</v>
      </c>
      <c r="O442" s="4">
        <f t="shared" ca="1" si="63"/>
        <v>6</v>
      </c>
      <c r="P442" s="4">
        <f t="shared" ca="1" si="64"/>
        <v>136</v>
      </c>
      <c r="Q442">
        <f t="shared" ca="1" si="65"/>
        <v>3</v>
      </c>
      <c r="R442">
        <f t="shared" si="66"/>
        <v>3</v>
      </c>
      <c r="S442">
        <f t="shared" ca="1" si="67"/>
        <v>4</v>
      </c>
      <c r="T442" t="str">
        <f t="shared" ca="1" si="68"/>
        <v>334</v>
      </c>
      <c r="U442" t="str">
        <f t="shared" ca="1" si="69"/>
        <v>Loyal</v>
      </c>
    </row>
    <row r="443" spans="1:21">
      <c r="A443" s="17" t="str">
        <f>Cleaned_Data!A443</f>
        <v>MEM0442</v>
      </c>
      <c r="B443" s="18" t="str">
        <f ca="1">Cleaned_Data!D443</f>
        <v>BR03</v>
      </c>
      <c r="C443" s="18" t="str">
        <f ca="1">Cleaned_Data!E443</f>
        <v>Standard</v>
      </c>
      <c r="D443" s="19">
        <f>Cleaned_Data!F443</f>
        <v>45623</v>
      </c>
      <c r="E443" s="19">
        <f>Cleaned_Data!G443</f>
        <v>45653</v>
      </c>
      <c r="F443" s="18">
        <f>Cleaned_Data!H443</f>
        <v>3500</v>
      </c>
      <c r="G443" s="18">
        <f ca="1">Cleaned_Data!I443</f>
        <v>7000</v>
      </c>
      <c r="H443" s="18">
        <f>Cleaned_Data!J443</f>
        <v>11</v>
      </c>
      <c r="I443" s="18" t="str">
        <f>Cleaned_Data!M443</f>
        <v>Active</v>
      </c>
      <c r="J443" s="20">
        <f>Cleaned_Data!N443</f>
        <v>45897</v>
      </c>
      <c r="K443" t="str">
        <f t="shared" si="60"/>
        <v>Moderate</v>
      </c>
      <c r="L443" s="5" t="str">
        <f>IF(COUNTIF($A$2:A443,A443)&gt;1,"Duplicate","Unique")</f>
        <v>Unique</v>
      </c>
      <c r="M443" t="str">
        <f t="shared" si="61"/>
        <v>2024-11</v>
      </c>
      <c r="N443" s="2">
        <f t="shared" ca="1" si="62"/>
        <v>45897</v>
      </c>
      <c r="O443" s="4">
        <f t="shared" ca="1" si="63"/>
        <v>9</v>
      </c>
      <c r="P443" s="4">
        <f t="shared" ca="1" si="64"/>
        <v>232</v>
      </c>
      <c r="Q443">
        <f t="shared" ca="1" si="65"/>
        <v>2</v>
      </c>
      <c r="R443">
        <f t="shared" si="66"/>
        <v>3</v>
      </c>
      <c r="S443">
        <f t="shared" ca="1" si="67"/>
        <v>3</v>
      </c>
      <c r="T443" t="str">
        <f t="shared" ca="1" si="68"/>
        <v>233</v>
      </c>
      <c r="U443" t="str">
        <f t="shared" ca="1" si="69"/>
        <v>At Risk</v>
      </c>
    </row>
    <row r="444" spans="1:21">
      <c r="A444" s="13" t="str">
        <f>Cleaned_Data!A444</f>
        <v>MEM0443</v>
      </c>
      <c r="B444" s="14" t="str">
        <f ca="1">Cleaned_Data!D444</f>
        <v>BR01</v>
      </c>
      <c r="C444" s="14" t="str">
        <f ca="1">Cleaned_Data!E444</f>
        <v>Standard</v>
      </c>
      <c r="D444" s="15">
        <f>Cleaned_Data!F444</f>
        <v>45456</v>
      </c>
      <c r="E444" s="15">
        <f>Cleaned_Data!G444</f>
        <v>45486</v>
      </c>
      <c r="F444" s="14">
        <f>Cleaned_Data!H444</f>
        <v>1000</v>
      </c>
      <c r="G444" s="14">
        <f ca="1">Cleaned_Data!I444</f>
        <v>4000</v>
      </c>
      <c r="H444" s="14">
        <f>Cleaned_Data!J444</f>
        <v>16</v>
      </c>
      <c r="I444" s="14" t="str">
        <f>Cleaned_Data!M444</f>
        <v>Active</v>
      </c>
      <c r="J444" s="16">
        <f>Cleaned_Data!N444</f>
        <v>45937</v>
      </c>
      <c r="K444" t="str">
        <f t="shared" si="60"/>
        <v>Highly Active</v>
      </c>
      <c r="L444" s="5" t="str">
        <f>IF(COUNTIF($A$2:A444,A444)&gt;1,"Duplicate","Unique")</f>
        <v>Unique</v>
      </c>
      <c r="M444" t="str">
        <f t="shared" si="61"/>
        <v>2024-06</v>
      </c>
      <c r="N444" s="2">
        <f t="shared" ca="1" si="62"/>
        <v>45937</v>
      </c>
      <c r="O444" s="4">
        <f t="shared" ca="1" si="63"/>
        <v>15</v>
      </c>
      <c r="P444" s="4">
        <f t="shared" ca="1" si="64"/>
        <v>192</v>
      </c>
      <c r="Q444">
        <f t="shared" ca="1" si="65"/>
        <v>2</v>
      </c>
      <c r="R444">
        <f t="shared" si="66"/>
        <v>4</v>
      </c>
      <c r="S444">
        <f t="shared" ca="1" si="67"/>
        <v>2</v>
      </c>
      <c r="T444" t="str">
        <f t="shared" ca="1" si="68"/>
        <v>242</v>
      </c>
      <c r="U444" t="str">
        <f t="shared" ca="1" si="69"/>
        <v>At Risk</v>
      </c>
    </row>
    <row r="445" spans="1:21">
      <c r="A445" s="17" t="str">
        <f>Cleaned_Data!A445</f>
        <v>MEM0444</v>
      </c>
      <c r="B445" s="18" t="str">
        <f ca="1">Cleaned_Data!D445</f>
        <v>BR02</v>
      </c>
      <c r="C445" s="18" t="str">
        <f ca="1">Cleaned_Data!E445</f>
        <v>Basic</v>
      </c>
      <c r="D445" s="19">
        <f>Cleaned_Data!F445</f>
        <v>44972</v>
      </c>
      <c r="E445" s="19">
        <f>Cleaned_Data!G445</f>
        <v>45337</v>
      </c>
      <c r="F445" s="18">
        <f>Cleaned_Data!H445</f>
        <v>3500</v>
      </c>
      <c r="G445" s="18">
        <f ca="1">Cleaned_Data!I445</f>
        <v>38500</v>
      </c>
      <c r="H445" s="18">
        <f>Cleaned_Data!J445</f>
        <v>19</v>
      </c>
      <c r="I445" s="18" t="str">
        <f>Cleaned_Data!M445</f>
        <v>Active</v>
      </c>
      <c r="J445" s="20">
        <f>Cleaned_Data!N445</f>
        <v>45026</v>
      </c>
      <c r="K445" t="str">
        <f t="shared" si="60"/>
        <v>Highly Active</v>
      </c>
      <c r="L445" s="5" t="str">
        <f>IF(COUNTIF($A$2:A445,A445)&gt;1,"Duplicate","Unique")</f>
        <v>Unique</v>
      </c>
      <c r="M445" t="str">
        <f t="shared" si="61"/>
        <v>2023-02</v>
      </c>
      <c r="N445" s="2">
        <f t="shared" ca="1" si="62"/>
        <v>45026</v>
      </c>
      <c r="O445" s="4">
        <f t="shared" ca="1" si="63"/>
        <v>1</v>
      </c>
      <c r="P445" s="4">
        <f t="shared" ca="1" si="64"/>
        <v>1103</v>
      </c>
      <c r="Q445">
        <f t="shared" ca="1" si="65"/>
        <v>1</v>
      </c>
      <c r="R445">
        <f t="shared" si="66"/>
        <v>4</v>
      </c>
      <c r="S445">
        <f t="shared" ca="1" si="67"/>
        <v>5</v>
      </c>
      <c r="T445" t="str">
        <f t="shared" ca="1" si="68"/>
        <v>145</v>
      </c>
      <c r="U445" t="str">
        <f t="shared" ca="1" si="69"/>
        <v>At Risk</v>
      </c>
    </row>
    <row r="446" spans="1:21">
      <c r="A446" s="13" t="str">
        <f>Cleaned_Data!A446</f>
        <v>MEM0445</v>
      </c>
      <c r="B446" s="14" t="str">
        <f ca="1">Cleaned_Data!D446</f>
        <v>BR01</v>
      </c>
      <c r="C446" s="14" t="str">
        <f ca="1">Cleaned_Data!E446</f>
        <v>Standard</v>
      </c>
      <c r="D446" s="15">
        <f>Cleaned_Data!F446</f>
        <v>45171</v>
      </c>
      <c r="E446" s="15">
        <f>Cleaned_Data!G446</f>
        <v>45536</v>
      </c>
      <c r="F446" s="14">
        <f>Cleaned_Data!H446</f>
        <v>2000</v>
      </c>
      <c r="G446" s="14">
        <f ca="1">Cleaned_Data!I446</f>
        <v>20000</v>
      </c>
      <c r="H446" s="14">
        <f>Cleaned_Data!J446</f>
        <v>1</v>
      </c>
      <c r="I446" s="14" t="str">
        <f>Cleaned_Data!M446</f>
        <v>Active</v>
      </c>
      <c r="J446" s="16">
        <f>Cleaned_Data!N446</f>
        <v>45729</v>
      </c>
      <c r="K446" t="str">
        <f t="shared" si="60"/>
        <v>At Risk</v>
      </c>
      <c r="L446" s="5" t="str">
        <f>IF(COUNTIF($A$2:A446,A446)&gt;1,"Duplicate","Unique")</f>
        <v>Unique</v>
      </c>
      <c r="M446" t="str">
        <f t="shared" si="61"/>
        <v>2023-09</v>
      </c>
      <c r="N446" s="2">
        <f t="shared" ca="1" si="62"/>
        <v>45729</v>
      </c>
      <c r="O446" s="4">
        <f t="shared" ca="1" si="63"/>
        <v>18</v>
      </c>
      <c r="P446" s="4">
        <f t="shared" ca="1" si="64"/>
        <v>400</v>
      </c>
      <c r="Q446">
        <f t="shared" ca="1" si="65"/>
        <v>1</v>
      </c>
      <c r="R446">
        <f t="shared" si="66"/>
        <v>1</v>
      </c>
      <c r="S446">
        <f t="shared" ca="1" si="67"/>
        <v>5</v>
      </c>
      <c r="T446" t="str">
        <f t="shared" ca="1" si="68"/>
        <v>115</v>
      </c>
      <c r="U446" t="str">
        <f t="shared" ca="1" si="69"/>
        <v>At Risk</v>
      </c>
    </row>
    <row r="447" spans="1:21">
      <c r="A447" s="17" t="str">
        <f>Cleaned_Data!A447</f>
        <v>MEM0446</v>
      </c>
      <c r="B447" s="18" t="str">
        <f ca="1">Cleaned_Data!D447</f>
        <v>BR01</v>
      </c>
      <c r="C447" s="18" t="str">
        <f ca="1">Cleaned_Data!E447</f>
        <v>Standard</v>
      </c>
      <c r="D447" s="19">
        <f>Cleaned_Data!F447</f>
        <v>45381</v>
      </c>
      <c r="E447" s="19">
        <f>Cleaned_Data!G447</f>
        <v>45471</v>
      </c>
      <c r="F447" s="18">
        <f>Cleaned_Data!H447</f>
        <v>2000</v>
      </c>
      <c r="G447" s="18">
        <f ca="1">Cleaned_Data!I447</f>
        <v>24000</v>
      </c>
      <c r="H447" s="18">
        <f>Cleaned_Data!J447</f>
        <v>6</v>
      </c>
      <c r="I447" s="18" t="str">
        <f>Cleaned_Data!M447</f>
        <v>Active</v>
      </c>
      <c r="J447" s="20">
        <f>Cleaned_Data!N447</f>
        <v>45430</v>
      </c>
      <c r="K447" t="str">
        <f t="shared" si="60"/>
        <v>Moderate</v>
      </c>
      <c r="L447" s="5" t="str">
        <f>IF(COUNTIF($A$2:A447,A447)&gt;1,"Duplicate","Unique")</f>
        <v>Unique</v>
      </c>
      <c r="M447" t="str">
        <f t="shared" si="61"/>
        <v>2024-03</v>
      </c>
      <c r="N447" s="2">
        <f t="shared" ca="1" si="62"/>
        <v>45430</v>
      </c>
      <c r="O447" s="4">
        <f t="shared" ca="1" si="63"/>
        <v>1</v>
      </c>
      <c r="P447" s="4">
        <f t="shared" ca="1" si="64"/>
        <v>699</v>
      </c>
      <c r="Q447">
        <f t="shared" ca="1" si="65"/>
        <v>1</v>
      </c>
      <c r="R447">
        <f t="shared" si="66"/>
        <v>2</v>
      </c>
      <c r="S447">
        <f t="shared" ca="1" si="67"/>
        <v>5</v>
      </c>
      <c r="T447" t="str">
        <f t="shared" ca="1" si="68"/>
        <v>125</v>
      </c>
      <c r="U447" t="str">
        <f t="shared" ca="1" si="69"/>
        <v>At Risk</v>
      </c>
    </row>
    <row r="448" spans="1:21">
      <c r="A448" s="13" t="str">
        <f>Cleaned_Data!A448</f>
        <v>MEM0447</v>
      </c>
      <c r="B448" s="14" t="str">
        <f ca="1">Cleaned_Data!D448</f>
        <v>BR01</v>
      </c>
      <c r="C448" s="14" t="str">
        <f ca="1">Cleaned_Data!E448</f>
        <v>Standard</v>
      </c>
      <c r="D448" s="15">
        <f>Cleaned_Data!F448</f>
        <v>45062</v>
      </c>
      <c r="E448" s="15">
        <f>Cleaned_Data!G448</f>
        <v>45092</v>
      </c>
      <c r="F448" s="14">
        <f>Cleaned_Data!H448</f>
        <v>2000</v>
      </c>
      <c r="G448" s="14">
        <f ca="1">Cleaned_Data!I448</f>
        <v>4000</v>
      </c>
      <c r="H448" s="14">
        <f>Cleaned_Data!J448</f>
        <v>14</v>
      </c>
      <c r="I448" s="14" t="str">
        <f>Cleaned_Data!M448</f>
        <v>Active</v>
      </c>
      <c r="J448" s="16">
        <f>Cleaned_Data!N448</f>
        <v>45151</v>
      </c>
      <c r="K448" t="str">
        <f t="shared" si="60"/>
        <v>Moderate</v>
      </c>
      <c r="L448" s="5" t="str">
        <f>IF(COUNTIF($A$2:A448,A448)&gt;1,"Duplicate","Unique")</f>
        <v>Unique</v>
      </c>
      <c r="M448" t="str">
        <f t="shared" si="61"/>
        <v>2023-05</v>
      </c>
      <c r="N448" s="2">
        <f t="shared" ca="1" si="62"/>
        <v>45151</v>
      </c>
      <c r="O448" s="4">
        <f t="shared" ca="1" si="63"/>
        <v>2</v>
      </c>
      <c r="P448" s="4">
        <f t="shared" ca="1" si="64"/>
        <v>978</v>
      </c>
      <c r="Q448">
        <f t="shared" ca="1" si="65"/>
        <v>1</v>
      </c>
      <c r="R448">
        <f t="shared" si="66"/>
        <v>3</v>
      </c>
      <c r="S448">
        <f t="shared" ca="1" si="67"/>
        <v>2</v>
      </c>
      <c r="T448" t="str">
        <f t="shared" ca="1" si="68"/>
        <v>132</v>
      </c>
      <c r="U448" t="str">
        <f t="shared" ca="1" si="69"/>
        <v>At Risk</v>
      </c>
    </row>
    <row r="449" spans="1:21">
      <c r="A449" s="17" t="str">
        <f>Cleaned_Data!A449</f>
        <v>MEM0448</v>
      </c>
      <c r="B449" s="18" t="str">
        <f ca="1">Cleaned_Data!D449</f>
        <v>BR05</v>
      </c>
      <c r="C449" s="18" t="str">
        <f ca="1">Cleaned_Data!E449</f>
        <v>Premium</v>
      </c>
      <c r="D449" s="19">
        <f>Cleaned_Data!F449</f>
        <v>46029</v>
      </c>
      <c r="E449" s="19">
        <f>Cleaned_Data!G449</f>
        <v>46119</v>
      </c>
      <c r="F449" s="18">
        <f>Cleaned_Data!H449</f>
        <v>1000</v>
      </c>
      <c r="G449" s="18">
        <f ca="1">Cleaned_Data!I449</f>
        <v>12000</v>
      </c>
      <c r="H449" s="18">
        <f>Cleaned_Data!J449</f>
        <v>15</v>
      </c>
      <c r="I449" s="18" t="str">
        <f>Cleaned_Data!M449</f>
        <v>Active</v>
      </c>
      <c r="J449" s="20">
        <f>Cleaned_Data!N449</f>
        <v>46052</v>
      </c>
      <c r="K449" t="str">
        <f t="shared" si="60"/>
        <v>Highly Active</v>
      </c>
      <c r="L449" s="5" t="str">
        <f>IF(COUNTIF($A$2:A449,A449)&gt;1,"Duplicate","Unique")</f>
        <v>Unique</v>
      </c>
      <c r="M449" t="str">
        <f t="shared" si="61"/>
        <v>2026-01</v>
      </c>
      <c r="N449" s="2">
        <f t="shared" ca="1" si="62"/>
        <v>46052</v>
      </c>
      <c r="O449" s="4">
        <f t="shared" ca="1" si="63"/>
        <v>0</v>
      </c>
      <c r="P449" s="4">
        <f t="shared" ca="1" si="64"/>
        <v>77</v>
      </c>
      <c r="Q449">
        <f t="shared" ca="1" si="65"/>
        <v>4</v>
      </c>
      <c r="R449">
        <f t="shared" si="66"/>
        <v>4</v>
      </c>
      <c r="S449">
        <f t="shared" ca="1" si="67"/>
        <v>4</v>
      </c>
      <c r="T449" t="str">
        <f t="shared" ca="1" si="68"/>
        <v>444</v>
      </c>
      <c r="U449" t="str">
        <f t="shared" ca="1" si="69"/>
        <v>Champion</v>
      </c>
    </row>
    <row r="450" spans="1:21">
      <c r="A450" s="13" t="str">
        <f>Cleaned_Data!A450</f>
        <v>MEM0449</v>
      </c>
      <c r="B450" s="14" t="str">
        <f ca="1">Cleaned_Data!D450</f>
        <v>BR05</v>
      </c>
      <c r="C450" s="14" t="str">
        <f ca="1">Cleaned_Data!E450</f>
        <v>Basic</v>
      </c>
      <c r="D450" s="15">
        <f>Cleaned_Data!F450</f>
        <v>45608</v>
      </c>
      <c r="E450" s="15">
        <f>Cleaned_Data!G450</f>
        <v>45638</v>
      </c>
      <c r="F450" s="14">
        <f>Cleaned_Data!H450</f>
        <v>3500</v>
      </c>
      <c r="G450" s="14">
        <f ca="1">Cleaned_Data!I450</f>
        <v>3500</v>
      </c>
      <c r="H450" s="14">
        <f>Cleaned_Data!J450</f>
        <v>4</v>
      </c>
      <c r="I450" s="14" t="str">
        <f>Cleaned_Data!M450</f>
        <v>Cancelled</v>
      </c>
      <c r="J450" s="16">
        <f>Cleaned_Data!N450</f>
        <v>45804</v>
      </c>
      <c r="K450" t="str">
        <f t="shared" si="60"/>
        <v>At Risk</v>
      </c>
      <c r="L450" s="5" t="str">
        <f>IF(COUNTIF($A$2:A450,A450)&gt;1,"Duplicate","Unique")</f>
        <v>Unique</v>
      </c>
      <c r="M450" t="str">
        <f t="shared" si="61"/>
        <v>2024-11</v>
      </c>
      <c r="N450" s="2">
        <f t="shared" ca="1" si="62"/>
        <v>45804</v>
      </c>
      <c r="O450" s="4">
        <f t="shared" ca="1" si="63"/>
        <v>6</v>
      </c>
      <c r="P450" s="4">
        <f t="shared" ca="1" si="64"/>
        <v>325</v>
      </c>
      <c r="Q450">
        <f t="shared" ca="1" si="65"/>
        <v>2</v>
      </c>
      <c r="R450">
        <f t="shared" si="66"/>
        <v>1</v>
      </c>
      <c r="S450">
        <f t="shared" ca="1" si="67"/>
        <v>2</v>
      </c>
      <c r="T450" t="str">
        <f t="shared" ca="1" si="68"/>
        <v>212</v>
      </c>
      <c r="U450" t="str">
        <f t="shared" ca="1" si="69"/>
        <v>At Risk</v>
      </c>
    </row>
    <row r="451" spans="1:21">
      <c r="A451" s="17" t="str">
        <f>Cleaned_Data!A451</f>
        <v>MEM0450</v>
      </c>
      <c r="B451" s="18" t="str">
        <f ca="1">Cleaned_Data!D451</f>
        <v>BR07</v>
      </c>
      <c r="C451" s="18" t="str">
        <f ca="1">Cleaned_Data!E451</f>
        <v>Premium</v>
      </c>
      <c r="D451" s="19">
        <f>Cleaned_Data!F451</f>
        <v>45635</v>
      </c>
      <c r="E451" s="19">
        <f>Cleaned_Data!G451</f>
        <v>45725</v>
      </c>
      <c r="F451" s="18">
        <f>Cleaned_Data!H451</f>
        <v>3500</v>
      </c>
      <c r="G451" s="18">
        <f ca="1">Cleaned_Data!I451</f>
        <v>3500</v>
      </c>
      <c r="H451" s="18">
        <f>Cleaned_Data!J451</f>
        <v>7</v>
      </c>
      <c r="I451" s="18" t="str">
        <f>Cleaned_Data!M451</f>
        <v>Active</v>
      </c>
      <c r="J451" s="20">
        <f>Cleaned_Data!N451</f>
        <v>45964</v>
      </c>
      <c r="K451" t="str">
        <f t="shared" ref="K451:K514" si="70">IF(H451&lt;5,"At Risk",
 IF(H451&lt;15,"Moderate",
 "Highly Active"))</f>
        <v>Moderate</v>
      </c>
      <c r="L451" s="5" t="str">
        <f>IF(COUNTIF($A$2:A451,A451)&gt;1,"Duplicate","Unique")</f>
        <v>Unique</v>
      </c>
      <c r="M451" t="str">
        <f t="shared" ref="M451:M514" si="71">TEXT(D451,"YYYY-MM")</f>
        <v>2024-12</v>
      </c>
      <c r="N451" s="2">
        <f t="shared" ref="N451:N514" ca="1" si="72">IF(J451&lt;&gt;"",
    J451,
    IF(I451="Active", TODAY(), E451)
)</f>
        <v>45964</v>
      </c>
      <c r="O451" s="4">
        <f t="shared" ref="O451:O514" ca="1" si="73">IFERROR(
   IF(N451&gt;=D451,
      DATEDIF(D451, N451, "M"),
      0
   ),
   0
)</f>
        <v>10</v>
      </c>
      <c r="P451" s="4">
        <f t="shared" ref="P451:P514" ca="1" si="74">TODAY() - N451</f>
        <v>165</v>
      </c>
      <c r="Q451">
        <f t="shared" ref="Q451:Q514" ca="1" si="75">IF(P451&lt;=30,5,
 IF(P451&lt;=90,4,
 IF(P451&lt;=180,3,
 IF(P451&lt;=365,2,1))))</f>
        <v>3</v>
      </c>
      <c r="R451">
        <f t="shared" ref="R451:R514" si="76">IF(H451&gt;=20,5,
 IF(H451&gt;=15,4,
 IF(H451&gt;=10,3,
 IF(H451&gt;=5,2,1))))</f>
        <v>2</v>
      </c>
      <c r="S451">
        <f t="shared" ref="S451:S514" ca="1" si="77">IF(G451&gt;=20000,5,
 IF(G451&gt;=10000,4,
 IF(G451&gt;=5000,3,
 IF(G451&gt;=2000,2,1))))</f>
        <v>2</v>
      </c>
      <c r="T451" t="str">
        <f t="shared" ref="T451:T514" ca="1" si="78">Q451 &amp; R451 &amp; S451</f>
        <v>322</v>
      </c>
      <c r="U451" t="str">
        <f t="shared" ref="U451:U514" ca="1" si="79">IF(AND(Q451&gt;=4,R451&gt;=4,S451&gt;=4),"Champion",
 IF(AND(Q451&gt;=3,R451&gt;=3,S451&gt;=3),"Loyal",
 IF(Q451&lt;=2,"At Risk",
 "Others")))</f>
        <v>Others</v>
      </c>
    </row>
    <row r="452" spans="1:21">
      <c r="A452" s="13" t="str">
        <f>Cleaned_Data!A452</f>
        <v>MEM0451</v>
      </c>
      <c r="B452" s="14" t="str">
        <f ca="1">Cleaned_Data!D452</f>
        <v>BR01</v>
      </c>
      <c r="C452" s="14" t="str">
        <f ca="1">Cleaned_Data!E452</f>
        <v>Standard</v>
      </c>
      <c r="D452" s="15">
        <f>Cleaned_Data!F452</f>
        <v>44985</v>
      </c>
      <c r="E452" s="15">
        <f>Cleaned_Data!G452</f>
        <v>45075</v>
      </c>
      <c r="F452" s="14">
        <f>Cleaned_Data!H452</f>
        <v>2000</v>
      </c>
      <c r="G452" s="14">
        <f ca="1">Cleaned_Data!I452</f>
        <v>14000</v>
      </c>
      <c r="H452" s="14">
        <f>Cleaned_Data!J452</f>
        <v>16</v>
      </c>
      <c r="I452" s="14" t="str">
        <f>Cleaned_Data!M452</f>
        <v>Active</v>
      </c>
      <c r="J452" s="16">
        <f>Cleaned_Data!N452</f>
        <v>45647</v>
      </c>
      <c r="K452" t="str">
        <f t="shared" si="70"/>
        <v>Highly Active</v>
      </c>
      <c r="L452" s="5" t="str">
        <f>IF(COUNTIF($A$2:A452,A452)&gt;1,"Duplicate","Unique")</f>
        <v>Unique</v>
      </c>
      <c r="M452" t="str">
        <f t="shared" si="71"/>
        <v>2023-02</v>
      </c>
      <c r="N452" s="2">
        <f t="shared" ca="1" si="72"/>
        <v>45647</v>
      </c>
      <c r="O452" s="4">
        <f t="shared" ca="1" si="73"/>
        <v>21</v>
      </c>
      <c r="P452" s="4">
        <f t="shared" ca="1" si="74"/>
        <v>482</v>
      </c>
      <c r="Q452">
        <f t="shared" ca="1" si="75"/>
        <v>1</v>
      </c>
      <c r="R452">
        <f t="shared" si="76"/>
        <v>4</v>
      </c>
      <c r="S452">
        <f t="shared" ca="1" si="77"/>
        <v>4</v>
      </c>
      <c r="T452" t="str">
        <f t="shared" ca="1" si="78"/>
        <v>144</v>
      </c>
      <c r="U452" t="str">
        <f t="shared" ca="1" si="79"/>
        <v>At Risk</v>
      </c>
    </row>
    <row r="453" spans="1:21">
      <c r="A453" s="17" t="str">
        <f>Cleaned_Data!A453</f>
        <v>MEM0452</v>
      </c>
      <c r="B453" s="18" t="str">
        <f ca="1">Cleaned_Data!D453</f>
        <v>BR04</v>
      </c>
      <c r="C453" s="18" t="str">
        <f ca="1">Cleaned_Data!E453</f>
        <v>Basic</v>
      </c>
      <c r="D453" s="19">
        <f>Cleaned_Data!F453</f>
        <v>45278</v>
      </c>
      <c r="E453" s="19">
        <f>Cleaned_Data!G453</f>
        <v>45308</v>
      </c>
      <c r="F453" s="18">
        <f>Cleaned_Data!H453</f>
        <v>1000</v>
      </c>
      <c r="G453" s="18">
        <f ca="1">Cleaned_Data!I453</f>
        <v>9000</v>
      </c>
      <c r="H453" s="18">
        <f>Cleaned_Data!J453</f>
        <v>12</v>
      </c>
      <c r="I453" s="18" t="str">
        <f>Cleaned_Data!M453</f>
        <v>Active</v>
      </c>
      <c r="J453" s="20">
        <f>Cleaned_Data!N453</f>
        <v>45430</v>
      </c>
      <c r="K453" t="str">
        <f t="shared" si="70"/>
        <v>Moderate</v>
      </c>
      <c r="L453" s="5" t="str">
        <f>IF(COUNTIF($A$2:A453,A453)&gt;1,"Duplicate","Unique")</f>
        <v>Unique</v>
      </c>
      <c r="M453" t="str">
        <f t="shared" si="71"/>
        <v>2023-12</v>
      </c>
      <c r="N453" s="2">
        <f t="shared" ca="1" si="72"/>
        <v>45430</v>
      </c>
      <c r="O453" s="4">
        <f t="shared" ca="1" si="73"/>
        <v>5</v>
      </c>
      <c r="P453" s="4">
        <f t="shared" ca="1" si="74"/>
        <v>699</v>
      </c>
      <c r="Q453">
        <f t="shared" ca="1" si="75"/>
        <v>1</v>
      </c>
      <c r="R453">
        <f t="shared" si="76"/>
        <v>3</v>
      </c>
      <c r="S453">
        <f t="shared" ca="1" si="77"/>
        <v>3</v>
      </c>
      <c r="T453" t="str">
        <f t="shared" ca="1" si="78"/>
        <v>133</v>
      </c>
      <c r="U453" t="str">
        <f t="shared" ca="1" si="79"/>
        <v>At Risk</v>
      </c>
    </row>
    <row r="454" spans="1:21">
      <c r="A454" s="13" t="str">
        <f>Cleaned_Data!A454</f>
        <v>MEM0453</v>
      </c>
      <c r="B454" s="14" t="str">
        <f ca="1">Cleaned_Data!D454</f>
        <v>BR01</v>
      </c>
      <c r="C454" s="14" t="str">
        <f ca="1">Cleaned_Data!E454</f>
        <v>Premium</v>
      </c>
      <c r="D454" s="15">
        <f>Cleaned_Data!F454</f>
        <v>45702</v>
      </c>
      <c r="E454" s="15">
        <f>Cleaned_Data!G454</f>
        <v>45732</v>
      </c>
      <c r="F454" s="14">
        <f>Cleaned_Data!H454</f>
        <v>3500</v>
      </c>
      <c r="G454" s="14">
        <f ca="1">Cleaned_Data!I454</f>
        <v>7000</v>
      </c>
      <c r="H454" s="14">
        <f>Cleaned_Data!J454</f>
        <v>21</v>
      </c>
      <c r="I454" s="14" t="str">
        <f>Cleaned_Data!M454</f>
        <v>Active</v>
      </c>
      <c r="J454" s="16">
        <f>Cleaned_Data!N454</f>
        <v>45825</v>
      </c>
      <c r="K454" t="str">
        <f t="shared" si="70"/>
        <v>Highly Active</v>
      </c>
      <c r="L454" s="5" t="str">
        <f>IF(COUNTIF($A$2:A454,A454)&gt;1,"Duplicate","Unique")</f>
        <v>Unique</v>
      </c>
      <c r="M454" t="str">
        <f t="shared" si="71"/>
        <v>2025-02</v>
      </c>
      <c r="N454" s="2">
        <f t="shared" ca="1" si="72"/>
        <v>45825</v>
      </c>
      <c r="O454" s="4">
        <f t="shared" ca="1" si="73"/>
        <v>4</v>
      </c>
      <c r="P454" s="4">
        <f t="shared" ca="1" si="74"/>
        <v>304</v>
      </c>
      <c r="Q454">
        <f t="shared" ca="1" si="75"/>
        <v>2</v>
      </c>
      <c r="R454">
        <f t="shared" si="76"/>
        <v>5</v>
      </c>
      <c r="S454">
        <f t="shared" ca="1" si="77"/>
        <v>3</v>
      </c>
      <c r="T454" t="str">
        <f t="shared" ca="1" si="78"/>
        <v>253</v>
      </c>
      <c r="U454" t="str">
        <f t="shared" ca="1" si="79"/>
        <v>At Risk</v>
      </c>
    </row>
    <row r="455" spans="1:21">
      <c r="A455" s="17" t="str">
        <f>Cleaned_Data!A455</f>
        <v>MEM0454</v>
      </c>
      <c r="B455" s="18" t="str">
        <f ca="1">Cleaned_Data!D455</f>
        <v>BR06</v>
      </c>
      <c r="C455" s="18" t="str">
        <f ca="1">Cleaned_Data!E455</f>
        <v>Standard</v>
      </c>
      <c r="D455" s="19">
        <f>Cleaned_Data!F455</f>
        <v>45575</v>
      </c>
      <c r="E455" s="19">
        <f>Cleaned_Data!G455</f>
        <v>45605</v>
      </c>
      <c r="F455" s="18">
        <f>Cleaned_Data!H455</f>
        <v>1000</v>
      </c>
      <c r="G455" s="18">
        <f ca="1">Cleaned_Data!I455</f>
        <v>10000</v>
      </c>
      <c r="H455" s="18">
        <f>Cleaned_Data!J455</f>
        <v>18</v>
      </c>
      <c r="I455" s="18" t="str">
        <f>Cleaned_Data!M455</f>
        <v>Cancelled</v>
      </c>
      <c r="J455" s="20">
        <f>Cleaned_Data!N455</f>
        <v>45721</v>
      </c>
      <c r="K455" t="str">
        <f t="shared" si="70"/>
        <v>Highly Active</v>
      </c>
      <c r="L455" s="5" t="str">
        <f>IF(COUNTIF($A$2:A455,A455)&gt;1,"Duplicate","Unique")</f>
        <v>Unique</v>
      </c>
      <c r="M455" t="str">
        <f t="shared" si="71"/>
        <v>2024-10</v>
      </c>
      <c r="N455" s="2">
        <f t="shared" ca="1" si="72"/>
        <v>45721</v>
      </c>
      <c r="O455" s="4">
        <f t="shared" ca="1" si="73"/>
        <v>4</v>
      </c>
      <c r="P455" s="4">
        <f t="shared" ca="1" si="74"/>
        <v>408</v>
      </c>
      <c r="Q455">
        <f t="shared" ca="1" si="75"/>
        <v>1</v>
      </c>
      <c r="R455">
        <f t="shared" si="76"/>
        <v>4</v>
      </c>
      <c r="S455">
        <f t="shared" ca="1" si="77"/>
        <v>4</v>
      </c>
      <c r="T455" t="str">
        <f t="shared" ca="1" si="78"/>
        <v>144</v>
      </c>
      <c r="U455" t="str">
        <f t="shared" ca="1" si="79"/>
        <v>At Risk</v>
      </c>
    </row>
    <row r="456" spans="1:21">
      <c r="A456" s="13" t="str">
        <f>Cleaned_Data!A456</f>
        <v>MEM0455</v>
      </c>
      <c r="B456" s="14" t="str">
        <f ca="1">Cleaned_Data!D456</f>
        <v>BR01</v>
      </c>
      <c r="C456" s="14" t="str">
        <f ca="1">Cleaned_Data!E456</f>
        <v>Basic</v>
      </c>
      <c r="D456" s="15">
        <f>Cleaned_Data!F456</f>
        <v>45233</v>
      </c>
      <c r="E456" s="15">
        <f>Cleaned_Data!G456</f>
        <v>45263</v>
      </c>
      <c r="F456" s="14">
        <f>Cleaned_Data!H456</f>
        <v>2000</v>
      </c>
      <c r="G456" s="14">
        <f ca="1">Cleaned_Data!I456</f>
        <v>20000</v>
      </c>
      <c r="H456" s="14">
        <f>Cleaned_Data!J456</f>
        <v>3</v>
      </c>
      <c r="I456" s="14" t="str">
        <f>Cleaned_Data!M456</f>
        <v>Active</v>
      </c>
      <c r="J456" s="16">
        <f>Cleaned_Data!N456</f>
        <v>45270</v>
      </c>
      <c r="K456" t="str">
        <f t="shared" si="70"/>
        <v>At Risk</v>
      </c>
      <c r="L456" s="5" t="str">
        <f>IF(COUNTIF($A$2:A456,A456)&gt;1,"Duplicate","Unique")</f>
        <v>Unique</v>
      </c>
      <c r="M456" t="str">
        <f t="shared" si="71"/>
        <v>2023-11</v>
      </c>
      <c r="N456" s="2">
        <f t="shared" ca="1" si="72"/>
        <v>45270</v>
      </c>
      <c r="O456" s="4">
        <f t="shared" ca="1" si="73"/>
        <v>1</v>
      </c>
      <c r="P456" s="4">
        <f t="shared" ca="1" si="74"/>
        <v>859</v>
      </c>
      <c r="Q456">
        <f t="shared" ca="1" si="75"/>
        <v>1</v>
      </c>
      <c r="R456">
        <f t="shared" si="76"/>
        <v>1</v>
      </c>
      <c r="S456">
        <f t="shared" ca="1" si="77"/>
        <v>5</v>
      </c>
      <c r="T456" t="str">
        <f t="shared" ca="1" si="78"/>
        <v>115</v>
      </c>
      <c r="U456" t="str">
        <f t="shared" ca="1" si="79"/>
        <v>At Risk</v>
      </c>
    </row>
    <row r="457" spans="1:21">
      <c r="A457" s="17" t="str">
        <f>Cleaned_Data!A457</f>
        <v>MEM0456</v>
      </c>
      <c r="B457" s="18" t="str">
        <f ca="1">Cleaned_Data!D457</f>
        <v>BR03</v>
      </c>
      <c r="C457" s="18" t="str">
        <f ca="1">Cleaned_Data!E457</f>
        <v>Standard</v>
      </c>
      <c r="D457" s="19">
        <f>Cleaned_Data!F457</f>
        <v>45045</v>
      </c>
      <c r="E457" s="19">
        <f>Cleaned_Data!G457</f>
        <v>45135</v>
      </c>
      <c r="F457" s="18">
        <f>Cleaned_Data!H457</f>
        <v>1000</v>
      </c>
      <c r="G457" s="18">
        <f ca="1">Cleaned_Data!I457</f>
        <v>6000</v>
      </c>
      <c r="H457" s="18">
        <f>Cleaned_Data!J457</f>
        <v>19</v>
      </c>
      <c r="I457" s="18" t="str">
        <f>Cleaned_Data!M457</f>
        <v>Active</v>
      </c>
      <c r="J457" s="20">
        <f>Cleaned_Data!N457</f>
        <v>45549</v>
      </c>
      <c r="K457" t="str">
        <f t="shared" si="70"/>
        <v>Highly Active</v>
      </c>
      <c r="L457" s="5" t="str">
        <f>IF(COUNTIF($A$2:A457,A457)&gt;1,"Duplicate","Unique")</f>
        <v>Unique</v>
      </c>
      <c r="M457" t="str">
        <f t="shared" si="71"/>
        <v>2023-04</v>
      </c>
      <c r="N457" s="2">
        <f t="shared" ca="1" si="72"/>
        <v>45549</v>
      </c>
      <c r="O457" s="4">
        <f t="shared" ca="1" si="73"/>
        <v>16</v>
      </c>
      <c r="P457" s="4">
        <f t="shared" ca="1" si="74"/>
        <v>580</v>
      </c>
      <c r="Q457">
        <f t="shared" ca="1" si="75"/>
        <v>1</v>
      </c>
      <c r="R457">
        <f t="shared" si="76"/>
        <v>4</v>
      </c>
      <c r="S457">
        <f t="shared" ca="1" si="77"/>
        <v>3</v>
      </c>
      <c r="T457" t="str">
        <f t="shared" ca="1" si="78"/>
        <v>143</v>
      </c>
      <c r="U457" t="str">
        <f t="shared" ca="1" si="79"/>
        <v>At Risk</v>
      </c>
    </row>
    <row r="458" spans="1:21">
      <c r="A458" s="13" t="str">
        <f>Cleaned_Data!A458</f>
        <v>MEM0457</v>
      </c>
      <c r="B458" s="14" t="str">
        <f ca="1">Cleaned_Data!D458</f>
        <v>BR03</v>
      </c>
      <c r="C458" s="14" t="str">
        <f ca="1">Cleaned_Data!E458</f>
        <v>Premium</v>
      </c>
      <c r="D458" s="15">
        <f>Cleaned_Data!F458</f>
        <v>45740</v>
      </c>
      <c r="E458" s="15">
        <f>Cleaned_Data!G458</f>
        <v>45830</v>
      </c>
      <c r="F458" s="14">
        <f>Cleaned_Data!H458</f>
        <v>2000</v>
      </c>
      <c r="G458" s="14">
        <f ca="1">Cleaned_Data!I458</f>
        <v>16000</v>
      </c>
      <c r="H458" s="14">
        <f>Cleaned_Data!J458</f>
        <v>16</v>
      </c>
      <c r="I458" s="14" t="str">
        <f>Cleaned_Data!M458</f>
        <v>Cancelled</v>
      </c>
      <c r="J458" s="16">
        <f>Cleaned_Data!N458</f>
        <v>45774</v>
      </c>
      <c r="K458" t="str">
        <f t="shared" si="70"/>
        <v>Highly Active</v>
      </c>
      <c r="L458" s="5" t="str">
        <f>IF(COUNTIF($A$2:A458,A458)&gt;1,"Duplicate","Unique")</f>
        <v>Unique</v>
      </c>
      <c r="M458" t="str">
        <f t="shared" si="71"/>
        <v>2025-03</v>
      </c>
      <c r="N458" s="2">
        <f t="shared" ca="1" si="72"/>
        <v>45774</v>
      </c>
      <c r="O458" s="4">
        <f t="shared" ca="1" si="73"/>
        <v>1</v>
      </c>
      <c r="P458" s="4">
        <f t="shared" ca="1" si="74"/>
        <v>355</v>
      </c>
      <c r="Q458">
        <f t="shared" ca="1" si="75"/>
        <v>2</v>
      </c>
      <c r="R458">
        <f t="shared" si="76"/>
        <v>4</v>
      </c>
      <c r="S458">
        <f t="shared" ca="1" si="77"/>
        <v>4</v>
      </c>
      <c r="T458" t="str">
        <f t="shared" ca="1" si="78"/>
        <v>244</v>
      </c>
      <c r="U458" t="str">
        <f t="shared" ca="1" si="79"/>
        <v>At Risk</v>
      </c>
    </row>
    <row r="459" spans="1:21">
      <c r="A459" s="17" t="str">
        <f>Cleaned_Data!A459</f>
        <v>MEM0458</v>
      </c>
      <c r="B459" s="18" t="str">
        <f ca="1">Cleaned_Data!D459</f>
        <v>BR07</v>
      </c>
      <c r="C459" s="18" t="str">
        <f ca="1">Cleaned_Data!E459</f>
        <v>Standard</v>
      </c>
      <c r="D459" s="19">
        <f>Cleaned_Data!F459</f>
        <v>45560</v>
      </c>
      <c r="E459" s="19">
        <f>Cleaned_Data!G459</f>
        <v>45650</v>
      </c>
      <c r="F459" s="18">
        <f>Cleaned_Data!H459</f>
        <v>3500</v>
      </c>
      <c r="G459" s="18">
        <f ca="1">Cleaned_Data!I459</f>
        <v>17500</v>
      </c>
      <c r="H459" s="18">
        <f>Cleaned_Data!J459</f>
        <v>18</v>
      </c>
      <c r="I459" s="18" t="str">
        <f>Cleaned_Data!M459</f>
        <v>Active</v>
      </c>
      <c r="J459" s="20">
        <f>Cleaned_Data!N459</f>
        <v>45677</v>
      </c>
      <c r="K459" t="str">
        <f t="shared" si="70"/>
        <v>Highly Active</v>
      </c>
      <c r="L459" s="5" t="str">
        <f>IF(COUNTIF($A$2:A459,A459)&gt;1,"Duplicate","Unique")</f>
        <v>Unique</v>
      </c>
      <c r="M459" t="str">
        <f t="shared" si="71"/>
        <v>2024-09</v>
      </c>
      <c r="N459" s="2">
        <f t="shared" ca="1" si="72"/>
        <v>45677</v>
      </c>
      <c r="O459" s="4">
        <f t="shared" ca="1" si="73"/>
        <v>3</v>
      </c>
      <c r="P459" s="4">
        <f t="shared" ca="1" si="74"/>
        <v>452</v>
      </c>
      <c r="Q459">
        <f t="shared" ca="1" si="75"/>
        <v>1</v>
      </c>
      <c r="R459">
        <f t="shared" si="76"/>
        <v>4</v>
      </c>
      <c r="S459">
        <f t="shared" ca="1" si="77"/>
        <v>4</v>
      </c>
      <c r="T459" t="str">
        <f t="shared" ca="1" si="78"/>
        <v>144</v>
      </c>
      <c r="U459" t="str">
        <f t="shared" ca="1" si="79"/>
        <v>At Risk</v>
      </c>
    </row>
    <row r="460" spans="1:21">
      <c r="A460" s="13" t="str">
        <f>Cleaned_Data!A460</f>
        <v>MEM0459</v>
      </c>
      <c r="B460" s="14" t="str">
        <f ca="1">Cleaned_Data!D460</f>
        <v>BR06</v>
      </c>
      <c r="C460" s="14" t="str">
        <f ca="1">Cleaned_Data!E460</f>
        <v>Standard</v>
      </c>
      <c r="D460" s="15">
        <f>Cleaned_Data!F460</f>
        <v>45854</v>
      </c>
      <c r="E460" s="15">
        <f>Cleaned_Data!G460</f>
        <v>45944</v>
      </c>
      <c r="F460" s="14">
        <f>Cleaned_Data!H460</f>
        <v>3500</v>
      </c>
      <c r="G460" s="14">
        <f ca="1">Cleaned_Data!I460</f>
        <v>14000</v>
      </c>
      <c r="H460" s="14">
        <f>Cleaned_Data!J460</f>
        <v>8</v>
      </c>
      <c r="I460" s="14" t="str">
        <f>Cleaned_Data!M460</f>
        <v>Active</v>
      </c>
      <c r="J460" s="16">
        <f>Cleaned_Data!N460</f>
        <v>46075</v>
      </c>
      <c r="K460" t="str">
        <f t="shared" si="70"/>
        <v>Moderate</v>
      </c>
      <c r="L460" s="5" t="str">
        <f>IF(COUNTIF($A$2:A460,A460)&gt;1,"Duplicate","Unique")</f>
        <v>Unique</v>
      </c>
      <c r="M460" t="str">
        <f t="shared" si="71"/>
        <v>2025-07</v>
      </c>
      <c r="N460" s="2">
        <f t="shared" ca="1" si="72"/>
        <v>46075</v>
      </c>
      <c r="O460" s="4">
        <f t="shared" ca="1" si="73"/>
        <v>7</v>
      </c>
      <c r="P460" s="4">
        <f t="shared" ca="1" si="74"/>
        <v>54</v>
      </c>
      <c r="Q460">
        <f t="shared" ca="1" si="75"/>
        <v>4</v>
      </c>
      <c r="R460">
        <f t="shared" si="76"/>
        <v>2</v>
      </c>
      <c r="S460">
        <f t="shared" ca="1" si="77"/>
        <v>4</v>
      </c>
      <c r="T460" t="str">
        <f t="shared" ca="1" si="78"/>
        <v>424</v>
      </c>
      <c r="U460" t="str">
        <f t="shared" ca="1" si="79"/>
        <v>Others</v>
      </c>
    </row>
    <row r="461" spans="1:21">
      <c r="A461" s="17" t="str">
        <f>Cleaned_Data!A461</f>
        <v>MEM0460</v>
      </c>
      <c r="B461" s="18" t="str">
        <f ca="1">Cleaned_Data!D461</f>
        <v>BR01</v>
      </c>
      <c r="C461" s="18" t="str">
        <f ca="1">Cleaned_Data!E461</f>
        <v>Basic</v>
      </c>
      <c r="D461" s="19">
        <f>Cleaned_Data!F461</f>
        <v>45834</v>
      </c>
      <c r="E461" s="19">
        <f>Cleaned_Data!G461</f>
        <v>46199</v>
      </c>
      <c r="F461" s="18">
        <f>Cleaned_Data!H461</f>
        <v>2000</v>
      </c>
      <c r="G461" s="18">
        <f ca="1">Cleaned_Data!I461</f>
        <v>22000</v>
      </c>
      <c r="H461" s="18">
        <f>Cleaned_Data!J461</f>
        <v>23</v>
      </c>
      <c r="I461" s="18" t="str">
        <f>Cleaned_Data!M461</f>
        <v>Active</v>
      </c>
      <c r="J461" s="20">
        <f>Cleaned_Data!N461</f>
        <v>45994</v>
      </c>
      <c r="K461" t="str">
        <f t="shared" si="70"/>
        <v>Highly Active</v>
      </c>
      <c r="L461" s="5" t="str">
        <f>IF(COUNTIF($A$2:A461,A461)&gt;1,"Duplicate","Unique")</f>
        <v>Unique</v>
      </c>
      <c r="M461" t="str">
        <f t="shared" si="71"/>
        <v>2025-06</v>
      </c>
      <c r="N461" s="2">
        <f t="shared" ca="1" si="72"/>
        <v>45994</v>
      </c>
      <c r="O461" s="4">
        <f t="shared" ca="1" si="73"/>
        <v>5</v>
      </c>
      <c r="P461" s="4">
        <f t="shared" ca="1" si="74"/>
        <v>135</v>
      </c>
      <c r="Q461">
        <f t="shared" ca="1" si="75"/>
        <v>3</v>
      </c>
      <c r="R461">
        <f t="shared" si="76"/>
        <v>5</v>
      </c>
      <c r="S461">
        <f t="shared" ca="1" si="77"/>
        <v>5</v>
      </c>
      <c r="T461" t="str">
        <f t="shared" ca="1" si="78"/>
        <v>355</v>
      </c>
      <c r="U461" t="str">
        <f t="shared" ca="1" si="79"/>
        <v>Loyal</v>
      </c>
    </row>
    <row r="462" spans="1:21">
      <c r="A462" s="13" t="str">
        <f>Cleaned_Data!A462</f>
        <v>MEM0461</v>
      </c>
      <c r="B462" s="14" t="str">
        <f ca="1">Cleaned_Data!D462</f>
        <v>BR06</v>
      </c>
      <c r="C462" s="14" t="str">
        <f ca="1">Cleaned_Data!E462</f>
        <v>Premium</v>
      </c>
      <c r="D462" s="15">
        <f>Cleaned_Data!F462</f>
        <v>45985</v>
      </c>
      <c r="E462" s="15">
        <f>Cleaned_Data!G462</f>
        <v>46075</v>
      </c>
      <c r="F462" s="14">
        <f>Cleaned_Data!H462</f>
        <v>1000</v>
      </c>
      <c r="G462" s="14">
        <f ca="1">Cleaned_Data!I462</f>
        <v>2000</v>
      </c>
      <c r="H462" s="14">
        <f>Cleaned_Data!J462</f>
        <v>3</v>
      </c>
      <c r="I462" s="14" t="str">
        <f>Cleaned_Data!M462</f>
        <v>Active</v>
      </c>
      <c r="J462" s="16">
        <f>Cleaned_Data!N462</f>
        <v>46088</v>
      </c>
      <c r="K462" t="str">
        <f t="shared" si="70"/>
        <v>At Risk</v>
      </c>
      <c r="L462" s="5" t="str">
        <f>IF(COUNTIF($A$2:A462,A462)&gt;1,"Duplicate","Unique")</f>
        <v>Unique</v>
      </c>
      <c r="M462" t="str">
        <f t="shared" si="71"/>
        <v>2025-11</v>
      </c>
      <c r="N462" s="2">
        <f t="shared" ca="1" si="72"/>
        <v>46088</v>
      </c>
      <c r="O462" s="4">
        <f t="shared" ca="1" si="73"/>
        <v>3</v>
      </c>
      <c r="P462" s="4">
        <f t="shared" ca="1" si="74"/>
        <v>41</v>
      </c>
      <c r="Q462">
        <f t="shared" ca="1" si="75"/>
        <v>4</v>
      </c>
      <c r="R462">
        <f t="shared" si="76"/>
        <v>1</v>
      </c>
      <c r="S462">
        <f t="shared" ca="1" si="77"/>
        <v>2</v>
      </c>
      <c r="T462" t="str">
        <f t="shared" ca="1" si="78"/>
        <v>412</v>
      </c>
      <c r="U462" t="str">
        <f t="shared" ca="1" si="79"/>
        <v>Others</v>
      </c>
    </row>
    <row r="463" spans="1:21">
      <c r="A463" s="17" t="str">
        <f>Cleaned_Data!A463</f>
        <v>MEM0462</v>
      </c>
      <c r="B463" s="18" t="str">
        <f ca="1">Cleaned_Data!D463</f>
        <v>BR01</v>
      </c>
      <c r="C463" s="18" t="str">
        <f ca="1">Cleaned_Data!E463</f>
        <v>Basic</v>
      </c>
      <c r="D463" s="19">
        <f>Cleaned_Data!F463</f>
        <v>46029</v>
      </c>
      <c r="E463" s="19">
        <f>Cleaned_Data!G463</f>
        <v>46394</v>
      </c>
      <c r="F463" s="18">
        <f>Cleaned_Data!H463</f>
        <v>2000</v>
      </c>
      <c r="G463" s="18">
        <f ca="1">Cleaned_Data!I463</f>
        <v>14000</v>
      </c>
      <c r="H463" s="18">
        <f>Cleaned_Data!J463</f>
        <v>11</v>
      </c>
      <c r="I463" s="18" t="str">
        <f>Cleaned_Data!M463</f>
        <v>Active</v>
      </c>
      <c r="J463" s="20">
        <f>Cleaned_Data!N463</f>
        <v>46042</v>
      </c>
      <c r="K463" t="str">
        <f t="shared" si="70"/>
        <v>Moderate</v>
      </c>
      <c r="L463" s="5" t="str">
        <f>IF(COUNTIF($A$2:A463,A463)&gt;1,"Duplicate","Unique")</f>
        <v>Unique</v>
      </c>
      <c r="M463" t="str">
        <f t="shared" si="71"/>
        <v>2026-01</v>
      </c>
      <c r="N463" s="2">
        <f t="shared" ca="1" si="72"/>
        <v>46042</v>
      </c>
      <c r="O463" s="4">
        <f t="shared" ca="1" si="73"/>
        <v>0</v>
      </c>
      <c r="P463" s="4">
        <f t="shared" ca="1" si="74"/>
        <v>87</v>
      </c>
      <c r="Q463">
        <f t="shared" ca="1" si="75"/>
        <v>4</v>
      </c>
      <c r="R463">
        <f t="shared" si="76"/>
        <v>3</v>
      </c>
      <c r="S463">
        <f t="shared" ca="1" si="77"/>
        <v>4</v>
      </c>
      <c r="T463" t="str">
        <f t="shared" ca="1" si="78"/>
        <v>434</v>
      </c>
      <c r="U463" t="str">
        <f t="shared" ca="1" si="79"/>
        <v>Loyal</v>
      </c>
    </row>
    <row r="464" spans="1:21">
      <c r="A464" s="13" t="str">
        <f>Cleaned_Data!A464</f>
        <v>MEM0463</v>
      </c>
      <c r="B464" s="14" t="str">
        <f ca="1">Cleaned_Data!D464</f>
        <v>BR02</v>
      </c>
      <c r="C464" s="14" t="str">
        <f ca="1">Cleaned_Data!E464</f>
        <v>Basic</v>
      </c>
      <c r="D464" s="15">
        <f>Cleaned_Data!F464</f>
        <v>45079</v>
      </c>
      <c r="E464" s="15">
        <f>Cleaned_Data!G464</f>
        <v>45444</v>
      </c>
      <c r="F464" s="14">
        <f>Cleaned_Data!H464</f>
        <v>2000</v>
      </c>
      <c r="G464" s="14">
        <f ca="1">Cleaned_Data!I464</f>
        <v>8000</v>
      </c>
      <c r="H464" s="14">
        <f>Cleaned_Data!J464</f>
        <v>20</v>
      </c>
      <c r="I464" s="14" t="str">
        <f>Cleaned_Data!M464</f>
        <v>Active</v>
      </c>
      <c r="J464" s="16">
        <f>Cleaned_Data!N464</f>
        <v>45268</v>
      </c>
      <c r="K464" t="str">
        <f t="shared" si="70"/>
        <v>Highly Active</v>
      </c>
      <c r="L464" s="5" t="str">
        <f>IF(COUNTIF($A$2:A464,A464)&gt;1,"Duplicate","Unique")</f>
        <v>Unique</v>
      </c>
      <c r="M464" t="str">
        <f t="shared" si="71"/>
        <v>2023-06</v>
      </c>
      <c r="N464" s="2">
        <f t="shared" ca="1" si="72"/>
        <v>45268</v>
      </c>
      <c r="O464" s="4">
        <f t="shared" ca="1" si="73"/>
        <v>6</v>
      </c>
      <c r="P464" s="4">
        <f t="shared" ca="1" si="74"/>
        <v>861</v>
      </c>
      <c r="Q464">
        <f t="shared" ca="1" si="75"/>
        <v>1</v>
      </c>
      <c r="R464">
        <f t="shared" si="76"/>
        <v>5</v>
      </c>
      <c r="S464">
        <f t="shared" ca="1" si="77"/>
        <v>3</v>
      </c>
      <c r="T464" t="str">
        <f t="shared" ca="1" si="78"/>
        <v>153</v>
      </c>
      <c r="U464" t="str">
        <f t="shared" ca="1" si="79"/>
        <v>At Risk</v>
      </c>
    </row>
    <row r="465" spans="1:21">
      <c r="A465" s="17" t="str">
        <f>Cleaned_Data!A465</f>
        <v>MEM0464</v>
      </c>
      <c r="B465" s="18" t="str">
        <f ca="1">Cleaned_Data!D465</f>
        <v>BR04</v>
      </c>
      <c r="C465" s="18" t="str">
        <f ca="1">Cleaned_Data!E465</f>
        <v>Standard</v>
      </c>
      <c r="D465" s="19">
        <f>Cleaned_Data!F465</f>
        <v>45933</v>
      </c>
      <c r="E465" s="19">
        <f>Cleaned_Data!G465</f>
        <v>45963</v>
      </c>
      <c r="F465" s="18">
        <f>Cleaned_Data!H465</f>
        <v>1000</v>
      </c>
      <c r="G465" s="18">
        <f ca="1">Cleaned_Data!I465</f>
        <v>11000</v>
      </c>
      <c r="H465" s="18">
        <f>Cleaned_Data!J465</f>
        <v>16</v>
      </c>
      <c r="I465" s="18" t="str">
        <f>Cleaned_Data!M465</f>
        <v>Active</v>
      </c>
      <c r="J465" s="20">
        <f>Cleaned_Data!N465</f>
        <v>46044</v>
      </c>
      <c r="K465" t="str">
        <f t="shared" si="70"/>
        <v>Highly Active</v>
      </c>
      <c r="L465" s="5" t="str">
        <f>IF(COUNTIF($A$2:A465,A465)&gt;1,"Duplicate","Unique")</f>
        <v>Unique</v>
      </c>
      <c r="M465" t="str">
        <f t="shared" si="71"/>
        <v>2025-10</v>
      </c>
      <c r="N465" s="2">
        <f t="shared" ca="1" si="72"/>
        <v>46044</v>
      </c>
      <c r="O465" s="4">
        <f t="shared" ca="1" si="73"/>
        <v>3</v>
      </c>
      <c r="P465" s="4">
        <f t="shared" ca="1" si="74"/>
        <v>85</v>
      </c>
      <c r="Q465">
        <f t="shared" ca="1" si="75"/>
        <v>4</v>
      </c>
      <c r="R465">
        <f t="shared" si="76"/>
        <v>4</v>
      </c>
      <c r="S465">
        <f t="shared" ca="1" si="77"/>
        <v>4</v>
      </c>
      <c r="T465" t="str">
        <f t="shared" ca="1" si="78"/>
        <v>444</v>
      </c>
      <c r="U465" t="str">
        <f t="shared" ca="1" si="79"/>
        <v>Champion</v>
      </c>
    </row>
    <row r="466" spans="1:21">
      <c r="A466" s="13" t="str">
        <f>Cleaned_Data!A466</f>
        <v>MEM0465</v>
      </c>
      <c r="B466" s="14" t="str">
        <f ca="1">Cleaned_Data!D466</f>
        <v>BR07</v>
      </c>
      <c r="C466" s="14" t="str">
        <f ca="1">Cleaned_Data!E466</f>
        <v>Premium</v>
      </c>
      <c r="D466" s="15">
        <f>Cleaned_Data!F466</f>
        <v>45973</v>
      </c>
      <c r="E466" s="15">
        <f>Cleaned_Data!G466</f>
        <v>46063</v>
      </c>
      <c r="F466" s="14">
        <f>Cleaned_Data!H466</f>
        <v>2000</v>
      </c>
      <c r="G466" s="14">
        <f ca="1">Cleaned_Data!I466</f>
        <v>8000</v>
      </c>
      <c r="H466" s="14">
        <f>Cleaned_Data!J466</f>
        <v>14</v>
      </c>
      <c r="I466" s="14" t="str">
        <f>Cleaned_Data!M466</f>
        <v>Active</v>
      </c>
      <c r="J466" s="16">
        <f>Cleaned_Data!N466</f>
        <v>45994</v>
      </c>
      <c r="K466" t="str">
        <f t="shared" si="70"/>
        <v>Moderate</v>
      </c>
      <c r="L466" s="5" t="str">
        <f>IF(COUNTIF($A$2:A466,A466)&gt;1,"Duplicate","Unique")</f>
        <v>Unique</v>
      </c>
      <c r="M466" t="str">
        <f t="shared" si="71"/>
        <v>2025-11</v>
      </c>
      <c r="N466" s="2">
        <f t="shared" ca="1" si="72"/>
        <v>45994</v>
      </c>
      <c r="O466" s="4">
        <f t="shared" ca="1" si="73"/>
        <v>0</v>
      </c>
      <c r="P466" s="4">
        <f t="shared" ca="1" si="74"/>
        <v>135</v>
      </c>
      <c r="Q466">
        <f t="shared" ca="1" si="75"/>
        <v>3</v>
      </c>
      <c r="R466">
        <f t="shared" si="76"/>
        <v>3</v>
      </c>
      <c r="S466">
        <f t="shared" ca="1" si="77"/>
        <v>3</v>
      </c>
      <c r="T466" t="str">
        <f t="shared" ca="1" si="78"/>
        <v>333</v>
      </c>
      <c r="U466" t="str">
        <f t="shared" ca="1" si="79"/>
        <v>Loyal</v>
      </c>
    </row>
    <row r="467" spans="1:21">
      <c r="A467" s="17" t="str">
        <f>Cleaned_Data!A467</f>
        <v>MEM0466</v>
      </c>
      <c r="B467" s="18" t="str">
        <f ca="1">Cleaned_Data!D467</f>
        <v>BR04</v>
      </c>
      <c r="C467" s="18" t="str">
        <f ca="1">Cleaned_Data!E467</f>
        <v>Premium</v>
      </c>
      <c r="D467" s="19">
        <f>Cleaned_Data!F467</f>
        <v>45530</v>
      </c>
      <c r="E467" s="19">
        <f>Cleaned_Data!G467</f>
        <v>45620</v>
      </c>
      <c r="F467" s="18">
        <f>Cleaned_Data!H467</f>
        <v>1000</v>
      </c>
      <c r="G467" s="18">
        <f ca="1">Cleaned_Data!I467</f>
        <v>5000</v>
      </c>
      <c r="H467" s="18">
        <f>Cleaned_Data!J467</f>
        <v>0</v>
      </c>
      <c r="I467" s="18" t="str">
        <f>Cleaned_Data!M467</f>
        <v>Cancelled</v>
      </c>
      <c r="J467" s="20">
        <f>Cleaned_Data!N467</f>
        <v>45875</v>
      </c>
      <c r="K467" t="str">
        <f t="shared" si="70"/>
        <v>At Risk</v>
      </c>
      <c r="L467" s="5" t="str">
        <f>IF(COUNTIF($A$2:A467,A467)&gt;1,"Duplicate","Unique")</f>
        <v>Unique</v>
      </c>
      <c r="M467" t="str">
        <f t="shared" si="71"/>
        <v>2024-08</v>
      </c>
      <c r="N467" s="2">
        <f t="shared" ca="1" si="72"/>
        <v>45875</v>
      </c>
      <c r="O467" s="4">
        <f t="shared" ca="1" si="73"/>
        <v>11</v>
      </c>
      <c r="P467" s="4">
        <f t="shared" ca="1" si="74"/>
        <v>254</v>
      </c>
      <c r="Q467">
        <f t="shared" ca="1" si="75"/>
        <v>2</v>
      </c>
      <c r="R467">
        <f t="shared" si="76"/>
        <v>1</v>
      </c>
      <c r="S467">
        <f t="shared" ca="1" si="77"/>
        <v>3</v>
      </c>
      <c r="T467" t="str">
        <f t="shared" ca="1" si="78"/>
        <v>213</v>
      </c>
      <c r="U467" t="str">
        <f t="shared" ca="1" si="79"/>
        <v>At Risk</v>
      </c>
    </row>
    <row r="468" spans="1:21">
      <c r="A468" s="13" t="str">
        <f>Cleaned_Data!A468</f>
        <v>MEM0467</v>
      </c>
      <c r="B468" s="14" t="str">
        <f ca="1">Cleaned_Data!D468</f>
        <v>BR03</v>
      </c>
      <c r="C468" s="14" t="str">
        <f ca="1">Cleaned_Data!E468</f>
        <v>Standard</v>
      </c>
      <c r="D468" s="15">
        <f>Cleaned_Data!F468</f>
        <v>45236</v>
      </c>
      <c r="E468" s="15">
        <f>Cleaned_Data!G468</f>
        <v>45266</v>
      </c>
      <c r="F468" s="14">
        <f>Cleaned_Data!H468</f>
        <v>2000</v>
      </c>
      <c r="G468" s="14">
        <f ca="1">Cleaned_Data!I468</f>
        <v>20000</v>
      </c>
      <c r="H468" s="14">
        <f>Cleaned_Data!J468</f>
        <v>4</v>
      </c>
      <c r="I468" s="14" t="str">
        <f>Cleaned_Data!M468</f>
        <v>Cancelled</v>
      </c>
      <c r="J468" s="16">
        <f>Cleaned_Data!N468</f>
        <v>45546</v>
      </c>
      <c r="K468" t="str">
        <f t="shared" si="70"/>
        <v>At Risk</v>
      </c>
      <c r="L468" s="5" t="str">
        <f>IF(COUNTIF($A$2:A468,A468)&gt;1,"Duplicate","Unique")</f>
        <v>Unique</v>
      </c>
      <c r="M468" t="str">
        <f t="shared" si="71"/>
        <v>2023-11</v>
      </c>
      <c r="N468" s="2">
        <f t="shared" ca="1" si="72"/>
        <v>45546</v>
      </c>
      <c r="O468" s="4">
        <f t="shared" ca="1" si="73"/>
        <v>10</v>
      </c>
      <c r="P468" s="4">
        <f t="shared" ca="1" si="74"/>
        <v>583</v>
      </c>
      <c r="Q468">
        <f t="shared" ca="1" si="75"/>
        <v>1</v>
      </c>
      <c r="R468">
        <f t="shared" si="76"/>
        <v>1</v>
      </c>
      <c r="S468">
        <f t="shared" ca="1" si="77"/>
        <v>5</v>
      </c>
      <c r="T468" t="str">
        <f t="shared" ca="1" si="78"/>
        <v>115</v>
      </c>
      <c r="U468" t="str">
        <f t="shared" ca="1" si="79"/>
        <v>At Risk</v>
      </c>
    </row>
    <row r="469" spans="1:21">
      <c r="A469" s="17" t="str">
        <f>Cleaned_Data!A469</f>
        <v>MEM0468</v>
      </c>
      <c r="B469" s="18" t="str">
        <f ca="1">Cleaned_Data!D469</f>
        <v>BR05</v>
      </c>
      <c r="C469" s="18" t="str">
        <f ca="1">Cleaned_Data!E469</f>
        <v>Premium</v>
      </c>
      <c r="D469" s="19">
        <f>Cleaned_Data!F469</f>
        <v>46034</v>
      </c>
      <c r="E469" s="19">
        <f>Cleaned_Data!G469</f>
        <v>46124</v>
      </c>
      <c r="F469" s="18">
        <f>Cleaned_Data!H469</f>
        <v>3500</v>
      </c>
      <c r="G469" s="18">
        <f ca="1">Cleaned_Data!I469</f>
        <v>14000</v>
      </c>
      <c r="H469" s="18">
        <f>Cleaned_Data!J469</f>
        <v>20</v>
      </c>
      <c r="I469" s="18" t="str">
        <f>Cleaned_Data!M469</f>
        <v>Active</v>
      </c>
      <c r="J469" s="20">
        <f>Cleaned_Data!N469</f>
        <v>46085</v>
      </c>
      <c r="K469" t="str">
        <f t="shared" si="70"/>
        <v>Highly Active</v>
      </c>
      <c r="L469" s="5" t="str">
        <f>IF(COUNTIF($A$2:A469,A469)&gt;1,"Duplicate","Unique")</f>
        <v>Unique</v>
      </c>
      <c r="M469" t="str">
        <f t="shared" si="71"/>
        <v>2026-01</v>
      </c>
      <c r="N469" s="2">
        <f t="shared" ca="1" si="72"/>
        <v>46085</v>
      </c>
      <c r="O469" s="4">
        <f t="shared" ca="1" si="73"/>
        <v>1</v>
      </c>
      <c r="P469" s="4">
        <f t="shared" ca="1" si="74"/>
        <v>44</v>
      </c>
      <c r="Q469">
        <f t="shared" ca="1" si="75"/>
        <v>4</v>
      </c>
      <c r="R469">
        <f t="shared" si="76"/>
        <v>5</v>
      </c>
      <c r="S469">
        <f t="shared" ca="1" si="77"/>
        <v>4</v>
      </c>
      <c r="T469" t="str">
        <f t="shared" ca="1" si="78"/>
        <v>454</v>
      </c>
      <c r="U469" t="str">
        <f t="shared" ca="1" si="79"/>
        <v>Champion</v>
      </c>
    </row>
    <row r="470" spans="1:21">
      <c r="A470" s="13" t="str">
        <f>Cleaned_Data!A470</f>
        <v>MEM0469</v>
      </c>
      <c r="B470" s="14" t="str">
        <f ca="1">Cleaned_Data!D470</f>
        <v>BR05</v>
      </c>
      <c r="C470" s="14" t="str">
        <f ca="1">Cleaned_Data!E470</f>
        <v>Premium</v>
      </c>
      <c r="D470" s="15">
        <f>Cleaned_Data!F470</f>
        <v>45742</v>
      </c>
      <c r="E470" s="15">
        <f>Cleaned_Data!G470</f>
        <v>46107</v>
      </c>
      <c r="F470" s="14">
        <f>Cleaned_Data!H470</f>
        <v>1000</v>
      </c>
      <c r="G470" s="14">
        <f ca="1">Cleaned_Data!I470</f>
        <v>4000</v>
      </c>
      <c r="H470" s="14">
        <f>Cleaned_Data!J470</f>
        <v>10</v>
      </c>
      <c r="I470" s="14" t="str">
        <f>Cleaned_Data!M470</f>
        <v>Active</v>
      </c>
      <c r="J470" s="16">
        <f>Cleaned_Data!N470</f>
        <v>45760</v>
      </c>
      <c r="K470" t="str">
        <f t="shared" si="70"/>
        <v>Moderate</v>
      </c>
      <c r="L470" s="5" t="str">
        <f>IF(COUNTIF($A$2:A470,A470)&gt;1,"Duplicate","Unique")</f>
        <v>Unique</v>
      </c>
      <c r="M470" t="str">
        <f t="shared" si="71"/>
        <v>2025-03</v>
      </c>
      <c r="N470" s="2">
        <f t="shared" ca="1" si="72"/>
        <v>45760</v>
      </c>
      <c r="O470" s="4">
        <f t="shared" ca="1" si="73"/>
        <v>0</v>
      </c>
      <c r="P470" s="4">
        <f t="shared" ca="1" si="74"/>
        <v>369</v>
      </c>
      <c r="Q470">
        <f t="shared" ca="1" si="75"/>
        <v>1</v>
      </c>
      <c r="R470">
        <f t="shared" si="76"/>
        <v>3</v>
      </c>
      <c r="S470">
        <f t="shared" ca="1" si="77"/>
        <v>2</v>
      </c>
      <c r="T470" t="str">
        <f t="shared" ca="1" si="78"/>
        <v>132</v>
      </c>
      <c r="U470" t="str">
        <f t="shared" ca="1" si="79"/>
        <v>At Risk</v>
      </c>
    </row>
    <row r="471" spans="1:21">
      <c r="A471" s="17" t="str">
        <f>Cleaned_Data!A471</f>
        <v>MEM0470</v>
      </c>
      <c r="B471" s="18" t="str">
        <f ca="1">Cleaned_Data!D471</f>
        <v>BR03</v>
      </c>
      <c r="C471" s="18" t="str">
        <f ca="1">Cleaned_Data!E471</f>
        <v>Premium</v>
      </c>
      <c r="D471" s="19">
        <f>Cleaned_Data!F471</f>
        <v>45647</v>
      </c>
      <c r="E471" s="19">
        <f>Cleaned_Data!G471</f>
        <v>46012</v>
      </c>
      <c r="F471" s="18">
        <f>Cleaned_Data!H471</f>
        <v>1000</v>
      </c>
      <c r="G471" s="18">
        <f ca="1">Cleaned_Data!I471</f>
        <v>10000</v>
      </c>
      <c r="H471" s="18">
        <f>Cleaned_Data!J471</f>
        <v>0</v>
      </c>
      <c r="I471" s="18" t="str">
        <f>Cleaned_Data!M471</f>
        <v>Active</v>
      </c>
      <c r="J471" s="20">
        <f>Cleaned_Data!N471</f>
        <v>45666</v>
      </c>
      <c r="K471" t="str">
        <f t="shared" si="70"/>
        <v>At Risk</v>
      </c>
      <c r="L471" s="5" t="str">
        <f>IF(COUNTIF($A$2:A471,A471)&gt;1,"Duplicate","Unique")</f>
        <v>Unique</v>
      </c>
      <c r="M471" t="str">
        <f t="shared" si="71"/>
        <v>2024-12</v>
      </c>
      <c r="N471" s="2">
        <f t="shared" ca="1" si="72"/>
        <v>45666</v>
      </c>
      <c r="O471" s="4">
        <f t="shared" ca="1" si="73"/>
        <v>0</v>
      </c>
      <c r="P471" s="4">
        <f t="shared" ca="1" si="74"/>
        <v>463</v>
      </c>
      <c r="Q471">
        <f t="shared" ca="1" si="75"/>
        <v>1</v>
      </c>
      <c r="R471">
        <f t="shared" si="76"/>
        <v>1</v>
      </c>
      <c r="S471">
        <f t="shared" ca="1" si="77"/>
        <v>4</v>
      </c>
      <c r="T471" t="str">
        <f t="shared" ca="1" si="78"/>
        <v>114</v>
      </c>
      <c r="U471" t="str">
        <f t="shared" ca="1" si="79"/>
        <v>At Risk</v>
      </c>
    </row>
    <row r="472" spans="1:21">
      <c r="A472" s="13" t="str">
        <f>Cleaned_Data!A472</f>
        <v>MEM0471</v>
      </c>
      <c r="B472" s="14" t="str">
        <f ca="1">Cleaned_Data!D472</f>
        <v>BR02</v>
      </c>
      <c r="C472" s="14" t="str">
        <f ca="1">Cleaned_Data!E472</f>
        <v>Standard</v>
      </c>
      <c r="D472" s="15">
        <f>Cleaned_Data!F472</f>
        <v>45435</v>
      </c>
      <c r="E472" s="15">
        <f>Cleaned_Data!G472</f>
        <v>45525</v>
      </c>
      <c r="F472" s="14">
        <f>Cleaned_Data!H472</f>
        <v>2000</v>
      </c>
      <c r="G472" s="14">
        <f ca="1">Cleaned_Data!I472</f>
        <v>8000</v>
      </c>
      <c r="H472" s="14">
        <f>Cleaned_Data!J472</f>
        <v>24</v>
      </c>
      <c r="I472" s="14" t="str">
        <f>Cleaned_Data!M472</f>
        <v>Active</v>
      </c>
      <c r="J472" s="16">
        <f>Cleaned_Data!N472</f>
        <v>46044</v>
      </c>
      <c r="K472" t="str">
        <f t="shared" si="70"/>
        <v>Highly Active</v>
      </c>
      <c r="L472" s="5" t="str">
        <f>IF(COUNTIF($A$2:A472,A472)&gt;1,"Duplicate","Unique")</f>
        <v>Unique</v>
      </c>
      <c r="M472" t="str">
        <f t="shared" si="71"/>
        <v>2024-05</v>
      </c>
      <c r="N472" s="2">
        <f t="shared" ca="1" si="72"/>
        <v>46044</v>
      </c>
      <c r="O472" s="4">
        <f t="shared" ca="1" si="73"/>
        <v>19</v>
      </c>
      <c r="P472" s="4">
        <f t="shared" ca="1" si="74"/>
        <v>85</v>
      </c>
      <c r="Q472">
        <f t="shared" ca="1" si="75"/>
        <v>4</v>
      </c>
      <c r="R472">
        <f t="shared" si="76"/>
        <v>5</v>
      </c>
      <c r="S472">
        <f t="shared" ca="1" si="77"/>
        <v>3</v>
      </c>
      <c r="T472" t="str">
        <f t="shared" ca="1" si="78"/>
        <v>453</v>
      </c>
      <c r="U472" t="str">
        <f t="shared" ca="1" si="79"/>
        <v>Loyal</v>
      </c>
    </row>
    <row r="473" spans="1:21">
      <c r="A473" s="17" t="str">
        <f>Cleaned_Data!A473</f>
        <v>MEM0472</v>
      </c>
      <c r="B473" s="18" t="str">
        <f ca="1">Cleaned_Data!D473</f>
        <v>BR03</v>
      </c>
      <c r="C473" s="18" t="str">
        <f ca="1">Cleaned_Data!E473</f>
        <v>Standard</v>
      </c>
      <c r="D473" s="19">
        <f>Cleaned_Data!F473</f>
        <v>45291</v>
      </c>
      <c r="E473" s="19">
        <f>Cleaned_Data!G473</f>
        <v>45321</v>
      </c>
      <c r="F473" s="18">
        <f>Cleaned_Data!H473</f>
        <v>1000</v>
      </c>
      <c r="G473" s="18">
        <f ca="1">Cleaned_Data!I473</f>
        <v>10000</v>
      </c>
      <c r="H473" s="18">
        <f>Cleaned_Data!J473</f>
        <v>14</v>
      </c>
      <c r="I473" s="18" t="str">
        <f>Cleaned_Data!M473</f>
        <v>Active</v>
      </c>
      <c r="J473" s="20">
        <f>Cleaned_Data!N473</f>
        <v>45715</v>
      </c>
      <c r="K473" t="str">
        <f t="shared" si="70"/>
        <v>Moderate</v>
      </c>
      <c r="L473" s="5" t="str">
        <f>IF(COUNTIF($A$2:A473,A473)&gt;1,"Duplicate","Unique")</f>
        <v>Unique</v>
      </c>
      <c r="M473" t="str">
        <f t="shared" si="71"/>
        <v>2023-12</v>
      </c>
      <c r="N473" s="2">
        <f t="shared" ca="1" si="72"/>
        <v>45715</v>
      </c>
      <c r="O473" s="4">
        <f t="shared" ca="1" si="73"/>
        <v>13</v>
      </c>
      <c r="P473" s="4">
        <f t="shared" ca="1" si="74"/>
        <v>414</v>
      </c>
      <c r="Q473">
        <f t="shared" ca="1" si="75"/>
        <v>1</v>
      </c>
      <c r="R473">
        <f t="shared" si="76"/>
        <v>3</v>
      </c>
      <c r="S473">
        <f t="shared" ca="1" si="77"/>
        <v>4</v>
      </c>
      <c r="T473" t="str">
        <f t="shared" ca="1" si="78"/>
        <v>134</v>
      </c>
      <c r="U473" t="str">
        <f t="shared" ca="1" si="79"/>
        <v>At Risk</v>
      </c>
    </row>
    <row r="474" spans="1:21">
      <c r="A474" s="13" t="str">
        <f>Cleaned_Data!A474</f>
        <v>MEM0473</v>
      </c>
      <c r="B474" s="14" t="str">
        <f ca="1">Cleaned_Data!D474</f>
        <v>BR02</v>
      </c>
      <c r="C474" s="14" t="str">
        <f ca="1">Cleaned_Data!E474</f>
        <v>Premium</v>
      </c>
      <c r="D474" s="15">
        <f>Cleaned_Data!F474</f>
        <v>45863</v>
      </c>
      <c r="E474" s="15">
        <f>Cleaned_Data!G474</f>
        <v>46228</v>
      </c>
      <c r="F474" s="14">
        <f>Cleaned_Data!H474</f>
        <v>3500</v>
      </c>
      <c r="G474" s="14">
        <f ca="1">Cleaned_Data!I474</f>
        <v>42000</v>
      </c>
      <c r="H474" s="14">
        <f>Cleaned_Data!J474</f>
        <v>20</v>
      </c>
      <c r="I474" s="14" t="str">
        <f>Cleaned_Data!M474</f>
        <v>Active</v>
      </c>
      <c r="J474" s="16">
        <f>Cleaned_Data!N474</f>
        <v>46051</v>
      </c>
      <c r="K474" t="str">
        <f t="shared" si="70"/>
        <v>Highly Active</v>
      </c>
      <c r="L474" s="5" t="str">
        <f>IF(COUNTIF($A$2:A474,A474)&gt;1,"Duplicate","Unique")</f>
        <v>Unique</v>
      </c>
      <c r="M474" t="str">
        <f t="shared" si="71"/>
        <v>2025-07</v>
      </c>
      <c r="N474" s="2">
        <f t="shared" ca="1" si="72"/>
        <v>46051</v>
      </c>
      <c r="O474" s="4">
        <f t="shared" ca="1" si="73"/>
        <v>6</v>
      </c>
      <c r="P474" s="4">
        <f t="shared" ca="1" si="74"/>
        <v>78</v>
      </c>
      <c r="Q474">
        <f t="shared" ca="1" si="75"/>
        <v>4</v>
      </c>
      <c r="R474">
        <f t="shared" si="76"/>
        <v>5</v>
      </c>
      <c r="S474">
        <f t="shared" ca="1" si="77"/>
        <v>5</v>
      </c>
      <c r="T474" t="str">
        <f t="shared" ca="1" si="78"/>
        <v>455</v>
      </c>
      <c r="U474" t="str">
        <f t="shared" ca="1" si="79"/>
        <v>Champion</v>
      </c>
    </row>
    <row r="475" spans="1:21">
      <c r="A475" s="17" t="str">
        <f>Cleaned_Data!A475</f>
        <v>MEM0474</v>
      </c>
      <c r="B475" s="18" t="str">
        <f ca="1">Cleaned_Data!D475</f>
        <v>BR03</v>
      </c>
      <c r="C475" s="18" t="str">
        <f ca="1">Cleaned_Data!E475</f>
        <v>Basic</v>
      </c>
      <c r="D475" s="19">
        <f>Cleaned_Data!F475</f>
        <v>45217</v>
      </c>
      <c r="E475" s="19">
        <f>Cleaned_Data!G475</f>
        <v>45582</v>
      </c>
      <c r="F475" s="18">
        <f>Cleaned_Data!H475</f>
        <v>1000</v>
      </c>
      <c r="G475" s="18">
        <f ca="1">Cleaned_Data!I475</f>
        <v>8000</v>
      </c>
      <c r="H475" s="18">
        <f>Cleaned_Data!J475</f>
        <v>4</v>
      </c>
      <c r="I475" s="18" t="str">
        <f>Cleaned_Data!M475</f>
        <v>Active</v>
      </c>
      <c r="J475" s="20">
        <f>Cleaned_Data!N475</f>
        <v>45643</v>
      </c>
      <c r="K475" t="str">
        <f t="shared" si="70"/>
        <v>At Risk</v>
      </c>
      <c r="L475" s="5" t="str">
        <f>IF(COUNTIF($A$2:A475,A475)&gt;1,"Duplicate","Unique")</f>
        <v>Unique</v>
      </c>
      <c r="M475" t="str">
        <f t="shared" si="71"/>
        <v>2023-10</v>
      </c>
      <c r="N475" s="2">
        <f t="shared" ca="1" si="72"/>
        <v>45643</v>
      </c>
      <c r="O475" s="4">
        <f t="shared" ca="1" si="73"/>
        <v>13</v>
      </c>
      <c r="P475" s="4">
        <f t="shared" ca="1" si="74"/>
        <v>486</v>
      </c>
      <c r="Q475">
        <f t="shared" ca="1" si="75"/>
        <v>1</v>
      </c>
      <c r="R475">
        <f t="shared" si="76"/>
        <v>1</v>
      </c>
      <c r="S475">
        <f t="shared" ca="1" si="77"/>
        <v>3</v>
      </c>
      <c r="T475" t="str">
        <f t="shared" ca="1" si="78"/>
        <v>113</v>
      </c>
      <c r="U475" t="str">
        <f t="shared" ca="1" si="79"/>
        <v>At Risk</v>
      </c>
    </row>
    <row r="476" spans="1:21">
      <c r="A476" s="13" t="str">
        <f>Cleaned_Data!A476</f>
        <v>MEM0475</v>
      </c>
      <c r="B476" s="14" t="str">
        <f ca="1">Cleaned_Data!D476</f>
        <v>BR01</v>
      </c>
      <c r="C476" s="14" t="str">
        <f ca="1">Cleaned_Data!E476</f>
        <v>Premium</v>
      </c>
      <c r="D476" s="15">
        <f>Cleaned_Data!F476</f>
        <v>45600</v>
      </c>
      <c r="E476" s="15">
        <f>Cleaned_Data!G476</f>
        <v>45690</v>
      </c>
      <c r="F476" s="14">
        <f>Cleaned_Data!H476</f>
        <v>3500</v>
      </c>
      <c r="G476" s="14">
        <f ca="1">Cleaned_Data!I476</f>
        <v>17500</v>
      </c>
      <c r="H476" s="14">
        <f>Cleaned_Data!J476</f>
        <v>25</v>
      </c>
      <c r="I476" s="14" t="str">
        <f>Cleaned_Data!M476</f>
        <v>Active</v>
      </c>
      <c r="J476" s="16">
        <f>Cleaned_Data!N476</f>
        <v>45919</v>
      </c>
      <c r="K476" t="str">
        <f t="shared" si="70"/>
        <v>Highly Active</v>
      </c>
      <c r="L476" s="5" t="str">
        <f>IF(COUNTIF($A$2:A476,A476)&gt;1,"Duplicate","Unique")</f>
        <v>Unique</v>
      </c>
      <c r="M476" t="str">
        <f t="shared" si="71"/>
        <v>2024-11</v>
      </c>
      <c r="N476" s="2">
        <f t="shared" ca="1" si="72"/>
        <v>45919</v>
      </c>
      <c r="O476" s="4">
        <f t="shared" ca="1" si="73"/>
        <v>10</v>
      </c>
      <c r="P476" s="4">
        <f t="shared" ca="1" si="74"/>
        <v>210</v>
      </c>
      <c r="Q476">
        <f t="shared" ca="1" si="75"/>
        <v>2</v>
      </c>
      <c r="R476">
        <f t="shared" si="76"/>
        <v>5</v>
      </c>
      <c r="S476">
        <f t="shared" ca="1" si="77"/>
        <v>4</v>
      </c>
      <c r="T476" t="str">
        <f t="shared" ca="1" si="78"/>
        <v>254</v>
      </c>
      <c r="U476" t="str">
        <f t="shared" ca="1" si="79"/>
        <v>At Risk</v>
      </c>
    </row>
    <row r="477" spans="1:21">
      <c r="A477" s="17" t="str">
        <f>Cleaned_Data!A477</f>
        <v>MEM0476</v>
      </c>
      <c r="B477" s="18" t="str">
        <f ca="1">Cleaned_Data!D477</f>
        <v>BR06</v>
      </c>
      <c r="C477" s="18" t="str">
        <f ca="1">Cleaned_Data!E477</f>
        <v>Premium</v>
      </c>
      <c r="D477" s="19">
        <f>Cleaned_Data!F477</f>
        <v>44991</v>
      </c>
      <c r="E477" s="19">
        <f>Cleaned_Data!G477</f>
        <v>45081</v>
      </c>
      <c r="F477" s="18">
        <f>Cleaned_Data!H477</f>
        <v>1000</v>
      </c>
      <c r="G477" s="18">
        <f ca="1">Cleaned_Data!I477</f>
        <v>3000</v>
      </c>
      <c r="H477" s="18">
        <f>Cleaned_Data!J477</f>
        <v>6</v>
      </c>
      <c r="I477" s="18" t="str">
        <f>Cleaned_Data!M477</f>
        <v>Active</v>
      </c>
      <c r="J477" s="20">
        <f>Cleaned_Data!N477</f>
        <v>46121</v>
      </c>
      <c r="K477" t="str">
        <f t="shared" si="70"/>
        <v>Moderate</v>
      </c>
      <c r="L477" s="5" t="str">
        <f>IF(COUNTIF($A$2:A477,A477)&gt;1,"Duplicate","Unique")</f>
        <v>Unique</v>
      </c>
      <c r="M477" t="str">
        <f t="shared" si="71"/>
        <v>2023-03</v>
      </c>
      <c r="N477" s="2">
        <f t="shared" ca="1" si="72"/>
        <v>46121</v>
      </c>
      <c r="O477" s="4">
        <f t="shared" ca="1" si="73"/>
        <v>37</v>
      </c>
      <c r="P477" s="4">
        <f t="shared" ca="1" si="74"/>
        <v>8</v>
      </c>
      <c r="Q477">
        <f t="shared" ca="1" si="75"/>
        <v>5</v>
      </c>
      <c r="R477">
        <f t="shared" si="76"/>
        <v>2</v>
      </c>
      <c r="S477">
        <f t="shared" ca="1" si="77"/>
        <v>2</v>
      </c>
      <c r="T477" t="str">
        <f t="shared" ca="1" si="78"/>
        <v>522</v>
      </c>
      <c r="U477" t="str">
        <f t="shared" ca="1" si="79"/>
        <v>Others</v>
      </c>
    </row>
    <row r="478" spans="1:21">
      <c r="A478" s="13" t="str">
        <f>Cleaned_Data!A478</f>
        <v>MEM0477</v>
      </c>
      <c r="B478" s="14" t="str">
        <f ca="1">Cleaned_Data!D478</f>
        <v>BR05</v>
      </c>
      <c r="C478" s="14" t="str">
        <f ca="1">Cleaned_Data!E478</f>
        <v>Basic</v>
      </c>
      <c r="D478" s="15">
        <f>Cleaned_Data!F478</f>
        <v>45379</v>
      </c>
      <c r="E478" s="15">
        <f>Cleaned_Data!G478</f>
        <v>45744</v>
      </c>
      <c r="F478" s="14">
        <f>Cleaned_Data!H478</f>
        <v>1000</v>
      </c>
      <c r="G478" s="14">
        <f ca="1">Cleaned_Data!I478</f>
        <v>5000</v>
      </c>
      <c r="H478" s="14">
        <f>Cleaned_Data!J478</f>
        <v>24</v>
      </c>
      <c r="I478" s="14" t="str">
        <f>Cleaned_Data!M478</f>
        <v>Active</v>
      </c>
      <c r="J478" s="16">
        <f>Cleaned_Data!N478</f>
        <v>45783</v>
      </c>
      <c r="K478" t="str">
        <f t="shared" si="70"/>
        <v>Highly Active</v>
      </c>
      <c r="L478" s="5" t="str">
        <f>IF(COUNTIF($A$2:A478,A478)&gt;1,"Duplicate","Unique")</f>
        <v>Unique</v>
      </c>
      <c r="M478" t="str">
        <f t="shared" si="71"/>
        <v>2024-03</v>
      </c>
      <c r="N478" s="2">
        <f t="shared" ca="1" si="72"/>
        <v>45783</v>
      </c>
      <c r="O478" s="4">
        <f t="shared" ca="1" si="73"/>
        <v>13</v>
      </c>
      <c r="P478" s="4">
        <f t="shared" ca="1" si="74"/>
        <v>346</v>
      </c>
      <c r="Q478">
        <f t="shared" ca="1" si="75"/>
        <v>2</v>
      </c>
      <c r="R478">
        <f t="shared" si="76"/>
        <v>5</v>
      </c>
      <c r="S478">
        <f t="shared" ca="1" si="77"/>
        <v>3</v>
      </c>
      <c r="T478" t="str">
        <f t="shared" ca="1" si="78"/>
        <v>253</v>
      </c>
      <c r="U478" t="str">
        <f t="shared" ca="1" si="79"/>
        <v>At Risk</v>
      </c>
    </row>
    <row r="479" spans="1:21">
      <c r="A479" s="17" t="str">
        <f>Cleaned_Data!A479</f>
        <v>MEM0478</v>
      </c>
      <c r="B479" s="18" t="str">
        <f ca="1">Cleaned_Data!D479</f>
        <v>BR05</v>
      </c>
      <c r="C479" s="18" t="str">
        <f ca="1">Cleaned_Data!E479</f>
        <v>Basic</v>
      </c>
      <c r="D479" s="19">
        <f>Cleaned_Data!F479</f>
        <v>45524</v>
      </c>
      <c r="E479" s="19">
        <f>Cleaned_Data!G479</f>
        <v>45614</v>
      </c>
      <c r="F479" s="18">
        <f>Cleaned_Data!H479</f>
        <v>1000</v>
      </c>
      <c r="G479" s="18">
        <f ca="1">Cleaned_Data!I479</f>
        <v>2000</v>
      </c>
      <c r="H479" s="18">
        <f>Cleaned_Data!J479</f>
        <v>25</v>
      </c>
      <c r="I479" s="18" t="str">
        <f>Cleaned_Data!M479</f>
        <v>Active</v>
      </c>
      <c r="J479" s="20">
        <f>Cleaned_Data!N479</f>
        <v>45959</v>
      </c>
      <c r="K479" t="str">
        <f t="shared" si="70"/>
        <v>Highly Active</v>
      </c>
      <c r="L479" s="5" t="str">
        <f>IF(COUNTIF($A$2:A479,A479)&gt;1,"Duplicate","Unique")</f>
        <v>Unique</v>
      </c>
      <c r="M479" t="str">
        <f t="shared" si="71"/>
        <v>2024-08</v>
      </c>
      <c r="N479" s="2">
        <f t="shared" ca="1" si="72"/>
        <v>45959</v>
      </c>
      <c r="O479" s="4">
        <f t="shared" ca="1" si="73"/>
        <v>14</v>
      </c>
      <c r="P479" s="4">
        <f t="shared" ca="1" si="74"/>
        <v>170</v>
      </c>
      <c r="Q479">
        <f t="shared" ca="1" si="75"/>
        <v>3</v>
      </c>
      <c r="R479">
        <f t="shared" si="76"/>
        <v>5</v>
      </c>
      <c r="S479">
        <f t="shared" ca="1" si="77"/>
        <v>2</v>
      </c>
      <c r="T479" t="str">
        <f t="shared" ca="1" si="78"/>
        <v>352</v>
      </c>
      <c r="U479" t="str">
        <f t="shared" ca="1" si="79"/>
        <v>Others</v>
      </c>
    </row>
    <row r="480" spans="1:21">
      <c r="A480" s="13" t="str">
        <f>Cleaned_Data!A480</f>
        <v>MEM0479</v>
      </c>
      <c r="B480" s="14" t="str">
        <f ca="1">Cleaned_Data!D480</f>
        <v>BR02</v>
      </c>
      <c r="C480" s="14" t="str">
        <f ca="1">Cleaned_Data!E480</f>
        <v>Premium</v>
      </c>
      <c r="D480" s="15">
        <f>Cleaned_Data!F480</f>
        <v>45143</v>
      </c>
      <c r="E480" s="15">
        <f>Cleaned_Data!G480</f>
        <v>45173</v>
      </c>
      <c r="F480" s="14">
        <f>Cleaned_Data!H480</f>
        <v>2000</v>
      </c>
      <c r="G480" s="14">
        <f ca="1">Cleaned_Data!I480</f>
        <v>18000</v>
      </c>
      <c r="H480" s="14">
        <f>Cleaned_Data!J480</f>
        <v>21</v>
      </c>
      <c r="I480" s="14" t="str">
        <f>Cleaned_Data!M480</f>
        <v>Active</v>
      </c>
      <c r="J480" s="16">
        <f>Cleaned_Data!N480</f>
        <v>46085</v>
      </c>
      <c r="K480" t="str">
        <f t="shared" si="70"/>
        <v>Highly Active</v>
      </c>
      <c r="L480" s="5" t="str">
        <f>IF(COUNTIF($A$2:A480,A480)&gt;1,"Duplicate","Unique")</f>
        <v>Unique</v>
      </c>
      <c r="M480" t="str">
        <f t="shared" si="71"/>
        <v>2023-08</v>
      </c>
      <c r="N480" s="2">
        <f t="shared" ca="1" si="72"/>
        <v>46085</v>
      </c>
      <c r="O480" s="4">
        <f t="shared" ca="1" si="73"/>
        <v>30</v>
      </c>
      <c r="P480" s="4">
        <f t="shared" ca="1" si="74"/>
        <v>44</v>
      </c>
      <c r="Q480">
        <f t="shared" ca="1" si="75"/>
        <v>4</v>
      </c>
      <c r="R480">
        <f t="shared" si="76"/>
        <v>5</v>
      </c>
      <c r="S480">
        <f t="shared" ca="1" si="77"/>
        <v>4</v>
      </c>
      <c r="T480" t="str">
        <f t="shared" ca="1" si="78"/>
        <v>454</v>
      </c>
      <c r="U480" t="str">
        <f t="shared" ca="1" si="79"/>
        <v>Champion</v>
      </c>
    </row>
    <row r="481" spans="1:21">
      <c r="A481" s="17" t="str">
        <f>Cleaned_Data!A481</f>
        <v>MEM0480</v>
      </c>
      <c r="B481" s="18" t="str">
        <f ca="1">Cleaned_Data!D481</f>
        <v>BR01</v>
      </c>
      <c r="C481" s="18" t="str">
        <f ca="1">Cleaned_Data!E481</f>
        <v>Standard</v>
      </c>
      <c r="D481" s="19">
        <f>Cleaned_Data!F481</f>
        <v>45424</v>
      </c>
      <c r="E481" s="19">
        <f>Cleaned_Data!G481</f>
        <v>45789</v>
      </c>
      <c r="F481" s="18">
        <f>Cleaned_Data!H481</f>
        <v>3500</v>
      </c>
      <c r="G481" s="18">
        <f ca="1">Cleaned_Data!I481</f>
        <v>31500</v>
      </c>
      <c r="H481" s="18">
        <f>Cleaned_Data!J481</f>
        <v>8</v>
      </c>
      <c r="I481" s="18" t="str">
        <f>Cleaned_Data!M481</f>
        <v>Active</v>
      </c>
      <c r="J481" s="20">
        <f>Cleaned_Data!N481</f>
        <v>46070</v>
      </c>
      <c r="K481" t="str">
        <f t="shared" si="70"/>
        <v>Moderate</v>
      </c>
      <c r="L481" s="5" t="str">
        <f>IF(COUNTIF($A$2:A481,A481)&gt;1,"Duplicate","Unique")</f>
        <v>Unique</v>
      </c>
      <c r="M481" t="str">
        <f t="shared" si="71"/>
        <v>2024-05</v>
      </c>
      <c r="N481" s="2">
        <f t="shared" ca="1" si="72"/>
        <v>46070</v>
      </c>
      <c r="O481" s="4">
        <f t="shared" ca="1" si="73"/>
        <v>21</v>
      </c>
      <c r="P481" s="4">
        <f t="shared" ca="1" si="74"/>
        <v>59</v>
      </c>
      <c r="Q481">
        <f t="shared" ca="1" si="75"/>
        <v>4</v>
      </c>
      <c r="R481">
        <f t="shared" si="76"/>
        <v>2</v>
      </c>
      <c r="S481">
        <f t="shared" ca="1" si="77"/>
        <v>5</v>
      </c>
      <c r="T481" t="str">
        <f t="shared" ca="1" si="78"/>
        <v>425</v>
      </c>
      <c r="U481" t="str">
        <f t="shared" ca="1" si="79"/>
        <v>Others</v>
      </c>
    </row>
    <row r="482" spans="1:21">
      <c r="A482" s="13" t="str">
        <f>Cleaned_Data!A482</f>
        <v>MEM0481</v>
      </c>
      <c r="B482" s="14" t="str">
        <f ca="1">Cleaned_Data!D482</f>
        <v>BR05</v>
      </c>
      <c r="C482" s="14" t="str">
        <f ca="1">Cleaned_Data!E482</f>
        <v>Premium</v>
      </c>
      <c r="D482" s="15">
        <f>Cleaned_Data!F482</f>
        <v>45781</v>
      </c>
      <c r="E482" s="15">
        <f>Cleaned_Data!G482</f>
        <v>46146</v>
      </c>
      <c r="F482" s="14">
        <f>Cleaned_Data!H482</f>
        <v>3500</v>
      </c>
      <c r="G482" s="14">
        <f ca="1">Cleaned_Data!I482</f>
        <v>17500</v>
      </c>
      <c r="H482" s="14">
        <f>Cleaned_Data!J482</f>
        <v>17</v>
      </c>
      <c r="I482" s="14" t="str">
        <f>Cleaned_Data!M482</f>
        <v>Active</v>
      </c>
      <c r="J482" s="16">
        <f>Cleaned_Data!N482</f>
        <v>46073</v>
      </c>
      <c r="K482" t="str">
        <f t="shared" si="70"/>
        <v>Highly Active</v>
      </c>
      <c r="L482" s="5" t="str">
        <f>IF(COUNTIF($A$2:A482,A482)&gt;1,"Duplicate","Unique")</f>
        <v>Unique</v>
      </c>
      <c r="M482" t="str">
        <f t="shared" si="71"/>
        <v>2025-05</v>
      </c>
      <c r="N482" s="2">
        <f t="shared" ca="1" si="72"/>
        <v>46073</v>
      </c>
      <c r="O482" s="4">
        <f t="shared" ca="1" si="73"/>
        <v>9</v>
      </c>
      <c r="P482" s="4">
        <f t="shared" ca="1" si="74"/>
        <v>56</v>
      </c>
      <c r="Q482">
        <f t="shared" ca="1" si="75"/>
        <v>4</v>
      </c>
      <c r="R482">
        <f t="shared" si="76"/>
        <v>4</v>
      </c>
      <c r="S482">
        <f t="shared" ca="1" si="77"/>
        <v>4</v>
      </c>
      <c r="T482" t="str">
        <f t="shared" ca="1" si="78"/>
        <v>444</v>
      </c>
      <c r="U482" t="str">
        <f t="shared" ca="1" si="79"/>
        <v>Champion</v>
      </c>
    </row>
    <row r="483" spans="1:21">
      <c r="A483" s="17" t="str">
        <f>Cleaned_Data!A483</f>
        <v>MEM0482</v>
      </c>
      <c r="B483" s="18" t="str">
        <f ca="1">Cleaned_Data!D483</f>
        <v>BR01</v>
      </c>
      <c r="C483" s="18" t="str">
        <f ca="1">Cleaned_Data!E483</f>
        <v>Basic</v>
      </c>
      <c r="D483" s="19">
        <f>Cleaned_Data!F483</f>
        <v>44994</v>
      </c>
      <c r="E483" s="19">
        <f>Cleaned_Data!G483</f>
        <v>45024</v>
      </c>
      <c r="F483" s="18">
        <f>Cleaned_Data!H483</f>
        <v>3500</v>
      </c>
      <c r="G483" s="18">
        <f ca="1">Cleaned_Data!I483</f>
        <v>28000</v>
      </c>
      <c r="H483" s="18">
        <f>Cleaned_Data!J483</f>
        <v>6</v>
      </c>
      <c r="I483" s="18" t="str">
        <f>Cleaned_Data!M483</f>
        <v>Active</v>
      </c>
      <c r="J483" s="20">
        <f>Cleaned_Data!N483</f>
        <v>45103</v>
      </c>
      <c r="K483" t="str">
        <f t="shared" si="70"/>
        <v>Moderate</v>
      </c>
      <c r="L483" s="5" t="str">
        <f>IF(COUNTIF($A$2:A483,A483)&gt;1,"Duplicate","Unique")</f>
        <v>Unique</v>
      </c>
      <c r="M483" t="str">
        <f t="shared" si="71"/>
        <v>2023-03</v>
      </c>
      <c r="N483" s="2">
        <f t="shared" ca="1" si="72"/>
        <v>45103</v>
      </c>
      <c r="O483" s="4">
        <f t="shared" ca="1" si="73"/>
        <v>3</v>
      </c>
      <c r="P483" s="4">
        <f t="shared" ca="1" si="74"/>
        <v>1026</v>
      </c>
      <c r="Q483">
        <f t="shared" ca="1" si="75"/>
        <v>1</v>
      </c>
      <c r="R483">
        <f t="shared" si="76"/>
        <v>2</v>
      </c>
      <c r="S483">
        <f t="shared" ca="1" si="77"/>
        <v>5</v>
      </c>
      <c r="T483" t="str">
        <f t="shared" ca="1" si="78"/>
        <v>125</v>
      </c>
      <c r="U483" t="str">
        <f t="shared" ca="1" si="79"/>
        <v>At Risk</v>
      </c>
    </row>
    <row r="484" spans="1:21">
      <c r="A484" s="13" t="str">
        <f>Cleaned_Data!A484</f>
        <v>MEM0483</v>
      </c>
      <c r="B484" s="14" t="str">
        <f ca="1">Cleaned_Data!D484</f>
        <v>BR02</v>
      </c>
      <c r="C484" s="14" t="str">
        <f ca="1">Cleaned_Data!E484</f>
        <v>Basic</v>
      </c>
      <c r="D484" s="15">
        <f>Cleaned_Data!F484</f>
        <v>45754</v>
      </c>
      <c r="E484" s="15">
        <f>Cleaned_Data!G484</f>
        <v>45784</v>
      </c>
      <c r="F484" s="14">
        <f>Cleaned_Data!H484</f>
        <v>2000</v>
      </c>
      <c r="G484" s="14">
        <f ca="1">Cleaned_Data!I484</f>
        <v>6000</v>
      </c>
      <c r="H484" s="14">
        <f>Cleaned_Data!J484</f>
        <v>15</v>
      </c>
      <c r="I484" s="14" t="str">
        <f>Cleaned_Data!M484</f>
        <v>Active</v>
      </c>
      <c r="J484" s="16">
        <f>Cleaned_Data!N484</f>
        <v>45802</v>
      </c>
      <c r="K484" t="str">
        <f t="shared" si="70"/>
        <v>Highly Active</v>
      </c>
      <c r="L484" s="5" t="str">
        <f>IF(COUNTIF($A$2:A484,A484)&gt;1,"Duplicate","Unique")</f>
        <v>Unique</v>
      </c>
      <c r="M484" t="str">
        <f t="shared" si="71"/>
        <v>2025-04</v>
      </c>
      <c r="N484" s="2">
        <f t="shared" ca="1" si="72"/>
        <v>45802</v>
      </c>
      <c r="O484" s="4">
        <f t="shared" ca="1" si="73"/>
        <v>1</v>
      </c>
      <c r="P484" s="4">
        <f t="shared" ca="1" si="74"/>
        <v>327</v>
      </c>
      <c r="Q484">
        <f t="shared" ca="1" si="75"/>
        <v>2</v>
      </c>
      <c r="R484">
        <f t="shared" si="76"/>
        <v>4</v>
      </c>
      <c r="S484">
        <f t="shared" ca="1" si="77"/>
        <v>3</v>
      </c>
      <c r="T484" t="str">
        <f t="shared" ca="1" si="78"/>
        <v>243</v>
      </c>
      <c r="U484" t="str">
        <f t="shared" ca="1" si="79"/>
        <v>At Risk</v>
      </c>
    </row>
    <row r="485" spans="1:21">
      <c r="A485" s="17" t="str">
        <f>Cleaned_Data!A485</f>
        <v>MEM0484</v>
      </c>
      <c r="B485" s="18" t="str">
        <f ca="1">Cleaned_Data!D485</f>
        <v>BR03</v>
      </c>
      <c r="C485" s="18" t="str">
        <f ca="1">Cleaned_Data!E485</f>
        <v>Basic</v>
      </c>
      <c r="D485" s="19">
        <f>Cleaned_Data!F485</f>
        <v>45255</v>
      </c>
      <c r="E485" s="19">
        <f>Cleaned_Data!G485</f>
        <v>45285</v>
      </c>
      <c r="F485" s="18">
        <f>Cleaned_Data!H485</f>
        <v>2000</v>
      </c>
      <c r="G485" s="18">
        <f ca="1">Cleaned_Data!I485</f>
        <v>16000</v>
      </c>
      <c r="H485" s="18">
        <f>Cleaned_Data!J485</f>
        <v>8</v>
      </c>
      <c r="I485" s="18" t="str">
        <f>Cleaned_Data!M485</f>
        <v>Active</v>
      </c>
      <c r="J485" s="20">
        <f>Cleaned_Data!N485</f>
        <v>46055</v>
      </c>
      <c r="K485" t="str">
        <f t="shared" si="70"/>
        <v>Moderate</v>
      </c>
      <c r="L485" s="5" t="str">
        <f>IF(COUNTIF($A$2:A485,A485)&gt;1,"Duplicate","Unique")</f>
        <v>Unique</v>
      </c>
      <c r="M485" t="str">
        <f t="shared" si="71"/>
        <v>2023-11</v>
      </c>
      <c r="N485" s="2">
        <f t="shared" ca="1" si="72"/>
        <v>46055</v>
      </c>
      <c r="O485" s="4">
        <f t="shared" ca="1" si="73"/>
        <v>26</v>
      </c>
      <c r="P485" s="4">
        <f t="shared" ca="1" si="74"/>
        <v>74</v>
      </c>
      <c r="Q485">
        <f t="shared" ca="1" si="75"/>
        <v>4</v>
      </c>
      <c r="R485">
        <f t="shared" si="76"/>
        <v>2</v>
      </c>
      <c r="S485">
        <f t="shared" ca="1" si="77"/>
        <v>4</v>
      </c>
      <c r="T485" t="str">
        <f t="shared" ca="1" si="78"/>
        <v>424</v>
      </c>
      <c r="U485" t="str">
        <f t="shared" ca="1" si="79"/>
        <v>Others</v>
      </c>
    </row>
    <row r="486" spans="1:21">
      <c r="A486" s="13" t="str">
        <f>Cleaned_Data!A486</f>
        <v>MEM0485</v>
      </c>
      <c r="B486" s="14" t="str">
        <f ca="1">Cleaned_Data!D486</f>
        <v>BR05</v>
      </c>
      <c r="C486" s="14" t="str">
        <f ca="1">Cleaned_Data!E486</f>
        <v>Standard</v>
      </c>
      <c r="D486" s="15">
        <f>Cleaned_Data!F486</f>
        <v>45223</v>
      </c>
      <c r="E486" s="15">
        <f>Cleaned_Data!G486</f>
        <v>45588</v>
      </c>
      <c r="F486" s="14">
        <f>Cleaned_Data!H486</f>
        <v>2000</v>
      </c>
      <c r="G486" s="14">
        <f ca="1">Cleaned_Data!I486</f>
        <v>18000</v>
      </c>
      <c r="H486" s="14">
        <f>Cleaned_Data!J486</f>
        <v>5</v>
      </c>
      <c r="I486" s="14" t="str">
        <f>Cleaned_Data!M486</f>
        <v>Active</v>
      </c>
      <c r="J486" s="16">
        <f>Cleaned_Data!N486</f>
        <v>45458</v>
      </c>
      <c r="K486" t="str">
        <f t="shared" si="70"/>
        <v>Moderate</v>
      </c>
      <c r="L486" s="5" t="str">
        <f>IF(COUNTIF($A$2:A486,A486)&gt;1,"Duplicate","Unique")</f>
        <v>Unique</v>
      </c>
      <c r="M486" t="str">
        <f t="shared" si="71"/>
        <v>2023-10</v>
      </c>
      <c r="N486" s="2">
        <f t="shared" ca="1" si="72"/>
        <v>45458</v>
      </c>
      <c r="O486" s="4">
        <f t="shared" ca="1" si="73"/>
        <v>7</v>
      </c>
      <c r="P486" s="4">
        <f t="shared" ca="1" si="74"/>
        <v>671</v>
      </c>
      <c r="Q486">
        <f t="shared" ca="1" si="75"/>
        <v>1</v>
      </c>
      <c r="R486">
        <f t="shared" si="76"/>
        <v>2</v>
      </c>
      <c r="S486">
        <f t="shared" ca="1" si="77"/>
        <v>4</v>
      </c>
      <c r="T486" t="str">
        <f t="shared" ca="1" si="78"/>
        <v>124</v>
      </c>
      <c r="U486" t="str">
        <f t="shared" ca="1" si="79"/>
        <v>At Risk</v>
      </c>
    </row>
    <row r="487" spans="1:21">
      <c r="A487" s="17" t="str">
        <f>Cleaned_Data!A487</f>
        <v>MEM0486</v>
      </c>
      <c r="B487" s="18" t="str">
        <f ca="1">Cleaned_Data!D487</f>
        <v>BR05</v>
      </c>
      <c r="C487" s="18" t="str">
        <f ca="1">Cleaned_Data!E487</f>
        <v>Premium</v>
      </c>
      <c r="D487" s="19">
        <f>Cleaned_Data!F487</f>
        <v>45911</v>
      </c>
      <c r="E487" s="19">
        <f>Cleaned_Data!G487</f>
        <v>46001</v>
      </c>
      <c r="F487" s="18">
        <f>Cleaned_Data!H487</f>
        <v>3500</v>
      </c>
      <c r="G487" s="18">
        <f ca="1">Cleaned_Data!I487</f>
        <v>7000</v>
      </c>
      <c r="H487" s="18">
        <f>Cleaned_Data!J487</f>
        <v>10</v>
      </c>
      <c r="I487" s="18" t="str">
        <f>Cleaned_Data!M487</f>
        <v>Active</v>
      </c>
      <c r="J487" s="20">
        <f>Cleaned_Data!N487</f>
        <v>45930</v>
      </c>
      <c r="K487" t="str">
        <f t="shared" si="70"/>
        <v>Moderate</v>
      </c>
      <c r="L487" s="5" t="str">
        <f>IF(COUNTIF($A$2:A487,A487)&gt;1,"Duplicate","Unique")</f>
        <v>Unique</v>
      </c>
      <c r="M487" t="str">
        <f t="shared" si="71"/>
        <v>2025-09</v>
      </c>
      <c r="N487" s="2">
        <f t="shared" ca="1" si="72"/>
        <v>45930</v>
      </c>
      <c r="O487" s="4">
        <f t="shared" ca="1" si="73"/>
        <v>0</v>
      </c>
      <c r="P487" s="4">
        <f t="shared" ca="1" si="74"/>
        <v>199</v>
      </c>
      <c r="Q487">
        <f t="shared" ca="1" si="75"/>
        <v>2</v>
      </c>
      <c r="R487">
        <f t="shared" si="76"/>
        <v>3</v>
      </c>
      <c r="S487">
        <f t="shared" ca="1" si="77"/>
        <v>3</v>
      </c>
      <c r="T487" t="str">
        <f t="shared" ca="1" si="78"/>
        <v>233</v>
      </c>
      <c r="U487" t="str">
        <f t="shared" ca="1" si="79"/>
        <v>At Risk</v>
      </c>
    </row>
    <row r="488" spans="1:21">
      <c r="A488" s="13" t="str">
        <f>Cleaned_Data!A488</f>
        <v>MEM0487</v>
      </c>
      <c r="B488" s="14" t="str">
        <f ca="1">Cleaned_Data!D488</f>
        <v>BR05</v>
      </c>
      <c r="C488" s="14" t="str">
        <f ca="1">Cleaned_Data!E488</f>
        <v>Premium</v>
      </c>
      <c r="D488" s="15">
        <f>Cleaned_Data!F488</f>
        <v>45128</v>
      </c>
      <c r="E488" s="15">
        <f>Cleaned_Data!G488</f>
        <v>45493</v>
      </c>
      <c r="F488" s="14">
        <f>Cleaned_Data!H488</f>
        <v>1000</v>
      </c>
      <c r="G488" s="14">
        <f ca="1">Cleaned_Data!I488</f>
        <v>10000</v>
      </c>
      <c r="H488" s="14">
        <f>Cleaned_Data!J488</f>
        <v>13</v>
      </c>
      <c r="I488" s="14" t="str">
        <f>Cleaned_Data!M488</f>
        <v>Cancelled</v>
      </c>
      <c r="J488" s="16">
        <f>Cleaned_Data!N488</f>
        <v>45298</v>
      </c>
      <c r="K488" t="str">
        <f t="shared" si="70"/>
        <v>Moderate</v>
      </c>
      <c r="L488" s="5" t="str">
        <f>IF(COUNTIF($A$2:A488,A488)&gt;1,"Duplicate","Unique")</f>
        <v>Unique</v>
      </c>
      <c r="M488" t="str">
        <f t="shared" si="71"/>
        <v>2023-07</v>
      </c>
      <c r="N488" s="2">
        <f t="shared" ca="1" si="72"/>
        <v>45298</v>
      </c>
      <c r="O488" s="4">
        <f t="shared" ca="1" si="73"/>
        <v>5</v>
      </c>
      <c r="P488" s="4">
        <f t="shared" ca="1" si="74"/>
        <v>831</v>
      </c>
      <c r="Q488">
        <f t="shared" ca="1" si="75"/>
        <v>1</v>
      </c>
      <c r="R488">
        <f t="shared" si="76"/>
        <v>3</v>
      </c>
      <c r="S488">
        <f t="shared" ca="1" si="77"/>
        <v>4</v>
      </c>
      <c r="T488" t="str">
        <f t="shared" ca="1" si="78"/>
        <v>134</v>
      </c>
      <c r="U488" t="str">
        <f t="shared" ca="1" si="79"/>
        <v>At Risk</v>
      </c>
    </row>
    <row r="489" spans="1:21">
      <c r="A489" s="17" t="str">
        <f>Cleaned_Data!A489</f>
        <v>MEM0488</v>
      </c>
      <c r="B489" s="18" t="str">
        <f ca="1">Cleaned_Data!D489</f>
        <v>BR02</v>
      </c>
      <c r="C489" s="18" t="str">
        <f ca="1">Cleaned_Data!E489</f>
        <v>Premium</v>
      </c>
      <c r="D489" s="19">
        <f>Cleaned_Data!F489</f>
        <v>45590</v>
      </c>
      <c r="E489" s="19">
        <f>Cleaned_Data!G489</f>
        <v>45620</v>
      </c>
      <c r="F489" s="18">
        <f>Cleaned_Data!H489</f>
        <v>1000</v>
      </c>
      <c r="G489" s="18">
        <f ca="1">Cleaned_Data!I489</f>
        <v>2000</v>
      </c>
      <c r="H489" s="18">
        <f>Cleaned_Data!J489</f>
        <v>7</v>
      </c>
      <c r="I489" s="18" t="str">
        <f>Cleaned_Data!M489</f>
        <v>Active</v>
      </c>
      <c r="J489" s="20">
        <f>Cleaned_Data!N489</f>
        <v>45935</v>
      </c>
      <c r="K489" t="str">
        <f t="shared" si="70"/>
        <v>Moderate</v>
      </c>
      <c r="L489" s="5" t="str">
        <f>IF(COUNTIF($A$2:A489,A489)&gt;1,"Duplicate","Unique")</f>
        <v>Unique</v>
      </c>
      <c r="M489" t="str">
        <f t="shared" si="71"/>
        <v>2024-10</v>
      </c>
      <c r="N489" s="2">
        <f t="shared" ca="1" si="72"/>
        <v>45935</v>
      </c>
      <c r="O489" s="4">
        <f t="shared" ca="1" si="73"/>
        <v>11</v>
      </c>
      <c r="P489" s="4">
        <f t="shared" ca="1" si="74"/>
        <v>194</v>
      </c>
      <c r="Q489">
        <f t="shared" ca="1" si="75"/>
        <v>2</v>
      </c>
      <c r="R489">
        <f t="shared" si="76"/>
        <v>2</v>
      </c>
      <c r="S489">
        <f t="shared" ca="1" si="77"/>
        <v>2</v>
      </c>
      <c r="T489" t="str">
        <f t="shared" ca="1" si="78"/>
        <v>222</v>
      </c>
      <c r="U489" t="str">
        <f t="shared" ca="1" si="79"/>
        <v>At Risk</v>
      </c>
    </row>
    <row r="490" spans="1:21">
      <c r="A490" s="13" t="str">
        <f>Cleaned_Data!A490</f>
        <v>MEM0489</v>
      </c>
      <c r="B490" s="14" t="str">
        <f ca="1">Cleaned_Data!D490</f>
        <v>BR01</v>
      </c>
      <c r="C490" s="14" t="str">
        <f ca="1">Cleaned_Data!E490</f>
        <v>Standard</v>
      </c>
      <c r="D490" s="15">
        <f>Cleaned_Data!F490</f>
        <v>45422</v>
      </c>
      <c r="E490" s="15">
        <f>Cleaned_Data!G490</f>
        <v>45512</v>
      </c>
      <c r="F490" s="14">
        <f>Cleaned_Data!H490</f>
        <v>2000</v>
      </c>
      <c r="G490" s="14">
        <f ca="1">Cleaned_Data!I490</f>
        <v>16000</v>
      </c>
      <c r="H490" s="14">
        <f>Cleaned_Data!J490</f>
        <v>18</v>
      </c>
      <c r="I490" s="14" t="str">
        <f>Cleaned_Data!M490</f>
        <v>Active</v>
      </c>
      <c r="J490" s="16">
        <f>Cleaned_Data!N490</f>
        <v>45444</v>
      </c>
      <c r="K490" t="str">
        <f t="shared" si="70"/>
        <v>Highly Active</v>
      </c>
      <c r="L490" s="5" t="str">
        <f>IF(COUNTIF($A$2:A490,A490)&gt;1,"Duplicate","Unique")</f>
        <v>Unique</v>
      </c>
      <c r="M490" t="str">
        <f t="shared" si="71"/>
        <v>2024-05</v>
      </c>
      <c r="N490" s="2">
        <f t="shared" ca="1" si="72"/>
        <v>45444</v>
      </c>
      <c r="O490" s="4">
        <f t="shared" ca="1" si="73"/>
        <v>0</v>
      </c>
      <c r="P490" s="4">
        <f t="shared" ca="1" si="74"/>
        <v>685</v>
      </c>
      <c r="Q490">
        <f t="shared" ca="1" si="75"/>
        <v>1</v>
      </c>
      <c r="R490">
        <f t="shared" si="76"/>
        <v>4</v>
      </c>
      <c r="S490">
        <f t="shared" ca="1" si="77"/>
        <v>4</v>
      </c>
      <c r="T490" t="str">
        <f t="shared" ca="1" si="78"/>
        <v>144</v>
      </c>
      <c r="U490" t="str">
        <f t="shared" ca="1" si="79"/>
        <v>At Risk</v>
      </c>
    </row>
    <row r="491" spans="1:21">
      <c r="A491" s="17" t="str">
        <f>Cleaned_Data!A491</f>
        <v>MEM0490</v>
      </c>
      <c r="B491" s="18" t="str">
        <f ca="1">Cleaned_Data!D491</f>
        <v>BR07</v>
      </c>
      <c r="C491" s="18" t="str">
        <f ca="1">Cleaned_Data!E491</f>
        <v>Premium</v>
      </c>
      <c r="D491" s="19">
        <f>Cleaned_Data!F491</f>
        <v>45767</v>
      </c>
      <c r="E491" s="19">
        <f>Cleaned_Data!G491</f>
        <v>45857</v>
      </c>
      <c r="F491" s="18">
        <f>Cleaned_Data!H491</f>
        <v>2000</v>
      </c>
      <c r="G491" s="18">
        <f ca="1">Cleaned_Data!I491</f>
        <v>16000</v>
      </c>
      <c r="H491" s="18">
        <f>Cleaned_Data!J491</f>
        <v>24</v>
      </c>
      <c r="I491" s="18" t="str">
        <f>Cleaned_Data!M491</f>
        <v>Active</v>
      </c>
      <c r="J491" s="20">
        <f>Cleaned_Data!N491</f>
        <v>45923</v>
      </c>
      <c r="K491" t="str">
        <f t="shared" si="70"/>
        <v>Highly Active</v>
      </c>
      <c r="L491" s="5" t="str">
        <f>IF(COUNTIF($A$2:A491,A491)&gt;1,"Duplicate","Unique")</f>
        <v>Unique</v>
      </c>
      <c r="M491" t="str">
        <f t="shared" si="71"/>
        <v>2025-04</v>
      </c>
      <c r="N491" s="2">
        <f t="shared" ca="1" si="72"/>
        <v>45923</v>
      </c>
      <c r="O491" s="4">
        <f t="shared" ca="1" si="73"/>
        <v>5</v>
      </c>
      <c r="P491" s="4">
        <f t="shared" ca="1" si="74"/>
        <v>206</v>
      </c>
      <c r="Q491">
        <f t="shared" ca="1" si="75"/>
        <v>2</v>
      </c>
      <c r="R491">
        <f t="shared" si="76"/>
        <v>5</v>
      </c>
      <c r="S491">
        <f t="shared" ca="1" si="77"/>
        <v>4</v>
      </c>
      <c r="T491" t="str">
        <f t="shared" ca="1" si="78"/>
        <v>254</v>
      </c>
      <c r="U491" t="str">
        <f t="shared" ca="1" si="79"/>
        <v>At Risk</v>
      </c>
    </row>
    <row r="492" spans="1:21">
      <c r="A492" s="13" t="str">
        <f>Cleaned_Data!A492</f>
        <v>MEM0491</v>
      </c>
      <c r="B492" s="14" t="str">
        <f ca="1">Cleaned_Data!D492</f>
        <v>BR06</v>
      </c>
      <c r="C492" s="14" t="str">
        <f ca="1">Cleaned_Data!E492</f>
        <v>Standard</v>
      </c>
      <c r="D492" s="15">
        <f>Cleaned_Data!F492</f>
        <v>46031</v>
      </c>
      <c r="E492" s="15">
        <f>Cleaned_Data!G492</f>
        <v>46061</v>
      </c>
      <c r="F492" s="14">
        <f>Cleaned_Data!H492</f>
        <v>2000</v>
      </c>
      <c r="G492" s="14">
        <f ca="1">Cleaned_Data!I492</f>
        <v>24000</v>
      </c>
      <c r="H492" s="14">
        <f>Cleaned_Data!J492</f>
        <v>8</v>
      </c>
      <c r="I492" s="14" t="str">
        <f>Cleaned_Data!M492</f>
        <v>Active</v>
      </c>
      <c r="J492" s="16">
        <f>Cleaned_Data!N492</f>
        <v>46100</v>
      </c>
      <c r="K492" t="str">
        <f t="shared" si="70"/>
        <v>Moderate</v>
      </c>
      <c r="L492" s="5" t="str">
        <f>IF(COUNTIF($A$2:A492,A492)&gt;1,"Duplicate","Unique")</f>
        <v>Unique</v>
      </c>
      <c r="M492" t="str">
        <f t="shared" si="71"/>
        <v>2026-01</v>
      </c>
      <c r="N492" s="2">
        <f t="shared" ca="1" si="72"/>
        <v>46100</v>
      </c>
      <c r="O492" s="4">
        <f t="shared" ca="1" si="73"/>
        <v>2</v>
      </c>
      <c r="P492" s="4">
        <f t="shared" ca="1" si="74"/>
        <v>29</v>
      </c>
      <c r="Q492">
        <f t="shared" ca="1" si="75"/>
        <v>5</v>
      </c>
      <c r="R492">
        <f t="shared" si="76"/>
        <v>2</v>
      </c>
      <c r="S492">
        <f t="shared" ca="1" si="77"/>
        <v>5</v>
      </c>
      <c r="T492" t="str">
        <f t="shared" ca="1" si="78"/>
        <v>525</v>
      </c>
      <c r="U492" t="str">
        <f t="shared" ca="1" si="79"/>
        <v>Others</v>
      </c>
    </row>
    <row r="493" spans="1:21">
      <c r="A493" s="17" t="str">
        <f>Cleaned_Data!A493</f>
        <v>MEM0492</v>
      </c>
      <c r="B493" s="18" t="str">
        <f ca="1">Cleaned_Data!D493</f>
        <v>BR03</v>
      </c>
      <c r="C493" s="18" t="str">
        <f ca="1">Cleaned_Data!E493</f>
        <v>Standard</v>
      </c>
      <c r="D493" s="19">
        <f>Cleaned_Data!F493</f>
        <v>45446</v>
      </c>
      <c r="E493" s="19">
        <f>Cleaned_Data!G493</f>
        <v>45536</v>
      </c>
      <c r="F493" s="18">
        <f>Cleaned_Data!H493</f>
        <v>1000</v>
      </c>
      <c r="G493" s="18">
        <f ca="1">Cleaned_Data!I493</f>
        <v>12000</v>
      </c>
      <c r="H493" s="18">
        <f>Cleaned_Data!J493</f>
        <v>13</v>
      </c>
      <c r="I493" s="18" t="str">
        <f>Cleaned_Data!M493</f>
        <v>Active</v>
      </c>
      <c r="J493" s="20">
        <f>Cleaned_Data!N493</f>
        <v>45735</v>
      </c>
      <c r="K493" t="str">
        <f t="shared" si="70"/>
        <v>Moderate</v>
      </c>
      <c r="L493" s="5" t="str">
        <f>IF(COUNTIF($A$2:A493,A493)&gt;1,"Duplicate","Unique")</f>
        <v>Unique</v>
      </c>
      <c r="M493" t="str">
        <f t="shared" si="71"/>
        <v>2024-06</v>
      </c>
      <c r="N493" s="2">
        <f t="shared" ca="1" si="72"/>
        <v>45735</v>
      </c>
      <c r="O493" s="4">
        <f t="shared" ca="1" si="73"/>
        <v>9</v>
      </c>
      <c r="P493" s="4">
        <f t="shared" ca="1" si="74"/>
        <v>394</v>
      </c>
      <c r="Q493">
        <f t="shared" ca="1" si="75"/>
        <v>1</v>
      </c>
      <c r="R493">
        <f t="shared" si="76"/>
        <v>3</v>
      </c>
      <c r="S493">
        <f t="shared" ca="1" si="77"/>
        <v>4</v>
      </c>
      <c r="T493" t="str">
        <f t="shared" ca="1" si="78"/>
        <v>134</v>
      </c>
      <c r="U493" t="str">
        <f t="shared" ca="1" si="79"/>
        <v>At Risk</v>
      </c>
    </row>
    <row r="494" spans="1:21">
      <c r="A494" s="13" t="str">
        <f>Cleaned_Data!A494</f>
        <v>MEM0493</v>
      </c>
      <c r="B494" s="14" t="str">
        <f ca="1">Cleaned_Data!D494</f>
        <v>BR06</v>
      </c>
      <c r="C494" s="14" t="str">
        <f ca="1">Cleaned_Data!E494</f>
        <v>Basic</v>
      </c>
      <c r="D494" s="15">
        <f>Cleaned_Data!F494</f>
        <v>46031</v>
      </c>
      <c r="E494" s="15">
        <f>Cleaned_Data!G494</f>
        <v>46396</v>
      </c>
      <c r="F494" s="14">
        <f>Cleaned_Data!H494</f>
        <v>3500</v>
      </c>
      <c r="G494" s="14">
        <f ca="1">Cleaned_Data!I494</f>
        <v>21000</v>
      </c>
      <c r="H494" s="14">
        <f>Cleaned_Data!J494</f>
        <v>7</v>
      </c>
      <c r="I494" s="14" t="str">
        <f>Cleaned_Data!M494</f>
        <v>Active</v>
      </c>
      <c r="J494" s="16">
        <f>Cleaned_Data!N494</f>
        <v>46036</v>
      </c>
      <c r="K494" t="str">
        <f t="shared" si="70"/>
        <v>Moderate</v>
      </c>
      <c r="L494" s="5" t="str">
        <f>IF(COUNTIF($A$2:A494,A494)&gt;1,"Duplicate","Unique")</f>
        <v>Unique</v>
      </c>
      <c r="M494" t="str">
        <f t="shared" si="71"/>
        <v>2026-01</v>
      </c>
      <c r="N494" s="2">
        <f t="shared" ca="1" si="72"/>
        <v>46036</v>
      </c>
      <c r="O494" s="4">
        <f t="shared" ca="1" si="73"/>
        <v>0</v>
      </c>
      <c r="P494" s="4">
        <f t="shared" ca="1" si="74"/>
        <v>93</v>
      </c>
      <c r="Q494">
        <f t="shared" ca="1" si="75"/>
        <v>3</v>
      </c>
      <c r="R494">
        <f t="shared" si="76"/>
        <v>2</v>
      </c>
      <c r="S494">
        <f t="shared" ca="1" si="77"/>
        <v>5</v>
      </c>
      <c r="T494" t="str">
        <f t="shared" ca="1" si="78"/>
        <v>325</v>
      </c>
      <c r="U494" t="str">
        <f t="shared" ca="1" si="79"/>
        <v>Others</v>
      </c>
    </row>
    <row r="495" spans="1:21">
      <c r="A495" s="17" t="str">
        <f>Cleaned_Data!A495</f>
        <v>MEM0494</v>
      </c>
      <c r="B495" s="18" t="str">
        <f ca="1">Cleaned_Data!D495</f>
        <v>BR01</v>
      </c>
      <c r="C495" s="18" t="str">
        <f ca="1">Cleaned_Data!E495</f>
        <v>Basic</v>
      </c>
      <c r="D495" s="19">
        <f>Cleaned_Data!F495</f>
        <v>45474</v>
      </c>
      <c r="E495" s="19">
        <f>Cleaned_Data!G495</f>
        <v>45504</v>
      </c>
      <c r="F495" s="18">
        <f>Cleaned_Data!H495</f>
        <v>2000</v>
      </c>
      <c r="G495" s="18">
        <f ca="1">Cleaned_Data!I495</f>
        <v>2000</v>
      </c>
      <c r="H495" s="18">
        <f>Cleaned_Data!J495</f>
        <v>16</v>
      </c>
      <c r="I495" s="18" t="str">
        <f>Cleaned_Data!M495</f>
        <v>Active</v>
      </c>
      <c r="J495" s="20">
        <f>Cleaned_Data!N495</f>
        <v>46021</v>
      </c>
      <c r="K495" t="str">
        <f t="shared" si="70"/>
        <v>Highly Active</v>
      </c>
      <c r="L495" s="5" t="str">
        <f>IF(COUNTIF($A$2:A495,A495)&gt;1,"Duplicate","Unique")</f>
        <v>Unique</v>
      </c>
      <c r="M495" t="str">
        <f t="shared" si="71"/>
        <v>2024-07</v>
      </c>
      <c r="N495" s="2">
        <f t="shared" ca="1" si="72"/>
        <v>46021</v>
      </c>
      <c r="O495" s="4">
        <f t="shared" ca="1" si="73"/>
        <v>17</v>
      </c>
      <c r="P495" s="4">
        <f t="shared" ca="1" si="74"/>
        <v>108</v>
      </c>
      <c r="Q495">
        <f t="shared" ca="1" si="75"/>
        <v>3</v>
      </c>
      <c r="R495">
        <f t="shared" si="76"/>
        <v>4</v>
      </c>
      <c r="S495">
        <f t="shared" ca="1" si="77"/>
        <v>2</v>
      </c>
      <c r="T495" t="str">
        <f t="shared" ca="1" si="78"/>
        <v>342</v>
      </c>
      <c r="U495" t="str">
        <f t="shared" ca="1" si="79"/>
        <v>Others</v>
      </c>
    </row>
    <row r="496" spans="1:21">
      <c r="A496" s="13" t="str">
        <f>Cleaned_Data!A496</f>
        <v>MEM0495</v>
      </c>
      <c r="B496" s="14" t="str">
        <f ca="1">Cleaned_Data!D496</f>
        <v>BR06</v>
      </c>
      <c r="C496" s="14" t="str">
        <f ca="1">Cleaned_Data!E496</f>
        <v>Basic</v>
      </c>
      <c r="D496" s="15">
        <f>Cleaned_Data!F496</f>
        <v>45632</v>
      </c>
      <c r="E496" s="15">
        <f>Cleaned_Data!G496</f>
        <v>45997</v>
      </c>
      <c r="F496" s="14">
        <f>Cleaned_Data!H496</f>
        <v>1000</v>
      </c>
      <c r="G496" s="14">
        <f ca="1">Cleaned_Data!I496</f>
        <v>5000</v>
      </c>
      <c r="H496" s="14">
        <f>Cleaned_Data!J496</f>
        <v>17</v>
      </c>
      <c r="I496" s="14" t="str">
        <f>Cleaned_Data!M496</f>
        <v>Active</v>
      </c>
      <c r="J496" s="16">
        <f>Cleaned_Data!N496</f>
        <v>45834</v>
      </c>
      <c r="K496" t="str">
        <f t="shared" si="70"/>
        <v>Highly Active</v>
      </c>
      <c r="L496" s="5" t="str">
        <f>IF(COUNTIF($A$2:A496,A496)&gt;1,"Duplicate","Unique")</f>
        <v>Unique</v>
      </c>
      <c r="M496" t="str">
        <f t="shared" si="71"/>
        <v>2024-12</v>
      </c>
      <c r="N496" s="2">
        <f t="shared" ca="1" si="72"/>
        <v>45834</v>
      </c>
      <c r="O496" s="4">
        <f t="shared" ca="1" si="73"/>
        <v>6</v>
      </c>
      <c r="P496" s="4">
        <f t="shared" ca="1" si="74"/>
        <v>295</v>
      </c>
      <c r="Q496">
        <f t="shared" ca="1" si="75"/>
        <v>2</v>
      </c>
      <c r="R496">
        <f t="shared" si="76"/>
        <v>4</v>
      </c>
      <c r="S496">
        <f t="shared" ca="1" si="77"/>
        <v>3</v>
      </c>
      <c r="T496" t="str">
        <f t="shared" ca="1" si="78"/>
        <v>243</v>
      </c>
      <c r="U496" t="str">
        <f t="shared" ca="1" si="79"/>
        <v>At Risk</v>
      </c>
    </row>
    <row r="497" spans="1:21">
      <c r="A497" s="17" t="str">
        <f>Cleaned_Data!A497</f>
        <v>MEM0496</v>
      </c>
      <c r="B497" s="18" t="str">
        <f ca="1">Cleaned_Data!D497</f>
        <v>BR02</v>
      </c>
      <c r="C497" s="18" t="str">
        <f ca="1">Cleaned_Data!E497</f>
        <v>Premium</v>
      </c>
      <c r="D497" s="19">
        <f>Cleaned_Data!F497</f>
        <v>44995</v>
      </c>
      <c r="E497" s="19">
        <f>Cleaned_Data!G497</f>
        <v>45085</v>
      </c>
      <c r="F497" s="18">
        <f>Cleaned_Data!H497</f>
        <v>1000</v>
      </c>
      <c r="G497" s="18">
        <f ca="1">Cleaned_Data!I497</f>
        <v>10000</v>
      </c>
      <c r="H497" s="18">
        <f>Cleaned_Data!J497</f>
        <v>18</v>
      </c>
      <c r="I497" s="18" t="str">
        <f>Cleaned_Data!M497</f>
        <v>Active</v>
      </c>
      <c r="J497" s="20">
        <f>Cleaned_Data!N497</f>
        <v>45929</v>
      </c>
      <c r="K497" t="str">
        <f t="shared" si="70"/>
        <v>Highly Active</v>
      </c>
      <c r="L497" s="5" t="str">
        <f>IF(COUNTIF($A$2:A497,A497)&gt;1,"Duplicate","Unique")</f>
        <v>Unique</v>
      </c>
      <c r="M497" t="str">
        <f t="shared" si="71"/>
        <v>2023-03</v>
      </c>
      <c r="N497" s="2">
        <f t="shared" ca="1" si="72"/>
        <v>45929</v>
      </c>
      <c r="O497" s="4">
        <f t="shared" ca="1" si="73"/>
        <v>30</v>
      </c>
      <c r="P497" s="4">
        <f t="shared" ca="1" si="74"/>
        <v>200</v>
      </c>
      <c r="Q497">
        <f t="shared" ca="1" si="75"/>
        <v>2</v>
      </c>
      <c r="R497">
        <f t="shared" si="76"/>
        <v>4</v>
      </c>
      <c r="S497">
        <f t="shared" ca="1" si="77"/>
        <v>4</v>
      </c>
      <c r="T497" t="str">
        <f t="shared" ca="1" si="78"/>
        <v>244</v>
      </c>
      <c r="U497" t="str">
        <f t="shared" ca="1" si="79"/>
        <v>At Risk</v>
      </c>
    </row>
    <row r="498" spans="1:21">
      <c r="A498" s="13" t="str">
        <f>Cleaned_Data!A498</f>
        <v>MEM0497</v>
      </c>
      <c r="B498" s="14" t="str">
        <f ca="1">Cleaned_Data!D498</f>
        <v>BR03</v>
      </c>
      <c r="C498" s="14" t="str">
        <f ca="1">Cleaned_Data!E498</f>
        <v>Premium</v>
      </c>
      <c r="D498" s="15">
        <f>Cleaned_Data!F498</f>
        <v>45461</v>
      </c>
      <c r="E498" s="15">
        <f>Cleaned_Data!G498</f>
        <v>45826</v>
      </c>
      <c r="F498" s="14">
        <f>Cleaned_Data!H498</f>
        <v>2000</v>
      </c>
      <c r="G498" s="14">
        <f ca="1">Cleaned_Data!I498</f>
        <v>18000</v>
      </c>
      <c r="H498" s="14">
        <f>Cleaned_Data!J498</f>
        <v>5</v>
      </c>
      <c r="I498" s="14" t="str">
        <f>Cleaned_Data!M498</f>
        <v>Active</v>
      </c>
      <c r="J498" s="16">
        <f>Cleaned_Data!N498</f>
        <v>45776</v>
      </c>
      <c r="K498" t="str">
        <f t="shared" si="70"/>
        <v>Moderate</v>
      </c>
      <c r="L498" s="5" t="str">
        <f>IF(COUNTIF($A$2:A498,A498)&gt;1,"Duplicate","Unique")</f>
        <v>Unique</v>
      </c>
      <c r="M498" t="str">
        <f t="shared" si="71"/>
        <v>2024-06</v>
      </c>
      <c r="N498" s="2">
        <f t="shared" ca="1" si="72"/>
        <v>45776</v>
      </c>
      <c r="O498" s="4">
        <f t="shared" ca="1" si="73"/>
        <v>10</v>
      </c>
      <c r="P498" s="4">
        <f t="shared" ca="1" si="74"/>
        <v>353</v>
      </c>
      <c r="Q498">
        <f t="shared" ca="1" si="75"/>
        <v>2</v>
      </c>
      <c r="R498">
        <f t="shared" si="76"/>
        <v>2</v>
      </c>
      <c r="S498">
        <f t="shared" ca="1" si="77"/>
        <v>4</v>
      </c>
      <c r="T498" t="str">
        <f t="shared" ca="1" si="78"/>
        <v>224</v>
      </c>
      <c r="U498" t="str">
        <f t="shared" ca="1" si="79"/>
        <v>At Risk</v>
      </c>
    </row>
    <row r="499" spans="1:21">
      <c r="A499" s="17" t="str">
        <f>Cleaned_Data!A499</f>
        <v>MEM0498</v>
      </c>
      <c r="B499" s="18" t="str">
        <f ca="1">Cleaned_Data!D499</f>
        <v>BR04</v>
      </c>
      <c r="C499" s="18" t="str">
        <f ca="1">Cleaned_Data!E499</f>
        <v>Standard</v>
      </c>
      <c r="D499" s="19">
        <f>Cleaned_Data!F499</f>
        <v>45140</v>
      </c>
      <c r="E499" s="19">
        <f>Cleaned_Data!G499</f>
        <v>45505</v>
      </c>
      <c r="F499" s="18">
        <f>Cleaned_Data!H499</f>
        <v>3500</v>
      </c>
      <c r="G499" s="18">
        <f ca="1">Cleaned_Data!I499</f>
        <v>31500</v>
      </c>
      <c r="H499" s="18">
        <f>Cleaned_Data!J499</f>
        <v>14</v>
      </c>
      <c r="I499" s="18" t="str">
        <f>Cleaned_Data!M499</f>
        <v>Active</v>
      </c>
      <c r="J499" s="20">
        <f>Cleaned_Data!N499</f>
        <v>45745</v>
      </c>
      <c r="K499" t="str">
        <f t="shared" si="70"/>
        <v>Moderate</v>
      </c>
      <c r="L499" s="5" t="str">
        <f>IF(COUNTIF($A$2:A499,A499)&gt;1,"Duplicate","Unique")</f>
        <v>Unique</v>
      </c>
      <c r="M499" t="str">
        <f t="shared" si="71"/>
        <v>2023-08</v>
      </c>
      <c r="N499" s="2">
        <f t="shared" ca="1" si="72"/>
        <v>45745</v>
      </c>
      <c r="O499" s="4">
        <f t="shared" ca="1" si="73"/>
        <v>19</v>
      </c>
      <c r="P499" s="4">
        <f t="shared" ca="1" si="74"/>
        <v>384</v>
      </c>
      <c r="Q499">
        <f t="shared" ca="1" si="75"/>
        <v>1</v>
      </c>
      <c r="R499">
        <f t="shared" si="76"/>
        <v>3</v>
      </c>
      <c r="S499">
        <f t="shared" ca="1" si="77"/>
        <v>5</v>
      </c>
      <c r="T499" t="str">
        <f t="shared" ca="1" si="78"/>
        <v>135</v>
      </c>
      <c r="U499" t="str">
        <f t="shared" ca="1" si="79"/>
        <v>At Risk</v>
      </c>
    </row>
    <row r="500" spans="1:21">
      <c r="A500" s="13" t="str">
        <f>Cleaned_Data!A500</f>
        <v>MEM0499</v>
      </c>
      <c r="B500" s="14" t="str">
        <f ca="1">Cleaned_Data!D500</f>
        <v>BR05</v>
      </c>
      <c r="C500" s="14" t="str">
        <f ca="1">Cleaned_Data!E500</f>
        <v>Basic</v>
      </c>
      <c r="D500" s="15">
        <f>Cleaned_Data!F500</f>
        <v>45159</v>
      </c>
      <c r="E500" s="15">
        <f>Cleaned_Data!G500</f>
        <v>45524</v>
      </c>
      <c r="F500" s="14">
        <f>Cleaned_Data!H500</f>
        <v>1000</v>
      </c>
      <c r="G500" s="14">
        <f ca="1">Cleaned_Data!I500</f>
        <v>12000</v>
      </c>
      <c r="H500" s="14">
        <f>Cleaned_Data!J500</f>
        <v>6</v>
      </c>
      <c r="I500" s="14" t="str">
        <f>Cleaned_Data!M500</f>
        <v>Active</v>
      </c>
      <c r="J500" s="16">
        <f>Cleaned_Data!N500</f>
        <v>45485</v>
      </c>
      <c r="K500" t="str">
        <f t="shared" si="70"/>
        <v>Moderate</v>
      </c>
      <c r="L500" s="5" t="str">
        <f>IF(COUNTIF($A$2:A500,A500)&gt;1,"Duplicate","Unique")</f>
        <v>Unique</v>
      </c>
      <c r="M500" t="str">
        <f t="shared" si="71"/>
        <v>2023-08</v>
      </c>
      <c r="N500" s="2">
        <f t="shared" ca="1" si="72"/>
        <v>45485</v>
      </c>
      <c r="O500" s="4">
        <f t="shared" ca="1" si="73"/>
        <v>10</v>
      </c>
      <c r="P500" s="4">
        <f t="shared" ca="1" si="74"/>
        <v>644</v>
      </c>
      <c r="Q500">
        <f t="shared" ca="1" si="75"/>
        <v>1</v>
      </c>
      <c r="R500">
        <f t="shared" si="76"/>
        <v>2</v>
      </c>
      <c r="S500">
        <f t="shared" ca="1" si="77"/>
        <v>4</v>
      </c>
      <c r="T500" t="str">
        <f t="shared" ca="1" si="78"/>
        <v>124</v>
      </c>
      <c r="U500" t="str">
        <f t="shared" ca="1" si="79"/>
        <v>At Risk</v>
      </c>
    </row>
    <row r="501" spans="1:21">
      <c r="A501" s="17" t="str">
        <f>Cleaned_Data!A501</f>
        <v>MEM0500</v>
      </c>
      <c r="B501" s="18" t="str">
        <f ca="1">Cleaned_Data!D501</f>
        <v>BR03</v>
      </c>
      <c r="C501" s="18" t="str">
        <f ca="1">Cleaned_Data!E501</f>
        <v>Premium</v>
      </c>
      <c r="D501" s="19">
        <f>Cleaned_Data!F501</f>
        <v>45417</v>
      </c>
      <c r="E501" s="19">
        <f>Cleaned_Data!G501</f>
        <v>45447</v>
      </c>
      <c r="F501" s="18">
        <f>Cleaned_Data!H501</f>
        <v>3500</v>
      </c>
      <c r="G501" s="18">
        <f ca="1">Cleaned_Data!I501</f>
        <v>38500</v>
      </c>
      <c r="H501" s="18">
        <f>Cleaned_Data!J501</f>
        <v>4</v>
      </c>
      <c r="I501" s="18" t="str">
        <f>Cleaned_Data!M501</f>
        <v>Active</v>
      </c>
      <c r="J501" s="20">
        <f>Cleaned_Data!N501</f>
        <v>45434</v>
      </c>
      <c r="K501" t="str">
        <f t="shared" si="70"/>
        <v>At Risk</v>
      </c>
      <c r="L501" s="5" t="str">
        <f>IF(COUNTIF($A$2:A501,A501)&gt;1,"Duplicate","Unique")</f>
        <v>Unique</v>
      </c>
      <c r="M501" t="str">
        <f t="shared" si="71"/>
        <v>2024-05</v>
      </c>
      <c r="N501" s="2">
        <f t="shared" ca="1" si="72"/>
        <v>45434</v>
      </c>
      <c r="O501" s="4">
        <f t="shared" ca="1" si="73"/>
        <v>0</v>
      </c>
      <c r="P501" s="4">
        <f t="shared" ca="1" si="74"/>
        <v>695</v>
      </c>
      <c r="Q501">
        <f t="shared" ca="1" si="75"/>
        <v>1</v>
      </c>
      <c r="R501">
        <f t="shared" si="76"/>
        <v>1</v>
      </c>
      <c r="S501">
        <f t="shared" ca="1" si="77"/>
        <v>5</v>
      </c>
      <c r="T501" t="str">
        <f t="shared" ca="1" si="78"/>
        <v>115</v>
      </c>
      <c r="U501" t="str">
        <f t="shared" ca="1" si="79"/>
        <v>At Risk</v>
      </c>
    </row>
    <row r="502" spans="1:21">
      <c r="A502" s="13" t="str">
        <f>Cleaned_Data!A502</f>
        <v>MEM0501</v>
      </c>
      <c r="B502" s="14" t="str">
        <f ca="1">Cleaned_Data!D502</f>
        <v>BR07</v>
      </c>
      <c r="C502" s="14" t="str">
        <f ca="1">Cleaned_Data!E502</f>
        <v>Standard</v>
      </c>
      <c r="D502" s="15">
        <f>Cleaned_Data!F502</f>
        <v>45297</v>
      </c>
      <c r="E502" s="15">
        <f>Cleaned_Data!G502</f>
        <v>45327</v>
      </c>
      <c r="F502" s="14">
        <f>Cleaned_Data!H502</f>
        <v>1000</v>
      </c>
      <c r="G502" s="14">
        <f ca="1">Cleaned_Data!I502</f>
        <v>8000</v>
      </c>
      <c r="H502" s="14">
        <f>Cleaned_Data!J502</f>
        <v>6</v>
      </c>
      <c r="I502" s="14" t="str">
        <f>Cleaned_Data!M502</f>
        <v>Active</v>
      </c>
      <c r="J502" s="16">
        <f>Cleaned_Data!N502</f>
        <v>45857</v>
      </c>
      <c r="K502" t="str">
        <f t="shared" si="70"/>
        <v>Moderate</v>
      </c>
      <c r="L502" s="5" t="str">
        <f>IF(COUNTIF($A$2:A502,A502)&gt;1,"Duplicate","Unique")</f>
        <v>Unique</v>
      </c>
      <c r="M502" t="str">
        <f t="shared" si="71"/>
        <v>2024-01</v>
      </c>
      <c r="N502" s="2">
        <f t="shared" ca="1" si="72"/>
        <v>45857</v>
      </c>
      <c r="O502" s="4">
        <f t="shared" ca="1" si="73"/>
        <v>18</v>
      </c>
      <c r="P502" s="4">
        <f t="shared" ca="1" si="74"/>
        <v>272</v>
      </c>
      <c r="Q502">
        <f t="shared" ca="1" si="75"/>
        <v>2</v>
      </c>
      <c r="R502">
        <f t="shared" si="76"/>
        <v>2</v>
      </c>
      <c r="S502">
        <f t="shared" ca="1" si="77"/>
        <v>3</v>
      </c>
      <c r="T502" t="str">
        <f t="shared" ca="1" si="78"/>
        <v>223</v>
      </c>
      <c r="U502" t="str">
        <f t="shared" ca="1" si="79"/>
        <v>At Risk</v>
      </c>
    </row>
    <row r="503" spans="1:21">
      <c r="A503" s="17" t="str">
        <f>Cleaned_Data!A503</f>
        <v>MEM0502</v>
      </c>
      <c r="B503" s="18" t="str">
        <f ca="1">Cleaned_Data!D503</f>
        <v>BR05</v>
      </c>
      <c r="C503" s="18" t="str">
        <f ca="1">Cleaned_Data!E503</f>
        <v>Standard</v>
      </c>
      <c r="D503" s="19">
        <f>Cleaned_Data!F503</f>
        <v>45548</v>
      </c>
      <c r="E503" s="19">
        <f>Cleaned_Data!G503</f>
        <v>45913</v>
      </c>
      <c r="F503" s="18">
        <f>Cleaned_Data!H503</f>
        <v>1000</v>
      </c>
      <c r="G503" s="18">
        <f ca="1">Cleaned_Data!I503</f>
        <v>2000</v>
      </c>
      <c r="H503" s="18">
        <f>Cleaned_Data!J503</f>
        <v>10</v>
      </c>
      <c r="I503" s="18" t="str">
        <f>Cleaned_Data!M503</f>
        <v>Active</v>
      </c>
      <c r="J503" s="20">
        <f>Cleaned_Data!N503</f>
        <v>45746</v>
      </c>
      <c r="K503" t="str">
        <f t="shared" si="70"/>
        <v>Moderate</v>
      </c>
      <c r="L503" s="5" t="str">
        <f>IF(COUNTIF($A$2:A503,A503)&gt;1,"Duplicate","Unique")</f>
        <v>Unique</v>
      </c>
      <c r="M503" t="str">
        <f t="shared" si="71"/>
        <v>2024-09</v>
      </c>
      <c r="N503" s="2">
        <f t="shared" ca="1" si="72"/>
        <v>45746</v>
      </c>
      <c r="O503" s="4">
        <f t="shared" ca="1" si="73"/>
        <v>6</v>
      </c>
      <c r="P503" s="4">
        <f t="shared" ca="1" si="74"/>
        <v>383</v>
      </c>
      <c r="Q503">
        <f t="shared" ca="1" si="75"/>
        <v>1</v>
      </c>
      <c r="R503">
        <f t="shared" si="76"/>
        <v>3</v>
      </c>
      <c r="S503">
        <f t="shared" ca="1" si="77"/>
        <v>2</v>
      </c>
      <c r="T503" t="str">
        <f t="shared" ca="1" si="78"/>
        <v>132</v>
      </c>
      <c r="U503" t="str">
        <f t="shared" ca="1" si="79"/>
        <v>At Risk</v>
      </c>
    </row>
    <row r="504" spans="1:21">
      <c r="A504" s="13" t="str">
        <f>Cleaned_Data!A504</f>
        <v>MEM0503</v>
      </c>
      <c r="B504" s="14" t="str">
        <f ca="1">Cleaned_Data!D504</f>
        <v>BR01</v>
      </c>
      <c r="C504" s="14" t="str">
        <f ca="1">Cleaned_Data!E504</f>
        <v>Standard</v>
      </c>
      <c r="D504" s="15">
        <f>Cleaned_Data!F504</f>
        <v>45696</v>
      </c>
      <c r="E504" s="15">
        <f>Cleaned_Data!G504</f>
        <v>45726</v>
      </c>
      <c r="F504" s="14">
        <f>Cleaned_Data!H504</f>
        <v>1000</v>
      </c>
      <c r="G504" s="14">
        <f ca="1">Cleaned_Data!I504</f>
        <v>10000</v>
      </c>
      <c r="H504" s="14">
        <f>Cleaned_Data!J504</f>
        <v>0</v>
      </c>
      <c r="I504" s="14" t="str">
        <f>Cleaned_Data!M504</f>
        <v>Cancelled</v>
      </c>
      <c r="J504" s="16">
        <f>Cleaned_Data!N504</f>
        <v>45744</v>
      </c>
      <c r="K504" t="str">
        <f t="shared" si="70"/>
        <v>At Risk</v>
      </c>
      <c r="L504" s="5" t="str">
        <f>IF(COUNTIF($A$2:A504,A504)&gt;1,"Duplicate","Unique")</f>
        <v>Unique</v>
      </c>
      <c r="M504" t="str">
        <f t="shared" si="71"/>
        <v>2025-02</v>
      </c>
      <c r="N504" s="2">
        <f t="shared" ca="1" si="72"/>
        <v>45744</v>
      </c>
      <c r="O504" s="4">
        <f t="shared" ca="1" si="73"/>
        <v>1</v>
      </c>
      <c r="P504" s="4">
        <f t="shared" ca="1" si="74"/>
        <v>385</v>
      </c>
      <c r="Q504">
        <f t="shared" ca="1" si="75"/>
        <v>1</v>
      </c>
      <c r="R504">
        <f t="shared" si="76"/>
        <v>1</v>
      </c>
      <c r="S504">
        <f t="shared" ca="1" si="77"/>
        <v>4</v>
      </c>
      <c r="T504" t="str">
        <f t="shared" ca="1" si="78"/>
        <v>114</v>
      </c>
      <c r="U504" t="str">
        <f t="shared" ca="1" si="79"/>
        <v>At Risk</v>
      </c>
    </row>
    <row r="505" spans="1:21">
      <c r="A505" s="17" t="str">
        <f>Cleaned_Data!A505</f>
        <v>MEM0504</v>
      </c>
      <c r="B505" s="18" t="str">
        <f ca="1">Cleaned_Data!D505</f>
        <v>BR04</v>
      </c>
      <c r="C505" s="18" t="str">
        <f ca="1">Cleaned_Data!E505</f>
        <v>Premium</v>
      </c>
      <c r="D505" s="19">
        <f>Cleaned_Data!F505</f>
        <v>45284</v>
      </c>
      <c r="E505" s="19">
        <f>Cleaned_Data!G505</f>
        <v>45649</v>
      </c>
      <c r="F505" s="18">
        <f>Cleaned_Data!H505</f>
        <v>2000</v>
      </c>
      <c r="G505" s="18">
        <f ca="1">Cleaned_Data!I505</f>
        <v>4000</v>
      </c>
      <c r="H505" s="18">
        <f>Cleaned_Data!J505</f>
        <v>14</v>
      </c>
      <c r="I505" s="18" t="str">
        <f>Cleaned_Data!M505</f>
        <v>Active</v>
      </c>
      <c r="J505" s="20">
        <f>Cleaned_Data!N505</f>
        <v>45386</v>
      </c>
      <c r="K505" t="str">
        <f t="shared" si="70"/>
        <v>Moderate</v>
      </c>
      <c r="L505" s="5" t="str">
        <f>IF(COUNTIF($A$2:A505,A505)&gt;1,"Duplicate","Unique")</f>
        <v>Unique</v>
      </c>
      <c r="M505" t="str">
        <f t="shared" si="71"/>
        <v>2023-12</v>
      </c>
      <c r="N505" s="2">
        <f t="shared" ca="1" si="72"/>
        <v>45386</v>
      </c>
      <c r="O505" s="4">
        <f t="shared" ca="1" si="73"/>
        <v>3</v>
      </c>
      <c r="P505" s="4">
        <f t="shared" ca="1" si="74"/>
        <v>743</v>
      </c>
      <c r="Q505">
        <f t="shared" ca="1" si="75"/>
        <v>1</v>
      </c>
      <c r="R505">
        <f t="shared" si="76"/>
        <v>3</v>
      </c>
      <c r="S505">
        <f t="shared" ca="1" si="77"/>
        <v>2</v>
      </c>
      <c r="T505" t="str">
        <f t="shared" ca="1" si="78"/>
        <v>132</v>
      </c>
      <c r="U505" t="str">
        <f t="shared" ca="1" si="79"/>
        <v>At Risk</v>
      </c>
    </row>
    <row r="506" spans="1:21">
      <c r="A506" s="13" t="str">
        <f>Cleaned_Data!A506</f>
        <v>MEM0505</v>
      </c>
      <c r="B506" s="14" t="str">
        <f ca="1">Cleaned_Data!D506</f>
        <v>BR05</v>
      </c>
      <c r="C506" s="14" t="str">
        <f ca="1">Cleaned_Data!E506</f>
        <v>Premium</v>
      </c>
      <c r="D506" s="15">
        <f>Cleaned_Data!F506</f>
        <v>45457</v>
      </c>
      <c r="E506" s="15">
        <f>Cleaned_Data!G506</f>
        <v>45547</v>
      </c>
      <c r="F506" s="14">
        <f>Cleaned_Data!H506</f>
        <v>1000</v>
      </c>
      <c r="G506" s="14">
        <f ca="1">Cleaned_Data!I506</f>
        <v>9000</v>
      </c>
      <c r="H506" s="14">
        <f>Cleaned_Data!J506</f>
        <v>3</v>
      </c>
      <c r="I506" s="14" t="str">
        <f>Cleaned_Data!M506</f>
        <v>Cancelled</v>
      </c>
      <c r="J506" s="16">
        <f>Cleaned_Data!N506</f>
        <v>45705</v>
      </c>
      <c r="K506" t="str">
        <f t="shared" si="70"/>
        <v>At Risk</v>
      </c>
      <c r="L506" s="5" t="str">
        <f>IF(COUNTIF($A$2:A506,A506)&gt;1,"Duplicate","Unique")</f>
        <v>Unique</v>
      </c>
      <c r="M506" t="str">
        <f t="shared" si="71"/>
        <v>2024-06</v>
      </c>
      <c r="N506" s="2">
        <f t="shared" ca="1" si="72"/>
        <v>45705</v>
      </c>
      <c r="O506" s="4">
        <f t="shared" ca="1" si="73"/>
        <v>8</v>
      </c>
      <c r="P506" s="4">
        <f t="shared" ca="1" si="74"/>
        <v>424</v>
      </c>
      <c r="Q506">
        <f t="shared" ca="1" si="75"/>
        <v>1</v>
      </c>
      <c r="R506">
        <f t="shared" si="76"/>
        <v>1</v>
      </c>
      <c r="S506">
        <f t="shared" ca="1" si="77"/>
        <v>3</v>
      </c>
      <c r="T506" t="str">
        <f t="shared" ca="1" si="78"/>
        <v>113</v>
      </c>
      <c r="U506" t="str">
        <f t="shared" ca="1" si="79"/>
        <v>At Risk</v>
      </c>
    </row>
    <row r="507" spans="1:21">
      <c r="A507" s="17" t="str">
        <f>Cleaned_Data!A507</f>
        <v>MEM0506</v>
      </c>
      <c r="B507" s="18" t="str">
        <f ca="1">Cleaned_Data!D507</f>
        <v>BR06</v>
      </c>
      <c r="C507" s="18" t="str">
        <f ca="1">Cleaned_Data!E507</f>
        <v>Premium</v>
      </c>
      <c r="D507" s="19">
        <f>Cleaned_Data!F507</f>
        <v>45101</v>
      </c>
      <c r="E507" s="19">
        <f>Cleaned_Data!G507</f>
        <v>45131</v>
      </c>
      <c r="F507" s="18">
        <f>Cleaned_Data!H507</f>
        <v>3500</v>
      </c>
      <c r="G507" s="18">
        <f ca="1">Cleaned_Data!I507</f>
        <v>17500</v>
      </c>
      <c r="H507" s="18">
        <f>Cleaned_Data!J507</f>
        <v>14</v>
      </c>
      <c r="I507" s="18" t="str">
        <f>Cleaned_Data!M507</f>
        <v>Active</v>
      </c>
      <c r="J507" s="20">
        <f>Cleaned_Data!N507</f>
        <v>45804</v>
      </c>
      <c r="K507" t="str">
        <f t="shared" si="70"/>
        <v>Moderate</v>
      </c>
      <c r="L507" s="5" t="str">
        <f>IF(COUNTIF($A$2:A507,A507)&gt;1,"Duplicate","Unique")</f>
        <v>Unique</v>
      </c>
      <c r="M507" t="str">
        <f t="shared" si="71"/>
        <v>2023-06</v>
      </c>
      <c r="N507" s="2">
        <f t="shared" ca="1" si="72"/>
        <v>45804</v>
      </c>
      <c r="O507" s="4">
        <f t="shared" ca="1" si="73"/>
        <v>23</v>
      </c>
      <c r="P507" s="4">
        <f t="shared" ca="1" si="74"/>
        <v>325</v>
      </c>
      <c r="Q507">
        <f t="shared" ca="1" si="75"/>
        <v>2</v>
      </c>
      <c r="R507">
        <f t="shared" si="76"/>
        <v>3</v>
      </c>
      <c r="S507">
        <f t="shared" ca="1" si="77"/>
        <v>4</v>
      </c>
      <c r="T507" t="str">
        <f t="shared" ca="1" si="78"/>
        <v>234</v>
      </c>
      <c r="U507" t="str">
        <f t="shared" ca="1" si="79"/>
        <v>At Risk</v>
      </c>
    </row>
    <row r="508" spans="1:21">
      <c r="A508" s="13" t="str">
        <f>Cleaned_Data!A508</f>
        <v>MEM0507</v>
      </c>
      <c r="B508" s="14" t="str">
        <f ca="1">Cleaned_Data!D508</f>
        <v>BR02</v>
      </c>
      <c r="C508" s="14" t="str">
        <f ca="1">Cleaned_Data!E508</f>
        <v>Basic</v>
      </c>
      <c r="D508" s="15">
        <f>Cleaned_Data!F508</f>
        <v>45156</v>
      </c>
      <c r="E508" s="15">
        <f>Cleaned_Data!G508</f>
        <v>45246</v>
      </c>
      <c r="F508" s="14">
        <f>Cleaned_Data!H508</f>
        <v>3500</v>
      </c>
      <c r="G508" s="14">
        <f ca="1">Cleaned_Data!I508</f>
        <v>42000</v>
      </c>
      <c r="H508" s="14">
        <f>Cleaned_Data!J508</f>
        <v>12</v>
      </c>
      <c r="I508" s="14" t="str">
        <f>Cleaned_Data!M508</f>
        <v>Active</v>
      </c>
      <c r="J508" s="16">
        <f>Cleaned_Data!N508</f>
        <v>45925</v>
      </c>
      <c r="K508" t="str">
        <f t="shared" si="70"/>
        <v>Moderate</v>
      </c>
      <c r="L508" s="5" t="str">
        <f>IF(COUNTIF($A$2:A508,A508)&gt;1,"Duplicate","Unique")</f>
        <v>Unique</v>
      </c>
      <c r="M508" t="str">
        <f t="shared" si="71"/>
        <v>2023-08</v>
      </c>
      <c r="N508" s="2">
        <f t="shared" ca="1" si="72"/>
        <v>45925</v>
      </c>
      <c r="O508" s="4">
        <f t="shared" ca="1" si="73"/>
        <v>25</v>
      </c>
      <c r="P508" s="4">
        <f t="shared" ca="1" si="74"/>
        <v>204</v>
      </c>
      <c r="Q508">
        <f t="shared" ca="1" si="75"/>
        <v>2</v>
      </c>
      <c r="R508">
        <f t="shared" si="76"/>
        <v>3</v>
      </c>
      <c r="S508">
        <f t="shared" ca="1" si="77"/>
        <v>5</v>
      </c>
      <c r="T508" t="str">
        <f t="shared" ca="1" si="78"/>
        <v>235</v>
      </c>
      <c r="U508" t="str">
        <f t="shared" ca="1" si="79"/>
        <v>At Risk</v>
      </c>
    </row>
    <row r="509" spans="1:21">
      <c r="A509" s="17" t="str">
        <f>Cleaned_Data!A509</f>
        <v>MEM0508</v>
      </c>
      <c r="B509" s="18" t="str">
        <f ca="1">Cleaned_Data!D509</f>
        <v>BR02</v>
      </c>
      <c r="C509" s="18" t="str">
        <f ca="1">Cleaned_Data!E509</f>
        <v>Basic</v>
      </c>
      <c r="D509" s="19">
        <f>Cleaned_Data!F509</f>
        <v>45651</v>
      </c>
      <c r="E509" s="19">
        <f>Cleaned_Data!G509</f>
        <v>46016</v>
      </c>
      <c r="F509" s="18">
        <f>Cleaned_Data!H509</f>
        <v>1000</v>
      </c>
      <c r="G509" s="18">
        <f ca="1">Cleaned_Data!I509</f>
        <v>2000</v>
      </c>
      <c r="H509" s="18">
        <f>Cleaned_Data!J509</f>
        <v>12</v>
      </c>
      <c r="I509" s="18" t="str">
        <f>Cleaned_Data!M509</f>
        <v>Active</v>
      </c>
      <c r="J509" s="20">
        <f>Cleaned_Data!N509</f>
        <v>45984</v>
      </c>
      <c r="K509" t="str">
        <f t="shared" si="70"/>
        <v>Moderate</v>
      </c>
      <c r="L509" s="5" t="str">
        <f>IF(COUNTIF($A$2:A509,A509)&gt;1,"Duplicate","Unique")</f>
        <v>Unique</v>
      </c>
      <c r="M509" t="str">
        <f t="shared" si="71"/>
        <v>2024-12</v>
      </c>
      <c r="N509" s="2">
        <f t="shared" ca="1" si="72"/>
        <v>45984</v>
      </c>
      <c r="O509" s="4">
        <f t="shared" ca="1" si="73"/>
        <v>10</v>
      </c>
      <c r="P509" s="4">
        <f t="shared" ca="1" si="74"/>
        <v>145</v>
      </c>
      <c r="Q509">
        <f t="shared" ca="1" si="75"/>
        <v>3</v>
      </c>
      <c r="R509">
        <f t="shared" si="76"/>
        <v>3</v>
      </c>
      <c r="S509">
        <f t="shared" ca="1" si="77"/>
        <v>2</v>
      </c>
      <c r="T509" t="str">
        <f t="shared" ca="1" si="78"/>
        <v>332</v>
      </c>
      <c r="U509" t="str">
        <f t="shared" ca="1" si="79"/>
        <v>Others</v>
      </c>
    </row>
    <row r="510" spans="1:21">
      <c r="A510" s="13" t="str">
        <f>Cleaned_Data!A510</f>
        <v>MEM0509</v>
      </c>
      <c r="B510" s="14" t="str">
        <f ca="1">Cleaned_Data!D510</f>
        <v>BR05</v>
      </c>
      <c r="C510" s="14" t="str">
        <f ca="1">Cleaned_Data!E510</f>
        <v>Basic</v>
      </c>
      <c r="D510" s="15">
        <f>Cleaned_Data!F510</f>
        <v>45020</v>
      </c>
      <c r="E510" s="15">
        <f>Cleaned_Data!G510</f>
        <v>45385</v>
      </c>
      <c r="F510" s="14">
        <f>Cleaned_Data!H510</f>
        <v>1000</v>
      </c>
      <c r="G510" s="14">
        <f ca="1">Cleaned_Data!I510</f>
        <v>10000</v>
      </c>
      <c r="H510" s="14">
        <f>Cleaned_Data!J510</f>
        <v>13</v>
      </c>
      <c r="I510" s="14" t="str">
        <f>Cleaned_Data!M510</f>
        <v>Active</v>
      </c>
      <c r="J510" s="16">
        <f>Cleaned_Data!N510</f>
        <v>45313</v>
      </c>
      <c r="K510" t="str">
        <f t="shared" si="70"/>
        <v>Moderate</v>
      </c>
      <c r="L510" s="5" t="str">
        <f>IF(COUNTIF($A$2:A510,A510)&gt;1,"Duplicate","Unique")</f>
        <v>Unique</v>
      </c>
      <c r="M510" t="str">
        <f t="shared" si="71"/>
        <v>2023-04</v>
      </c>
      <c r="N510" s="2">
        <f t="shared" ca="1" si="72"/>
        <v>45313</v>
      </c>
      <c r="O510" s="4">
        <f t="shared" ca="1" si="73"/>
        <v>9</v>
      </c>
      <c r="P510" s="4">
        <f t="shared" ca="1" si="74"/>
        <v>816</v>
      </c>
      <c r="Q510">
        <f t="shared" ca="1" si="75"/>
        <v>1</v>
      </c>
      <c r="R510">
        <f t="shared" si="76"/>
        <v>3</v>
      </c>
      <c r="S510">
        <f t="shared" ca="1" si="77"/>
        <v>4</v>
      </c>
      <c r="T510" t="str">
        <f t="shared" ca="1" si="78"/>
        <v>134</v>
      </c>
      <c r="U510" t="str">
        <f t="shared" ca="1" si="79"/>
        <v>At Risk</v>
      </c>
    </row>
    <row r="511" spans="1:21">
      <c r="A511" s="17" t="str">
        <f>Cleaned_Data!A511</f>
        <v>MEM0510</v>
      </c>
      <c r="B511" s="18" t="str">
        <f ca="1">Cleaned_Data!D511</f>
        <v>BR04</v>
      </c>
      <c r="C511" s="18" t="str">
        <f ca="1">Cleaned_Data!E511</f>
        <v>Basic</v>
      </c>
      <c r="D511" s="19">
        <f>Cleaned_Data!F511</f>
        <v>45157</v>
      </c>
      <c r="E511" s="19">
        <f>Cleaned_Data!G511</f>
        <v>45247</v>
      </c>
      <c r="F511" s="18">
        <f>Cleaned_Data!H511</f>
        <v>3500</v>
      </c>
      <c r="G511" s="18">
        <f ca="1">Cleaned_Data!I511</f>
        <v>21000</v>
      </c>
      <c r="H511" s="18">
        <f>Cleaned_Data!J511</f>
        <v>24</v>
      </c>
      <c r="I511" s="18" t="str">
        <f>Cleaned_Data!M511</f>
        <v>Cancelled</v>
      </c>
      <c r="J511" s="20">
        <f>Cleaned_Data!N511</f>
        <v>46120</v>
      </c>
      <c r="K511" t="str">
        <f t="shared" si="70"/>
        <v>Highly Active</v>
      </c>
      <c r="L511" s="5" t="str">
        <f>IF(COUNTIF($A$2:A511,A511)&gt;1,"Duplicate","Unique")</f>
        <v>Unique</v>
      </c>
      <c r="M511" t="str">
        <f t="shared" si="71"/>
        <v>2023-08</v>
      </c>
      <c r="N511" s="2">
        <f t="shared" ca="1" si="72"/>
        <v>46120</v>
      </c>
      <c r="O511" s="4">
        <f t="shared" ca="1" si="73"/>
        <v>31</v>
      </c>
      <c r="P511" s="4">
        <f t="shared" ca="1" si="74"/>
        <v>9</v>
      </c>
      <c r="Q511">
        <f t="shared" ca="1" si="75"/>
        <v>5</v>
      </c>
      <c r="R511">
        <f t="shared" si="76"/>
        <v>5</v>
      </c>
      <c r="S511">
        <f t="shared" ca="1" si="77"/>
        <v>5</v>
      </c>
      <c r="T511" t="str">
        <f t="shared" ca="1" si="78"/>
        <v>555</v>
      </c>
      <c r="U511" t="str">
        <f t="shared" ca="1" si="79"/>
        <v>Champion</v>
      </c>
    </row>
    <row r="512" spans="1:21">
      <c r="A512" s="13" t="str">
        <f>Cleaned_Data!A512</f>
        <v>MEM0511</v>
      </c>
      <c r="B512" s="14" t="str">
        <f ca="1">Cleaned_Data!D512</f>
        <v>BR03</v>
      </c>
      <c r="C512" s="14" t="str">
        <f ca="1">Cleaned_Data!E512</f>
        <v>Basic</v>
      </c>
      <c r="D512" s="15">
        <f>Cleaned_Data!F512</f>
        <v>45614</v>
      </c>
      <c r="E512" s="15">
        <f>Cleaned_Data!G512</f>
        <v>45979</v>
      </c>
      <c r="F512" s="14">
        <f>Cleaned_Data!H512</f>
        <v>3500</v>
      </c>
      <c r="G512" s="14">
        <f ca="1">Cleaned_Data!I512</f>
        <v>7000</v>
      </c>
      <c r="H512" s="14">
        <f>Cleaned_Data!J512</f>
        <v>23</v>
      </c>
      <c r="I512" s="14" t="str">
        <f>Cleaned_Data!M512</f>
        <v>Active</v>
      </c>
      <c r="J512" s="16">
        <f>Cleaned_Data!N512</f>
        <v>45939</v>
      </c>
      <c r="K512" t="str">
        <f t="shared" si="70"/>
        <v>Highly Active</v>
      </c>
      <c r="L512" s="5" t="str">
        <f>IF(COUNTIF($A$2:A512,A512)&gt;1,"Duplicate","Unique")</f>
        <v>Unique</v>
      </c>
      <c r="M512" t="str">
        <f t="shared" si="71"/>
        <v>2024-11</v>
      </c>
      <c r="N512" s="2">
        <f t="shared" ca="1" si="72"/>
        <v>45939</v>
      </c>
      <c r="O512" s="4">
        <f t="shared" ca="1" si="73"/>
        <v>10</v>
      </c>
      <c r="P512" s="4">
        <f t="shared" ca="1" si="74"/>
        <v>190</v>
      </c>
      <c r="Q512">
        <f t="shared" ca="1" si="75"/>
        <v>2</v>
      </c>
      <c r="R512">
        <f t="shared" si="76"/>
        <v>5</v>
      </c>
      <c r="S512">
        <f t="shared" ca="1" si="77"/>
        <v>3</v>
      </c>
      <c r="T512" t="str">
        <f t="shared" ca="1" si="78"/>
        <v>253</v>
      </c>
      <c r="U512" t="str">
        <f t="shared" ca="1" si="79"/>
        <v>At Risk</v>
      </c>
    </row>
    <row r="513" spans="1:21">
      <c r="A513" s="17" t="str">
        <f>Cleaned_Data!A513</f>
        <v>MEM0512</v>
      </c>
      <c r="B513" s="18" t="str">
        <f ca="1">Cleaned_Data!D513</f>
        <v>BR06</v>
      </c>
      <c r="C513" s="18" t="str">
        <f ca="1">Cleaned_Data!E513</f>
        <v>Standard</v>
      </c>
      <c r="D513" s="19">
        <f>Cleaned_Data!F513</f>
        <v>45526</v>
      </c>
      <c r="E513" s="19">
        <f>Cleaned_Data!G513</f>
        <v>45891</v>
      </c>
      <c r="F513" s="18">
        <f>Cleaned_Data!H513</f>
        <v>3500</v>
      </c>
      <c r="G513" s="18">
        <f ca="1">Cleaned_Data!I513</f>
        <v>28000</v>
      </c>
      <c r="H513" s="18">
        <f>Cleaned_Data!J513</f>
        <v>4</v>
      </c>
      <c r="I513" s="18" t="str">
        <f>Cleaned_Data!M513</f>
        <v>Active</v>
      </c>
      <c r="J513" s="20">
        <f>Cleaned_Data!N513</f>
        <v>45546</v>
      </c>
      <c r="K513" t="str">
        <f t="shared" si="70"/>
        <v>At Risk</v>
      </c>
      <c r="L513" s="5" t="str">
        <f>IF(COUNTIF($A$2:A513,A513)&gt;1,"Duplicate","Unique")</f>
        <v>Unique</v>
      </c>
      <c r="M513" t="str">
        <f t="shared" si="71"/>
        <v>2024-08</v>
      </c>
      <c r="N513" s="2">
        <f t="shared" ca="1" si="72"/>
        <v>45546</v>
      </c>
      <c r="O513" s="4">
        <f t="shared" ca="1" si="73"/>
        <v>0</v>
      </c>
      <c r="P513" s="4">
        <f t="shared" ca="1" si="74"/>
        <v>583</v>
      </c>
      <c r="Q513">
        <f t="shared" ca="1" si="75"/>
        <v>1</v>
      </c>
      <c r="R513">
        <f t="shared" si="76"/>
        <v>1</v>
      </c>
      <c r="S513">
        <f t="shared" ca="1" si="77"/>
        <v>5</v>
      </c>
      <c r="T513" t="str">
        <f t="shared" ca="1" si="78"/>
        <v>115</v>
      </c>
      <c r="U513" t="str">
        <f t="shared" ca="1" si="79"/>
        <v>At Risk</v>
      </c>
    </row>
    <row r="514" spans="1:21">
      <c r="A514" s="13" t="str">
        <f>Cleaned_Data!A514</f>
        <v>MEM0513</v>
      </c>
      <c r="B514" s="14" t="str">
        <f ca="1">Cleaned_Data!D514</f>
        <v>BR01</v>
      </c>
      <c r="C514" s="14" t="str">
        <f ca="1">Cleaned_Data!E514</f>
        <v>Premium</v>
      </c>
      <c r="D514" s="15">
        <f>Cleaned_Data!F514</f>
        <v>45865</v>
      </c>
      <c r="E514" s="15">
        <f>Cleaned_Data!G514</f>
        <v>46230</v>
      </c>
      <c r="F514" s="14">
        <f>Cleaned_Data!H514</f>
        <v>2000</v>
      </c>
      <c r="G514" s="14">
        <f ca="1">Cleaned_Data!I514</f>
        <v>20000</v>
      </c>
      <c r="H514" s="14">
        <f>Cleaned_Data!J514</f>
        <v>9</v>
      </c>
      <c r="I514" s="14" t="str">
        <f>Cleaned_Data!M514</f>
        <v>Cancelled</v>
      </c>
      <c r="J514" s="16">
        <f>Cleaned_Data!N514</f>
        <v>45929</v>
      </c>
      <c r="K514" t="str">
        <f t="shared" si="70"/>
        <v>Moderate</v>
      </c>
      <c r="L514" s="5" t="str">
        <f>IF(COUNTIF($A$2:A514,A514)&gt;1,"Duplicate","Unique")</f>
        <v>Unique</v>
      </c>
      <c r="M514" t="str">
        <f t="shared" si="71"/>
        <v>2025-07</v>
      </c>
      <c r="N514" s="2">
        <f t="shared" ca="1" si="72"/>
        <v>45929</v>
      </c>
      <c r="O514" s="4">
        <f t="shared" ca="1" si="73"/>
        <v>2</v>
      </c>
      <c r="P514" s="4">
        <f t="shared" ca="1" si="74"/>
        <v>200</v>
      </c>
      <c r="Q514">
        <f t="shared" ca="1" si="75"/>
        <v>2</v>
      </c>
      <c r="R514">
        <f t="shared" si="76"/>
        <v>2</v>
      </c>
      <c r="S514">
        <f t="shared" ca="1" si="77"/>
        <v>5</v>
      </c>
      <c r="T514" t="str">
        <f t="shared" ca="1" si="78"/>
        <v>225</v>
      </c>
      <c r="U514" t="str">
        <f t="shared" ca="1" si="79"/>
        <v>At Risk</v>
      </c>
    </row>
    <row r="515" spans="1:21">
      <c r="A515" s="17" t="str">
        <f>Cleaned_Data!A515</f>
        <v>MEM0514</v>
      </c>
      <c r="B515" s="18" t="str">
        <f ca="1">Cleaned_Data!D515</f>
        <v>BR06</v>
      </c>
      <c r="C515" s="18" t="str">
        <f ca="1">Cleaned_Data!E515</f>
        <v>Basic</v>
      </c>
      <c r="D515" s="19">
        <f>Cleaned_Data!F515</f>
        <v>45694</v>
      </c>
      <c r="E515" s="19">
        <f>Cleaned_Data!G515</f>
        <v>46059</v>
      </c>
      <c r="F515" s="18">
        <f>Cleaned_Data!H515</f>
        <v>1000</v>
      </c>
      <c r="G515" s="18">
        <f ca="1">Cleaned_Data!I515</f>
        <v>4000</v>
      </c>
      <c r="H515" s="18">
        <f>Cleaned_Data!J515</f>
        <v>0</v>
      </c>
      <c r="I515" s="18" t="str">
        <f>Cleaned_Data!M515</f>
        <v>Active</v>
      </c>
      <c r="J515" s="20">
        <f>Cleaned_Data!N515</f>
        <v>45740</v>
      </c>
      <c r="K515" t="str">
        <f t="shared" ref="K515:K578" si="80">IF(H515&lt;5,"At Risk",
 IF(H515&lt;15,"Moderate",
 "Highly Active"))</f>
        <v>At Risk</v>
      </c>
      <c r="L515" s="5" t="str">
        <f>IF(COUNTIF($A$2:A515,A515)&gt;1,"Duplicate","Unique")</f>
        <v>Unique</v>
      </c>
      <c r="M515" t="str">
        <f t="shared" ref="M515:M578" si="81">TEXT(D515,"YYYY-MM")</f>
        <v>2025-02</v>
      </c>
      <c r="N515" s="2">
        <f t="shared" ref="N515:N578" ca="1" si="82">IF(J515&lt;&gt;"",
    J515,
    IF(I515="Active", TODAY(), E515)
)</f>
        <v>45740</v>
      </c>
      <c r="O515" s="4">
        <f t="shared" ref="O515:O578" ca="1" si="83">IFERROR(
   IF(N515&gt;=D515,
      DATEDIF(D515, N515, "M"),
      0
   ),
   0
)</f>
        <v>1</v>
      </c>
      <c r="P515" s="4">
        <f t="shared" ref="P515:P578" ca="1" si="84">TODAY() - N515</f>
        <v>389</v>
      </c>
      <c r="Q515">
        <f t="shared" ref="Q515:Q578" ca="1" si="85">IF(P515&lt;=30,5,
 IF(P515&lt;=90,4,
 IF(P515&lt;=180,3,
 IF(P515&lt;=365,2,1))))</f>
        <v>1</v>
      </c>
      <c r="R515">
        <f t="shared" ref="R515:R578" si="86">IF(H515&gt;=20,5,
 IF(H515&gt;=15,4,
 IF(H515&gt;=10,3,
 IF(H515&gt;=5,2,1))))</f>
        <v>1</v>
      </c>
      <c r="S515">
        <f t="shared" ref="S515:S578" ca="1" si="87">IF(G515&gt;=20000,5,
 IF(G515&gt;=10000,4,
 IF(G515&gt;=5000,3,
 IF(G515&gt;=2000,2,1))))</f>
        <v>2</v>
      </c>
      <c r="T515" t="str">
        <f t="shared" ref="T515:T578" ca="1" si="88">Q515 &amp; R515 &amp; S515</f>
        <v>112</v>
      </c>
      <c r="U515" t="str">
        <f t="shared" ref="U515:U578" ca="1" si="89">IF(AND(Q515&gt;=4,R515&gt;=4,S515&gt;=4),"Champion",
 IF(AND(Q515&gt;=3,R515&gt;=3,S515&gt;=3),"Loyal",
 IF(Q515&lt;=2,"At Risk",
 "Others")))</f>
        <v>At Risk</v>
      </c>
    </row>
    <row r="516" spans="1:21">
      <c r="A516" s="13" t="str">
        <f>Cleaned_Data!A516</f>
        <v>MEM0515</v>
      </c>
      <c r="B516" s="14" t="str">
        <f ca="1">Cleaned_Data!D516</f>
        <v>BR03</v>
      </c>
      <c r="C516" s="14" t="str">
        <f ca="1">Cleaned_Data!E516</f>
        <v>Premium</v>
      </c>
      <c r="D516" s="15">
        <f>Cleaned_Data!F516</f>
        <v>45316</v>
      </c>
      <c r="E516" s="15">
        <f>Cleaned_Data!G516</f>
        <v>45346</v>
      </c>
      <c r="F516" s="14">
        <f>Cleaned_Data!H516</f>
        <v>2000</v>
      </c>
      <c r="G516" s="14">
        <f ca="1">Cleaned_Data!I516</f>
        <v>14000</v>
      </c>
      <c r="H516" s="14">
        <f>Cleaned_Data!J516</f>
        <v>24</v>
      </c>
      <c r="I516" s="14" t="str">
        <f>Cleaned_Data!M516</f>
        <v>Active</v>
      </c>
      <c r="J516" s="16">
        <f>Cleaned_Data!N516</f>
        <v>45870</v>
      </c>
      <c r="K516" t="str">
        <f t="shared" si="80"/>
        <v>Highly Active</v>
      </c>
      <c r="L516" s="5" t="str">
        <f>IF(COUNTIF($A$2:A516,A516)&gt;1,"Duplicate","Unique")</f>
        <v>Unique</v>
      </c>
      <c r="M516" t="str">
        <f t="shared" si="81"/>
        <v>2024-01</v>
      </c>
      <c r="N516" s="2">
        <f t="shared" ca="1" si="82"/>
        <v>45870</v>
      </c>
      <c r="O516" s="4">
        <f t="shared" ca="1" si="83"/>
        <v>18</v>
      </c>
      <c r="P516" s="4">
        <f t="shared" ca="1" si="84"/>
        <v>259</v>
      </c>
      <c r="Q516">
        <f t="shared" ca="1" si="85"/>
        <v>2</v>
      </c>
      <c r="R516">
        <f t="shared" si="86"/>
        <v>5</v>
      </c>
      <c r="S516">
        <f t="shared" ca="1" si="87"/>
        <v>4</v>
      </c>
      <c r="T516" t="str">
        <f t="shared" ca="1" si="88"/>
        <v>254</v>
      </c>
      <c r="U516" t="str">
        <f t="shared" ca="1" si="89"/>
        <v>At Risk</v>
      </c>
    </row>
    <row r="517" spans="1:21">
      <c r="A517" s="17" t="str">
        <f>Cleaned_Data!A517</f>
        <v>MEM0516</v>
      </c>
      <c r="B517" s="18" t="str">
        <f ca="1">Cleaned_Data!D517</f>
        <v>BR07</v>
      </c>
      <c r="C517" s="18" t="str">
        <f ca="1">Cleaned_Data!E517</f>
        <v>Standard</v>
      </c>
      <c r="D517" s="19">
        <f>Cleaned_Data!F517</f>
        <v>45623</v>
      </c>
      <c r="E517" s="19">
        <f>Cleaned_Data!G517</f>
        <v>45713</v>
      </c>
      <c r="F517" s="18">
        <f>Cleaned_Data!H517</f>
        <v>1000</v>
      </c>
      <c r="G517" s="18">
        <f ca="1">Cleaned_Data!I517</f>
        <v>10000</v>
      </c>
      <c r="H517" s="18">
        <f>Cleaned_Data!J517</f>
        <v>13</v>
      </c>
      <c r="I517" s="18" t="str">
        <f>Cleaned_Data!M517</f>
        <v>Active</v>
      </c>
      <c r="J517" s="20">
        <f>Cleaned_Data!N517</f>
        <v>45718</v>
      </c>
      <c r="K517" t="str">
        <f t="shared" si="80"/>
        <v>Moderate</v>
      </c>
      <c r="L517" s="5" t="str">
        <f>IF(COUNTIF($A$2:A517,A517)&gt;1,"Duplicate","Unique")</f>
        <v>Unique</v>
      </c>
      <c r="M517" t="str">
        <f t="shared" si="81"/>
        <v>2024-11</v>
      </c>
      <c r="N517" s="2">
        <f t="shared" ca="1" si="82"/>
        <v>45718</v>
      </c>
      <c r="O517" s="4">
        <f t="shared" ca="1" si="83"/>
        <v>3</v>
      </c>
      <c r="P517" s="4">
        <f t="shared" ca="1" si="84"/>
        <v>411</v>
      </c>
      <c r="Q517">
        <f t="shared" ca="1" si="85"/>
        <v>1</v>
      </c>
      <c r="R517">
        <f t="shared" si="86"/>
        <v>3</v>
      </c>
      <c r="S517">
        <f t="shared" ca="1" si="87"/>
        <v>4</v>
      </c>
      <c r="T517" t="str">
        <f t="shared" ca="1" si="88"/>
        <v>134</v>
      </c>
      <c r="U517" t="str">
        <f t="shared" ca="1" si="89"/>
        <v>At Risk</v>
      </c>
    </row>
    <row r="518" spans="1:21">
      <c r="A518" s="13" t="str">
        <f>Cleaned_Data!A518</f>
        <v>MEM0517</v>
      </c>
      <c r="B518" s="14" t="str">
        <f ca="1">Cleaned_Data!D518</f>
        <v>BR04</v>
      </c>
      <c r="C518" s="14" t="str">
        <f ca="1">Cleaned_Data!E518</f>
        <v>Premium</v>
      </c>
      <c r="D518" s="15">
        <f>Cleaned_Data!F518</f>
        <v>45776</v>
      </c>
      <c r="E518" s="15">
        <f>Cleaned_Data!G518</f>
        <v>45806</v>
      </c>
      <c r="F518" s="14">
        <f>Cleaned_Data!H518</f>
        <v>1000</v>
      </c>
      <c r="G518" s="14">
        <f ca="1">Cleaned_Data!I518</f>
        <v>8000</v>
      </c>
      <c r="H518" s="14">
        <f>Cleaned_Data!J518</f>
        <v>4</v>
      </c>
      <c r="I518" s="14" t="str">
        <f>Cleaned_Data!M518</f>
        <v>Active</v>
      </c>
      <c r="J518" s="16">
        <f>Cleaned_Data!N518</f>
        <v>45895</v>
      </c>
      <c r="K518" t="str">
        <f t="shared" si="80"/>
        <v>At Risk</v>
      </c>
      <c r="L518" s="5" t="str">
        <f>IF(COUNTIF($A$2:A518,A518)&gt;1,"Duplicate","Unique")</f>
        <v>Unique</v>
      </c>
      <c r="M518" t="str">
        <f t="shared" si="81"/>
        <v>2025-04</v>
      </c>
      <c r="N518" s="2">
        <f t="shared" ca="1" si="82"/>
        <v>45895</v>
      </c>
      <c r="O518" s="4">
        <f t="shared" ca="1" si="83"/>
        <v>3</v>
      </c>
      <c r="P518" s="4">
        <f t="shared" ca="1" si="84"/>
        <v>234</v>
      </c>
      <c r="Q518">
        <f t="shared" ca="1" si="85"/>
        <v>2</v>
      </c>
      <c r="R518">
        <f t="shared" si="86"/>
        <v>1</v>
      </c>
      <c r="S518">
        <f t="shared" ca="1" si="87"/>
        <v>3</v>
      </c>
      <c r="T518" t="str">
        <f t="shared" ca="1" si="88"/>
        <v>213</v>
      </c>
      <c r="U518" t="str">
        <f t="shared" ca="1" si="89"/>
        <v>At Risk</v>
      </c>
    </row>
    <row r="519" spans="1:21">
      <c r="A519" s="17" t="str">
        <f>Cleaned_Data!A519</f>
        <v>MEM0518</v>
      </c>
      <c r="B519" s="18" t="str">
        <f ca="1">Cleaned_Data!D519</f>
        <v>BR05</v>
      </c>
      <c r="C519" s="18" t="str">
        <f ca="1">Cleaned_Data!E519</f>
        <v>Basic</v>
      </c>
      <c r="D519" s="19">
        <f>Cleaned_Data!F519</f>
        <v>45661</v>
      </c>
      <c r="E519" s="19">
        <f>Cleaned_Data!G519</f>
        <v>46026</v>
      </c>
      <c r="F519" s="18">
        <f>Cleaned_Data!H519</f>
        <v>3500</v>
      </c>
      <c r="G519" s="18">
        <f ca="1">Cleaned_Data!I519</f>
        <v>24500</v>
      </c>
      <c r="H519" s="18">
        <f>Cleaned_Data!J519</f>
        <v>19</v>
      </c>
      <c r="I519" s="18" t="str">
        <f>Cleaned_Data!M519</f>
        <v>Active</v>
      </c>
      <c r="J519" s="20">
        <f>Cleaned_Data!N519</f>
        <v>45917</v>
      </c>
      <c r="K519" t="str">
        <f t="shared" si="80"/>
        <v>Highly Active</v>
      </c>
      <c r="L519" s="5" t="str">
        <f>IF(COUNTIF($A$2:A519,A519)&gt;1,"Duplicate","Unique")</f>
        <v>Unique</v>
      </c>
      <c r="M519" t="str">
        <f t="shared" si="81"/>
        <v>2025-01</v>
      </c>
      <c r="N519" s="2">
        <f t="shared" ca="1" si="82"/>
        <v>45917</v>
      </c>
      <c r="O519" s="4">
        <f t="shared" ca="1" si="83"/>
        <v>8</v>
      </c>
      <c r="P519" s="4">
        <f t="shared" ca="1" si="84"/>
        <v>212</v>
      </c>
      <c r="Q519">
        <f t="shared" ca="1" si="85"/>
        <v>2</v>
      </c>
      <c r="R519">
        <f t="shared" si="86"/>
        <v>4</v>
      </c>
      <c r="S519">
        <f t="shared" ca="1" si="87"/>
        <v>5</v>
      </c>
      <c r="T519" t="str">
        <f t="shared" ca="1" si="88"/>
        <v>245</v>
      </c>
      <c r="U519" t="str">
        <f t="shared" ca="1" si="89"/>
        <v>At Risk</v>
      </c>
    </row>
    <row r="520" spans="1:21">
      <c r="A520" s="13" t="str">
        <f>Cleaned_Data!A520</f>
        <v>MEM0519</v>
      </c>
      <c r="B520" s="14" t="str">
        <f ca="1">Cleaned_Data!D520</f>
        <v>BR03</v>
      </c>
      <c r="C520" s="14" t="str">
        <f ca="1">Cleaned_Data!E520</f>
        <v>Premium</v>
      </c>
      <c r="D520" s="15">
        <f>Cleaned_Data!F520</f>
        <v>46006</v>
      </c>
      <c r="E520" s="15">
        <f>Cleaned_Data!G520</f>
        <v>46036</v>
      </c>
      <c r="F520" s="14">
        <f>Cleaned_Data!H520</f>
        <v>2000</v>
      </c>
      <c r="G520" s="14">
        <f ca="1">Cleaned_Data!I520</f>
        <v>4000</v>
      </c>
      <c r="H520" s="14">
        <f>Cleaned_Data!J520</f>
        <v>8</v>
      </c>
      <c r="I520" s="14" t="str">
        <f>Cleaned_Data!M520</f>
        <v>Cancelled</v>
      </c>
      <c r="J520" s="16">
        <f>Cleaned_Data!N520</f>
        <v>46045</v>
      </c>
      <c r="K520" t="str">
        <f t="shared" si="80"/>
        <v>Moderate</v>
      </c>
      <c r="L520" s="5" t="str">
        <f>IF(COUNTIF($A$2:A520,A520)&gt;1,"Duplicate","Unique")</f>
        <v>Unique</v>
      </c>
      <c r="M520" t="str">
        <f t="shared" si="81"/>
        <v>2025-12</v>
      </c>
      <c r="N520" s="2">
        <f t="shared" ca="1" si="82"/>
        <v>46045</v>
      </c>
      <c r="O520" s="4">
        <f t="shared" ca="1" si="83"/>
        <v>1</v>
      </c>
      <c r="P520" s="4">
        <f t="shared" ca="1" si="84"/>
        <v>84</v>
      </c>
      <c r="Q520">
        <f t="shared" ca="1" si="85"/>
        <v>4</v>
      </c>
      <c r="R520">
        <f t="shared" si="86"/>
        <v>2</v>
      </c>
      <c r="S520">
        <f t="shared" ca="1" si="87"/>
        <v>2</v>
      </c>
      <c r="T520" t="str">
        <f t="shared" ca="1" si="88"/>
        <v>422</v>
      </c>
      <c r="U520" t="str">
        <f t="shared" ca="1" si="89"/>
        <v>Others</v>
      </c>
    </row>
    <row r="521" spans="1:21">
      <c r="A521" s="17" t="str">
        <f>Cleaned_Data!A521</f>
        <v>MEM0520</v>
      </c>
      <c r="B521" s="18" t="str">
        <f ca="1">Cleaned_Data!D521</f>
        <v>BR03</v>
      </c>
      <c r="C521" s="18" t="str">
        <f ca="1">Cleaned_Data!E521</f>
        <v>Premium</v>
      </c>
      <c r="D521" s="19">
        <f>Cleaned_Data!F521</f>
        <v>45419</v>
      </c>
      <c r="E521" s="19">
        <f>Cleaned_Data!G521</f>
        <v>45449</v>
      </c>
      <c r="F521" s="18">
        <f>Cleaned_Data!H521</f>
        <v>3500</v>
      </c>
      <c r="G521" s="18">
        <f ca="1">Cleaned_Data!I521</f>
        <v>28000</v>
      </c>
      <c r="H521" s="18">
        <f>Cleaned_Data!J521</f>
        <v>24</v>
      </c>
      <c r="I521" s="18" t="str">
        <f>Cleaned_Data!M521</f>
        <v>Active</v>
      </c>
      <c r="J521" s="20">
        <f>Cleaned_Data!N521</f>
        <v>45661</v>
      </c>
      <c r="K521" t="str">
        <f t="shared" si="80"/>
        <v>Highly Active</v>
      </c>
      <c r="L521" s="5" t="str">
        <f>IF(COUNTIF($A$2:A521,A521)&gt;1,"Duplicate","Unique")</f>
        <v>Unique</v>
      </c>
      <c r="M521" t="str">
        <f t="shared" si="81"/>
        <v>2024-05</v>
      </c>
      <c r="N521" s="2">
        <f t="shared" ca="1" si="82"/>
        <v>45661</v>
      </c>
      <c r="O521" s="4">
        <f t="shared" ca="1" si="83"/>
        <v>7</v>
      </c>
      <c r="P521" s="4">
        <f t="shared" ca="1" si="84"/>
        <v>468</v>
      </c>
      <c r="Q521">
        <f t="shared" ca="1" si="85"/>
        <v>1</v>
      </c>
      <c r="R521">
        <f t="shared" si="86"/>
        <v>5</v>
      </c>
      <c r="S521">
        <f t="shared" ca="1" si="87"/>
        <v>5</v>
      </c>
      <c r="T521" t="str">
        <f t="shared" ca="1" si="88"/>
        <v>155</v>
      </c>
      <c r="U521" t="str">
        <f t="shared" ca="1" si="89"/>
        <v>At Risk</v>
      </c>
    </row>
    <row r="522" spans="1:21">
      <c r="A522" s="13" t="str">
        <f>Cleaned_Data!A522</f>
        <v>MEM0521</v>
      </c>
      <c r="B522" s="14" t="str">
        <f ca="1">Cleaned_Data!D522</f>
        <v>BR07</v>
      </c>
      <c r="C522" s="14" t="str">
        <f ca="1">Cleaned_Data!E522</f>
        <v>Premium</v>
      </c>
      <c r="D522" s="15">
        <f>Cleaned_Data!F522</f>
        <v>45023</v>
      </c>
      <c r="E522" s="15">
        <f>Cleaned_Data!G522</f>
        <v>45053</v>
      </c>
      <c r="F522" s="14">
        <f>Cleaned_Data!H522</f>
        <v>1000</v>
      </c>
      <c r="G522" s="14">
        <f ca="1">Cleaned_Data!I522</f>
        <v>4000</v>
      </c>
      <c r="H522" s="14">
        <f>Cleaned_Data!J522</f>
        <v>12</v>
      </c>
      <c r="I522" s="14" t="str">
        <f>Cleaned_Data!M522</f>
        <v>Active</v>
      </c>
      <c r="J522" s="16">
        <f>Cleaned_Data!N522</f>
        <v>45311</v>
      </c>
      <c r="K522" t="str">
        <f t="shared" si="80"/>
        <v>Moderate</v>
      </c>
      <c r="L522" s="5" t="str">
        <f>IF(COUNTIF($A$2:A522,A522)&gt;1,"Duplicate","Unique")</f>
        <v>Unique</v>
      </c>
      <c r="M522" t="str">
        <f t="shared" si="81"/>
        <v>2023-04</v>
      </c>
      <c r="N522" s="2">
        <f t="shared" ca="1" si="82"/>
        <v>45311</v>
      </c>
      <c r="O522" s="4">
        <f t="shared" ca="1" si="83"/>
        <v>9</v>
      </c>
      <c r="P522" s="4">
        <f t="shared" ca="1" si="84"/>
        <v>818</v>
      </c>
      <c r="Q522">
        <f t="shared" ca="1" si="85"/>
        <v>1</v>
      </c>
      <c r="R522">
        <f t="shared" si="86"/>
        <v>3</v>
      </c>
      <c r="S522">
        <f t="shared" ca="1" si="87"/>
        <v>2</v>
      </c>
      <c r="T522" t="str">
        <f t="shared" ca="1" si="88"/>
        <v>132</v>
      </c>
      <c r="U522" t="str">
        <f t="shared" ca="1" si="89"/>
        <v>At Risk</v>
      </c>
    </row>
    <row r="523" spans="1:21">
      <c r="A523" s="17" t="str">
        <f>Cleaned_Data!A523</f>
        <v>MEM0522</v>
      </c>
      <c r="B523" s="18" t="str">
        <f ca="1">Cleaned_Data!D523</f>
        <v>BR07</v>
      </c>
      <c r="C523" s="18" t="str">
        <f ca="1">Cleaned_Data!E523</f>
        <v>Basic</v>
      </c>
      <c r="D523" s="19">
        <f>Cleaned_Data!F523</f>
        <v>45239</v>
      </c>
      <c r="E523" s="19">
        <f>Cleaned_Data!G523</f>
        <v>45604</v>
      </c>
      <c r="F523" s="18">
        <f>Cleaned_Data!H523</f>
        <v>2000</v>
      </c>
      <c r="G523" s="18">
        <f ca="1">Cleaned_Data!I523</f>
        <v>24000</v>
      </c>
      <c r="H523" s="18">
        <f>Cleaned_Data!J523</f>
        <v>19</v>
      </c>
      <c r="I523" s="18" t="str">
        <f>Cleaned_Data!M523</f>
        <v>Active</v>
      </c>
      <c r="J523" s="20">
        <f>Cleaned_Data!N523</f>
        <v>45662</v>
      </c>
      <c r="K523" t="str">
        <f t="shared" si="80"/>
        <v>Highly Active</v>
      </c>
      <c r="L523" s="5" t="str">
        <f>IF(COUNTIF($A$2:A523,A523)&gt;1,"Duplicate","Unique")</f>
        <v>Unique</v>
      </c>
      <c r="M523" t="str">
        <f t="shared" si="81"/>
        <v>2023-11</v>
      </c>
      <c r="N523" s="2">
        <f t="shared" ca="1" si="82"/>
        <v>45662</v>
      </c>
      <c r="O523" s="4">
        <f t="shared" ca="1" si="83"/>
        <v>13</v>
      </c>
      <c r="P523" s="4">
        <f t="shared" ca="1" si="84"/>
        <v>467</v>
      </c>
      <c r="Q523">
        <f t="shared" ca="1" si="85"/>
        <v>1</v>
      </c>
      <c r="R523">
        <f t="shared" si="86"/>
        <v>4</v>
      </c>
      <c r="S523">
        <f t="shared" ca="1" si="87"/>
        <v>5</v>
      </c>
      <c r="T523" t="str">
        <f t="shared" ca="1" si="88"/>
        <v>145</v>
      </c>
      <c r="U523" t="str">
        <f t="shared" ca="1" si="89"/>
        <v>At Risk</v>
      </c>
    </row>
    <row r="524" spans="1:21">
      <c r="A524" s="13" t="str">
        <f>Cleaned_Data!A524</f>
        <v>MEM0523</v>
      </c>
      <c r="B524" s="14" t="str">
        <f ca="1">Cleaned_Data!D524</f>
        <v>BR05</v>
      </c>
      <c r="C524" s="14" t="str">
        <f ca="1">Cleaned_Data!E524</f>
        <v>Premium</v>
      </c>
      <c r="D524" s="15">
        <f>Cleaned_Data!F524</f>
        <v>45578</v>
      </c>
      <c r="E524" s="15">
        <f>Cleaned_Data!G524</f>
        <v>45943</v>
      </c>
      <c r="F524" s="14">
        <f>Cleaned_Data!H524</f>
        <v>2000</v>
      </c>
      <c r="G524" s="14">
        <f ca="1">Cleaned_Data!I524</f>
        <v>2000</v>
      </c>
      <c r="H524" s="14">
        <f>Cleaned_Data!J524</f>
        <v>22</v>
      </c>
      <c r="I524" s="14" t="str">
        <f>Cleaned_Data!M524</f>
        <v>Active</v>
      </c>
      <c r="J524" s="16">
        <f>Cleaned_Data!N524</f>
        <v>45812</v>
      </c>
      <c r="K524" t="str">
        <f t="shared" si="80"/>
        <v>Highly Active</v>
      </c>
      <c r="L524" s="5" t="str">
        <f>IF(COUNTIF($A$2:A524,A524)&gt;1,"Duplicate","Unique")</f>
        <v>Unique</v>
      </c>
      <c r="M524" t="str">
        <f t="shared" si="81"/>
        <v>2024-10</v>
      </c>
      <c r="N524" s="2">
        <f t="shared" ca="1" si="82"/>
        <v>45812</v>
      </c>
      <c r="O524" s="4">
        <f t="shared" ca="1" si="83"/>
        <v>7</v>
      </c>
      <c r="P524" s="4">
        <f t="shared" ca="1" si="84"/>
        <v>317</v>
      </c>
      <c r="Q524">
        <f t="shared" ca="1" si="85"/>
        <v>2</v>
      </c>
      <c r="R524">
        <f t="shared" si="86"/>
        <v>5</v>
      </c>
      <c r="S524">
        <f t="shared" ca="1" si="87"/>
        <v>2</v>
      </c>
      <c r="T524" t="str">
        <f t="shared" ca="1" si="88"/>
        <v>252</v>
      </c>
      <c r="U524" t="str">
        <f t="shared" ca="1" si="89"/>
        <v>At Risk</v>
      </c>
    </row>
    <row r="525" spans="1:21">
      <c r="A525" s="17" t="str">
        <f>Cleaned_Data!A525</f>
        <v>MEM0524</v>
      </c>
      <c r="B525" s="18" t="str">
        <f ca="1">Cleaned_Data!D525</f>
        <v>BR03</v>
      </c>
      <c r="C525" s="18" t="str">
        <f ca="1">Cleaned_Data!E525</f>
        <v>Premium</v>
      </c>
      <c r="D525" s="19">
        <f>Cleaned_Data!F525</f>
        <v>45577</v>
      </c>
      <c r="E525" s="19">
        <f>Cleaned_Data!G525</f>
        <v>45607</v>
      </c>
      <c r="F525" s="18">
        <f>Cleaned_Data!H525</f>
        <v>1000</v>
      </c>
      <c r="G525" s="18">
        <f ca="1">Cleaned_Data!I525</f>
        <v>4000</v>
      </c>
      <c r="H525" s="18">
        <f>Cleaned_Data!J525</f>
        <v>22</v>
      </c>
      <c r="I525" s="18" t="str">
        <f>Cleaned_Data!M525</f>
        <v>Active</v>
      </c>
      <c r="J525" s="20">
        <f>Cleaned_Data!N525</f>
        <v>45907</v>
      </c>
      <c r="K525" t="str">
        <f t="shared" si="80"/>
        <v>Highly Active</v>
      </c>
      <c r="L525" s="5" t="str">
        <f>IF(COUNTIF($A$2:A525,A525)&gt;1,"Duplicate","Unique")</f>
        <v>Unique</v>
      </c>
      <c r="M525" t="str">
        <f t="shared" si="81"/>
        <v>2024-10</v>
      </c>
      <c r="N525" s="2">
        <f t="shared" ca="1" si="82"/>
        <v>45907</v>
      </c>
      <c r="O525" s="4">
        <f t="shared" ca="1" si="83"/>
        <v>10</v>
      </c>
      <c r="P525" s="4">
        <f t="shared" ca="1" si="84"/>
        <v>222</v>
      </c>
      <c r="Q525">
        <f t="shared" ca="1" si="85"/>
        <v>2</v>
      </c>
      <c r="R525">
        <f t="shared" si="86"/>
        <v>5</v>
      </c>
      <c r="S525">
        <f t="shared" ca="1" si="87"/>
        <v>2</v>
      </c>
      <c r="T525" t="str">
        <f t="shared" ca="1" si="88"/>
        <v>252</v>
      </c>
      <c r="U525" t="str">
        <f t="shared" ca="1" si="89"/>
        <v>At Risk</v>
      </c>
    </row>
    <row r="526" spans="1:21">
      <c r="A526" s="13" t="str">
        <f>Cleaned_Data!A526</f>
        <v>MEM0525</v>
      </c>
      <c r="B526" s="14" t="str">
        <f ca="1">Cleaned_Data!D526</f>
        <v>BR07</v>
      </c>
      <c r="C526" s="14" t="str">
        <f ca="1">Cleaned_Data!E526</f>
        <v>Premium</v>
      </c>
      <c r="D526" s="15">
        <f>Cleaned_Data!F526</f>
        <v>45196</v>
      </c>
      <c r="E526" s="15">
        <f>Cleaned_Data!G526</f>
        <v>45286</v>
      </c>
      <c r="F526" s="14">
        <f>Cleaned_Data!H526</f>
        <v>1000</v>
      </c>
      <c r="G526" s="14">
        <f ca="1">Cleaned_Data!I526</f>
        <v>4000</v>
      </c>
      <c r="H526" s="14">
        <f>Cleaned_Data!J526</f>
        <v>13</v>
      </c>
      <c r="I526" s="14" t="str">
        <f>Cleaned_Data!M526</f>
        <v>Active</v>
      </c>
      <c r="J526" s="16">
        <f>Cleaned_Data!N526</f>
        <v>45629</v>
      </c>
      <c r="K526" t="str">
        <f t="shared" si="80"/>
        <v>Moderate</v>
      </c>
      <c r="L526" s="5" t="str">
        <f>IF(COUNTIF($A$2:A526,A526)&gt;1,"Duplicate","Unique")</f>
        <v>Unique</v>
      </c>
      <c r="M526" t="str">
        <f t="shared" si="81"/>
        <v>2023-09</v>
      </c>
      <c r="N526" s="2">
        <f t="shared" ca="1" si="82"/>
        <v>45629</v>
      </c>
      <c r="O526" s="4">
        <f t="shared" ca="1" si="83"/>
        <v>14</v>
      </c>
      <c r="P526" s="4">
        <f t="shared" ca="1" si="84"/>
        <v>500</v>
      </c>
      <c r="Q526">
        <f t="shared" ca="1" si="85"/>
        <v>1</v>
      </c>
      <c r="R526">
        <f t="shared" si="86"/>
        <v>3</v>
      </c>
      <c r="S526">
        <f t="shared" ca="1" si="87"/>
        <v>2</v>
      </c>
      <c r="T526" t="str">
        <f t="shared" ca="1" si="88"/>
        <v>132</v>
      </c>
      <c r="U526" t="str">
        <f t="shared" ca="1" si="89"/>
        <v>At Risk</v>
      </c>
    </row>
    <row r="527" spans="1:21">
      <c r="A527" s="17" t="str">
        <f>Cleaned_Data!A527</f>
        <v>MEM0526</v>
      </c>
      <c r="B527" s="18" t="str">
        <f ca="1">Cleaned_Data!D527</f>
        <v>BR01</v>
      </c>
      <c r="C527" s="18" t="str">
        <f ca="1">Cleaned_Data!E527</f>
        <v>Basic</v>
      </c>
      <c r="D527" s="19">
        <f>Cleaned_Data!F527</f>
        <v>45534</v>
      </c>
      <c r="E527" s="19">
        <f>Cleaned_Data!G527</f>
        <v>45624</v>
      </c>
      <c r="F527" s="18">
        <f>Cleaned_Data!H527</f>
        <v>3500</v>
      </c>
      <c r="G527" s="18">
        <f ca="1">Cleaned_Data!I527</f>
        <v>7000</v>
      </c>
      <c r="H527" s="18">
        <f>Cleaned_Data!J527</f>
        <v>11</v>
      </c>
      <c r="I527" s="18" t="str">
        <f>Cleaned_Data!M527</f>
        <v>Active</v>
      </c>
      <c r="J527" s="20">
        <f>Cleaned_Data!N527</f>
        <v>45713</v>
      </c>
      <c r="K527" t="str">
        <f t="shared" si="80"/>
        <v>Moderate</v>
      </c>
      <c r="L527" s="5" t="str">
        <f>IF(COUNTIF($A$2:A527,A527)&gt;1,"Duplicate","Unique")</f>
        <v>Unique</v>
      </c>
      <c r="M527" t="str">
        <f t="shared" si="81"/>
        <v>2024-08</v>
      </c>
      <c r="N527" s="2">
        <f t="shared" ca="1" si="82"/>
        <v>45713</v>
      </c>
      <c r="O527" s="4">
        <f t="shared" ca="1" si="83"/>
        <v>5</v>
      </c>
      <c r="P527" s="4">
        <f t="shared" ca="1" si="84"/>
        <v>416</v>
      </c>
      <c r="Q527">
        <f t="shared" ca="1" si="85"/>
        <v>1</v>
      </c>
      <c r="R527">
        <f t="shared" si="86"/>
        <v>3</v>
      </c>
      <c r="S527">
        <f t="shared" ca="1" si="87"/>
        <v>3</v>
      </c>
      <c r="T527" t="str">
        <f t="shared" ca="1" si="88"/>
        <v>133</v>
      </c>
      <c r="U527" t="str">
        <f t="shared" ca="1" si="89"/>
        <v>At Risk</v>
      </c>
    </row>
    <row r="528" spans="1:21">
      <c r="A528" s="13" t="str">
        <f>Cleaned_Data!A528</f>
        <v>MEM0527</v>
      </c>
      <c r="B528" s="14" t="str">
        <f ca="1">Cleaned_Data!D528</f>
        <v>BR05</v>
      </c>
      <c r="C528" s="14" t="str">
        <f ca="1">Cleaned_Data!E528</f>
        <v>Standard</v>
      </c>
      <c r="D528" s="15">
        <f>Cleaned_Data!F528</f>
        <v>45333</v>
      </c>
      <c r="E528" s="15">
        <f>Cleaned_Data!G528</f>
        <v>45423</v>
      </c>
      <c r="F528" s="14">
        <f>Cleaned_Data!H528</f>
        <v>1000</v>
      </c>
      <c r="G528" s="14">
        <f ca="1">Cleaned_Data!I528</f>
        <v>8000</v>
      </c>
      <c r="H528" s="14">
        <f>Cleaned_Data!J528</f>
        <v>3</v>
      </c>
      <c r="I528" s="14" t="str">
        <f>Cleaned_Data!M528</f>
        <v>Active</v>
      </c>
      <c r="J528" s="16">
        <f>Cleaned_Data!N528</f>
        <v>45383</v>
      </c>
      <c r="K528" t="str">
        <f t="shared" si="80"/>
        <v>At Risk</v>
      </c>
      <c r="L528" s="5" t="str">
        <f>IF(COUNTIF($A$2:A528,A528)&gt;1,"Duplicate","Unique")</f>
        <v>Unique</v>
      </c>
      <c r="M528" t="str">
        <f t="shared" si="81"/>
        <v>2024-02</v>
      </c>
      <c r="N528" s="2">
        <f t="shared" ca="1" si="82"/>
        <v>45383</v>
      </c>
      <c r="O528" s="4">
        <f t="shared" ca="1" si="83"/>
        <v>1</v>
      </c>
      <c r="P528" s="4">
        <f t="shared" ca="1" si="84"/>
        <v>746</v>
      </c>
      <c r="Q528">
        <f t="shared" ca="1" si="85"/>
        <v>1</v>
      </c>
      <c r="R528">
        <f t="shared" si="86"/>
        <v>1</v>
      </c>
      <c r="S528">
        <f t="shared" ca="1" si="87"/>
        <v>3</v>
      </c>
      <c r="T528" t="str">
        <f t="shared" ca="1" si="88"/>
        <v>113</v>
      </c>
      <c r="U528" t="str">
        <f t="shared" ca="1" si="89"/>
        <v>At Risk</v>
      </c>
    </row>
    <row r="529" spans="1:21">
      <c r="A529" s="17" t="str">
        <f>Cleaned_Data!A529</f>
        <v>MEM0528</v>
      </c>
      <c r="B529" s="18" t="str">
        <f ca="1">Cleaned_Data!D529</f>
        <v>BR03</v>
      </c>
      <c r="C529" s="18" t="str">
        <f ca="1">Cleaned_Data!E529</f>
        <v>Basic</v>
      </c>
      <c r="D529" s="19">
        <f>Cleaned_Data!F529</f>
        <v>45522</v>
      </c>
      <c r="E529" s="19">
        <f>Cleaned_Data!G529</f>
        <v>45612</v>
      </c>
      <c r="F529" s="18">
        <f>Cleaned_Data!H529</f>
        <v>2000</v>
      </c>
      <c r="G529" s="18">
        <f ca="1">Cleaned_Data!I529</f>
        <v>16000</v>
      </c>
      <c r="H529" s="18">
        <f>Cleaned_Data!J529</f>
        <v>18</v>
      </c>
      <c r="I529" s="18" t="str">
        <f>Cleaned_Data!M529</f>
        <v>Active</v>
      </c>
      <c r="J529" s="20">
        <f>Cleaned_Data!N529</f>
        <v>45932</v>
      </c>
      <c r="K529" t="str">
        <f t="shared" si="80"/>
        <v>Highly Active</v>
      </c>
      <c r="L529" s="5" t="str">
        <f>IF(COUNTIF($A$2:A529,A529)&gt;1,"Duplicate","Unique")</f>
        <v>Unique</v>
      </c>
      <c r="M529" t="str">
        <f t="shared" si="81"/>
        <v>2024-08</v>
      </c>
      <c r="N529" s="2">
        <f t="shared" ca="1" si="82"/>
        <v>45932</v>
      </c>
      <c r="O529" s="4">
        <f t="shared" ca="1" si="83"/>
        <v>13</v>
      </c>
      <c r="P529" s="4">
        <f t="shared" ca="1" si="84"/>
        <v>197</v>
      </c>
      <c r="Q529">
        <f t="shared" ca="1" si="85"/>
        <v>2</v>
      </c>
      <c r="R529">
        <f t="shared" si="86"/>
        <v>4</v>
      </c>
      <c r="S529">
        <f t="shared" ca="1" si="87"/>
        <v>4</v>
      </c>
      <c r="T529" t="str">
        <f t="shared" ca="1" si="88"/>
        <v>244</v>
      </c>
      <c r="U529" t="str">
        <f t="shared" ca="1" si="89"/>
        <v>At Risk</v>
      </c>
    </row>
    <row r="530" spans="1:21">
      <c r="A530" s="13" t="str">
        <f>Cleaned_Data!A530</f>
        <v>MEM0529</v>
      </c>
      <c r="B530" s="14" t="str">
        <f ca="1">Cleaned_Data!D530</f>
        <v>BR05</v>
      </c>
      <c r="C530" s="14" t="str">
        <f ca="1">Cleaned_Data!E530</f>
        <v>Standard</v>
      </c>
      <c r="D530" s="15">
        <f>Cleaned_Data!F530</f>
        <v>45146</v>
      </c>
      <c r="E530" s="15">
        <f>Cleaned_Data!G530</f>
        <v>45176</v>
      </c>
      <c r="F530" s="14">
        <f>Cleaned_Data!H530</f>
        <v>3500</v>
      </c>
      <c r="G530" s="14">
        <f ca="1">Cleaned_Data!I530</f>
        <v>3500</v>
      </c>
      <c r="H530" s="14">
        <f>Cleaned_Data!J530</f>
        <v>0</v>
      </c>
      <c r="I530" s="14" t="str">
        <f>Cleaned_Data!M530</f>
        <v>Active</v>
      </c>
      <c r="J530" s="16">
        <f>Cleaned_Data!N530</f>
        <v>45176</v>
      </c>
      <c r="K530" t="str">
        <f t="shared" si="80"/>
        <v>At Risk</v>
      </c>
      <c r="L530" s="5" t="str">
        <f>IF(COUNTIF($A$2:A530,A530)&gt;1,"Duplicate","Unique")</f>
        <v>Unique</v>
      </c>
      <c r="M530" t="str">
        <f t="shared" si="81"/>
        <v>2023-08</v>
      </c>
      <c r="N530" s="2">
        <f t="shared" ca="1" si="82"/>
        <v>45176</v>
      </c>
      <c r="O530" s="4">
        <f t="shared" ca="1" si="83"/>
        <v>0</v>
      </c>
      <c r="P530" s="4">
        <f t="shared" ca="1" si="84"/>
        <v>953</v>
      </c>
      <c r="Q530">
        <f t="shared" ca="1" si="85"/>
        <v>1</v>
      </c>
      <c r="R530">
        <f t="shared" si="86"/>
        <v>1</v>
      </c>
      <c r="S530">
        <f t="shared" ca="1" si="87"/>
        <v>2</v>
      </c>
      <c r="T530" t="str">
        <f t="shared" ca="1" si="88"/>
        <v>112</v>
      </c>
      <c r="U530" t="str">
        <f t="shared" ca="1" si="89"/>
        <v>At Risk</v>
      </c>
    </row>
    <row r="531" spans="1:21">
      <c r="A531" s="17" t="str">
        <f>Cleaned_Data!A531</f>
        <v>MEM0530</v>
      </c>
      <c r="B531" s="18" t="str">
        <f ca="1">Cleaned_Data!D531</f>
        <v>BR03</v>
      </c>
      <c r="C531" s="18" t="str">
        <f ca="1">Cleaned_Data!E531</f>
        <v>Standard</v>
      </c>
      <c r="D531" s="19">
        <f>Cleaned_Data!F531</f>
        <v>45045</v>
      </c>
      <c r="E531" s="19">
        <f>Cleaned_Data!G531</f>
        <v>45410</v>
      </c>
      <c r="F531" s="18">
        <f>Cleaned_Data!H531</f>
        <v>3500</v>
      </c>
      <c r="G531" s="18">
        <f ca="1">Cleaned_Data!I531</f>
        <v>17500</v>
      </c>
      <c r="H531" s="18">
        <f>Cleaned_Data!J531</f>
        <v>6</v>
      </c>
      <c r="I531" s="18" t="str">
        <f>Cleaned_Data!M531</f>
        <v>Cancelled</v>
      </c>
      <c r="J531" s="20">
        <f>Cleaned_Data!N531</f>
        <v>45237</v>
      </c>
      <c r="K531" t="str">
        <f t="shared" si="80"/>
        <v>Moderate</v>
      </c>
      <c r="L531" s="5" t="str">
        <f>IF(COUNTIF($A$2:A531,A531)&gt;1,"Duplicate","Unique")</f>
        <v>Unique</v>
      </c>
      <c r="M531" t="str">
        <f t="shared" si="81"/>
        <v>2023-04</v>
      </c>
      <c r="N531" s="2">
        <f t="shared" ca="1" si="82"/>
        <v>45237</v>
      </c>
      <c r="O531" s="4">
        <f t="shared" ca="1" si="83"/>
        <v>6</v>
      </c>
      <c r="P531" s="4">
        <f t="shared" ca="1" si="84"/>
        <v>892</v>
      </c>
      <c r="Q531">
        <f t="shared" ca="1" si="85"/>
        <v>1</v>
      </c>
      <c r="R531">
        <f t="shared" si="86"/>
        <v>2</v>
      </c>
      <c r="S531">
        <f t="shared" ca="1" si="87"/>
        <v>4</v>
      </c>
      <c r="T531" t="str">
        <f t="shared" ca="1" si="88"/>
        <v>124</v>
      </c>
      <c r="U531" t="str">
        <f t="shared" ca="1" si="89"/>
        <v>At Risk</v>
      </c>
    </row>
    <row r="532" spans="1:21">
      <c r="A532" s="13" t="str">
        <f>Cleaned_Data!A532</f>
        <v>MEM0531</v>
      </c>
      <c r="B532" s="14" t="str">
        <f ca="1">Cleaned_Data!D532</f>
        <v>BR01</v>
      </c>
      <c r="C532" s="14" t="str">
        <f ca="1">Cleaned_Data!E532</f>
        <v>Premium</v>
      </c>
      <c r="D532" s="15">
        <f>Cleaned_Data!F532</f>
        <v>44960</v>
      </c>
      <c r="E532" s="15">
        <f>Cleaned_Data!G532</f>
        <v>44990</v>
      </c>
      <c r="F532" s="14">
        <f>Cleaned_Data!H532</f>
        <v>3500</v>
      </c>
      <c r="G532" s="14">
        <f ca="1">Cleaned_Data!I532</f>
        <v>28000</v>
      </c>
      <c r="H532" s="14">
        <f>Cleaned_Data!J532</f>
        <v>2</v>
      </c>
      <c r="I532" s="14" t="str">
        <f>Cleaned_Data!M532</f>
        <v>Active</v>
      </c>
      <c r="J532" s="16">
        <f>Cleaned_Data!N532</f>
        <v>44980</v>
      </c>
      <c r="K532" t="str">
        <f t="shared" si="80"/>
        <v>At Risk</v>
      </c>
      <c r="L532" s="5" t="str">
        <f>IF(COUNTIF($A$2:A532,A532)&gt;1,"Duplicate","Unique")</f>
        <v>Unique</v>
      </c>
      <c r="M532" t="str">
        <f t="shared" si="81"/>
        <v>2023-02</v>
      </c>
      <c r="N532" s="2">
        <f t="shared" ca="1" si="82"/>
        <v>44980</v>
      </c>
      <c r="O532" s="4">
        <f t="shared" ca="1" si="83"/>
        <v>0</v>
      </c>
      <c r="P532" s="4">
        <f t="shared" ca="1" si="84"/>
        <v>1149</v>
      </c>
      <c r="Q532">
        <f t="shared" ca="1" si="85"/>
        <v>1</v>
      </c>
      <c r="R532">
        <f t="shared" si="86"/>
        <v>1</v>
      </c>
      <c r="S532">
        <f t="shared" ca="1" si="87"/>
        <v>5</v>
      </c>
      <c r="T532" t="str">
        <f t="shared" ca="1" si="88"/>
        <v>115</v>
      </c>
      <c r="U532" t="str">
        <f t="shared" ca="1" si="89"/>
        <v>At Risk</v>
      </c>
    </row>
    <row r="533" spans="1:21">
      <c r="A533" s="17" t="str">
        <f>Cleaned_Data!A533</f>
        <v>MEM0532</v>
      </c>
      <c r="B533" s="18" t="str">
        <f ca="1">Cleaned_Data!D533</f>
        <v>BR01</v>
      </c>
      <c r="C533" s="18" t="str">
        <f ca="1">Cleaned_Data!E533</f>
        <v>Premium</v>
      </c>
      <c r="D533" s="19">
        <f>Cleaned_Data!F533</f>
        <v>45934</v>
      </c>
      <c r="E533" s="19">
        <f>Cleaned_Data!G533</f>
        <v>46299</v>
      </c>
      <c r="F533" s="18">
        <f>Cleaned_Data!H533</f>
        <v>3500</v>
      </c>
      <c r="G533" s="18">
        <f ca="1">Cleaned_Data!I533</f>
        <v>7000</v>
      </c>
      <c r="H533" s="18">
        <f>Cleaned_Data!J533</f>
        <v>5</v>
      </c>
      <c r="I533" s="18" t="str">
        <f>Cleaned_Data!M533</f>
        <v>Active</v>
      </c>
      <c r="J533" s="20">
        <f>Cleaned_Data!N533</f>
        <v>45978</v>
      </c>
      <c r="K533" t="str">
        <f t="shared" si="80"/>
        <v>Moderate</v>
      </c>
      <c r="L533" s="5" t="str">
        <f>IF(COUNTIF($A$2:A533,A533)&gt;1,"Duplicate","Unique")</f>
        <v>Unique</v>
      </c>
      <c r="M533" t="str">
        <f t="shared" si="81"/>
        <v>2025-10</v>
      </c>
      <c r="N533" s="2">
        <f t="shared" ca="1" si="82"/>
        <v>45978</v>
      </c>
      <c r="O533" s="4">
        <f t="shared" ca="1" si="83"/>
        <v>1</v>
      </c>
      <c r="P533" s="4">
        <f t="shared" ca="1" si="84"/>
        <v>151</v>
      </c>
      <c r="Q533">
        <f t="shared" ca="1" si="85"/>
        <v>3</v>
      </c>
      <c r="R533">
        <f t="shared" si="86"/>
        <v>2</v>
      </c>
      <c r="S533">
        <f t="shared" ca="1" si="87"/>
        <v>3</v>
      </c>
      <c r="T533" t="str">
        <f t="shared" ca="1" si="88"/>
        <v>323</v>
      </c>
      <c r="U533" t="str">
        <f t="shared" ca="1" si="89"/>
        <v>Others</v>
      </c>
    </row>
    <row r="534" spans="1:21">
      <c r="A534" s="13" t="str">
        <f>Cleaned_Data!A534</f>
        <v>MEM0533</v>
      </c>
      <c r="B534" s="14" t="str">
        <f ca="1">Cleaned_Data!D534</f>
        <v>BR06</v>
      </c>
      <c r="C534" s="14" t="str">
        <f ca="1">Cleaned_Data!E534</f>
        <v>Standard</v>
      </c>
      <c r="D534" s="15">
        <f>Cleaned_Data!F534</f>
        <v>44949</v>
      </c>
      <c r="E534" s="15">
        <f>Cleaned_Data!G534</f>
        <v>45314</v>
      </c>
      <c r="F534" s="14">
        <f>Cleaned_Data!H534</f>
        <v>1000</v>
      </c>
      <c r="G534" s="14">
        <f ca="1">Cleaned_Data!I534</f>
        <v>2000</v>
      </c>
      <c r="H534" s="14">
        <f>Cleaned_Data!J534</f>
        <v>7</v>
      </c>
      <c r="I534" s="14" t="str">
        <f>Cleaned_Data!M534</f>
        <v>Active</v>
      </c>
      <c r="J534" s="16">
        <f>Cleaned_Data!N534</f>
        <v>45020</v>
      </c>
      <c r="K534" t="str">
        <f t="shared" si="80"/>
        <v>Moderate</v>
      </c>
      <c r="L534" s="5" t="str">
        <f>IF(COUNTIF($A$2:A534,A534)&gt;1,"Duplicate","Unique")</f>
        <v>Unique</v>
      </c>
      <c r="M534" t="str">
        <f t="shared" si="81"/>
        <v>2023-01</v>
      </c>
      <c r="N534" s="2">
        <f t="shared" ca="1" si="82"/>
        <v>45020</v>
      </c>
      <c r="O534" s="4">
        <f t="shared" ca="1" si="83"/>
        <v>2</v>
      </c>
      <c r="P534" s="4">
        <f t="shared" ca="1" si="84"/>
        <v>1109</v>
      </c>
      <c r="Q534">
        <f t="shared" ca="1" si="85"/>
        <v>1</v>
      </c>
      <c r="R534">
        <f t="shared" si="86"/>
        <v>2</v>
      </c>
      <c r="S534">
        <f t="shared" ca="1" si="87"/>
        <v>2</v>
      </c>
      <c r="T534" t="str">
        <f t="shared" ca="1" si="88"/>
        <v>122</v>
      </c>
      <c r="U534" t="str">
        <f t="shared" ca="1" si="89"/>
        <v>At Risk</v>
      </c>
    </row>
    <row r="535" spans="1:21">
      <c r="A535" s="17" t="str">
        <f>Cleaned_Data!A535</f>
        <v>MEM0534</v>
      </c>
      <c r="B535" s="18" t="str">
        <f ca="1">Cleaned_Data!D535</f>
        <v>BR07</v>
      </c>
      <c r="C535" s="18" t="str">
        <f ca="1">Cleaned_Data!E535</f>
        <v>Standard</v>
      </c>
      <c r="D535" s="19">
        <f>Cleaned_Data!F535</f>
        <v>46034</v>
      </c>
      <c r="E535" s="19">
        <f>Cleaned_Data!G535</f>
        <v>46064</v>
      </c>
      <c r="F535" s="18">
        <f>Cleaned_Data!H535</f>
        <v>3500</v>
      </c>
      <c r="G535" s="18">
        <f ca="1">Cleaned_Data!I535</f>
        <v>31500</v>
      </c>
      <c r="H535" s="18">
        <f>Cleaned_Data!J535</f>
        <v>14</v>
      </c>
      <c r="I535" s="18" t="str">
        <f>Cleaned_Data!M535</f>
        <v>Active</v>
      </c>
      <c r="J535" s="20">
        <f>Cleaned_Data!N535</f>
        <v>46113</v>
      </c>
      <c r="K535" t="str">
        <f t="shared" si="80"/>
        <v>Moderate</v>
      </c>
      <c r="L535" s="5" t="str">
        <f>IF(COUNTIF($A$2:A535,A535)&gt;1,"Duplicate","Unique")</f>
        <v>Unique</v>
      </c>
      <c r="M535" t="str">
        <f t="shared" si="81"/>
        <v>2026-01</v>
      </c>
      <c r="N535" s="2">
        <f t="shared" ca="1" si="82"/>
        <v>46113</v>
      </c>
      <c r="O535" s="4">
        <f t="shared" ca="1" si="83"/>
        <v>2</v>
      </c>
      <c r="P535" s="4">
        <f t="shared" ca="1" si="84"/>
        <v>16</v>
      </c>
      <c r="Q535">
        <f t="shared" ca="1" si="85"/>
        <v>5</v>
      </c>
      <c r="R535">
        <f t="shared" si="86"/>
        <v>3</v>
      </c>
      <c r="S535">
        <f t="shared" ca="1" si="87"/>
        <v>5</v>
      </c>
      <c r="T535" t="str">
        <f t="shared" ca="1" si="88"/>
        <v>535</v>
      </c>
      <c r="U535" t="str">
        <f t="shared" ca="1" si="89"/>
        <v>Loyal</v>
      </c>
    </row>
    <row r="536" spans="1:21">
      <c r="A536" s="13" t="str">
        <f>Cleaned_Data!A536</f>
        <v>MEM0535</v>
      </c>
      <c r="B536" s="14" t="str">
        <f ca="1">Cleaned_Data!D536</f>
        <v>BR06</v>
      </c>
      <c r="C536" s="14" t="str">
        <f ca="1">Cleaned_Data!E536</f>
        <v>Premium</v>
      </c>
      <c r="D536" s="15">
        <f>Cleaned_Data!F536</f>
        <v>45246</v>
      </c>
      <c r="E536" s="15">
        <f>Cleaned_Data!G536</f>
        <v>45611</v>
      </c>
      <c r="F536" s="14">
        <f>Cleaned_Data!H536</f>
        <v>1000</v>
      </c>
      <c r="G536" s="14">
        <f ca="1">Cleaned_Data!I536</f>
        <v>12000</v>
      </c>
      <c r="H536" s="14">
        <f>Cleaned_Data!J536</f>
        <v>13</v>
      </c>
      <c r="I536" s="14" t="str">
        <f>Cleaned_Data!M536</f>
        <v>Active</v>
      </c>
      <c r="J536" s="16">
        <f>Cleaned_Data!N536</f>
        <v>45320</v>
      </c>
      <c r="K536" t="str">
        <f t="shared" si="80"/>
        <v>Moderate</v>
      </c>
      <c r="L536" s="5" t="str">
        <f>IF(COUNTIF($A$2:A536,A536)&gt;1,"Duplicate","Unique")</f>
        <v>Unique</v>
      </c>
      <c r="M536" t="str">
        <f t="shared" si="81"/>
        <v>2023-11</v>
      </c>
      <c r="N536" s="2">
        <f t="shared" ca="1" si="82"/>
        <v>45320</v>
      </c>
      <c r="O536" s="4">
        <f t="shared" ca="1" si="83"/>
        <v>2</v>
      </c>
      <c r="P536" s="4">
        <f t="shared" ca="1" si="84"/>
        <v>809</v>
      </c>
      <c r="Q536">
        <f t="shared" ca="1" si="85"/>
        <v>1</v>
      </c>
      <c r="R536">
        <f t="shared" si="86"/>
        <v>3</v>
      </c>
      <c r="S536">
        <f t="shared" ca="1" si="87"/>
        <v>4</v>
      </c>
      <c r="T536" t="str">
        <f t="shared" ca="1" si="88"/>
        <v>134</v>
      </c>
      <c r="U536" t="str">
        <f t="shared" ca="1" si="89"/>
        <v>At Risk</v>
      </c>
    </row>
    <row r="537" spans="1:21">
      <c r="A537" s="17" t="str">
        <f>Cleaned_Data!A537</f>
        <v>MEM0536</v>
      </c>
      <c r="B537" s="18" t="str">
        <f ca="1">Cleaned_Data!D537</f>
        <v>BR04</v>
      </c>
      <c r="C537" s="18" t="str">
        <f ca="1">Cleaned_Data!E537</f>
        <v>Basic</v>
      </c>
      <c r="D537" s="19">
        <f>Cleaned_Data!F537</f>
        <v>45912</v>
      </c>
      <c r="E537" s="19">
        <f>Cleaned_Data!G537</f>
        <v>46002</v>
      </c>
      <c r="F537" s="18">
        <f>Cleaned_Data!H537</f>
        <v>3500</v>
      </c>
      <c r="G537" s="18">
        <f ca="1">Cleaned_Data!I537</f>
        <v>42000</v>
      </c>
      <c r="H537" s="18">
        <f>Cleaned_Data!J537</f>
        <v>22</v>
      </c>
      <c r="I537" s="18" t="str">
        <f>Cleaned_Data!M537</f>
        <v>Cancelled</v>
      </c>
      <c r="J537" s="20">
        <f>Cleaned_Data!N537</f>
        <v>46054</v>
      </c>
      <c r="K537" t="str">
        <f t="shared" si="80"/>
        <v>Highly Active</v>
      </c>
      <c r="L537" s="5" t="str">
        <f>IF(COUNTIF($A$2:A537,A537)&gt;1,"Duplicate","Unique")</f>
        <v>Unique</v>
      </c>
      <c r="M537" t="str">
        <f t="shared" si="81"/>
        <v>2025-09</v>
      </c>
      <c r="N537" s="2">
        <f t="shared" ca="1" si="82"/>
        <v>46054</v>
      </c>
      <c r="O537" s="4">
        <f t="shared" ca="1" si="83"/>
        <v>4</v>
      </c>
      <c r="P537" s="4">
        <f t="shared" ca="1" si="84"/>
        <v>75</v>
      </c>
      <c r="Q537">
        <f t="shared" ca="1" si="85"/>
        <v>4</v>
      </c>
      <c r="R537">
        <f t="shared" si="86"/>
        <v>5</v>
      </c>
      <c r="S537">
        <f t="shared" ca="1" si="87"/>
        <v>5</v>
      </c>
      <c r="T537" t="str">
        <f t="shared" ca="1" si="88"/>
        <v>455</v>
      </c>
      <c r="U537" t="str">
        <f t="shared" ca="1" si="89"/>
        <v>Champion</v>
      </c>
    </row>
    <row r="538" spans="1:21">
      <c r="A538" s="13" t="str">
        <f>Cleaned_Data!A538</f>
        <v>MEM0537</v>
      </c>
      <c r="B538" s="14" t="str">
        <f ca="1">Cleaned_Data!D538</f>
        <v>BR05</v>
      </c>
      <c r="C538" s="14" t="str">
        <f ca="1">Cleaned_Data!E538</f>
        <v>Premium</v>
      </c>
      <c r="D538" s="15">
        <f>Cleaned_Data!F538</f>
        <v>45694</v>
      </c>
      <c r="E538" s="15">
        <f>Cleaned_Data!G538</f>
        <v>45724</v>
      </c>
      <c r="F538" s="14">
        <f>Cleaned_Data!H538</f>
        <v>2000</v>
      </c>
      <c r="G538" s="14">
        <f ca="1">Cleaned_Data!I538</f>
        <v>4000</v>
      </c>
      <c r="H538" s="14">
        <f>Cleaned_Data!J538</f>
        <v>17</v>
      </c>
      <c r="I538" s="14" t="str">
        <f>Cleaned_Data!M538</f>
        <v>Active</v>
      </c>
      <c r="J538" s="16">
        <f>Cleaned_Data!N538</f>
        <v>46090</v>
      </c>
      <c r="K538" t="str">
        <f t="shared" si="80"/>
        <v>Highly Active</v>
      </c>
      <c r="L538" s="5" t="str">
        <f>IF(COUNTIF($A$2:A538,A538)&gt;1,"Duplicate","Unique")</f>
        <v>Unique</v>
      </c>
      <c r="M538" t="str">
        <f t="shared" si="81"/>
        <v>2025-02</v>
      </c>
      <c r="N538" s="2">
        <f t="shared" ca="1" si="82"/>
        <v>46090</v>
      </c>
      <c r="O538" s="4">
        <f t="shared" ca="1" si="83"/>
        <v>13</v>
      </c>
      <c r="P538" s="4">
        <f t="shared" ca="1" si="84"/>
        <v>39</v>
      </c>
      <c r="Q538">
        <f t="shared" ca="1" si="85"/>
        <v>4</v>
      </c>
      <c r="R538">
        <f t="shared" si="86"/>
        <v>4</v>
      </c>
      <c r="S538">
        <f t="shared" ca="1" si="87"/>
        <v>2</v>
      </c>
      <c r="T538" t="str">
        <f t="shared" ca="1" si="88"/>
        <v>442</v>
      </c>
      <c r="U538" t="str">
        <f t="shared" ca="1" si="89"/>
        <v>Others</v>
      </c>
    </row>
    <row r="539" spans="1:21">
      <c r="A539" s="17" t="str">
        <f>Cleaned_Data!A539</f>
        <v>MEM0538</v>
      </c>
      <c r="B539" s="18" t="str">
        <f ca="1">Cleaned_Data!D539</f>
        <v>BR06</v>
      </c>
      <c r="C539" s="18" t="str">
        <f ca="1">Cleaned_Data!E539</f>
        <v>Standard</v>
      </c>
      <c r="D539" s="19">
        <f>Cleaned_Data!F539</f>
        <v>45459</v>
      </c>
      <c r="E539" s="19">
        <f>Cleaned_Data!G539</f>
        <v>45549</v>
      </c>
      <c r="F539" s="18">
        <f>Cleaned_Data!H539</f>
        <v>3500</v>
      </c>
      <c r="G539" s="18">
        <f ca="1">Cleaned_Data!I539</f>
        <v>42000</v>
      </c>
      <c r="H539" s="18">
        <f>Cleaned_Data!J539</f>
        <v>3</v>
      </c>
      <c r="I539" s="18" t="str">
        <f>Cleaned_Data!M539</f>
        <v>Cancelled</v>
      </c>
      <c r="J539" s="20">
        <f>Cleaned_Data!N539</f>
        <v>46033</v>
      </c>
      <c r="K539" t="str">
        <f t="shared" si="80"/>
        <v>At Risk</v>
      </c>
      <c r="L539" s="5" t="str">
        <f>IF(COUNTIF($A$2:A539,A539)&gt;1,"Duplicate","Unique")</f>
        <v>Unique</v>
      </c>
      <c r="M539" t="str">
        <f t="shared" si="81"/>
        <v>2024-06</v>
      </c>
      <c r="N539" s="2">
        <f t="shared" ca="1" si="82"/>
        <v>46033</v>
      </c>
      <c r="O539" s="4">
        <f t="shared" ca="1" si="83"/>
        <v>18</v>
      </c>
      <c r="P539" s="4">
        <f t="shared" ca="1" si="84"/>
        <v>96</v>
      </c>
      <c r="Q539">
        <f t="shared" ca="1" si="85"/>
        <v>3</v>
      </c>
      <c r="R539">
        <f t="shared" si="86"/>
        <v>1</v>
      </c>
      <c r="S539">
        <f t="shared" ca="1" si="87"/>
        <v>5</v>
      </c>
      <c r="T539" t="str">
        <f t="shared" ca="1" si="88"/>
        <v>315</v>
      </c>
      <c r="U539" t="str">
        <f t="shared" ca="1" si="89"/>
        <v>Others</v>
      </c>
    </row>
    <row r="540" spans="1:21">
      <c r="A540" s="13" t="str">
        <f>Cleaned_Data!A540</f>
        <v>MEM0539</v>
      </c>
      <c r="B540" s="14" t="str">
        <f ca="1">Cleaned_Data!D540</f>
        <v>BR03</v>
      </c>
      <c r="C540" s="14" t="str">
        <f ca="1">Cleaned_Data!E540</f>
        <v>Standard</v>
      </c>
      <c r="D540" s="15">
        <f>Cleaned_Data!F540</f>
        <v>45414</v>
      </c>
      <c r="E540" s="15">
        <f>Cleaned_Data!G540</f>
        <v>45504</v>
      </c>
      <c r="F540" s="14">
        <f>Cleaned_Data!H540</f>
        <v>1000</v>
      </c>
      <c r="G540" s="14">
        <f ca="1">Cleaned_Data!I540</f>
        <v>10000</v>
      </c>
      <c r="H540" s="14">
        <f>Cleaned_Data!J540</f>
        <v>19</v>
      </c>
      <c r="I540" s="14" t="str">
        <f>Cleaned_Data!M540</f>
        <v>Cancelled</v>
      </c>
      <c r="J540" s="16">
        <f>Cleaned_Data!N540</f>
        <v>45421</v>
      </c>
      <c r="K540" t="str">
        <f t="shared" si="80"/>
        <v>Highly Active</v>
      </c>
      <c r="L540" s="5" t="str">
        <f>IF(COUNTIF($A$2:A540,A540)&gt;1,"Duplicate","Unique")</f>
        <v>Unique</v>
      </c>
      <c r="M540" t="str">
        <f t="shared" si="81"/>
        <v>2024-05</v>
      </c>
      <c r="N540" s="2">
        <f t="shared" ca="1" si="82"/>
        <v>45421</v>
      </c>
      <c r="O540" s="4">
        <f t="shared" ca="1" si="83"/>
        <v>0</v>
      </c>
      <c r="P540" s="4">
        <f t="shared" ca="1" si="84"/>
        <v>708</v>
      </c>
      <c r="Q540">
        <f t="shared" ca="1" si="85"/>
        <v>1</v>
      </c>
      <c r="R540">
        <f t="shared" si="86"/>
        <v>4</v>
      </c>
      <c r="S540">
        <f t="shared" ca="1" si="87"/>
        <v>4</v>
      </c>
      <c r="T540" t="str">
        <f t="shared" ca="1" si="88"/>
        <v>144</v>
      </c>
      <c r="U540" t="str">
        <f t="shared" ca="1" si="89"/>
        <v>At Risk</v>
      </c>
    </row>
    <row r="541" spans="1:21">
      <c r="A541" s="17" t="str">
        <f>Cleaned_Data!A541</f>
        <v>MEM0540</v>
      </c>
      <c r="B541" s="18" t="str">
        <f ca="1">Cleaned_Data!D541</f>
        <v>BR07</v>
      </c>
      <c r="C541" s="18" t="str">
        <f ca="1">Cleaned_Data!E541</f>
        <v>Basic</v>
      </c>
      <c r="D541" s="19">
        <f>Cleaned_Data!F541</f>
        <v>45376</v>
      </c>
      <c r="E541" s="19">
        <f>Cleaned_Data!G541</f>
        <v>45406</v>
      </c>
      <c r="F541" s="18">
        <f>Cleaned_Data!H541</f>
        <v>1000</v>
      </c>
      <c r="G541" s="18">
        <f ca="1">Cleaned_Data!I541</f>
        <v>8000</v>
      </c>
      <c r="H541" s="18">
        <f>Cleaned_Data!J541</f>
        <v>25</v>
      </c>
      <c r="I541" s="18" t="str">
        <f>Cleaned_Data!M541</f>
        <v>Active</v>
      </c>
      <c r="J541" s="20">
        <f>Cleaned_Data!N541</f>
        <v>45718</v>
      </c>
      <c r="K541" t="str">
        <f t="shared" si="80"/>
        <v>Highly Active</v>
      </c>
      <c r="L541" s="5" t="str">
        <f>IF(COUNTIF($A$2:A541,A541)&gt;1,"Duplicate","Unique")</f>
        <v>Unique</v>
      </c>
      <c r="M541" t="str">
        <f t="shared" si="81"/>
        <v>2024-03</v>
      </c>
      <c r="N541" s="2">
        <f t="shared" ca="1" si="82"/>
        <v>45718</v>
      </c>
      <c r="O541" s="4">
        <f t="shared" ca="1" si="83"/>
        <v>11</v>
      </c>
      <c r="P541" s="4">
        <f t="shared" ca="1" si="84"/>
        <v>411</v>
      </c>
      <c r="Q541">
        <f t="shared" ca="1" si="85"/>
        <v>1</v>
      </c>
      <c r="R541">
        <f t="shared" si="86"/>
        <v>5</v>
      </c>
      <c r="S541">
        <f t="shared" ca="1" si="87"/>
        <v>3</v>
      </c>
      <c r="T541" t="str">
        <f t="shared" ca="1" si="88"/>
        <v>153</v>
      </c>
      <c r="U541" t="str">
        <f t="shared" ca="1" si="89"/>
        <v>At Risk</v>
      </c>
    </row>
    <row r="542" spans="1:21">
      <c r="A542" s="13" t="str">
        <f>Cleaned_Data!A542</f>
        <v>MEM0541</v>
      </c>
      <c r="B542" s="14" t="str">
        <f ca="1">Cleaned_Data!D542</f>
        <v>BR05</v>
      </c>
      <c r="C542" s="14" t="str">
        <f ca="1">Cleaned_Data!E542</f>
        <v>Basic</v>
      </c>
      <c r="D542" s="15">
        <f>Cleaned_Data!F542</f>
        <v>45400</v>
      </c>
      <c r="E542" s="15">
        <f>Cleaned_Data!G542</f>
        <v>45765</v>
      </c>
      <c r="F542" s="14">
        <f>Cleaned_Data!H542</f>
        <v>2000</v>
      </c>
      <c r="G542" s="14">
        <f ca="1">Cleaned_Data!I542</f>
        <v>24000</v>
      </c>
      <c r="H542" s="14">
        <f>Cleaned_Data!J542</f>
        <v>6</v>
      </c>
      <c r="I542" s="14" t="str">
        <f>Cleaned_Data!M542</f>
        <v>Active</v>
      </c>
      <c r="J542" s="16">
        <f>Cleaned_Data!N542</f>
        <v>45658</v>
      </c>
      <c r="K542" t="str">
        <f t="shared" si="80"/>
        <v>Moderate</v>
      </c>
      <c r="L542" s="5" t="str">
        <f>IF(COUNTIF($A$2:A542,A542)&gt;1,"Duplicate","Unique")</f>
        <v>Unique</v>
      </c>
      <c r="M542" t="str">
        <f t="shared" si="81"/>
        <v>2024-04</v>
      </c>
      <c r="N542" s="2">
        <f t="shared" ca="1" si="82"/>
        <v>45658</v>
      </c>
      <c r="O542" s="4">
        <f t="shared" ca="1" si="83"/>
        <v>8</v>
      </c>
      <c r="P542" s="4">
        <f t="shared" ca="1" si="84"/>
        <v>471</v>
      </c>
      <c r="Q542">
        <f t="shared" ca="1" si="85"/>
        <v>1</v>
      </c>
      <c r="R542">
        <f t="shared" si="86"/>
        <v>2</v>
      </c>
      <c r="S542">
        <f t="shared" ca="1" si="87"/>
        <v>5</v>
      </c>
      <c r="T542" t="str">
        <f t="shared" ca="1" si="88"/>
        <v>125</v>
      </c>
      <c r="U542" t="str">
        <f t="shared" ca="1" si="89"/>
        <v>At Risk</v>
      </c>
    </row>
    <row r="543" spans="1:21">
      <c r="A543" s="17" t="str">
        <f>Cleaned_Data!A543</f>
        <v>MEM0542</v>
      </c>
      <c r="B543" s="18" t="str">
        <f ca="1">Cleaned_Data!D543</f>
        <v>BR04</v>
      </c>
      <c r="C543" s="18" t="str">
        <f ca="1">Cleaned_Data!E543</f>
        <v>Premium</v>
      </c>
      <c r="D543" s="19">
        <f>Cleaned_Data!F543</f>
        <v>45446</v>
      </c>
      <c r="E543" s="19">
        <f>Cleaned_Data!G543</f>
        <v>45476</v>
      </c>
      <c r="F543" s="18">
        <f>Cleaned_Data!H543</f>
        <v>3500</v>
      </c>
      <c r="G543" s="18">
        <f ca="1">Cleaned_Data!I543</f>
        <v>10500</v>
      </c>
      <c r="H543" s="18">
        <f>Cleaned_Data!J543</f>
        <v>8</v>
      </c>
      <c r="I543" s="18" t="str">
        <f>Cleaned_Data!M543</f>
        <v>Cancelled</v>
      </c>
      <c r="J543" s="20">
        <f>Cleaned_Data!N543</f>
        <v>45516</v>
      </c>
      <c r="K543" t="str">
        <f t="shared" si="80"/>
        <v>Moderate</v>
      </c>
      <c r="L543" s="5" t="str">
        <f>IF(COUNTIF($A$2:A543,A543)&gt;1,"Duplicate","Unique")</f>
        <v>Unique</v>
      </c>
      <c r="M543" t="str">
        <f t="shared" si="81"/>
        <v>2024-06</v>
      </c>
      <c r="N543" s="2">
        <f t="shared" ca="1" si="82"/>
        <v>45516</v>
      </c>
      <c r="O543" s="4">
        <f t="shared" ca="1" si="83"/>
        <v>2</v>
      </c>
      <c r="P543" s="4">
        <f t="shared" ca="1" si="84"/>
        <v>613</v>
      </c>
      <c r="Q543">
        <f t="shared" ca="1" si="85"/>
        <v>1</v>
      </c>
      <c r="R543">
        <f t="shared" si="86"/>
        <v>2</v>
      </c>
      <c r="S543">
        <f t="shared" ca="1" si="87"/>
        <v>4</v>
      </c>
      <c r="T543" t="str">
        <f t="shared" ca="1" si="88"/>
        <v>124</v>
      </c>
      <c r="U543" t="str">
        <f t="shared" ca="1" si="89"/>
        <v>At Risk</v>
      </c>
    </row>
    <row r="544" spans="1:21">
      <c r="A544" s="13" t="str">
        <f>Cleaned_Data!A544</f>
        <v>MEM0543</v>
      </c>
      <c r="B544" s="14" t="str">
        <f ca="1">Cleaned_Data!D544</f>
        <v>BR06</v>
      </c>
      <c r="C544" s="14" t="str">
        <f ca="1">Cleaned_Data!E544</f>
        <v>Basic</v>
      </c>
      <c r="D544" s="15">
        <f>Cleaned_Data!F544</f>
        <v>45347</v>
      </c>
      <c r="E544" s="15">
        <f>Cleaned_Data!G544</f>
        <v>45712</v>
      </c>
      <c r="F544" s="14">
        <f>Cleaned_Data!H544</f>
        <v>2000</v>
      </c>
      <c r="G544" s="14">
        <f ca="1">Cleaned_Data!I544</f>
        <v>10000</v>
      </c>
      <c r="H544" s="14">
        <f>Cleaned_Data!J544</f>
        <v>12</v>
      </c>
      <c r="I544" s="14" t="str">
        <f>Cleaned_Data!M544</f>
        <v>Active</v>
      </c>
      <c r="J544" s="16">
        <f>Cleaned_Data!N544</f>
        <v>45587</v>
      </c>
      <c r="K544" t="str">
        <f t="shared" si="80"/>
        <v>Moderate</v>
      </c>
      <c r="L544" s="5" t="str">
        <f>IF(COUNTIF($A$2:A544,A544)&gt;1,"Duplicate","Unique")</f>
        <v>Unique</v>
      </c>
      <c r="M544" t="str">
        <f t="shared" si="81"/>
        <v>2024-02</v>
      </c>
      <c r="N544" s="2">
        <f t="shared" ca="1" si="82"/>
        <v>45587</v>
      </c>
      <c r="O544" s="4">
        <f t="shared" ca="1" si="83"/>
        <v>7</v>
      </c>
      <c r="P544" s="4">
        <f t="shared" ca="1" si="84"/>
        <v>542</v>
      </c>
      <c r="Q544">
        <f t="shared" ca="1" si="85"/>
        <v>1</v>
      </c>
      <c r="R544">
        <f t="shared" si="86"/>
        <v>3</v>
      </c>
      <c r="S544">
        <f t="shared" ca="1" si="87"/>
        <v>4</v>
      </c>
      <c r="T544" t="str">
        <f t="shared" ca="1" si="88"/>
        <v>134</v>
      </c>
      <c r="U544" t="str">
        <f t="shared" ca="1" si="89"/>
        <v>At Risk</v>
      </c>
    </row>
    <row r="545" spans="1:21">
      <c r="A545" s="17" t="str">
        <f>Cleaned_Data!A545</f>
        <v>MEM0544</v>
      </c>
      <c r="B545" s="18" t="str">
        <f ca="1">Cleaned_Data!D545</f>
        <v>BR07</v>
      </c>
      <c r="C545" s="18" t="str">
        <f ca="1">Cleaned_Data!E545</f>
        <v>Standard</v>
      </c>
      <c r="D545" s="19">
        <f>Cleaned_Data!F545</f>
        <v>45412</v>
      </c>
      <c r="E545" s="19">
        <f>Cleaned_Data!G545</f>
        <v>45777</v>
      </c>
      <c r="F545" s="18">
        <f>Cleaned_Data!H545</f>
        <v>2000</v>
      </c>
      <c r="G545" s="18">
        <f ca="1">Cleaned_Data!I545</f>
        <v>16000</v>
      </c>
      <c r="H545" s="18">
        <f>Cleaned_Data!J545</f>
        <v>6</v>
      </c>
      <c r="I545" s="18" t="str">
        <f>Cleaned_Data!M545</f>
        <v>Active</v>
      </c>
      <c r="J545" s="20">
        <f>Cleaned_Data!N545</f>
        <v>45494</v>
      </c>
      <c r="K545" t="str">
        <f t="shared" si="80"/>
        <v>Moderate</v>
      </c>
      <c r="L545" s="5" t="str">
        <f>IF(COUNTIF($A$2:A545,A545)&gt;1,"Duplicate","Unique")</f>
        <v>Unique</v>
      </c>
      <c r="M545" t="str">
        <f t="shared" si="81"/>
        <v>2024-04</v>
      </c>
      <c r="N545" s="2">
        <f t="shared" ca="1" si="82"/>
        <v>45494</v>
      </c>
      <c r="O545" s="4">
        <f t="shared" ca="1" si="83"/>
        <v>2</v>
      </c>
      <c r="P545" s="4">
        <f t="shared" ca="1" si="84"/>
        <v>635</v>
      </c>
      <c r="Q545">
        <f t="shared" ca="1" si="85"/>
        <v>1</v>
      </c>
      <c r="R545">
        <f t="shared" si="86"/>
        <v>2</v>
      </c>
      <c r="S545">
        <f t="shared" ca="1" si="87"/>
        <v>4</v>
      </c>
      <c r="T545" t="str">
        <f t="shared" ca="1" si="88"/>
        <v>124</v>
      </c>
      <c r="U545" t="str">
        <f t="shared" ca="1" si="89"/>
        <v>At Risk</v>
      </c>
    </row>
    <row r="546" spans="1:21">
      <c r="A546" s="13" t="str">
        <f>Cleaned_Data!A546</f>
        <v>MEM0545</v>
      </c>
      <c r="B546" s="14" t="str">
        <f ca="1">Cleaned_Data!D546</f>
        <v>BR07</v>
      </c>
      <c r="C546" s="14" t="str">
        <f ca="1">Cleaned_Data!E546</f>
        <v>Basic</v>
      </c>
      <c r="D546" s="15">
        <f>Cleaned_Data!F546</f>
        <v>45985</v>
      </c>
      <c r="E546" s="15">
        <f>Cleaned_Data!G546</f>
        <v>46350</v>
      </c>
      <c r="F546" s="14">
        <f>Cleaned_Data!H546</f>
        <v>3500</v>
      </c>
      <c r="G546" s="14">
        <f ca="1">Cleaned_Data!I546</f>
        <v>17500</v>
      </c>
      <c r="H546" s="14">
        <f>Cleaned_Data!J546</f>
        <v>10</v>
      </c>
      <c r="I546" s="14" t="str">
        <f>Cleaned_Data!M546</f>
        <v>Active</v>
      </c>
      <c r="J546" s="16">
        <f>Cleaned_Data!N546</f>
        <v>46099</v>
      </c>
      <c r="K546" t="str">
        <f t="shared" si="80"/>
        <v>Moderate</v>
      </c>
      <c r="L546" s="5" t="str">
        <f>IF(COUNTIF($A$2:A546,A546)&gt;1,"Duplicate","Unique")</f>
        <v>Unique</v>
      </c>
      <c r="M546" t="str">
        <f t="shared" si="81"/>
        <v>2025-11</v>
      </c>
      <c r="N546" s="2">
        <f t="shared" ca="1" si="82"/>
        <v>46099</v>
      </c>
      <c r="O546" s="4">
        <f t="shared" ca="1" si="83"/>
        <v>3</v>
      </c>
      <c r="P546" s="4">
        <f t="shared" ca="1" si="84"/>
        <v>30</v>
      </c>
      <c r="Q546">
        <f t="shared" ca="1" si="85"/>
        <v>5</v>
      </c>
      <c r="R546">
        <f t="shared" si="86"/>
        <v>3</v>
      </c>
      <c r="S546">
        <f t="shared" ca="1" si="87"/>
        <v>4</v>
      </c>
      <c r="T546" t="str">
        <f t="shared" ca="1" si="88"/>
        <v>534</v>
      </c>
      <c r="U546" t="str">
        <f t="shared" ca="1" si="89"/>
        <v>Loyal</v>
      </c>
    </row>
    <row r="547" spans="1:21">
      <c r="A547" s="17" t="str">
        <f>Cleaned_Data!A547</f>
        <v>MEM0546</v>
      </c>
      <c r="B547" s="18" t="str">
        <f ca="1">Cleaned_Data!D547</f>
        <v>BR03</v>
      </c>
      <c r="C547" s="18" t="str">
        <f ca="1">Cleaned_Data!E547</f>
        <v>Basic</v>
      </c>
      <c r="D547" s="19">
        <f>Cleaned_Data!F547</f>
        <v>45237</v>
      </c>
      <c r="E547" s="19">
        <f>Cleaned_Data!G547</f>
        <v>45602</v>
      </c>
      <c r="F547" s="18">
        <f>Cleaned_Data!H547</f>
        <v>2000</v>
      </c>
      <c r="G547" s="18">
        <f ca="1">Cleaned_Data!I547</f>
        <v>20000</v>
      </c>
      <c r="H547" s="18">
        <f>Cleaned_Data!J547</f>
        <v>9</v>
      </c>
      <c r="I547" s="18" t="str">
        <f>Cleaned_Data!M547</f>
        <v>Active</v>
      </c>
      <c r="J547" s="20">
        <f>Cleaned_Data!N547</f>
        <v>45258</v>
      </c>
      <c r="K547" t="str">
        <f t="shared" si="80"/>
        <v>Moderate</v>
      </c>
      <c r="L547" s="5" t="str">
        <f>IF(COUNTIF($A$2:A547,A547)&gt;1,"Duplicate","Unique")</f>
        <v>Unique</v>
      </c>
      <c r="M547" t="str">
        <f t="shared" si="81"/>
        <v>2023-11</v>
      </c>
      <c r="N547" s="2">
        <f t="shared" ca="1" si="82"/>
        <v>45258</v>
      </c>
      <c r="O547" s="4">
        <f t="shared" ca="1" si="83"/>
        <v>0</v>
      </c>
      <c r="P547" s="4">
        <f t="shared" ca="1" si="84"/>
        <v>871</v>
      </c>
      <c r="Q547">
        <f t="shared" ca="1" si="85"/>
        <v>1</v>
      </c>
      <c r="R547">
        <f t="shared" si="86"/>
        <v>2</v>
      </c>
      <c r="S547">
        <f t="shared" ca="1" si="87"/>
        <v>5</v>
      </c>
      <c r="T547" t="str">
        <f t="shared" ca="1" si="88"/>
        <v>125</v>
      </c>
      <c r="U547" t="str">
        <f t="shared" ca="1" si="89"/>
        <v>At Risk</v>
      </c>
    </row>
    <row r="548" spans="1:21">
      <c r="A548" s="13" t="str">
        <f>Cleaned_Data!A548</f>
        <v>MEM0547</v>
      </c>
      <c r="B548" s="14" t="str">
        <f ca="1">Cleaned_Data!D548</f>
        <v>BR01</v>
      </c>
      <c r="C548" s="14" t="str">
        <f ca="1">Cleaned_Data!E548</f>
        <v>Premium</v>
      </c>
      <c r="D548" s="15">
        <f>Cleaned_Data!F548</f>
        <v>45629</v>
      </c>
      <c r="E548" s="15">
        <f>Cleaned_Data!G548</f>
        <v>45659</v>
      </c>
      <c r="F548" s="14">
        <f>Cleaned_Data!H548</f>
        <v>2000</v>
      </c>
      <c r="G548" s="14">
        <f ca="1">Cleaned_Data!I548</f>
        <v>6000</v>
      </c>
      <c r="H548" s="14">
        <f>Cleaned_Data!J548</f>
        <v>2</v>
      </c>
      <c r="I548" s="14" t="str">
        <f>Cleaned_Data!M548</f>
        <v>Active</v>
      </c>
      <c r="J548" s="16">
        <f>Cleaned_Data!N548</f>
        <v>45655</v>
      </c>
      <c r="K548" t="str">
        <f t="shared" si="80"/>
        <v>At Risk</v>
      </c>
      <c r="L548" s="5" t="str">
        <f>IF(COUNTIF($A$2:A548,A548)&gt;1,"Duplicate","Unique")</f>
        <v>Unique</v>
      </c>
      <c r="M548" t="str">
        <f t="shared" si="81"/>
        <v>2024-12</v>
      </c>
      <c r="N548" s="2">
        <f t="shared" ca="1" si="82"/>
        <v>45655</v>
      </c>
      <c r="O548" s="4">
        <f t="shared" ca="1" si="83"/>
        <v>0</v>
      </c>
      <c r="P548" s="4">
        <f t="shared" ca="1" si="84"/>
        <v>474</v>
      </c>
      <c r="Q548">
        <f t="shared" ca="1" si="85"/>
        <v>1</v>
      </c>
      <c r="R548">
        <f t="shared" si="86"/>
        <v>1</v>
      </c>
      <c r="S548">
        <f t="shared" ca="1" si="87"/>
        <v>3</v>
      </c>
      <c r="T548" t="str">
        <f t="shared" ca="1" si="88"/>
        <v>113</v>
      </c>
      <c r="U548" t="str">
        <f t="shared" ca="1" si="89"/>
        <v>At Risk</v>
      </c>
    </row>
    <row r="549" spans="1:21">
      <c r="A549" s="17" t="str">
        <f>Cleaned_Data!A549</f>
        <v>MEM0548</v>
      </c>
      <c r="B549" s="18" t="str">
        <f ca="1">Cleaned_Data!D549</f>
        <v>BR05</v>
      </c>
      <c r="C549" s="18" t="str">
        <f ca="1">Cleaned_Data!E549</f>
        <v>Premium</v>
      </c>
      <c r="D549" s="19">
        <f>Cleaned_Data!F549</f>
        <v>45646</v>
      </c>
      <c r="E549" s="19">
        <f>Cleaned_Data!G549</f>
        <v>45736</v>
      </c>
      <c r="F549" s="18">
        <f>Cleaned_Data!H549</f>
        <v>1000</v>
      </c>
      <c r="G549" s="18">
        <f ca="1">Cleaned_Data!I549</f>
        <v>8000</v>
      </c>
      <c r="H549" s="18">
        <f>Cleaned_Data!J549</f>
        <v>21</v>
      </c>
      <c r="I549" s="18" t="str">
        <f>Cleaned_Data!M549</f>
        <v>Active</v>
      </c>
      <c r="J549" s="20">
        <f>Cleaned_Data!N549</f>
        <v>45679</v>
      </c>
      <c r="K549" t="str">
        <f t="shared" si="80"/>
        <v>Highly Active</v>
      </c>
      <c r="L549" s="5" t="str">
        <f>IF(COUNTIF($A$2:A549,A549)&gt;1,"Duplicate","Unique")</f>
        <v>Unique</v>
      </c>
      <c r="M549" t="str">
        <f t="shared" si="81"/>
        <v>2024-12</v>
      </c>
      <c r="N549" s="2">
        <f t="shared" ca="1" si="82"/>
        <v>45679</v>
      </c>
      <c r="O549" s="4">
        <f t="shared" ca="1" si="83"/>
        <v>1</v>
      </c>
      <c r="P549" s="4">
        <f t="shared" ca="1" si="84"/>
        <v>450</v>
      </c>
      <c r="Q549">
        <f t="shared" ca="1" si="85"/>
        <v>1</v>
      </c>
      <c r="R549">
        <f t="shared" si="86"/>
        <v>5</v>
      </c>
      <c r="S549">
        <f t="shared" ca="1" si="87"/>
        <v>3</v>
      </c>
      <c r="T549" t="str">
        <f t="shared" ca="1" si="88"/>
        <v>153</v>
      </c>
      <c r="U549" t="str">
        <f t="shared" ca="1" si="89"/>
        <v>At Risk</v>
      </c>
    </row>
    <row r="550" spans="1:21">
      <c r="A550" s="13" t="str">
        <f>Cleaned_Data!A550</f>
        <v>MEM0549</v>
      </c>
      <c r="B550" s="14" t="str">
        <f ca="1">Cleaned_Data!D550</f>
        <v>BR05</v>
      </c>
      <c r="C550" s="14" t="str">
        <f ca="1">Cleaned_Data!E550</f>
        <v>Standard</v>
      </c>
      <c r="D550" s="15">
        <f>Cleaned_Data!F550</f>
        <v>45110</v>
      </c>
      <c r="E550" s="15">
        <f>Cleaned_Data!G550</f>
        <v>45200</v>
      </c>
      <c r="F550" s="14">
        <f>Cleaned_Data!H550</f>
        <v>2000</v>
      </c>
      <c r="G550" s="14">
        <f ca="1">Cleaned_Data!I550</f>
        <v>22000</v>
      </c>
      <c r="H550" s="14">
        <f>Cleaned_Data!J550</f>
        <v>2</v>
      </c>
      <c r="I550" s="14" t="str">
        <f>Cleaned_Data!M550</f>
        <v>Active</v>
      </c>
      <c r="J550" s="16">
        <f>Cleaned_Data!N550</f>
        <v>45462</v>
      </c>
      <c r="K550" t="str">
        <f t="shared" si="80"/>
        <v>At Risk</v>
      </c>
      <c r="L550" s="5" t="str">
        <f>IF(COUNTIF($A$2:A550,A550)&gt;1,"Duplicate","Unique")</f>
        <v>Unique</v>
      </c>
      <c r="M550" t="str">
        <f t="shared" si="81"/>
        <v>2023-07</v>
      </c>
      <c r="N550" s="2">
        <f t="shared" ca="1" si="82"/>
        <v>45462</v>
      </c>
      <c r="O550" s="4">
        <f t="shared" ca="1" si="83"/>
        <v>11</v>
      </c>
      <c r="P550" s="4">
        <f t="shared" ca="1" si="84"/>
        <v>667</v>
      </c>
      <c r="Q550">
        <f t="shared" ca="1" si="85"/>
        <v>1</v>
      </c>
      <c r="R550">
        <f t="shared" si="86"/>
        <v>1</v>
      </c>
      <c r="S550">
        <f t="shared" ca="1" si="87"/>
        <v>5</v>
      </c>
      <c r="T550" t="str">
        <f t="shared" ca="1" si="88"/>
        <v>115</v>
      </c>
      <c r="U550" t="str">
        <f t="shared" ca="1" si="89"/>
        <v>At Risk</v>
      </c>
    </row>
    <row r="551" spans="1:21">
      <c r="A551" s="17" t="str">
        <f>Cleaned_Data!A551</f>
        <v>MEM0550</v>
      </c>
      <c r="B551" s="18" t="str">
        <f ca="1">Cleaned_Data!D551</f>
        <v>BR05</v>
      </c>
      <c r="C551" s="18" t="str">
        <f ca="1">Cleaned_Data!E551</f>
        <v>Standard</v>
      </c>
      <c r="D551" s="19">
        <f>Cleaned_Data!F551</f>
        <v>45431</v>
      </c>
      <c r="E551" s="19">
        <f>Cleaned_Data!G551</f>
        <v>45461</v>
      </c>
      <c r="F551" s="18">
        <f>Cleaned_Data!H551</f>
        <v>3500</v>
      </c>
      <c r="G551" s="18">
        <f ca="1">Cleaned_Data!I551</f>
        <v>21000</v>
      </c>
      <c r="H551" s="18">
        <f>Cleaned_Data!J551</f>
        <v>13</v>
      </c>
      <c r="I551" s="18" t="str">
        <f>Cleaned_Data!M551</f>
        <v>Active</v>
      </c>
      <c r="J551" s="20">
        <f>Cleaned_Data!N551</f>
        <v>45783</v>
      </c>
      <c r="K551" t="str">
        <f t="shared" si="80"/>
        <v>Moderate</v>
      </c>
      <c r="L551" s="5" t="str">
        <f>IF(COUNTIF($A$2:A551,A551)&gt;1,"Duplicate","Unique")</f>
        <v>Unique</v>
      </c>
      <c r="M551" t="str">
        <f t="shared" si="81"/>
        <v>2024-05</v>
      </c>
      <c r="N551" s="2">
        <f t="shared" ca="1" si="82"/>
        <v>45783</v>
      </c>
      <c r="O551" s="4">
        <f t="shared" ca="1" si="83"/>
        <v>11</v>
      </c>
      <c r="P551" s="4">
        <f t="shared" ca="1" si="84"/>
        <v>346</v>
      </c>
      <c r="Q551">
        <f t="shared" ca="1" si="85"/>
        <v>2</v>
      </c>
      <c r="R551">
        <f t="shared" si="86"/>
        <v>3</v>
      </c>
      <c r="S551">
        <f t="shared" ca="1" si="87"/>
        <v>5</v>
      </c>
      <c r="T551" t="str">
        <f t="shared" ca="1" si="88"/>
        <v>235</v>
      </c>
      <c r="U551" t="str">
        <f t="shared" ca="1" si="89"/>
        <v>At Risk</v>
      </c>
    </row>
    <row r="552" spans="1:21">
      <c r="A552" s="13" t="str">
        <f>Cleaned_Data!A552</f>
        <v>MEM0551</v>
      </c>
      <c r="B552" s="14" t="str">
        <f ca="1">Cleaned_Data!D552</f>
        <v>BR05</v>
      </c>
      <c r="C552" s="14" t="str">
        <f ca="1">Cleaned_Data!E552</f>
        <v>Premium</v>
      </c>
      <c r="D552" s="15">
        <f>Cleaned_Data!F552</f>
        <v>45174</v>
      </c>
      <c r="E552" s="15">
        <f>Cleaned_Data!G552</f>
        <v>45204</v>
      </c>
      <c r="F552" s="14">
        <f>Cleaned_Data!H552</f>
        <v>3500</v>
      </c>
      <c r="G552" s="14">
        <f ca="1">Cleaned_Data!I552</f>
        <v>24500</v>
      </c>
      <c r="H552" s="14">
        <f>Cleaned_Data!J552</f>
        <v>4</v>
      </c>
      <c r="I552" s="14" t="str">
        <f>Cleaned_Data!M552</f>
        <v>Active</v>
      </c>
      <c r="J552" s="16">
        <f>Cleaned_Data!N552</f>
        <v>46113</v>
      </c>
      <c r="K552" t="str">
        <f t="shared" si="80"/>
        <v>At Risk</v>
      </c>
      <c r="L552" s="5" t="str">
        <f>IF(COUNTIF($A$2:A552,A552)&gt;1,"Duplicate","Unique")</f>
        <v>Unique</v>
      </c>
      <c r="M552" t="str">
        <f t="shared" si="81"/>
        <v>2023-09</v>
      </c>
      <c r="N552" s="2">
        <f t="shared" ca="1" si="82"/>
        <v>46113</v>
      </c>
      <c r="O552" s="4">
        <f t="shared" ca="1" si="83"/>
        <v>30</v>
      </c>
      <c r="P552" s="4">
        <f t="shared" ca="1" si="84"/>
        <v>16</v>
      </c>
      <c r="Q552">
        <f t="shared" ca="1" si="85"/>
        <v>5</v>
      </c>
      <c r="R552">
        <f t="shared" si="86"/>
        <v>1</v>
      </c>
      <c r="S552">
        <f t="shared" ca="1" si="87"/>
        <v>5</v>
      </c>
      <c r="T552" t="str">
        <f t="shared" ca="1" si="88"/>
        <v>515</v>
      </c>
      <c r="U552" t="str">
        <f t="shared" ca="1" si="89"/>
        <v>Others</v>
      </c>
    </row>
    <row r="553" spans="1:21">
      <c r="A553" s="17" t="str">
        <f>Cleaned_Data!A553</f>
        <v>MEM0552</v>
      </c>
      <c r="B553" s="18" t="str">
        <f ca="1">Cleaned_Data!D553</f>
        <v>BR05</v>
      </c>
      <c r="C553" s="18" t="str">
        <f ca="1">Cleaned_Data!E553</f>
        <v>Premium</v>
      </c>
      <c r="D553" s="19">
        <f>Cleaned_Data!F553</f>
        <v>45275</v>
      </c>
      <c r="E553" s="19">
        <f>Cleaned_Data!G553</f>
        <v>45640</v>
      </c>
      <c r="F553" s="18">
        <f>Cleaned_Data!H553</f>
        <v>3500</v>
      </c>
      <c r="G553" s="18">
        <f ca="1">Cleaned_Data!I553</f>
        <v>28000</v>
      </c>
      <c r="H553" s="18">
        <f>Cleaned_Data!J553</f>
        <v>14</v>
      </c>
      <c r="I553" s="18" t="str">
        <f>Cleaned_Data!M553</f>
        <v>Active</v>
      </c>
      <c r="J553" s="20">
        <f>Cleaned_Data!N553</f>
        <v>46004</v>
      </c>
      <c r="K553" t="str">
        <f t="shared" si="80"/>
        <v>Moderate</v>
      </c>
      <c r="L553" s="5" t="str">
        <f>IF(COUNTIF($A$2:A553,A553)&gt;1,"Duplicate","Unique")</f>
        <v>Unique</v>
      </c>
      <c r="M553" t="str">
        <f t="shared" si="81"/>
        <v>2023-12</v>
      </c>
      <c r="N553" s="2">
        <f t="shared" ca="1" si="82"/>
        <v>46004</v>
      </c>
      <c r="O553" s="4">
        <f t="shared" ca="1" si="83"/>
        <v>23</v>
      </c>
      <c r="P553" s="4">
        <f t="shared" ca="1" si="84"/>
        <v>125</v>
      </c>
      <c r="Q553">
        <f t="shared" ca="1" si="85"/>
        <v>3</v>
      </c>
      <c r="R553">
        <f t="shared" si="86"/>
        <v>3</v>
      </c>
      <c r="S553">
        <f t="shared" ca="1" si="87"/>
        <v>5</v>
      </c>
      <c r="T553" t="str">
        <f t="shared" ca="1" si="88"/>
        <v>335</v>
      </c>
      <c r="U553" t="str">
        <f t="shared" ca="1" si="89"/>
        <v>Loyal</v>
      </c>
    </row>
    <row r="554" spans="1:21">
      <c r="A554" s="13" t="str">
        <f>Cleaned_Data!A554</f>
        <v>MEM0553</v>
      </c>
      <c r="B554" s="14" t="str">
        <f ca="1">Cleaned_Data!D554</f>
        <v>BR02</v>
      </c>
      <c r="C554" s="14" t="str">
        <f ca="1">Cleaned_Data!E554</f>
        <v>Basic</v>
      </c>
      <c r="D554" s="15">
        <f>Cleaned_Data!F554</f>
        <v>45383</v>
      </c>
      <c r="E554" s="15">
        <f>Cleaned_Data!G554</f>
        <v>45748</v>
      </c>
      <c r="F554" s="14">
        <f>Cleaned_Data!H554</f>
        <v>3500</v>
      </c>
      <c r="G554" s="14">
        <f ca="1">Cleaned_Data!I554</f>
        <v>31500</v>
      </c>
      <c r="H554" s="14">
        <f>Cleaned_Data!J554</f>
        <v>10</v>
      </c>
      <c r="I554" s="14" t="str">
        <f>Cleaned_Data!M554</f>
        <v>Active</v>
      </c>
      <c r="J554" s="16">
        <f>Cleaned_Data!N554</f>
        <v>46124</v>
      </c>
      <c r="K554" t="str">
        <f t="shared" si="80"/>
        <v>Moderate</v>
      </c>
      <c r="L554" s="5" t="str">
        <f>IF(COUNTIF($A$2:A554,A554)&gt;1,"Duplicate","Unique")</f>
        <v>Unique</v>
      </c>
      <c r="M554" t="str">
        <f t="shared" si="81"/>
        <v>2024-04</v>
      </c>
      <c r="N554" s="2">
        <f t="shared" ca="1" si="82"/>
        <v>46124</v>
      </c>
      <c r="O554" s="4">
        <f t="shared" ca="1" si="83"/>
        <v>24</v>
      </c>
      <c r="P554" s="4">
        <f t="shared" ca="1" si="84"/>
        <v>5</v>
      </c>
      <c r="Q554">
        <f t="shared" ca="1" si="85"/>
        <v>5</v>
      </c>
      <c r="R554">
        <f t="shared" si="86"/>
        <v>3</v>
      </c>
      <c r="S554">
        <f t="shared" ca="1" si="87"/>
        <v>5</v>
      </c>
      <c r="T554" t="str">
        <f t="shared" ca="1" si="88"/>
        <v>535</v>
      </c>
      <c r="U554" t="str">
        <f t="shared" ca="1" si="89"/>
        <v>Loyal</v>
      </c>
    </row>
    <row r="555" spans="1:21">
      <c r="A555" s="17" t="str">
        <f>Cleaned_Data!A555</f>
        <v>MEM0554</v>
      </c>
      <c r="B555" s="18" t="str">
        <f ca="1">Cleaned_Data!D555</f>
        <v>BR04</v>
      </c>
      <c r="C555" s="18" t="str">
        <f ca="1">Cleaned_Data!E555</f>
        <v>Basic</v>
      </c>
      <c r="D555" s="19">
        <f>Cleaned_Data!F555</f>
        <v>46005</v>
      </c>
      <c r="E555" s="19">
        <f>Cleaned_Data!G555</f>
        <v>46370</v>
      </c>
      <c r="F555" s="18">
        <f>Cleaned_Data!H555</f>
        <v>1000</v>
      </c>
      <c r="G555" s="18">
        <f ca="1">Cleaned_Data!I555</f>
        <v>2000</v>
      </c>
      <c r="H555" s="18">
        <f>Cleaned_Data!J555</f>
        <v>11</v>
      </c>
      <c r="I555" s="18" t="str">
        <f>Cleaned_Data!M555</f>
        <v>Active</v>
      </c>
      <c r="J555" s="20">
        <f>Cleaned_Data!N555</f>
        <v>46115</v>
      </c>
      <c r="K555" t="str">
        <f t="shared" si="80"/>
        <v>Moderate</v>
      </c>
      <c r="L555" s="5" t="str">
        <f>IF(COUNTIF($A$2:A555,A555)&gt;1,"Duplicate","Unique")</f>
        <v>Unique</v>
      </c>
      <c r="M555" t="str">
        <f t="shared" si="81"/>
        <v>2025-12</v>
      </c>
      <c r="N555" s="2">
        <f t="shared" ca="1" si="82"/>
        <v>46115</v>
      </c>
      <c r="O555" s="4">
        <f t="shared" ca="1" si="83"/>
        <v>3</v>
      </c>
      <c r="P555" s="4">
        <f t="shared" ca="1" si="84"/>
        <v>14</v>
      </c>
      <c r="Q555">
        <f t="shared" ca="1" si="85"/>
        <v>5</v>
      </c>
      <c r="R555">
        <f t="shared" si="86"/>
        <v>3</v>
      </c>
      <c r="S555">
        <f t="shared" ca="1" si="87"/>
        <v>2</v>
      </c>
      <c r="T555" t="str">
        <f t="shared" ca="1" si="88"/>
        <v>532</v>
      </c>
      <c r="U555" t="str">
        <f t="shared" ca="1" si="89"/>
        <v>Others</v>
      </c>
    </row>
    <row r="556" spans="1:21">
      <c r="A556" s="13" t="str">
        <f>Cleaned_Data!A556</f>
        <v>MEM0555</v>
      </c>
      <c r="B556" s="14" t="str">
        <f ca="1">Cleaned_Data!D556</f>
        <v>BR05</v>
      </c>
      <c r="C556" s="14" t="str">
        <f ca="1">Cleaned_Data!E556</f>
        <v>Basic</v>
      </c>
      <c r="D556" s="15">
        <f>Cleaned_Data!F556</f>
        <v>45757</v>
      </c>
      <c r="E556" s="15">
        <f>Cleaned_Data!G556</f>
        <v>45847</v>
      </c>
      <c r="F556" s="14">
        <f>Cleaned_Data!H556</f>
        <v>1000</v>
      </c>
      <c r="G556" s="14">
        <f ca="1">Cleaned_Data!I556</f>
        <v>10000</v>
      </c>
      <c r="H556" s="14">
        <f>Cleaned_Data!J556</f>
        <v>1</v>
      </c>
      <c r="I556" s="14" t="str">
        <f>Cleaned_Data!M556</f>
        <v>Active</v>
      </c>
      <c r="J556" s="16">
        <f>Cleaned_Data!N556</f>
        <v>45862</v>
      </c>
      <c r="K556" t="str">
        <f t="shared" si="80"/>
        <v>At Risk</v>
      </c>
      <c r="L556" s="5" t="str">
        <f>IF(COUNTIF($A$2:A556,A556)&gt;1,"Duplicate","Unique")</f>
        <v>Unique</v>
      </c>
      <c r="M556" t="str">
        <f t="shared" si="81"/>
        <v>2025-04</v>
      </c>
      <c r="N556" s="2">
        <f t="shared" ca="1" si="82"/>
        <v>45862</v>
      </c>
      <c r="O556" s="4">
        <f t="shared" ca="1" si="83"/>
        <v>3</v>
      </c>
      <c r="P556" s="4">
        <f t="shared" ca="1" si="84"/>
        <v>267</v>
      </c>
      <c r="Q556">
        <f t="shared" ca="1" si="85"/>
        <v>2</v>
      </c>
      <c r="R556">
        <f t="shared" si="86"/>
        <v>1</v>
      </c>
      <c r="S556">
        <f t="shared" ca="1" si="87"/>
        <v>4</v>
      </c>
      <c r="T556" t="str">
        <f t="shared" ca="1" si="88"/>
        <v>214</v>
      </c>
      <c r="U556" t="str">
        <f t="shared" ca="1" si="89"/>
        <v>At Risk</v>
      </c>
    </row>
    <row r="557" spans="1:21">
      <c r="A557" s="17" t="str">
        <f>Cleaned_Data!A557</f>
        <v>MEM0556</v>
      </c>
      <c r="B557" s="18" t="str">
        <f ca="1">Cleaned_Data!D557</f>
        <v>BR07</v>
      </c>
      <c r="C557" s="18" t="str">
        <f ca="1">Cleaned_Data!E557</f>
        <v>Basic</v>
      </c>
      <c r="D557" s="19">
        <f>Cleaned_Data!F557</f>
        <v>45702</v>
      </c>
      <c r="E557" s="19">
        <f>Cleaned_Data!G557</f>
        <v>45732</v>
      </c>
      <c r="F557" s="18">
        <f>Cleaned_Data!H557</f>
        <v>3500</v>
      </c>
      <c r="G557" s="18">
        <f ca="1">Cleaned_Data!I557</f>
        <v>14000</v>
      </c>
      <c r="H557" s="18">
        <f>Cleaned_Data!J557</f>
        <v>16</v>
      </c>
      <c r="I557" s="18" t="str">
        <f>Cleaned_Data!M557</f>
        <v>Active</v>
      </c>
      <c r="J557" s="20">
        <f>Cleaned_Data!N557</f>
        <v>45894</v>
      </c>
      <c r="K557" t="str">
        <f t="shared" si="80"/>
        <v>Highly Active</v>
      </c>
      <c r="L557" s="5" t="str">
        <f>IF(COUNTIF($A$2:A557,A557)&gt;1,"Duplicate","Unique")</f>
        <v>Unique</v>
      </c>
      <c r="M557" t="str">
        <f t="shared" si="81"/>
        <v>2025-02</v>
      </c>
      <c r="N557" s="2">
        <f t="shared" ca="1" si="82"/>
        <v>45894</v>
      </c>
      <c r="O557" s="4">
        <f t="shared" ca="1" si="83"/>
        <v>6</v>
      </c>
      <c r="P557" s="4">
        <f t="shared" ca="1" si="84"/>
        <v>235</v>
      </c>
      <c r="Q557">
        <f t="shared" ca="1" si="85"/>
        <v>2</v>
      </c>
      <c r="R557">
        <f t="shared" si="86"/>
        <v>4</v>
      </c>
      <c r="S557">
        <f t="shared" ca="1" si="87"/>
        <v>4</v>
      </c>
      <c r="T557" t="str">
        <f t="shared" ca="1" si="88"/>
        <v>244</v>
      </c>
      <c r="U557" t="str">
        <f t="shared" ca="1" si="89"/>
        <v>At Risk</v>
      </c>
    </row>
    <row r="558" spans="1:21">
      <c r="A558" s="13" t="str">
        <f>Cleaned_Data!A558</f>
        <v>MEM0557</v>
      </c>
      <c r="B558" s="14" t="str">
        <f ca="1">Cleaned_Data!D558</f>
        <v>BR03</v>
      </c>
      <c r="C558" s="14" t="str">
        <f ca="1">Cleaned_Data!E558</f>
        <v>Premium</v>
      </c>
      <c r="D558" s="15">
        <f>Cleaned_Data!F558</f>
        <v>45682</v>
      </c>
      <c r="E558" s="15">
        <f>Cleaned_Data!G558</f>
        <v>46047</v>
      </c>
      <c r="F558" s="14">
        <f>Cleaned_Data!H558</f>
        <v>2000</v>
      </c>
      <c r="G558" s="14">
        <f ca="1">Cleaned_Data!I558</f>
        <v>22000</v>
      </c>
      <c r="H558" s="14">
        <f>Cleaned_Data!J558</f>
        <v>13</v>
      </c>
      <c r="I558" s="14" t="str">
        <f>Cleaned_Data!M558</f>
        <v>Active</v>
      </c>
      <c r="J558" s="16">
        <f>Cleaned_Data!N558</f>
        <v>46000</v>
      </c>
      <c r="K558" t="str">
        <f t="shared" si="80"/>
        <v>Moderate</v>
      </c>
      <c r="L558" s="5" t="str">
        <f>IF(COUNTIF($A$2:A558,A558)&gt;1,"Duplicate","Unique")</f>
        <v>Unique</v>
      </c>
      <c r="M558" t="str">
        <f t="shared" si="81"/>
        <v>2025-01</v>
      </c>
      <c r="N558" s="2">
        <f t="shared" ca="1" si="82"/>
        <v>46000</v>
      </c>
      <c r="O558" s="4">
        <f t="shared" ca="1" si="83"/>
        <v>10</v>
      </c>
      <c r="P558" s="4">
        <f t="shared" ca="1" si="84"/>
        <v>129</v>
      </c>
      <c r="Q558">
        <f t="shared" ca="1" si="85"/>
        <v>3</v>
      </c>
      <c r="R558">
        <f t="shared" si="86"/>
        <v>3</v>
      </c>
      <c r="S558">
        <f t="shared" ca="1" si="87"/>
        <v>5</v>
      </c>
      <c r="T558" t="str">
        <f t="shared" ca="1" si="88"/>
        <v>335</v>
      </c>
      <c r="U558" t="str">
        <f t="shared" ca="1" si="89"/>
        <v>Loyal</v>
      </c>
    </row>
    <row r="559" spans="1:21">
      <c r="A559" s="17" t="str">
        <f>Cleaned_Data!A559</f>
        <v>MEM0558</v>
      </c>
      <c r="B559" s="18" t="str">
        <f ca="1">Cleaned_Data!D559</f>
        <v>BR02</v>
      </c>
      <c r="C559" s="18" t="str">
        <f ca="1">Cleaned_Data!E559</f>
        <v>Standard</v>
      </c>
      <c r="D559" s="19">
        <f>Cleaned_Data!F559</f>
        <v>45215</v>
      </c>
      <c r="E559" s="19">
        <f>Cleaned_Data!G559</f>
        <v>45580</v>
      </c>
      <c r="F559" s="18">
        <f>Cleaned_Data!H559</f>
        <v>2000</v>
      </c>
      <c r="G559" s="18">
        <f ca="1">Cleaned_Data!I559</f>
        <v>20000</v>
      </c>
      <c r="H559" s="18">
        <f>Cleaned_Data!J559</f>
        <v>14</v>
      </c>
      <c r="I559" s="18" t="str">
        <f>Cleaned_Data!M559</f>
        <v>Cancelled</v>
      </c>
      <c r="J559" s="20">
        <f>Cleaned_Data!N559</f>
        <v>46076</v>
      </c>
      <c r="K559" t="str">
        <f t="shared" si="80"/>
        <v>Moderate</v>
      </c>
      <c r="L559" s="5" t="str">
        <f>IF(COUNTIF($A$2:A559,A559)&gt;1,"Duplicate","Unique")</f>
        <v>Unique</v>
      </c>
      <c r="M559" t="str">
        <f t="shared" si="81"/>
        <v>2023-10</v>
      </c>
      <c r="N559" s="2">
        <f t="shared" ca="1" si="82"/>
        <v>46076</v>
      </c>
      <c r="O559" s="4">
        <f t="shared" ca="1" si="83"/>
        <v>28</v>
      </c>
      <c r="P559" s="4">
        <f t="shared" ca="1" si="84"/>
        <v>53</v>
      </c>
      <c r="Q559">
        <f t="shared" ca="1" si="85"/>
        <v>4</v>
      </c>
      <c r="R559">
        <f t="shared" si="86"/>
        <v>3</v>
      </c>
      <c r="S559">
        <f t="shared" ca="1" si="87"/>
        <v>5</v>
      </c>
      <c r="T559" t="str">
        <f t="shared" ca="1" si="88"/>
        <v>435</v>
      </c>
      <c r="U559" t="str">
        <f t="shared" ca="1" si="89"/>
        <v>Loyal</v>
      </c>
    </row>
    <row r="560" spans="1:21">
      <c r="A560" s="13" t="str">
        <f>Cleaned_Data!A560</f>
        <v>MEM0559</v>
      </c>
      <c r="B560" s="14" t="str">
        <f ca="1">Cleaned_Data!D560</f>
        <v>BR06</v>
      </c>
      <c r="C560" s="14" t="str">
        <f ca="1">Cleaned_Data!E560</f>
        <v>Standard</v>
      </c>
      <c r="D560" s="15">
        <f>Cleaned_Data!F560</f>
        <v>45322</v>
      </c>
      <c r="E560" s="15">
        <f>Cleaned_Data!G560</f>
        <v>45352</v>
      </c>
      <c r="F560" s="14">
        <f>Cleaned_Data!H560</f>
        <v>1000</v>
      </c>
      <c r="G560" s="14">
        <f ca="1">Cleaned_Data!I560</f>
        <v>7000</v>
      </c>
      <c r="H560" s="14">
        <f>Cleaned_Data!J560</f>
        <v>3</v>
      </c>
      <c r="I560" s="14" t="str">
        <f>Cleaned_Data!M560</f>
        <v>Cancelled</v>
      </c>
      <c r="J560" s="16">
        <f>Cleaned_Data!N560</f>
        <v>45984</v>
      </c>
      <c r="K560" t="str">
        <f t="shared" si="80"/>
        <v>At Risk</v>
      </c>
      <c r="L560" s="5" t="str">
        <f>IF(COUNTIF($A$2:A560,A560)&gt;1,"Duplicate","Unique")</f>
        <v>Unique</v>
      </c>
      <c r="M560" t="str">
        <f t="shared" si="81"/>
        <v>2024-01</v>
      </c>
      <c r="N560" s="2">
        <f t="shared" ca="1" si="82"/>
        <v>45984</v>
      </c>
      <c r="O560" s="4">
        <f t="shared" ca="1" si="83"/>
        <v>21</v>
      </c>
      <c r="P560" s="4">
        <f t="shared" ca="1" si="84"/>
        <v>145</v>
      </c>
      <c r="Q560">
        <f t="shared" ca="1" si="85"/>
        <v>3</v>
      </c>
      <c r="R560">
        <f t="shared" si="86"/>
        <v>1</v>
      </c>
      <c r="S560">
        <f t="shared" ca="1" si="87"/>
        <v>3</v>
      </c>
      <c r="T560" t="str">
        <f t="shared" ca="1" si="88"/>
        <v>313</v>
      </c>
      <c r="U560" t="str">
        <f t="shared" ca="1" si="89"/>
        <v>Others</v>
      </c>
    </row>
    <row r="561" spans="1:21">
      <c r="A561" s="17" t="str">
        <f>Cleaned_Data!A561</f>
        <v>MEM0560</v>
      </c>
      <c r="B561" s="18" t="str">
        <f ca="1">Cleaned_Data!D561</f>
        <v>BR04</v>
      </c>
      <c r="C561" s="18" t="str">
        <f ca="1">Cleaned_Data!E561</f>
        <v>Standard</v>
      </c>
      <c r="D561" s="19">
        <f>Cleaned_Data!F561</f>
        <v>45281</v>
      </c>
      <c r="E561" s="19">
        <f>Cleaned_Data!G561</f>
        <v>45311</v>
      </c>
      <c r="F561" s="18">
        <f>Cleaned_Data!H561</f>
        <v>2000</v>
      </c>
      <c r="G561" s="18">
        <f ca="1">Cleaned_Data!I561</f>
        <v>16000</v>
      </c>
      <c r="H561" s="18">
        <f>Cleaned_Data!J561</f>
        <v>1</v>
      </c>
      <c r="I561" s="18" t="str">
        <f>Cleaned_Data!M561</f>
        <v>Cancelled</v>
      </c>
      <c r="J561" s="20">
        <f>Cleaned_Data!N561</f>
        <v>46066</v>
      </c>
      <c r="K561" t="str">
        <f t="shared" si="80"/>
        <v>At Risk</v>
      </c>
      <c r="L561" s="5" t="str">
        <f>IF(COUNTIF($A$2:A561,A561)&gt;1,"Duplicate","Unique")</f>
        <v>Unique</v>
      </c>
      <c r="M561" t="str">
        <f t="shared" si="81"/>
        <v>2023-12</v>
      </c>
      <c r="N561" s="2">
        <f t="shared" ca="1" si="82"/>
        <v>46066</v>
      </c>
      <c r="O561" s="4">
        <f t="shared" ca="1" si="83"/>
        <v>25</v>
      </c>
      <c r="P561" s="4">
        <f t="shared" ca="1" si="84"/>
        <v>63</v>
      </c>
      <c r="Q561">
        <f t="shared" ca="1" si="85"/>
        <v>4</v>
      </c>
      <c r="R561">
        <f t="shared" si="86"/>
        <v>1</v>
      </c>
      <c r="S561">
        <f t="shared" ca="1" si="87"/>
        <v>4</v>
      </c>
      <c r="T561" t="str">
        <f t="shared" ca="1" si="88"/>
        <v>414</v>
      </c>
      <c r="U561" t="str">
        <f t="shared" ca="1" si="89"/>
        <v>Others</v>
      </c>
    </row>
    <row r="562" spans="1:21">
      <c r="A562" s="13" t="str">
        <f>Cleaned_Data!A562</f>
        <v>MEM0561</v>
      </c>
      <c r="B562" s="14" t="str">
        <f ca="1">Cleaned_Data!D562</f>
        <v>BR05</v>
      </c>
      <c r="C562" s="14" t="str">
        <f ca="1">Cleaned_Data!E562</f>
        <v>Basic</v>
      </c>
      <c r="D562" s="15">
        <f>Cleaned_Data!F562</f>
        <v>45317</v>
      </c>
      <c r="E562" s="15">
        <f>Cleaned_Data!G562</f>
        <v>45347</v>
      </c>
      <c r="F562" s="14">
        <f>Cleaned_Data!H562</f>
        <v>2000</v>
      </c>
      <c r="G562" s="14">
        <f ca="1">Cleaned_Data!I562</f>
        <v>2000</v>
      </c>
      <c r="H562" s="14">
        <f>Cleaned_Data!J562</f>
        <v>4</v>
      </c>
      <c r="I562" s="14" t="str">
        <f>Cleaned_Data!M562</f>
        <v>Active</v>
      </c>
      <c r="J562" s="16">
        <f>Cleaned_Data!N562</f>
        <v>45341</v>
      </c>
      <c r="K562" t="str">
        <f t="shared" si="80"/>
        <v>At Risk</v>
      </c>
      <c r="L562" s="5" t="str">
        <f>IF(COUNTIF($A$2:A562,A562)&gt;1,"Duplicate","Unique")</f>
        <v>Unique</v>
      </c>
      <c r="M562" t="str">
        <f t="shared" si="81"/>
        <v>2024-01</v>
      </c>
      <c r="N562" s="2">
        <f t="shared" ca="1" si="82"/>
        <v>45341</v>
      </c>
      <c r="O562" s="4">
        <f t="shared" ca="1" si="83"/>
        <v>0</v>
      </c>
      <c r="P562" s="4">
        <f t="shared" ca="1" si="84"/>
        <v>788</v>
      </c>
      <c r="Q562">
        <f t="shared" ca="1" si="85"/>
        <v>1</v>
      </c>
      <c r="R562">
        <f t="shared" si="86"/>
        <v>1</v>
      </c>
      <c r="S562">
        <f t="shared" ca="1" si="87"/>
        <v>2</v>
      </c>
      <c r="T562" t="str">
        <f t="shared" ca="1" si="88"/>
        <v>112</v>
      </c>
      <c r="U562" t="str">
        <f t="shared" ca="1" si="89"/>
        <v>At Risk</v>
      </c>
    </row>
    <row r="563" spans="1:21">
      <c r="A563" s="17" t="str">
        <f>Cleaned_Data!A563</f>
        <v>MEM0562</v>
      </c>
      <c r="B563" s="18" t="str">
        <f ca="1">Cleaned_Data!D563</f>
        <v>BR04</v>
      </c>
      <c r="C563" s="18" t="str">
        <f ca="1">Cleaned_Data!E563</f>
        <v>Premium</v>
      </c>
      <c r="D563" s="19">
        <f>Cleaned_Data!F563</f>
        <v>45963</v>
      </c>
      <c r="E563" s="19">
        <f>Cleaned_Data!G563</f>
        <v>45993</v>
      </c>
      <c r="F563" s="18">
        <f>Cleaned_Data!H563</f>
        <v>2000</v>
      </c>
      <c r="G563" s="18">
        <f ca="1">Cleaned_Data!I563</f>
        <v>2000</v>
      </c>
      <c r="H563" s="18">
        <f>Cleaned_Data!J563</f>
        <v>8</v>
      </c>
      <c r="I563" s="18" t="str">
        <f>Cleaned_Data!M563</f>
        <v>Active</v>
      </c>
      <c r="J563" s="20">
        <f>Cleaned_Data!N563</f>
        <v>46081</v>
      </c>
      <c r="K563" t="str">
        <f t="shared" si="80"/>
        <v>Moderate</v>
      </c>
      <c r="L563" s="5" t="str">
        <f>IF(COUNTIF($A$2:A563,A563)&gt;1,"Duplicate","Unique")</f>
        <v>Unique</v>
      </c>
      <c r="M563" t="str">
        <f t="shared" si="81"/>
        <v>2025-11</v>
      </c>
      <c r="N563" s="2">
        <f t="shared" ca="1" si="82"/>
        <v>46081</v>
      </c>
      <c r="O563" s="4">
        <f t="shared" ca="1" si="83"/>
        <v>3</v>
      </c>
      <c r="P563" s="4">
        <f t="shared" ca="1" si="84"/>
        <v>48</v>
      </c>
      <c r="Q563">
        <f t="shared" ca="1" si="85"/>
        <v>4</v>
      </c>
      <c r="R563">
        <f t="shared" si="86"/>
        <v>2</v>
      </c>
      <c r="S563">
        <f t="shared" ca="1" si="87"/>
        <v>2</v>
      </c>
      <c r="T563" t="str">
        <f t="shared" ca="1" si="88"/>
        <v>422</v>
      </c>
      <c r="U563" t="str">
        <f t="shared" ca="1" si="89"/>
        <v>Others</v>
      </c>
    </row>
    <row r="564" spans="1:21">
      <c r="A564" s="13" t="str">
        <f>Cleaned_Data!A564</f>
        <v>MEM0563</v>
      </c>
      <c r="B564" s="14" t="str">
        <f ca="1">Cleaned_Data!D564</f>
        <v>BR07</v>
      </c>
      <c r="C564" s="14" t="str">
        <f ca="1">Cleaned_Data!E564</f>
        <v>Premium</v>
      </c>
      <c r="D564" s="15">
        <f>Cleaned_Data!F564</f>
        <v>45958</v>
      </c>
      <c r="E564" s="15">
        <f>Cleaned_Data!G564</f>
        <v>46048</v>
      </c>
      <c r="F564" s="14">
        <f>Cleaned_Data!H564</f>
        <v>2000</v>
      </c>
      <c r="G564" s="14">
        <f ca="1">Cleaned_Data!I564</f>
        <v>12000</v>
      </c>
      <c r="H564" s="14">
        <f>Cleaned_Data!J564</f>
        <v>20</v>
      </c>
      <c r="I564" s="14" t="str">
        <f>Cleaned_Data!M564</f>
        <v>Active</v>
      </c>
      <c r="J564" s="16">
        <f>Cleaned_Data!N564</f>
        <v>46043</v>
      </c>
      <c r="K564" t="str">
        <f t="shared" si="80"/>
        <v>Highly Active</v>
      </c>
      <c r="L564" s="5" t="str">
        <f>IF(COUNTIF($A$2:A564,A564)&gt;1,"Duplicate","Unique")</f>
        <v>Unique</v>
      </c>
      <c r="M564" t="str">
        <f t="shared" si="81"/>
        <v>2025-10</v>
      </c>
      <c r="N564" s="2">
        <f t="shared" ca="1" si="82"/>
        <v>46043</v>
      </c>
      <c r="O564" s="4">
        <f t="shared" ca="1" si="83"/>
        <v>2</v>
      </c>
      <c r="P564" s="4">
        <f t="shared" ca="1" si="84"/>
        <v>86</v>
      </c>
      <c r="Q564">
        <f t="shared" ca="1" si="85"/>
        <v>4</v>
      </c>
      <c r="R564">
        <f t="shared" si="86"/>
        <v>5</v>
      </c>
      <c r="S564">
        <f t="shared" ca="1" si="87"/>
        <v>4</v>
      </c>
      <c r="T564" t="str">
        <f t="shared" ca="1" si="88"/>
        <v>454</v>
      </c>
      <c r="U564" t="str">
        <f t="shared" ca="1" si="89"/>
        <v>Champion</v>
      </c>
    </row>
    <row r="565" spans="1:21">
      <c r="A565" s="17" t="str">
        <f>Cleaned_Data!A565</f>
        <v>MEM0564</v>
      </c>
      <c r="B565" s="18" t="str">
        <f ca="1">Cleaned_Data!D565</f>
        <v>BR01</v>
      </c>
      <c r="C565" s="18" t="str">
        <f ca="1">Cleaned_Data!E565</f>
        <v>Standard</v>
      </c>
      <c r="D565" s="19">
        <f>Cleaned_Data!F565</f>
        <v>44999</v>
      </c>
      <c r="E565" s="19">
        <f>Cleaned_Data!G565</f>
        <v>45089</v>
      </c>
      <c r="F565" s="18">
        <f>Cleaned_Data!H565</f>
        <v>2000</v>
      </c>
      <c r="G565" s="18">
        <f ca="1">Cleaned_Data!I565</f>
        <v>20000</v>
      </c>
      <c r="H565" s="18">
        <f>Cleaned_Data!J565</f>
        <v>1</v>
      </c>
      <c r="I565" s="18" t="str">
        <f>Cleaned_Data!M565</f>
        <v>Active</v>
      </c>
      <c r="J565" s="20">
        <f>Cleaned_Data!N565</f>
        <v>45084</v>
      </c>
      <c r="K565" t="str">
        <f t="shared" si="80"/>
        <v>At Risk</v>
      </c>
      <c r="L565" s="5" t="str">
        <f>IF(COUNTIF($A$2:A565,A565)&gt;1,"Duplicate","Unique")</f>
        <v>Unique</v>
      </c>
      <c r="M565" t="str">
        <f t="shared" si="81"/>
        <v>2023-03</v>
      </c>
      <c r="N565" s="2">
        <f t="shared" ca="1" si="82"/>
        <v>45084</v>
      </c>
      <c r="O565" s="4">
        <f t="shared" ca="1" si="83"/>
        <v>2</v>
      </c>
      <c r="P565" s="4">
        <f t="shared" ca="1" si="84"/>
        <v>1045</v>
      </c>
      <c r="Q565">
        <f t="shared" ca="1" si="85"/>
        <v>1</v>
      </c>
      <c r="R565">
        <f t="shared" si="86"/>
        <v>1</v>
      </c>
      <c r="S565">
        <f t="shared" ca="1" si="87"/>
        <v>5</v>
      </c>
      <c r="T565" t="str">
        <f t="shared" ca="1" si="88"/>
        <v>115</v>
      </c>
      <c r="U565" t="str">
        <f t="shared" ca="1" si="89"/>
        <v>At Risk</v>
      </c>
    </row>
    <row r="566" spans="1:21">
      <c r="A566" s="13" t="str">
        <f>Cleaned_Data!A566</f>
        <v>MEM0565</v>
      </c>
      <c r="B566" s="14" t="str">
        <f ca="1">Cleaned_Data!D566</f>
        <v>BR06</v>
      </c>
      <c r="C566" s="14" t="str">
        <f ca="1">Cleaned_Data!E566</f>
        <v>Premium</v>
      </c>
      <c r="D566" s="15">
        <f>Cleaned_Data!F566</f>
        <v>45826</v>
      </c>
      <c r="E566" s="15">
        <f>Cleaned_Data!G566</f>
        <v>45856</v>
      </c>
      <c r="F566" s="14">
        <f>Cleaned_Data!H566</f>
        <v>3500</v>
      </c>
      <c r="G566" s="14">
        <f ca="1">Cleaned_Data!I566</f>
        <v>10500</v>
      </c>
      <c r="H566" s="14">
        <f>Cleaned_Data!J566</f>
        <v>21</v>
      </c>
      <c r="I566" s="14" t="str">
        <f>Cleaned_Data!M566</f>
        <v>Active</v>
      </c>
      <c r="J566" s="16">
        <f>Cleaned_Data!N566</f>
        <v>45901</v>
      </c>
      <c r="K566" t="str">
        <f t="shared" si="80"/>
        <v>Highly Active</v>
      </c>
      <c r="L566" s="5" t="str">
        <f>IF(COUNTIF($A$2:A566,A566)&gt;1,"Duplicate","Unique")</f>
        <v>Unique</v>
      </c>
      <c r="M566" t="str">
        <f t="shared" si="81"/>
        <v>2025-06</v>
      </c>
      <c r="N566" s="2">
        <f t="shared" ca="1" si="82"/>
        <v>45901</v>
      </c>
      <c r="O566" s="4">
        <f t="shared" ca="1" si="83"/>
        <v>2</v>
      </c>
      <c r="P566" s="4">
        <f t="shared" ca="1" si="84"/>
        <v>228</v>
      </c>
      <c r="Q566">
        <f t="shared" ca="1" si="85"/>
        <v>2</v>
      </c>
      <c r="R566">
        <f t="shared" si="86"/>
        <v>5</v>
      </c>
      <c r="S566">
        <f t="shared" ca="1" si="87"/>
        <v>4</v>
      </c>
      <c r="T566" t="str">
        <f t="shared" ca="1" si="88"/>
        <v>254</v>
      </c>
      <c r="U566" t="str">
        <f t="shared" ca="1" si="89"/>
        <v>At Risk</v>
      </c>
    </row>
    <row r="567" spans="1:21">
      <c r="A567" s="17" t="str">
        <f>Cleaned_Data!A567</f>
        <v>MEM0566</v>
      </c>
      <c r="B567" s="18" t="str">
        <f ca="1">Cleaned_Data!D567</f>
        <v>BR07</v>
      </c>
      <c r="C567" s="18" t="str">
        <f ca="1">Cleaned_Data!E567</f>
        <v>Basic</v>
      </c>
      <c r="D567" s="19">
        <f>Cleaned_Data!F567</f>
        <v>45317</v>
      </c>
      <c r="E567" s="19">
        <f>Cleaned_Data!G567</f>
        <v>45347</v>
      </c>
      <c r="F567" s="18">
        <f>Cleaned_Data!H567</f>
        <v>1000</v>
      </c>
      <c r="G567" s="18">
        <f ca="1">Cleaned_Data!I567</f>
        <v>12000</v>
      </c>
      <c r="H567" s="18">
        <f>Cleaned_Data!J567</f>
        <v>5</v>
      </c>
      <c r="I567" s="18" t="str">
        <f>Cleaned_Data!M567</f>
        <v>Active</v>
      </c>
      <c r="J567" s="20">
        <f>Cleaned_Data!N567</f>
        <v>45582</v>
      </c>
      <c r="K567" t="str">
        <f t="shared" si="80"/>
        <v>Moderate</v>
      </c>
      <c r="L567" s="5" t="str">
        <f>IF(COUNTIF($A$2:A567,A567)&gt;1,"Duplicate","Unique")</f>
        <v>Unique</v>
      </c>
      <c r="M567" t="str">
        <f t="shared" si="81"/>
        <v>2024-01</v>
      </c>
      <c r="N567" s="2">
        <f t="shared" ca="1" si="82"/>
        <v>45582</v>
      </c>
      <c r="O567" s="4">
        <f t="shared" ca="1" si="83"/>
        <v>8</v>
      </c>
      <c r="P567" s="4">
        <f t="shared" ca="1" si="84"/>
        <v>547</v>
      </c>
      <c r="Q567">
        <f t="shared" ca="1" si="85"/>
        <v>1</v>
      </c>
      <c r="R567">
        <f t="shared" si="86"/>
        <v>2</v>
      </c>
      <c r="S567">
        <f t="shared" ca="1" si="87"/>
        <v>4</v>
      </c>
      <c r="T567" t="str">
        <f t="shared" ca="1" si="88"/>
        <v>124</v>
      </c>
      <c r="U567" t="str">
        <f t="shared" ca="1" si="89"/>
        <v>At Risk</v>
      </c>
    </row>
    <row r="568" spans="1:21">
      <c r="A568" s="13" t="str">
        <f>Cleaned_Data!A568</f>
        <v>MEM0567</v>
      </c>
      <c r="B568" s="14" t="str">
        <f ca="1">Cleaned_Data!D568</f>
        <v>BR01</v>
      </c>
      <c r="C568" s="14" t="str">
        <f ca="1">Cleaned_Data!E568</f>
        <v>Basic</v>
      </c>
      <c r="D568" s="15">
        <f>Cleaned_Data!F568</f>
        <v>45564</v>
      </c>
      <c r="E568" s="15">
        <f>Cleaned_Data!G568</f>
        <v>45594</v>
      </c>
      <c r="F568" s="14">
        <f>Cleaned_Data!H568</f>
        <v>1000</v>
      </c>
      <c r="G568" s="14">
        <f ca="1">Cleaned_Data!I568</f>
        <v>11000</v>
      </c>
      <c r="H568" s="14">
        <f>Cleaned_Data!J568</f>
        <v>21</v>
      </c>
      <c r="I568" s="14" t="str">
        <f>Cleaned_Data!M568</f>
        <v>Active</v>
      </c>
      <c r="J568" s="16">
        <f>Cleaned_Data!N568</f>
        <v>45763</v>
      </c>
      <c r="K568" t="str">
        <f t="shared" si="80"/>
        <v>Highly Active</v>
      </c>
      <c r="L568" s="5" t="str">
        <f>IF(COUNTIF($A$2:A568,A568)&gt;1,"Duplicate","Unique")</f>
        <v>Unique</v>
      </c>
      <c r="M568" t="str">
        <f t="shared" si="81"/>
        <v>2024-09</v>
      </c>
      <c r="N568" s="2">
        <f t="shared" ca="1" si="82"/>
        <v>45763</v>
      </c>
      <c r="O568" s="4">
        <f t="shared" ca="1" si="83"/>
        <v>6</v>
      </c>
      <c r="P568" s="4">
        <f t="shared" ca="1" si="84"/>
        <v>366</v>
      </c>
      <c r="Q568">
        <f t="shared" ca="1" si="85"/>
        <v>1</v>
      </c>
      <c r="R568">
        <f t="shared" si="86"/>
        <v>5</v>
      </c>
      <c r="S568">
        <f t="shared" ca="1" si="87"/>
        <v>4</v>
      </c>
      <c r="T568" t="str">
        <f t="shared" ca="1" si="88"/>
        <v>154</v>
      </c>
      <c r="U568" t="str">
        <f t="shared" ca="1" si="89"/>
        <v>At Risk</v>
      </c>
    </row>
    <row r="569" spans="1:21">
      <c r="A569" s="17" t="str">
        <f>Cleaned_Data!A569</f>
        <v>MEM0568</v>
      </c>
      <c r="B569" s="18" t="str">
        <f ca="1">Cleaned_Data!D569</f>
        <v>BR01</v>
      </c>
      <c r="C569" s="18" t="str">
        <f ca="1">Cleaned_Data!E569</f>
        <v>Premium</v>
      </c>
      <c r="D569" s="19">
        <f>Cleaned_Data!F569</f>
        <v>46053</v>
      </c>
      <c r="E569" s="19">
        <f>Cleaned_Data!G569</f>
        <v>46083</v>
      </c>
      <c r="F569" s="18">
        <f>Cleaned_Data!H569</f>
        <v>3500</v>
      </c>
      <c r="G569" s="18">
        <f ca="1">Cleaned_Data!I569</f>
        <v>7000</v>
      </c>
      <c r="H569" s="18">
        <f>Cleaned_Data!J569</f>
        <v>16</v>
      </c>
      <c r="I569" s="18" t="str">
        <f>Cleaned_Data!M569</f>
        <v>Active</v>
      </c>
      <c r="J569" s="20">
        <f>Cleaned_Data!N569</f>
        <v>46114</v>
      </c>
      <c r="K569" t="str">
        <f t="shared" si="80"/>
        <v>Highly Active</v>
      </c>
      <c r="L569" s="5" t="str">
        <f>IF(COUNTIF($A$2:A569,A569)&gt;1,"Duplicate","Unique")</f>
        <v>Unique</v>
      </c>
      <c r="M569" t="str">
        <f t="shared" si="81"/>
        <v>2026-01</v>
      </c>
      <c r="N569" s="2">
        <f t="shared" ca="1" si="82"/>
        <v>46114</v>
      </c>
      <c r="O569" s="4">
        <f t="shared" ca="1" si="83"/>
        <v>2</v>
      </c>
      <c r="P569" s="4">
        <f t="shared" ca="1" si="84"/>
        <v>15</v>
      </c>
      <c r="Q569">
        <f t="shared" ca="1" si="85"/>
        <v>5</v>
      </c>
      <c r="R569">
        <f t="shared" si="86"/>
        <v>4</v>
      </c>
      <c r="S569">
        <f t="shared" ca="1" si="87"/>
        <v>3</v>
      </c>
      <c r="T569" t="str">
        <f t="shared" ca="1" si="88"/>
        <v>543</v>
      </c>
      <c r="U569" t="str">
        <f t="shared" ca="1" si="89"/>
        <v>Loyal</v>
      </c>
    </row>
    <row r="570" spans="1:21">
      <c r="A570" s="13" t="str">
        <f>Cleaned_Data!A570</f>
        <v>MEM0569</v>
      </c>
      <c r="B570" s="14" t="str">
        <f ca="1">Cleaned_Data!D570</f>
        <v>BR06</v>
      </c>
      <c r="C570" s="14" t="str">
        <f ca="1">Cleaned_Data!E570</f>
        <v>Basic</v>
      </c>
      <c r="D570" s="15">
        <f>Cleaned_Data!F570</f>
        <v>45582</v>
      </c>
      <c r="E570" s="15">
        <f>Cleaned_Data!G570</f>
        <v>45947</v>
      </c>
      <c r="F570" s="14">
        <f>Cleaned_Data!H570</f>
        <v>3500</v>
      </c>
      <c r="G570" s="14">
        <f ca="1">Cleaned_Data!I570</f>
        <v>14000</v>
      </c>
      <c r="H570" s="14">
        <f>Cleaned_Data!J570</f>
        <v>25</v>
      </c>
      <c r="I570" s="14" t="str">
        <f>Cleaned_Data!M570</f>
        <v>Active</v>
      </c>
      <c r="J570" s="16">
        <f>Cleaned_Data!N570</f>
        <v>45862</v>
      </c>
      <c r="K570" t="str">
        <f t="shared" si="80"/>
        <v>Highly Active</v>
      </c>
      <c r="L570" s="5" t="str">
        <f>IF(COUNTIF($A$2:A570,A570)&gt;1,"Duplicate","Unique")</f>
        <v>Unique</v>
      </c>
      <c r="M570" t="str">
        <f t="shared" si="81"/>
        <v>2024-10</v>
      </c>
      <c r="N570" s="2">
        <f t="shared" ca="1" si="82"/>
        <v>45862</v>
      </c>
      <c r="O570" s="4">
        <f t="shared" ca="1" si="83"/>
        <v>9</v>
      </c>
      <c r="P570" s="4">
        <f t="shared" ca="1" si="84"/>
        <v>267</v>
      </c>
      <c r="Q570">
        <f t="shared" ca="1" si="85"/>
        <v>2</v>
      </c>
      <c r="R570">
        <f t="shared" si="86"/>
        <v>5</v>
      </c>
      <c r="S570">
        <f t="shared" ca="1" si="87"/>
        <v>4</v>
      </c>
      <c r="T570" t="str">
        <f t="shared" ca="1" si="88"/>
        <v>254</v>
      </c>
      <c r="U570" t="str">
        <f t="shared" ca="1" si="89"/>
        <v>At Risk</v>
      </c>
    </row>
    <row r="571" spans="1:21">
      <c r="A571" s="17" t="str">
        <f>Cleaned_Data!A571</f>
        <v>MEM0570</v>
      </c>
      <c r="B571" s="18" t="str">
        <f ca="1">Cleaned_Data!D571</f>
        <v>BR02</v>
      </c>
      <c r="C571" s="18" t="str">
        <f ca="1">Cleaned_Data!E571</f>
        <v>Basic</v>
      </c>
      <c r="D571" s="19">
        <f>Cleaned_Data!F571</f>
        <v>45649</v>
      </c>
      <c r="E571" s="19">
        <f>Cleaned_Data!G571</f>
        <v>46014</v>
      </c>
      <c r="F571" s="18">
        <f>Cleaned_Data!H571</f>
        <v>2000</v>
      </c>
      <c r="G571" s="18">
        <f ca="1">Cleaned_Data!I571</f>
        <v>22000</v>
      </c>
      <c r="H571" s="18">
        <f>Cleaned_Data!J571</f>
        <v>21</v>
      </c>
      <c r="I571" s="18" t="str">
        <f>Cleaned_Data!M571</f>
        <v>Active</v>
      </c>
      <c r="J571" s="20">
        <f>Cleaned_Data!N571</f>
        <v>45903</v>
      </c>
      <c r="K571" t="str">
        <f t="shared" si="80"/>
        <v>Highly Active</v>
      </c>
      <c r="L571" s="5" t="str">
        <f>IF(COUNTIF($A$2:A571,A571)&gt;1,"Duplicate","Unique")</f>
        <v>Unique</v>
      </c>
      <c r="M571" t="str">
        <f t="shared" si="81"/>
        <v>2024-12</v>
      </c>
      <c r="N571" s="2">
        <f t="shared" ca="1" si="82"/>
        <v>45903</v>
      </c>
      <c r="O571" s="4">
        <f t="shared" ca="1" si="83"/>
        <v>8</v>
      </c>
      <c r="P571" s="4">
        <f t="shared" ca="1" si="84"/>
        <v>226</v>
      </c>
      <c r="Q571">
        <f t="shared" ca="1" si="85"/>
        <v>2</v>
      </c>
      <c r="R571">
        <f t="shared" si="86"/>
        <v>5</v>
      </c>
      <c r="S571">
        <f t="shared" ca="1" si="87"/>
        <v>5</v>
      </c>
      <c r="T571" t="str">
        <f t="shared" ca="1" si="88"/>
        <v>255</v>
      </c>
      <c r="U571" t="str">
        <f t="shared" ca="1" si="89"/>
        <v>At Risk</v>
      </c>
    </row>
    <row r="572" spans="1:21">
      <c r="A572" s="13" t="str">
        <f>Cleaned_Data!A572</f>
        <v>MEM0571</v>
      </c>
      <c r="B572" s="14" t="str">
        <f ca="1">Cleaned_Data!D572</f>
        <v>BR07</v>
      </c>
      <c r="C572" s="14" t="str">
        <f ca="1">Cleaned_Data!E572</f>
        <v>Basic</v>
      </c>
      <c r="D572" s="15">
        <f>Cleaned_Data!F572</f>
        <v>45848</v>
      </c>
      <c r="E572" s="15">
        <f>Cleaned_Data!G572</f>
        <v>45938</v>
      </c>
      <c r="F572" s="14">
        <f>Cleaned_Data!H572</f>
        <v>2000</v>
      </c>
      <c r="G572" s="14">
        <f ca="1">Cleaned_Data!I572</f>
        <v>22000</v>
      </c>
      <c r="H572" s="14">
        <f>Cleaned_Data!J572</f>
        <v>9</v>
      </c>
      <c r="I572" s="14" t="str">
        <f>Cleaned_Data!M572</f>
        <v>Active</v>
      </c>
      <c r="J572" s="16">
        <f>Cleaned_Data!N572</f>
        <v>46039</v>
      </c>
      <c r="K572" t="str">
        <f t="shared" si="80"/>
        <v>Moderate</v>
      </c>
      <c r="L572" s="5" t="str">
        <f>IF(COUNTIF($A$2:A572,A572)&gt;1,"Duplicate","Unique")</f>
        <v>Unique</v>
      </c>
      <c r="M572" t="str">
        <f t="shared" si="81"/>
        <v>2025-07</v>
      </c>
      <c r="N572" s="2">
        <f t="shared" ca="1" si="82"/>
        <v>46039</v>
      </c>
      <c r="O572" s="4">
        <f t="shared" ca="1" si="83"/>
        <v>6</v>
      </c>
      <c r="P572" s="4">
        <f t="shared" ca="1" si="84"/>
        <v>90</v>
      </c>
      <c r="Q572">
        <f t="shared" ca="1" si="85"/>
        <v>4</v>
      </c>
      <c r="R572">
        <f t="shared" si="86"/>
        <v>2</v>
      </c>
      <c r="S572">
        <f t="shared" ca="1" si="87"/>
        <v>5</v>
      </c>
      <c r="T572" t="str">
        <f t="shared" ca="1" si="88"/>
        <v>425</v>
      </c>
      <c r="U572" t="str">
        <f t="shared" ca="1" si="89"/>
        <v>Others</v>
      </c>
    </row>
    <row r="573" spans="1:21">
      <c r="A573" s="17" t="str">
        <f>Cleaned_Data!A573</f>
        <v>MEM0572</v>
      </c>
      <c r="B573" s="18" t="str">
        <f ca="1">Cleaned_Data!D573</f>
        <v>BR01</v>
      </c>
      <c r="C573" s="18" t="str">
        <f ca="1">Cleaned_Data!E573</f>
        <v>Basic</v>
      </c>
      <c r="D573" s="19">
        <f>Cleaned_Data!F573</f>
        <v>45999</v>
      </c>
      <c r="E573" s="19">
        <f>Cleaned_Data!G573</f>
        <v>46029</v>
      </c>
      <c r="F573" s="18">
        <f>Cleaned_Data!H573</f>
        <v>3500</v>
      </c>
      <c r="G573" s="18">
        <f ca="1">Cleaned_Data!I573</f>
        <v>7000</v>
      </c>
      <c r="H573" s="18">
        <f>Cleaned_Data!J573</f>
        <v>25</v>
      </c>
      <c r="I573" s="18" t="str">
        <f>Cleaned_Data!M573</f>
        <v>Cancelled</v>
      </c>
      <c r="J573" s="20">
        <f>Cleaned_Data!N573</f>
        <v>46014</v>
      </c>
      <c r="K573" t="str">
        <f t="shared" si="80"/>
        <v>Highly Active</v>
      </c>
      <c r="L573" s="5" t="str">
        <f>IF(COUNTIF($A$2:A573,A573)&gt;1,"Duplicate","Unique")</f>
        <v>Unique</v>
      </c>
      <c r="M573" t="str">
        <f t="shared" si="81"/>
        <v>2025-12</v>
      </c>
      <c r="N573" s="2">
        <f t="shared" ca="1" si="82"/>
        <v>46014</v>
      </c>
      <c r="O573" s="4">
        <f t="shared" ca="1" si="83"/>
        <v>0</v>
      </c>
      <c r="P573" s="4">
        <f t="shared" ca="1" si="84"/>
        <v>115</v>
      </c>
      <c r="Q573">
        <f t="shared" ca="1" si="85"/>
        <v>3</v>
      </c>
      <c r="R573">
        <f t="shared" si="86"/>
        <v>5</v>
      </c>
      <c r="S573">
        <f t="shared" ca="1" si="87"/>
        <v>3</v>
      </c>
      <c r="T573" t="str">
        <f t="shared" ca="1" si="88"/>
        <v>353</v>
      </c>
      <c r="U573" t="str">
        <f t="shared" ca="1" si="89"/>
        <v>Loyal</v>
      </c>
    </row>
    <row r="574" spans="1:21">
      <c r="A574" s="13" t="str">
        <f>Cleaned_Data!A574</f>
        <v>MEM0573</v>
      </c>
      <c r="B574" s="14" t="str">
        <f ca="1">Cleaned_Data!D574</f>
        <v>BR05</v>
      </c>
      <c r="C574" s="14" t="str">
        <f ca="1">Cleaned_Data!E574</f>
        <v>Basic</v>
      </c>
      <c r="D574" s="15">
        <f>Cleaned_Data!F574</f>
        <v>45480</v>
      </c>
      <c r="E574" s="15">
        <f>Cleaned_Data!G574</f>
        <v>45510</v>
      </c>
      <c r="F574" s="14">
        <f>Cleaned_Data!H574</f>
        <v>1000</v>
      </c>
      <c r="G574" s="14">
        <f ca="1">Cleaned_Data!I574</f>
        <v>11000</v>
      </c>
      <c r="H574" s="14">
        <f>Cleaned_Data!J574</f>
        <v>18</v>
      </c>
      <c r="I574" s="14" t="str">
        <f>Cleaned_Data!M574</f>
        <v>Active</v>
      </c>
      <c r="J574" s="16">
        <f>Cleaned_Data!N574</f>
        <v>45903</v>
      </c>
      <c r="K574" t="str">
        <f t="shared" si="80"/>
        <v>Highly Active</v>
      </c>
      <c r="L574" s="5" t="str">
        <f>IF(COUNTIF($A$2:A574,A574)&gt;1,"Duplicate","Unique")</f>
        <v>Unique</v>
      </c>
      <c r="M574" t="str">
        <f t="shared" si="81"/>
        <v>2024-07</v>
      </c>
      <c r="N574" s="2">
        <f t="shared" ca="1" si="82"/>
        <v>45903</v>
      </c>
      <c r="O574" s="4">
        <f t="shared" ca="1" si="83"/>
        <v>13</v>
      </c>
      <c r="P574" s="4">
        <f t="shared" ca="1" si="84"/>
        <v>226</v>
      </c>
      <c r="Q574">
        <f t="shared" ca="1" si="85"/>
        <v>2</v>
      </c>
      <c r="R574">
        <f t="shared" si="86"/>
        <v>4</v>
      </c>
      <c r="S574">
        <f t="shared" ca="1" si="87"/>
        <v>4</v>
      </c>
      <c r="T574" t="str">
        <f t="shared" ca="1" si="88"/>
        <v>244</v>
      </c>
      <c r="U574" t="str">
        <f t="shared" ca="1" si="89"/>
        <v>At Risk</v>
      </c>
    </row>
    <row r="575" spans="1:21">
      <c r="A575" s="17" t="str">
        <f>Cleaned_Data!A575</f>
        <v>MEM0574</v>
      </c>
      <c r="B575" s="18" t="str">
        <f ca="1">Cleaned_Data!D575</f>
        <v>BR02</v>
      </c>
      <c r="C575" s="18" t="str">
        <f ca="1">Cleaned_Data!E575</f>
        <v>Basic</v>
      </c>
      <c r="D575" s="19">
        <f>Cleaned_Data!F575</f>
        <v>45067</v>
      </c>
      <c r="E575" s="19">
        <f>Cleaned_Data!G575</f>
        <v>45432</v>
      </c>
      <c r="F575" s="18">
        <f>Cleaned_Data!H575</f>
        <v>2000</v>
      </c>
      <c r="G575" s="18">
        <f ca="1">Cleaned_Data!I575</f>
        <v>16000</v>
      </c>
      <c r="H575" s="18">
        <f>Cleaned_Data!J575</f>
        <v>10</v>
      </c>
      <c r="I575" s="18" t="str">
        <f>Cleaned_Data!M575</f>
        <v>Active</v>
      </c>
      <c r="J575" s="20">
        <f>Cleaned_Data!N575</f>
        <v>45937</v>
      </c>
      <c r="K575" t="str">
        <f t="shared" si="80"/>
        <v>Moderate</v>
      </c>
      <c r="L575" s="5" t="str">
        <f>IF(COUNTIF($A$2:A575,A575)&gt;1,"Duplicate","Unique")</f>
        <v>Unique</v>
      </c>
      <c r="M575" t="str">
        <f t="shared" si="81"/>
        <v>2023-05</v>
      </c>
      <c r="N575" s="2">
        <f t="shared" ca="1" si="82"/>
        <v>45937</v>
      </c>
      <c r="O575" s="4">
        <f t="shared" ca="1" si="83"/>
        <v>28</v>
      </c>
      <c r="P575" s="4">
        <f t="shared" ca="1" si="84"/>
        <v>192</v>
      </c>
      <c r="Q575">
        <f t="shared" ca="1" si="85"/>
        <v>2</v>
      </c>
      <c r="R575">
        <f t="shared" si="86"/>
        <v>3</v>
      </c>
      <c r="S575">
        <f t="shared" ca="1" si="87"/>
        <v>4</v>
      </c>
      <c r="T575" t="str">
        <f t="shared" ca="1" si="88"/>
        <v>234</v>
      </c>
      <c r="U575" t="str">
        <f t="shared" ca="1" si="89"/>
        <v>At Risk</v>
      </c>
    </row>
    <row r="576" spans="1:21">
      <c r="A576" s="13" t="str">
        <f>Cleaned_Data!A576</f>
        <v>MEM0575</v>
      </c>
      <c r="B576" s="14" t="str">
        <f ca="1">Cleaned_Data!D576</f>
        <v>BR06</v>
      </c>
      <c r="C576" s="14" t="str">
        <f ca="1">Cleaned_Data!E576</f>
        <v>Standard</v>
      </c>
      <c r="D576" s="15">
        <f>Cleaned_Data!F576</f>
        <v>44952</v>
      </c>
      <c r="E576" s="15">
        <f>Cleaned_Data!G576</f>
        <v>45042</v>
      </c>
      <c r="F576" s="14">
        <f>Cleaned_Data!H576</f>
        <v>1000</v>
      </c>
      <c r="G576" s="14">
        <f ca="1">Cleaned_Data!I576</f>
        <v>3000</v>
      </c>
      <c r="H576" s="14">
        <f>Cleaned_Data!J576</f>
        <v>22</v>
      </c>
      <c r="I576" s="14" t="str">
        <f>Cleaned_Data!M576</f>
        <v>Active</v>
      </c>
      <c r="J576" s="16">
        <f>Cleaned_Data!N576</f>
        <v>45829</v>
      </c>
      <c r="K576" t="str">
        <f t="shared" si="80"/>
        <v>Highly Active</v>
      </c>
      <c r="L576" s="5" t="str">
        <f>IF(COUNTIF($A$2:A576,A576)&gt;1,"Duplicate","Unique")</f>
        <v>Unique</v>
      </c>
      <c r="M576" t="str">
        <f t="shared" si="81"/>
        <v>2023-01</v>
      </c>
      <c r="N576" s="2">
        <f t="shared" ca="1" si="82"/>
        <v>45829</v>
      </c>
      <c r="O576" s="4">
        <f t="shared" ca="1" si="83"/>
        <v>28</v>
      </c>
      <c r="P576" s="4">
        <f t="shared" ca="1" si="84"/>
        <v>300</v>
      </c>
      <c r="Q576">
        <f t="shared" ca="1" si="85"/>
        <v>2</v>
      </c>
      <c r="R576">
        <f t="shared" si="86"/>
        <v>5</v>
      </c>
      <c r="S576">
        <f t="shared" ca="1" si="87"/>
        <v>2</v>
      </c>
      <c r="T576" t="str">
        <f t="shared" ca="1" si="88"/>
        <v>252</v>
      </c>
      <c r="U576" t="str">
        <f t="shared" ca="1" si="89"/>
        <v>At Risk</v>
      </c>
    </row>
    <row r="577" spans="1:21">
      <c r="A577" s="17" t="str">
        <f>Cleaned_Data!A577</f>
        <v>MEM0576</v>
      </c>
      <c r="B577" s="18" t="str">
        <f ca="1">Cleaned_Data!D577</f>
        <v>BR05</v>
      </c>
      <c r="C577" s="18" t="str">
        <f ca="1">Cleaned_Data!E577</f>
        <v>Basic</v>
      </c>
      <c r="D577" s="19">
        <f>Cleaned_Data!F577</f>
        <v>45949</v>
      </c>
      <c r="E577" s="19">
        <f>Cleaned_Data!G577</f>
        <v>46314</v>
      </c>
      <c r="F577" s="18">
        <f>Cleaned_Data!H577</f>
        <v>3500</v>
      </c>
      <c r="G577" s="18">
        <f ca="1">Cleaned_Data!I577</f>
        <v>24500</v>
      </c>
      <c r="H577" s="18">
        <f>Cleaned_Data!J577</f>
        <v>21</v>
      </c>
      <c r="I577" s="18" t="str">
        <f>Cleaned_Data!M577</f>
        <v>Active</v>
      </c>
      <c r="J577" s="20">
        <f>Cleaned_Data!N577</f>
        <v>46061</v>
      </c>
      <c r="K577" t="str">
        <f t="shared" si="80"/>
        <v>Highly Active</v>
      </c>
      <c r="L577" s="5" t="str">
        <f>IF(COUNTIF($A$2:A577,A577)&gt;1,"Duplicate","Unique")</f>
        <v>Unique</v>
      </c>
      <c r="M577" t="str">
        <f t="shared" si="81"/>
        <v>2025-10</v>
      </c>
      <c r="N577" s="2">
        <f t="shared" ca="1" si="82"/>
        <v>46061</v>
      </c>
      <c r="O577" s="4">
        <f t="shared" ca="1" si="83"/>
        <v>3</v>
      </c>
      <c r="P577" s="4">
        <f t="shared" ca="1" si="84"/>
        <v>68</v>
      </c>
      <c r="Q577">
        <f t="shared" ca="1" si="85"/>
        <v>4</v>
      </c>
      <c r="R577">
        <f t="shared" si="86"/>
        <v>5</v>
      </c>
      <c r="S577">
        <f t="shared" ca="1" si="87"/>
        <v>5</v>
      </c>
      <c r="T577" t="str">
        <f t="shared" ca="1" si="88"/>
        <v>455</v>
      </c>
      <c r="U577" t="str">
        <f t="shared" ca="1" si="89"/>
        <v>Champion</v>
      </c>
    </row>
    <row r="578" spans="1:21">
      <c r="A578" s="13" t="str">
        <f>Cleaned_Data!A578</f>
        <v>MEM0577</v>
      </c>
      <c r="B578" s="14" t="str">
        <f ca="1">Cleaned_Data!D578</f>
        <v>BR01</v>
      </c>
      <c r="C578" s="14" t="str">
        <f ca="1">Cleaned_Data!E578</f>
        <v>Premium</v>
      </c>
      <c r="D578" s="15">
        <f>Cleaned_Data!F578</f>
        <v>45734</v>
      </c>
      <c r="E578" s="15">
        <f>Cleaned_Data!G578</f>
        <v>45764</v>
      </c>
      <c r="F578" s="14">
        <f>Cleaned_Data!H578</f>
        <v>2000</v>
      </c>
      <c r="G578" s="14">
        <f ca="1">Cleaned_Data!I578</f>
        <v>18000</v>
      </c>
      <c r="H578" s="14">
        <f>Cleaned_Data!J578</f>
        <v>1</v>
      </c>
      <c r="I578" s="14" t="str">
        <f>Cleaned_Data!M578</f>
        <v>Cancelled</v>
      </c>
      <c r="J578" s="16">
        <f>Cleaned_Data!N578</f>
        <v>45777</v>
      </c>
      <c r="K578" t="str">
        <f t="shared" si="80"/>
        <v>At Risk</v>
      </c>
      <c r="L578" s="5" t="str">
        <f>IF(COUNTIF($A$2:A578,A578)&gt;1,"Duplicate","Unique")</f>
        <v>Unique</v>
      </c>
      <c r="M578" t="str">
        <f t="shared" si="81"/>
        <v>2025-03</v>
      </c>
      <c r="N578" s="2">
        <f t="shared" ca="1" si="82"/>
        <v>45777</v>
      </c>
      <c r="O578" s="4">
        <f t="shared" ca="1" si="83"/>
        <v>1</v>
      </c>
      <c r="P578" s="4">
        <f t="shared" ca="1" si="84"/>
        <v>352</v>
      </c>
      <c r="Q578">
        <f t="shared" ca="1" si="85"/>
        <v>2</v>
      </c>
      <c r="R578">
        <f t="shared" si="86"/>
        <v>1</v>
      </c>
      <c r="S578">
        <f t="shared" ca="1" si="87"/>
        <v>4</v>
      </c>
      <c r="T578" t="str">
        <f t="shared" ca="1" si="88"/>
        <v>214</v>
      </c>
      <c r="U578" t="str">
        <f t="shared" ca="1" si="89"/>
        <v>At Risk</v>
      </c>
    </row>
    <row r="579" spans="1:21">
      <c r="A579" s="17" t="str">
        <f>Cleaned_Data!A579</f>
        <v>MEM0578</v>
      </c>
      <c r="B579" s="18" t="str">
        <f ca="1">Cleaned_Data!D579</f>
        <v>BR04</v>
      </c>
      <c r="C579" s="18" t="str">
        <f ca="1">Cleaned_Data!E579</f>
        <v>Standard</v>
      </c>
      <c r="D579" s="19">
        <f>Cleaned_Data!F579</f>
        <v>45533</v>
      </c>
      <c r="E579" s="19">
        <f>Cleaned_Data!G579</f>
        <v>45898</v>
      </c>
      <c r="F579" s="18">
        <f>Cleaned_Data!H579</f>
        <v>1000</v>
      </c>
      <c r="G579" s="18">
        <f ca="1">Cleaned_Data!I579</f>
        <v>7000</v>
      </c>
      <c r="H579" s="18">
        <f>Cleaned_Data!J579</f>
        <v>6</v>
      </c>
      <c r="I579" s="18" t="str">
        <f>Cleaned_Data!M579</f>
        <v>Active</v>
      </c>
      <c r="J579" s="20">
        <f>Cleaned_Data!N579</f>
        <v>46081</v>
      </c>
      <c r="K579" t="str">
        <f t="shared" ref="K579:K642" si="90">IF(H579&lt;5,"At Risk",
 IF(H579&lt;15,"Moderate",
 "Highly Active"))</f>
        <v>Moderate</v>
      </c>
      <c r="L579" s="5" t="str">
        <f>IF(COUNTIF($A$2:A579,A579)&gt;1,"Duplicate","Unique")</f>
        <v>Unique</v>
      </c>
      <c r="M579" t="str">
        <f t="shared" ref="M579:M642" si="91">TEXT(D579,"YYYY-MM")</f>
        <v>2024-08</v>
      </c>
      <c r="N579" s="2">
        <f t="shared" ref="N579:N642" ca="1" si="92">IF(J579&lt;&gt;"",
    J579,
    IF(I579="Active", TODAY(), E579)
)</f>
        <v>46081</v>
      </c>
      <c r="O579" s="4">
        <f t="shared" ref="O579:O642" ca="1" si="93">IFERROR(
   IF(N579&gt;=D579,
      DATEDIF(D579, N579, "M"),
      0
   ),
   0
)</f>
        <v>17</v>
      </c>
      <c r="P579" s="4">
        <f t="shared" ref="P579:P642" ca="1" si="94">TODAY() - N579</f>
        <v>48</v>
      </c>
      <c r="Q579">
        <f t="shared" ref="Q579:Q642" ca="1" si="95">IF(P579&lt;=30,5,
 IF(P579&lt;=90,4,
 IF(P579&lt;=180,3,
 IF(P579&lt;=365,2,1))))</f>
        <v>4</v>
      </c>
      <c r="R579">
        <f t="shared" ref="R579:R642" si="96">IF(H579&gt;=20,5,
 IF(H579&gt;=15,4,
 IF(H579&gt;=10,3,
 IF(H579&gt;=5,2,1))))</f>
        <v>2</v>
      </c>
      <c r="S579">
        <f t="shared" ref="S579:S642" ca="1" si="97">IF(G579&gt;=20000,5,
 IF(G579&gt;=10000,4,
 IF(G579&gt;=5000,3,
 IF(G579&gt;=2000,2,1))))</f>
        <v>3</v>
      </c>
      <c r="T579" t="str">
        <f t="shared" ref="T579:T642" ca="1" si="98">Q579 &amp; R579 &amp; S579</f>
        <v>423</v>
      </c>
      <c r="U579" t="str">
        <f t="shared" ref="U579:U642" ca="1" si="99">IF(AND(Q579&gt;=4,R579&gt;=4,S579&gt;=4),"Champion",
 IF(AND(Q579&gt;=3,R579&gt;=3,S579&gt;=3),"Loyal",
 IF(Q579&lt;=2,"At Risk",
 "Others")))</f>
        <v>Others</v>
      </c>
    </row>
    <row r="580" spans="1:21">
      <c r="A580" s="13" t="str">
        <f>Cleaned_Data!A580</f>
        <v>MEM0579</v>
      </c>
      <c r="B580" s="14" t="str">
        <f ca="1">Cleaned_Data!D580</f>
        <v>BR05</v>
      </c>
      <c r="C580" s="14" t="str">
        <f ca="1">Cleaned_Data!E580</f>
        <v>Basic</v>
      </c>
      <c r="D580" s="15">
        <f>Cleaned_Data!F580</f>
        <v>45357</v>
      </c>
      <c r="E580" s="15">
        <f>Cleaned_Data!G580</f>
        <v>45447</v>
      </c>
      <c r="F580" s="14">
        <f>Cleaned_Data!H580</f>
        <v>2000</v>
      </c>
      <c r="G580" s="14">
        <f ca="1">Cleaned_Data!I580</f>
        <v>14000</v>
      </c>
      <c r="H580" s="14">
        <f>Cleaned_Data!J580</f>
        <v>3</v>
      </c>
      <c r="I580" s="14" t="str">
        <f>Cleaned_Data!M580</f>
        <v>Active</v>
      </c>
      <c r="J580" s="16">
        <f>Cleaned_Data!N580</f>
        <v>46078</v>
      </c>
      <c r="K580" t="str">
        <f t="shared" si="90"/>
        <v>At Risk</v>
      </c>
      <c r="L580" s="5" t="str">
        <f>IF(COUNTIF($A$2:A580,A580)&gt;1,"Duplicate","Unique")</f>
        <v>Unique</v>
      </c>
      <c r="M580" t="str">
        <f t="shared" si="91"/>
        <v>2024-03</v>
      </c>
      <c r="N580" s="2">
        <f t="shared" ca="1" si="92"/>
        <v>46078</v>
      </c>
      <c r="O580" s="4">
        <f t="shared" ca="1" si="93"/>
        <v>23</v>
      </c>
      <c r="P580" s="4">
        <f t="shared" ca="1" si="94"/>
        <v>51</v>
      </c>
      <c r="Q580">
        <f t="shared" ca="1" si="95"/>
        <v>4</v>
      </c>
      <c r="R580">
        <f t="shared" si="96"/>
        <v>1</v>
      </c>
      <c r="S580">
        <f t="shared" ca="1" si="97"/>
        <v>4</v>
      </c>
      <c r="T580" t="str">
        <f t="shared" ca="1" si="98"/>
        <v>414</v>
      </c>
      <c r="U580" t="str">
        <f t="shared" ca="1" si="99"/>
        <v>Others</v>
      </c>
    </row>
    <row r="581" spans="1:21">
      <c r="A581" s="17" t="str">
        <f>Cleaned_Data!A581</f>
        <v>MEM0580</v>
      </c>
      <c r="B581" s="18" t="str">
        <f ca="1">Cleaned_Data!D581</f>
        <v>BR03</v>
      </c>
      <c r="C581" s="18" t="str">
        <f ca="1">Cleaned_Data!E581</f>
        <v>Premium</v>
      </c>
      <c r="D581" s="19">
        <f>Cleaned_Data!F581</f>
        <v>45928</v>
      </c>
      <c r="E581" s="19">
        <f>Cleaned_Data!G581</f>
        <v>46018</v>
      </c>
      <c r="F581" s="18">
        <f>Cleaned_Data!H581</f>
        <v>1000</v>
      </c>
      <c r="G581" s="18">
        <f ca="1">Cleaned_Data!I581</f>
        <v>3000</v>
      </c>
      <c r="H581" s="18">
        <f>Cleaned_Data!J581</f>
        <v>6</v>
      </c>
      <c r="I581" s="18" t="str">
        <f>Cleaned_Data!M581</f>
        <v>Cancelled</v>
      </c>
      <c r="J581" s="20">
        <f>Cleaned_Data!N581</f>
        <v>46093</v>
      </c>
      <c r="K581" t="str">
        <f t="shared" si="90"/>
        <v>Moderate</v>
      </c>
      <c r="L581" s="5" t="str">
        <f>IF(COUNTIF($A$2:A581,A581)&gt;1,"Duplicate","Unique")</f>
        <v>Unique</v>
      </c>
      <c r="M581" t="str">
        <f t="shared" si="91"/>
        <v>2025-09</v>
      </c>
      <c r="N581" s="2">
        <f t="shared" ca="1" si="92"/>
        <v>46093</v>
      </c>
      <c r="O581" s="4">
        <f t="shared" ca="1" si="93"/>
        <v>5</v>
      </c>
      <c r="P581" s="4">
        <f t="shared" ca="1" si="94"/>
        <v>36</v>
      </c>
      <c r="Q581">
        <f t="shared" ca="1" si="95"/>
        <v>4</v>
      </c>
      <c r="R581">
        <f t="shared" si="96"/>
        <v>2</v>
      </c>
      <c r="S581">
        <f t="shared" ca="1" si="97"/>
        <v>2</v>
      </c>
      <c r="T581" t="str">
        <f t="shared" ca="1" si="98"/>
        <v>422</v>
      </c>
      <c r="U581" t="str">
        <f t="shared" ca="1" si="99"/>
        <v>Others</v>
      </c>
    </row>
    <row r="582" spans="1:21">
      <c r="A582" s="13" t="str">
        <f>Cleaned_Data!A582</f>
        <v>MEM0581</v>
      </c>
      <c r="B582" s="14" t="str">
        <f ca="1">Cleaned_Data!D582</f>
        <v>BR03</v>
      </c>
      <c r="C582" s="14" t="str">
        <f ca="1">Cleaned_Data!E582</f>
        <v>Premium</v>
      </c>
      <c r="D582" s="15">
        <f>Cleaned_Data!F582</f>
        <v>45734</v>
      </c>
      <c r="E582" s="15">
        <f>Cleaned_Data!G582</f>
        <v>46099</v>
      </c>
      <c r="F582" s="14">
        <f>Cleaned_Data!H582</f>
        <v>1000</v>
      </c>
      <c r="G582" s="14">
        <f ca="1">Cleaned_Data!I582</f>
        <v>2000</v>
      </c>
      <c r="H582" s="14">
        <f>Cleaned_Data!J582</f>
        <v>25</v>
      </c>
      <c r="I582" s="14" t="str">
        <f>Cleaned_Data!M582</f>
        <v>Active</v>
      </c>
      <c r="J582" s="16">
        <f>Cleaned_Data!N582</f>
        <v>45857</v>
      </c>
      <c r="K582" t="str">
        <f t="shared" si="90"/>
        <v>Highly Active</v>
      </c>
      <c r="L582" s="5" t="str">
        <f>IF(COUNTIF($A$2:A582,A582)&gt;1,"Duplicate","Unique")</f>
        <v>Unique</v>
      </c>
      <c r="M582" t="str">
        <f t="shared" si="91"/>
        <v>2025-03</v>
      </c>
      <c r="N582" s="2">
        <f t="shared" ca="1" si="92"/>
        <v>45857</v>
      </c>
      <c r="O582" s="4">
        <f t="shared" ca="1" si="93"/>
        <v>4</v>
      </c>
      <c r="P582" s="4">
        <f t="shared" ca="1" si="94"/>
        <v>272</v>
      </c>
      <c r="Q582">
        <f t="shared" ca="1" si="95"/>
        <v>2</v>
      </c>
      <c r="R582">
        <f t="shared" si="96"/>
        <v>5</v>
      </c>
      <c r="S582">
        <f t="shared" ca="1" si="97"/>
        <v>2</v>
      </c>
      <c r="T582" t="str">
        <f t="shared" ca="1" si="98"/>
        <v>252</v>
      </c>
      <c r="U582" t="str">
        <f t="shared" ca="1" si="99"/>
        <v>At Risk</v>
      </c>
    </row>
    <row r="583" spans="1:21">
      <c r="A583" s="17" t="str">
        <f>Cleaned_Data!A583</f>
        <v>MEM0582</v>
      </c>
      <c r="B583" s="18" t="str">
        <f ca="1">Cleaned_Data!D583</f>
        <v>BR06</v>
      </c>
      <c r="C583" s="18" t="str">
        <f ca="1">Cleaned_Data!E583</f>
        <v>Standard</v>
      </c>
      <c r="D583" s="19">
        <f>Cleaned_Data!F583</f>
        <v>45268</v>
      </c>
      <c r="E583" s="19">
        <f>Cleaned_Data!G583</f>
        <v>45298</v>
      </c>
      <c r="F583" s="18">
        <f>Cleaned_Data!H583</f>
        <v>2000</v>
      </c>
      <c r="G583" s="18">
        <f ca="1">Cleaned_Data!I583</f>
        <v>12000</v>
      </c>
      <c r="H583" s="18">
        <f>Cleaned_Data!J583</f>
        <v>21</v>
      </c>
      <c r="I583" s="18" t="str">
        <f>Cleaned_Data!M583</f>
        <v>Active</v>
      </c>
      <c r="J583" s="20">
        <f>Cleaned_Data!N583</f>
        <v>45750</v>
      </c>
      <c r="K583" t="str">
        <f t="shared" si="90"/>
        <v>Highly Active</v>
      </c>
      <c r="L583" s="5" t="str">
        <f>IF(COUNTIF($A$2:A583,A583)&gt;1,"Duplicate","Unique")</f>
        <v>Unique</v>
      </c>
      <c r="M583" t="str">
        <f t="shared" si="91"/>
        <v>2023-12</v>
      </c>
      <c r="N583" s="2">
        <f t="shared" ca="1" si="92"/>
        <v>45750</v>
      </c>
      <c r="O583" s="4">
        <f t="shared" ca="1" si="93"/>
        <v>15</v>
      </c>
      <c r="P583" s="4">
        <f t="shared" ca="1" si="94"/>
        <v>379</v>
      </c>
      <c r="Q583">
        <f t="shared" ca="1" si="95"/>
        <v>1</v>
      </c>
      <c r="R583">
        <f t="shared" si="96"/>
        <v>5</v>
      </c>
      <c r="S583">
        <f t="shared" ca="1" si="97"/>
        <v>4</v>
      </c>
      <c r="T583" t="str">
        <f t="shared" ca="1" si="98"/>
        <v>154</v>
      </c>
      <c r="U583" t="str">
        <f t="shared" ca="1" si="99"/>
        <v>At Risk</v>
      </c>
    </row>
    <row r="584" spans="1:21">
      <c r="A584" s="13" t="str">
        <f>Cleaned_Data!A584</f>
        <v>MEM0583</v>
      </c>
      <c r="B584" s="14" t="str">
        <f ca="1">Cleaned_Data!D584</f>
        <v>BR02</v>
      </c>
      <c r="C584" s="14" t="str">
        <f ca="1">Cleaned_Data!E584</f>
        <v>Standard</v>
      </c>
      <c r="D584" s="15">
        <f>Cleaned_Data!F584</f>
        <v>45448</v>
      </c>
      <c r="E584" s="15">
        <f>Cleaned_Data!G584</f>
        <v>45813</v>
      </c>
      <c r="F584" s="14">
        <f>Cleaned_Data!H584</f>
        <v>2000</v>
      </c>
      <c r="G584" s="14">
        <f ca="1">Cleaned_Data!I584</f>
        <v>10000</v>
      </c>
      <c r="H584" s="14">
        <f>Cleaned_Data!J584</f>
        <v>12</v>
      </c>
      <c r="I584" s="14" t="str">
        <f>Cleaned_Data!M584</f>
        <v>Cancelled</v>
      </c>
      <c r="J584" s="16">
        <f>Cleaned_Data!N584</f>
        <v>45859</v>
      </c>
      <c r="K584" t="str">
        <f t="shared" si="90"/>
        <v>Moderate</v>
      </c>
      <c r="L584" s="5" t="str">
        <f>IF(COUNTIF($A$2:A584,A584)&gt;1,"Duplicate","Unique")</f>
        <v>Unique</v>
      </c>
      <c r="M584" t="str">
        <f t="shared" si="91"/>
        <v>2024-06</v>
      </c>
      <c r="N584" s="2">
        <f t="shared" ca="1" si="92"/>
        <v>45859</v>
      </c>
      <c r="O584" s="4">
        <f t="shared" ca="1" si="93"/>
        <v>13</v>
      </c>
      <c r="P584" s="4">
        <f t="shared" ca="1" si="94"/>
        <v>270</v>
      </c>
      <c r="Q584">
        <f t="shared" ca="1" si="95"/>
        <v>2</v>
      </c>
      <c r="R584">
        <f t="shared" si="96"/>
        <v>3</v>
      </c>
      <c r="S584">
        <f t="shared" ca="1" si="97"/>
        <v>4</v>
      </c>
      <c r="T584" t="str">
        <f t="shared" ca="1" si="98"/>
        <v>234</v>
      </c>
      <c r="U584" t="str">
        <f t="shared" ca="1" si="99"/>
        <v>At Risk</v>
      </c>
    </row>
    <row r="585" spans="1:21">
      <c r="A585" s="17" t="str">
        <f>Cleaned_Data!A585</f>
        <v>MEM0584</v>
      </c>
      <c r="B585" s="18" t="str">
        <f ca="1">Cleaned_Data!D585</f>
        <v>BR06</v>
      </c>
      <c r="C585" s="18" t="str">
        <f ca="1">Cleaned_Data!E585</f>
        <v>Basic</v>
      </c>
      <c r="D585" s="19">
        <f>Cleaned_Data!F585</f>
        <v>45828</v>
      </c>
      <c r="E585" s="19">
        <f>Cleaned_Data!G585</f>
        <v>45918</v>
      </c>
      <c r="F585" s="18">
        <f>Cleaned_Data!H585</f>
        <v>2000</v>
      </c>
      <c r="G585" s="18">
        <f ca="1">Cleaned_Data!I585</f>
        <v>24000</v>
      </c>
      <c r="H585" s="18">
        <f>Cleaned_Data!J585</f>
        <v>2</v>
      </c>
      <c r="I585" s="18" t="str">
        <f>Cleaned_Data!M585</f>
        <v>Cancelled</v>
      </c>
      <c r="J585" s="20">
        <f>Cleaned_Data!N585</f>
        <v>45974</v>
      </c>
      <c r="K585" t="str">
        <f t="shared" si="90"/>
        <v>At Risk</v>
      </c>
      <c r="L585" s="5" t="str">
        <f>IF(COUNTIF($A$2:A585,A585)&gt;1,"Duplicate","Unique")</f>
        <v>Unique</v>
      </c>
      <c r="M585" t="str">
        <f t="shared" si="91"/>
        <v>2025-06</v>
      </c>
      <c r="N585" s="2">
        <f t="shared" ca="1" si="92"/>
        <v>45974</v>
      </c>
      <c r="O585" s="4">
        <f t="shared" ca="1" si="93"/>
        <v>4</v>
      </c>
      <c r="P585" s="4">
        <f t="shared" ca="1" si="94"/>
        <v>155</v>
      </c>
      <c r="Q585">
        <f t="shared" ca="1" si="95"/>
        <v>3</v>
      </c>
      <c r="R585">
        <f t="shared" si="96"/>
        <v>1</v>
      </c>
      <c r="S585">
        <f t="shared" ca="1" si="97"/>
        <v>5</v>
      </c>
      <c r="T585" t="str">
        <f t="shared" ca="1" si="98"/>
        <v>315</v>
      </c>
      <c r="U585" t="str">
        <f t="shared" ca="1" si="99"/>
        <v>Others</v>
      </c>
    </row>
    <row r="586" spans="1:21">
      <c r="A586" s="13" t="str">
        <f>Cleaned_Data!A586</f>
        <v>MEM0585</v>
      </c>
      <c r="B586" s="14" t="str">
        <f ca="1">Cleaned_Data!D586</f>
        <v>BR01</v>
      </c>
      <c r="C586" s="14" t="str">
        <f ca="1">Cleaned_Data!E586</f>
        <v>Standard</v>
      </c>
      <c r="D586" s="15">
        <f>Cleaned_Data!F586</f>
        <v>45890</v>
      </c>
      <c r="E586" s="15">
        <f>Cleaned_Data!G586</f>
        <v>45920</v>
      </c>
      <c r="F586" s="14">
        <f>Cleaned_Data!H586</f>
        <v>2000</v>
      </c>
      <c r="G586" s="14">
        <f ca="1">Cleaned_Data!I586</f>
        <v>2000</v>
      </c>
      <c r="H586" s="14">
        <f>Cleaned_Data!J586</f>
        <v>21</v>
      </c>
      <c r="I586" s="14" t="str">
        <f>Cleaned_Data!M586</f>
        <v>Cancelled</v>
      </c>
      <c r="J586" s="16">
        <f>Cleaned_Data!N586</f>
        <v>46002</v>
      </c>
      <c r="K586" t="str">
        <f t="shared" si="90"/>
        <v>Highly Active</v>
      </c>
      <c r="L586" s="5" t="str">
        <f>IF(COUNTIF($A$2:A586,A586)&gt;1,"Duplicate","Unique")</f>
        <v>Unique</v>
      </c>
      <c r="M586" t="str">
        <f t="shared" si="91"/>
        <v>2025-08</v>
      </c>
      <c r="N586" s="2">
        <f t="shared" ca="1" si="92"/>
        <v>46002</v>
      </c>
      <c r="O586" s="4">
        <f t="shared" ca="1" si="93"/>
        <v>3</v>
      </c>
      <c r="P586" s="4">
        <f t="shared" ca="1" si="94"/>
        <v>127</v>
      </c>
      <c r="Q586">
        <f t="shared" ca="1" si="95"/>
        <v>3</v>
      </c>
      <c r="R586">
        <f t="shared" si="96"/>
        <v>5</v>
      </c>
      <c r="S586">
        <f t="shared" ca="1" si="97"/>
        <v>2</v>
      </c>
      <c r="T586" t="str">
        <f t="shared" ca="1" si="98"/>
        <v>352</v>
      </c>
      <c r="U586" t="str">
        <f t="shared" ca="1" si="99"/>
        <v>Others</v>
      </c>
    </row>
    <row r="587" spans="1:21">
      <c r="A587" s="17" t="str">
        <f>Cleaned_Data!A587</f>
        <v>MEM0586</v>
      </c>
      <c r="B587" s="18" t="str">
        <f ca="1">Cleaned_Data!D587</f>
        <v>BR07</v>
      </c>
      <c r="C587" s="18" t="str">
        <f ca="1">Cleaned_Data!E587</f>
        <v>Standard</v>
      </c>
      <c r="D587" s="19">
        <f>Cleaned_Data!F587</f>
        <v>45260</v>
      </c>
      <c r="E587" s="19">
        <f>Cleaned_Data!G587</f>
        <v>45350</v>
      </c>
      <c r="F587" s="18">
        <f>Cleaned_Data!H587</f>
        <v>3500</v>
      </c>
      <c r="G587" s="18">
        <f ca="1">Cleaned_Data!I587</f>
        <v>28000</v>
      </c>
      <c r="H587" s="18">
        <f>Cleaned_Data!J587</f>
        <v>14</v>
      </c>
      <c r="I587" s="18" t="str">
        <f>Cleaned_Data!M587</f>
        <v>Active</v>
      </c>
      <c r="J587" s="20">
        <f>Cleaned_Data!N587</f>
        <v>45266</v>
      </c>
      <c r="K587" t="str">
        <f t="shared" si="90"/>
        <v>Moderate</v>
      </c>
      <c r="L587" s="5" t="str">
        <f>IF(COUNTIF($A$2:A587,A587)&gt;1,"Duplicate","Unique")</f>
        <v>Unique</v>
      </c>
      <c r="M587" t="str">
        <f t="shared" si="91"/>
        <v>2023-11</v>
      </c>
      <c r="N587" s="2">
        <f t="shared" ca="1" si="92"/>
        <v>45266</v>
      </c>
      <c r="O587" s="4">
        <f t="shared" ca="1" si="93"/>
        <v>0</v>
      </c>
      <c r="P587" s="4">
        <f t="shared" ca="1" si="94"/>
        <v>863</v>
      </c>
      <c r="Q587">
        <f t="shared" ca="1" si="95"/>
        <v>1</v>
      </c>
      <c r="R587">
        <f t="shared" si="96"/>
        <v>3</v>
      </c>
      <c r="S587">
        <f t="shared" ca="1" si="97"/>
        <v>5</v>
      </c>
      <c r="T587" t="str">
        <f t="shared" ca="1" si="98"/>
        <v>135</v>
      </c>
      <c r="U587" t="str">
        <f t="shared" ca="1" si="99"/>
        <v>At Risk</v>
      </c>
    </row>
    <row r="588" spans="1:21">
      <c r="A588" s="13" t="str">
        <f>Cleaned_Data!A588</f>
        <v>MEM0587</v>
      </c>
      <c r="B588" s="14" t="str">
        <f ca="1">Cleaned_Data!D588</f>
        <v>BR06</v>
      </c>
      <c r="C588" s="14" t="str">
        <f ca="1">Cleaned_Data!E588</f>
        <v>Standard</v>
      </c>
      <c r="D588" s="15">
        <f>Cleaned_Data!F588</f>
        <v>45049</v>
      </c>
      <c r="E588" s="15">
        <f>Cleaned_Data!G588</f>
        <v>45079</v>
      </c>
      <c r="F588" s="14">
        <f>Cleaned_Data!H588</f>
        <v>3500</v>
      </c>
      <c r="G588" s="14">
        <f ca="1">Cleaned_Data!I588</f>
        <v>7000</v>
      </c>
      <c r="H588" s="14">
        <f>Cleaned_Data!J588</f>
        <v>5</v>
      </c>
      <c r="I588" s="14" t="str">
        <f>Cleaned_Data!M588</f>
        <v>Active</v>
      </c>
      <c r="J588" s="16">
        <f>Cleaned_Data!N588</f>
        <v>45380</v>
      </c>
      <c r="K588" t="str">
        <f t="shared" si="90"/>
        <v>Moderate</v>
      </c>
      <c r="L588" s="5" t="str">
        <f>IF(COUNTIF($A$2:A588,A588)&gt;1,"Duplicate","Unique")</f>
        <v>Unique</v>
      </c>
      <c r="M588" t="str">
        <f t="shared" si="91"/>
        <v>2023-05</v>
      </c>
      <c r="N588" s="2">
        <f t="shared" ca="1" si="92"/>
        <v>45380</v>
      </c>
      <c r="O588" s="4">
        <f t="shared" ca="1" si="93"/>
        <v>10</v>
      </c>
      <c r="P588" s="4">
        <f t="shared" ca="1" si="94"/>
        <v>749</v>
      </c>
      <c r="Q588">
        <f t="shared" ca="1" si="95"/>
        <v>1</v>
      </c>
      <c r="R588">
        <f t="shared" si="96"/>
        <v>2</v>
      </c>
      <c r="S588">
        <f t="shared" ca="1" si="97"/>
        <v>3</v>
      </c>
      <c r="T588" t="str">
        <f t="shared" ca="1" si="98"/>
        <v>123</v>
      </c>
      <c r="U588" t="str">
        <f t="shared" ca="1" si="99"/>
        <v>At Risk</v>
      </c>
    </row>
    <row r="589" spans="1:21">
      <c r="A589" s="17" t="str">
        <f>Cleaned_Data!A589</f>
        <v>MEM0588</v>
      </c>
      <c r="B589" s="18" t="str">
        <f ca="1">Cleaned_Data!D589</f>
        <v>BR04</v>
      </c>
      <c r="C589" s="18" t="str">
        <f ca="1">Cleaned_Data!E589</f>
        <v>Standard</v>
      </c>
      <c r="D589" s="19">
        <f>Cleaned_Data!F589</f>
        <v>45660</v>
      </c>
      <c r="E589" s="19">
        <f>Cleaned_Data!G589</f>
        <v>45690</v>
      </c>
      <c r="F589" s="18">
        <f>Cleaned_Data!H589</f>
        <v>1000</v>
      </c>
      <c r="G589" s="18">
        <f ca="1">Cleaned_Data!I589</f>
        <v>11000</v>
      </c>
      <c r="H589" s="18">
        <f>Cleaned_Data!J589</f>
        <v>25</v>
      </c>
      <c r="I589" s="18" t="str">
        <f>Cleaned_Data!M589</f>
        <v>Active</v>
      </c>
      <c r="J589" s="20">
        <f>Cleaned_Data!N589</f>
        <v>45988</v>
      </c>
      <c r="K589" t="str">
        <f t="shared" si="90"/>
        <v>Highly Active</v>
      </c>
      <c r="L589" s="5" t="str">
        <f>IF(COUNTIF($A$2:A589,A589)&gt;1,"Duplicate","Unique")</f>
        <v>Unique</v>
      </c>
      <c r="M589" t="str">
        <f t="shared" si="91"/>
        <v>2025-01</v>
      </c>
      <c r="N589" s="2">
        <f t="shared" ca="1" si="92"/>
        <v>45988</v>
      </c>
      <c r="O589" s="4">
        <f t="shared" ca="1" si="93"/>
        <v>10</v>
      </c>
      <c r="P589" s="4">
        <f t="shared" ca="1" si="94"/>
        <v>141</v>
      </c>
      <c r="Q589">
        <f t="shared" ca="1" si="95"/>
        <v>3</v>
      </c>
      <c r="R589">
        <f t="shared" si="96"/>
        <v>5</v>
      </c>
      <c r="S589">
        <f t="shared" ca="1" si="97"/>
        <v>4</v>
      </c>
      <c r="T589" t="str">
        <f t="shared" ca="1" si="98"/>
        <v>354</v>
      </c>
      <c r="U589" t="str">
        <f t="shared" ca="1" si="99"/>
        <v>Loyal</v>
      </c>
    </row>
    <row r="590" spans="1:21">
      <c r="A590" s="13" t="str">
        <f>Cleaned_Data!A590</f>
        <v>MEM0589</v>
      </c>
      <c r="B590" s="14" t="str">
        <f ca="1">Cleaned_Data!D590</f>
        <v>BR05</v>
      </c>
      <c r="C590" s="14" t="str">
        <f ca="1">Cleaned_Data!E590</f>
        <v>Standard</v>
      </c>
      <c r="D590" s="15">
        <f>Cleaned_Data!F590</f>
        <v>45569</v>
      </c>
      <c r="E590" s="15">
        <f>Cleaned_Data!G590</f>
        <v>45599</v>
      </c>
      <c r="F590" s="14">
        <f>Cleaned_Data!H590</f>
        <v>2000</v>
      </c>
      <c r="G590" s="14">
        <f ca="1">Cleaned_Data!I590</f>
        <v>22000</v>
      </c>
      <c r="H590" s="14">
        <f>Cleaned_Data!J590</f>
        <v>4</v>
      </c>
      <c r="I590" s="14" t="str">
        <f>Cleaned_Data!M590</f>
        <v>Active</v>
      </c>
      <c r="J590" s="16">
        <f>Cleaned_Data!N590</f>
        <v>45650</v>
      </c>
      <c r="K590" t="str">
        <f t="shared" si="90"/>
        <v>At Risk</v>
      </c>
      <c r="L590" s="5" t="str">
        <f>IF(COUNTIF($A$2:A590,A590)&gt;1,"Duplicate","Unique")</f>
        <v>Unique</v>
      </c>
      <c r="M590" t="str">
        <f t="shared" si="91"/>
        <v>2024-10</v>
      </c>
      <c r="N590" s="2">
        <f t="shared" ca="1" si="92"/>
        <v>45650</v>
      </c>
      <c r="O590" s="4">
        <f t="shared" ca="1" si="93"/>
        <v>2</v>
      </c>
      <c r="P590" s="4">
        <f t="shared" ca="1" si="94"/>
        <v>479</v>
      </c>
      <c r="Q590">
        <f t="shared" ca="1" si="95"/>
        <v>1</v>
      </c>
      <c r="R590">
        <f t="shared" si="96"/>
        <v>1</v>
      </c>
      <c r="S590">
        <f t="shared" ca="1" si="97"/>
        <v>5</v>
      </c>
      <c r="T590" t="str">
        <f t="shared" ca="1" si="98"/>
        <v>115</v>
      </c>
      <c r="U590" t="str">
        <f t="shared" ca="1" si="99"/>
        <v>At Risk</v>
      </c>
    </row>
    <row r="591" spans="1:21">
      <c r="A591" s="17" t="str">
        <f>Cleaned_Data!A591</f>
        <v>MEM0590</v>
      </c>
      <c r="B591" s="18" t="str">
        <f ca="1">Cleaned_Data!D591</f>
        <v>BR03</v>
      </c>
      <c r="C591" s="18" t="str">
        <f ca="1">Cleaned_Data!E591</f>
        <v>Premium</v>
      </c>
      <c r="D591" s="19">
        <f>Cleaned_Data!F591</f>
        <v>45102</v>
      </c>
      <c r="E591" s="19">
        <f>Cleaned_Data!G591</f>
        <v>45132</v>
      </c>
      <c r="F591" s="18">
        <f>Cleaned_Data!H591</f>
        <v>2000</v>
      </c>
      <c r="G591" s="18">
        <f ca="1">Cleaned_Data!I591</f>
        <v>10000</v>
      </c>
      <c r="H591" s="18">
        <f>Cleaned_Data!J591</f>
        <v>14</v>
      </c>
      <c r="I591" s="18" t="str">
        <f>Cleaned_Data!M591</f>
        <v>Active</v>
      </c>
      <c r="J591" s="20">
        <f>Cleaned_Data!N591</f>
        <v>45971</v>
      </c>
      <c r="K591" t="str">
        <f t="shared" si="90"/>
        <v>Moderate</v>
      </c>
      <c r="L591" s="5" t="str">
        <f>IF(COUNTIF($A$2:A591,A591)&gt;1,"Duplicate","Unique")</f>
        <v>Unique</v>
      </c>
      <c r="M591" t="str">
        <f t="shared" si="91"/>
        <v>2023-06</v>
      </c>
      <c r="N591" s="2">
        <f t="shared" ca="1" si="92"/>
        <v>45971</v>
      </c>
      <c r="O591" s="4">
        <f t="shared" ca="1" si="93"/>
        <v>28</v>
      </c>
      <c r="P591" s="4">
        <f t="shared" ca="1" si="94"/>
        <v>158</v>
      </c>
      <c r="Q591">
        <f t="shared" ca="1" si="95"/>
        <v>3</v>
      </c>
      <c r="R591">
        <f t="shared" si="96"/>
        <v>3</v>
      </c>
      <c r="S591">
        <f t="shared" ca="1" si="97"/>
        <v>4</v>
      </c>
      <c r="T591" t="str">
        <f t="shared" ca="1" si="98"/>
        <v>334</v>
      </c>
      <c r="U591" t="str">
        <f t="shared" ca="1" si="99"/>
        <v>Loyal</v>
      </c>
    </row>
    <row r="592" spans="1:21">
      <c r="A592" s="13" t="str">
        <f>Cleaned_Data!A592</f>
        <v>MEM0591</v>
      </c>
      <c r="B592" s="14" t="str">
        <f ca="1">Cleaned_Data!D592</f>
        <v>BR03</v>
      </c>
      <c r="C592" s="14" t="str">
        <f ca="1">Cleaned_Data!E592</f>
        <v>Premium</v>
      </c>
      <c r="D592" s="15">
        <f>Cleaned_Data!F592</f>
        <v>45076</v>
      </c>
      <c r="E592" s="15">
        <f>Cleaned_Data!G592</f>
        <v>45106</v>
      </c>
      <c r="F592" s="14">
        <f>Cleaned_Data!H592</f>
        <v>3500</v>
      </c>
      <c r="G592" s="14">
        <f ca="1">Cleaned_Data!I592</f>
        <v>7000</v>
      </c>
      <c r="H592" s="14">
        <f>Cleaned_Data!J592</f>
        <v>7</v>
      </c>
      <c r="I592" s="14" t="str">
        <f>Cleaned_Data!M592</f>
        <v>Active</v>
      </c>
      <c r="J592" s="16">
        <f>Cleaned_Data!N592</f>
        <v>45104</v>
      </c>
      <c r="K592" t="str">
        <f t="shared" si="90"/>
        <v>Moderate</v>
      </c>
      <c r="L592" s="5" t="str">
        <f>IF(COUNTIF($A$2:A592,A592)&gt;1,"Duplicate","Unique")</f>
        <v>Unique</v>
      </c>
      <c r="M592" t="str">
        <f t="shared" si="91"/>
        <v>2023-05</v>
      </c>
      <c r="N592" s="2">
        <f t="shared" ca="1" si="92"/>
        <v>45104</v>
      </c>
      <c r="O592" s="4">
        <f t="shared" ca="1" si="93"/>
        <v>0</v>
      </c>
      <c r="P592" s="4">
        <f t="shared" ca="1" si="94"/>
        <v>1025</v>
      </c>
      <c r="Q592">
        <f t="shared" ca="1" si="95"/>
        <v>1</v>
      </c>
      <c r="R592">
        <f t="shared" si="96"/>
        <v>2</v>
      </c>
      <c r="S592">
        <f t="shared" ca="1" si="97"/>
        <v>3</v>
      </c>
      <c r="T592" t="str">
        <f t="shared" ca="1" si="98"/>
        <v>123</v>
      </c>
      <c r="U592" t="str">
        <f t="shared" ca="1" si="99"/>
        <v>At Risk</v>
      </c>
    </row>
    <row r="593" spans="1:21">
      <c r="A593" s="17" t="str">
        <f>Cleaned_Data!A593</f>
        <v>MEM0592</v>
      </c>
      <c r="B593" s="18" t="str">
        <f ca="1">Cleaned_Data!D593</f>
        <v>BR06</v>
      </c>
      <c r="C593" s="18" t="str">
        <f ca="1">Cleaned_Data!E593</f>
        <v>Premium</v>
      </c>
      <c r="D593" s="19">
        <f>Cleaned_Data!F593</f>
        <v>45756</v>
      </c>
      <c r="E593" s="19">
        <f>Cleaned_Data!G593</f>
        <v>46121</v>
      </c>
      <c r="F593" s="18">
        <f>Cleaned_Data!H593</f>
        <v>1000</v>
      </c>
      <c r="G593" s="18">
        <f ca="1">Cleaned_Data!I593</f>
        <v>7000</v>
      </c>
      <c r="H593" s="18">
        <f>Cleaned_Data!J593</f>
        <v>23</v>
      </c>
      <c r="I593" s="18" t="str">
        <f>Cleaned_Data!M593</f>
        <v>Active</v>
      </c>
      <c r="J593" s="20">
        <f>Cleaned_Data!N593</f>
        <v>46045</v>
      </c>
      <c r="K593" t="str">
        <f t="shared" si="90"/>
        <v>Highly Active</v>
      </c>
      <c r="L593" s="5" t="str">
        <f>IF(COUNTIF($A$2:A593,A593)&gt;1,"Duplicate","Unique")</f>
        <v>Unique</v>
      </c>
      <c r="M593" t="str">
        <f t="shared" si="91"/>
        <v>2025-04</v>
      </c>
      <c r="N593" s="2">
        <f t="shared" ca="1" si="92"/>
        <v>46045</v>
      </c>
      <c r="O593" s="4">
        <f t="shared" ca="1" si="93"/>
        <v>9</v>
      </c>
      <c r="P593" s="4">
        <f t="shared" ca="1" si="94"/>
        <v>84</v>
      </c>
      <c r="Q593">
        <f t="shared" ca="1" si="95"/>
        <v>4</v>
      </c>
      <c r="R593">
        <f t="shared" si="96"/>
        <v>5</v>
      </c>
      <c r="S593">
        <f t="shared" ca="1" si="97"/>
        <v>3</v>
      </c>
      <c r="T593" t="str">
        <f t="shared" ca="1" si="98"/>
        <v>453</v>
      </c>
      <c r="U593" t="str">
        <f t="shared" ca="1" si="99"/>
        <v>Loyal</v>
      </c>
    </row>
    <row r="594" spans="1:21">
      <c r="A594" s="13" t="str">
        <f>Cleaned_Data!A594</f>
        <v>MEM0593</v>
      </c>
      <c r="B594" s="14" t="str">
        <f ca="1">Cleaned_Data!D594</f>
        <v>BR03</v>
      </c>
      <c r="C594" s="14" t="str">
        <f ca="1">Cleaned_Data!E594</f>
        <v>Standard</v>
      </c>
      <c r="D594" s="15">
        <f>Cleaned_Data!F594</f>
        <v>45124</v>
      </c>
      <c r="E594" s="15">
        <f>Cleaned_Data!G594</f>
        <v>45214</v>
      </c>
      <c r="F594" s="14">
        <f>Cleaned_Data!H594</f>
        <v>2000</v>
      </c>
      <c r="G594" s="14">
        <f ca="1">Cleaned_Data!I594</f>
        <v>2000</v>
      </c>
      <c r="H594" s="14">
        <f>Cleaned_Data!J594</f>
        <v>13</v>
      </c>
      <c r="I594" s="14" t="str">
        <f>Cleaned_Data!M594</f>
        <v>Active</v>
      </c>
      <c r="J594" s="16">
        <f>Cleaned_Data!N594</f>
        <v>45963</v>
      </c>
      <c r="K594" t="str">
        <f t="shared" si="90"/>
        <v>Moderate</v>
      </c>
      <c r="L594" s="5" t="str">
        <f>IF(COUNTIF($A$2:A594,A594)&gt;1,"Duplicate","Unique")</f>
        <v>Unique</v>
      </c>
      <c r="M594" t="str">
        <f t="shared" si="91"/>
        <v>2023-07</v>
      </c>
      <c r="N594" s="2">
        <f t="shared" ca="1" si="92"/>
        <v>45963</v>
      </c>
      <c r="O594" s="4">
        <f t="shared" ca="1" si="93"/>
        <v>27</v>
      </c>
      <c r="P594" s="4">
        <f t="shared" ca="1" si="94"/>
        <v>166</v>
      </c>
      <c r="Q594">
        <f t="shared" ca="1" si="95"/>
        <v>3</v>
      </c>
      <c r="R594">
        <f t="shared" si="96"/>
        <v>3</v>
      </c>
      <c r="S594">
        <f t="shared" ca="1" si="97"/>
        <v>2</v>
      </c>
      <c r="T594" t="str">
        <f t="shared" ca="1" si="98"/>
        <v>332</v>
      </c>
      <c r="U594" t="str">
        <f t="shared" ca="1" si="99"/>
        <v>Others</v>
      </c>
    </row>
    <row r="595" spans="1:21">
      <c r="A595" s="17" t="str">
        <f>Cleaned_Data!A595</f>
        <v>MEM0594</v>
      </c>
      <c r="B595" s="18" t="str">
        <f ca="1">Cleaned_Data!D595</f>
        <v>BR01</v>
      </c>
      <c r="C595" s="18" t="str">
        <f ca="1">Cleaned_Data!E595</f>
        <v>Premium</v>
      </c>
      <c r="D595" s="19">
        <f>Cleaned_Data!F595</f>
        <v>45947</v>
      </c>
      <c r="E595" s="19">
        <f>Cleaned_Data!G595</f>
        <v>46312</v>
      </c>
      <c r="F595" s="18">
        <f>Cleaned_Data!H595</f>
        <v>2000</v>
      </c>
      <c r="G595" s="18">
        <f ca="1">Cleaned_Data!I595</f>
        <v>14000</v>
      </c>
      <c r="H595" s="18">
        <f>Cleaned_Data!J595</f>
        <v>6</v>
      </c>
      <c r="I595" s="18" t="str">
        <f>Cleaned_Data!M595</f>
        <v>Cancelled</v>
      </c>
      <c r="J595" s="20">
        <f>Cleaned_Data!N595</f>
        <v>46000</v>
      </c>
      <c r="K595" t="str">
        <f t="shared" si="90"/>
        <v>Moderate</v>
      </c>
      <c r="L595" s="5" t="str">
        <f>IF(COUNTIF($A$2:A595,A595)&gt;1,"Duplicate","Unique")</f>
        <v>Unique</v>
      </c>
      <c r="M595" t="str">
        <f t="shared" si="91"/>
        <v>2025-10</v>
      </c>
      <c r="N595" s="2">
        <f t="shared" ca="1" si="92"/>
        <v>46000</v>
      </c>
      <c r="O595" s="4">
        <f t="shared" ca="1" si="93"/>
        <v>1</v>
      </c>
      <c r="P595" s="4">
        <f t="shared" ca="1" si="94"/>
        <v>129</v>
      </c>
      <c r="Q595">
        <f t="shared" ca="1" si="95"/>
        <v>3</v>
      </c>
      <c r="R595">
        <f t="shared" si="96"/>
        <v>2</v>
      </c>
      <c r="S595">
        <f t="shared" ca="1" si="97"/>
        <v>4</v>
      </c>
      <c r="T595" t="str">
        <f t="shared" ca="1" si="98"/>
        <v>324</v>
      </c>
      <c r="U595" t="str">
        <f t="shared" ca="1" si="99"/>
        <v>Others</v>
      </c>
    </row>
    <row r="596" spans="1:21">
      <c r="A596" s="13" t="str">
        <f>Cleaned_Data!A596</f>
        <v>MEM0595</v>
      </c>
      <c r="B596" s="14" t="str">
        <f ca="1">Cleaned_Data!D596</f>
        <v>BR03</v>
      </c>
      <c r="C596" s="14" t="str">
        <f ca="1">Cleaned_Data!E596</f>
        <v>Premium</v>
      </c>
      <c r="D596" s="15">
        <f>Cleaned_Data!F596</f>
        <v>45765</v>
      </c>
      <c r="E596" s="15">
        <f>Cleaned_Data!G596</f>
        <v>46130</v>
      </c>
      <c r="F596" s="14">
        <f>Cleaned_Data!H596</f>
        <v>3500</v>
      </c>
      <c r="G596" s="14">
        <f ca="1">Cleaned_Data!I596</f>
        <v>7000</v>
      </c>
      <c r="H596" s="14">
        <f>Cleaned_Data!J596</f>
        <v>25</v>
      </c>
      <c r="I596" s="14" t="str">
        <f>Cleaned_Data!M596</f>
        <v>Active</v>
      </c>
      <c r="J596" s="16">
        <f>Cleaned_Data!N596</f>
        <v>45822</v>
      </c>
      <c r="K596" t="str">
        <f t="shared" si="90"/>
        <v>Highly Active</v>
      </c>
      <c r="L596" s="5" t="str">
        <f>IF(COUNTIF($A$2:A596,A596)&gt;1,"Duplicate","Unique")</f>
        <v>Unique</v>
      </c>
      <c r="M596" t="str">
        <f t="shared" si="91"/>
        <v>2025-04</v>
      </c>
      <c r="N596" s="2">
        <f t="shared" ca="1" si="92"/>
        <v>45822</v>
      </c>
      <c r="O596" s="4">
        <f t="shared" ca="1" si="93"/>
        <v>1</v>
      </c>
      <c r="P596" s="4">
        <f t="shared" ca="1" si="94"/>
        <v>307</v>
      </c>
      <c r="Q596">
        <f t="shared" ca="1" si="95"/>
        <v>2</v>
      </c>
      <c r="R596">
        <f t="shared" si="96"/>
        <v>5</v>
      </c>
      <c r="S596">
        <f t="shared" ca="1" si="97"/>
        <v>3</v>
      </c>
      <c r="T596" t="str">
        <f t="shared" ca="1" si="98"/>
        <v>253</v>
      </c>
      <c r="U596" t="str">
        <f t="shared" ca="1" si="99"/>
        <v>At Risk</v>
      </c>
    </row>
    <row r="597" spans="1:21">
      <c r="A597" s="17" t="str">
        <f>Cleaned_Data!A597</f>
        <v>MEM0596</v>
      </c>
      <c r="B597" s="18" t="str">
        <f ca="1">Cleaned_Data!D597</f>
        <v>BR05</v>
      </c>
      <c r="C597" s="18" t="str">
        <f ca="1">Cleaned_Data!E597</f>
        <v>Basic</v>
      </c>
      <c r="D597" s="19">
        <f>Cleaned_Data!F597</f>
        <v>44929</v>
      </c>
      <c r="E597" s="19">
        <f>Cleaned_Data!G597</f>
        <v>45294</v>
      </c>
      <c r="F597" s="18">
        <f>Cleaned_Data!H597</f>
        <v>3500</v>
      </c>
      <c r="G597" s="18">
        <f ca="1">Cleaned_Data!I597</f>
        <v>28000</v>
      </c>
      <c r="H597" s="18">
        <f>Cleaned_Data!J597</f>
        <v>8</v>
      </c>
      <c r="I597" s="18" t="str">
        <f>Cleaned_Data!M597</f>
        <v>Active</v>
      </c>
      <c r="J597" s="20">
        <f>Cleaned_Data!N597</f>
        <v>45956</v>
      </c>
      <c r="K597" t="str">
        <f t="shared" si="90"/>
        <v>Moderate</v>
      </c>
      <c r="L597" s="5" t="str">
        <f>IF(COUNTIF($A$2:A597,A597)&gt;1,"Duplicate","Unique")</f>
        <v>Unique</v>
      </c>
      <c r="M597" t="str">
        <f t="shared" si="91"/>
        <v>2023-01</v>
      </c>
      <c r="N597" s="2">
        <f t="shared" ca="1" si="92"/>
        <v>45956</v>
      </c>
      <c r="O597" s="4">
        <f t="shared" ca="1" si="93"/>
        <v>33</v>
      </c>
      <c r="P597" s="4">
        <f t="shared" ca="1" si="94"/>
        <v>173</v>
      </c>
      <c r="Q597">
        <f t="shared" ca="1" si="95"/>
        <v>3</v>
      </c>
      <c r="R597">
        <f t="shared" si="96"/>
        <v>2</v>
      </c>
      <c r="S597">
        <f t="shared" ca="1" si="97"/>
        <v>5</v>
      </c>
      <c r="T597" t="str">
        <f t="shared" ca="1" si="98"/>
        <v>325</v>
      </c>
      <c r="U597" t="str">
        <f t="shared" ca="1" si="99"/>
        <v>Others</v>
      </c>
    </row>
    <row r="598" spans="1:21">
      <c r="A598" s="13" t="str">
        <f>Cleaned_Data!A598</f>
        <v>MEM0597</v>
      </c>
      <c r="B598" s="14" t="str">
        <f ca="1">Cleaned_Data!D598</f>
        <v>BR07</v>
      </c>
      <c r="C598" s="14" t="str">
        <f ca="1">Cleaned_Data!E598</f>
        <v>Premium</v>
      </c>
      <c r="D598" s="15">
        <f>Cleaned_Data!F598</f>
        <v>45734</v>
      </c>
      <c r="E598" s="15">
        <f>Cleaned_Data!G598</f>
        <v>45824</v>
      </c>
      <c r="F598" s="14">
        <f>Cleaned_Data!H598</f>
        <v>2000</v>
      </c>
      <c r="G598" s="14">
        <f ca="1">Cleaned_Data!I598</f>
        <v>24000</v>
      </c>
      <c r="H598" s="14">
        <f>Cleaned_Data!J598</f>
        <v>13</v>
      </c>
      <c r="I598" s="14" t="str">
        <f>Cleaned_Data!M598</f>
        <v>Active</v>
      </c>
      <c r="J598" s="16">
        <f>Cleaned_Data!N598</f>
        <v>45750</v>
      </c>
      <c r="K598" t="str">
        <f t="shared" si="90"/>
        <v>Moderate</v>
      </c>
      <c r="L598" s="5" t="str">
        <f>IF(COUNTIF($A$2:A598,A598)&gt;1,"Duplicate","Unique")</f>
        <v>Unique</v>
      </c>
      <c r="M598" t="str">
        <f t="shared" si="91"/>
        <v>2025-03</v>
      </c>
      <c r="N598" s="2">
        <f t="shared" ca="1" si="92"/>
        <v>45750</v>
      </c>
      <c r="O598" s="4">
        <f t="shared" ca="1" si="93"/>
        <v>0</v>
      </c>
      <c r="P598" s="4">
        <f t="shared" ca="1" si="94"/>
        <v>379</v>
      </c>
      <c r="Q598">
        <f t="shared" ca="1" si="95"/>
        <v>1</v>
      </c>
      <c r="R598">
        <f t="shared" si="96"/>
        <v>3</v>
      </c>
      <c r="S598">
        <f t="shared" ca="1" si="97"/>
        <v>5</v>
      </c>
      <c r="T598" t="str">
        <f t="shared" ca="1" si="98"/>
        <v>135</v>
      </c>
      <c r="U598" t="str">
        <f t="shared" ca="1" si="99"/>
        <v>At Risk</v>
      </c>
    </row>
    <row r="599" spans="1:21">
      <c r="A599" s="17" t="str">
        <f>Cleaned_Data!A599</f>
        <v>MEM0598</v>
      </c>
      <c r="B599" s="18" t="str">
        <f ca="1">Cleaned_Data!D599</f>
        <v>BR01</v>
      </c>
      <c r="C599" s="18" t="str">
        <f ca="1">Cleaned_Data!E599</f>
        <v>Premium</v>
      </c>
      <c r="D599" s="19">
        <f>Cleaned_Data!F599</f>
        <v>45418</v>
      </c>
      <c r="E599" s="19">
        <f>Cleaned_Data!G599</f>
        <v>45508</v>
      </c>
      <c r="F599" s="18">
        <f>Cleaned_Data!H599</f>
        <v>3500</v>
      </c>
      <c r="G599" s="18">
        <f ca="1">Cleaned_Data!I599</f>
        <v>28000</v>
      </c>
      <c r="H599" s="18">
        <f>Cleaned_Data!J599</f>
        <v>14</v>
      </c>
      <c r="I599" s="18" t="str">
        <f>Cleaned_Data!M599</f>
        <v>Active</v>
      </c>
      <c r="J599" s="20">
        <f>Cleaned_Data!N599</f>
        <v>45485</v>
      </c>
      <c r="K599" t="str">
        <f t="shared" si="90"/>
        <v>Moderate</v>
      </c>
      <c r="L599" s="5" t="str">
        <f>IF(COUNTIF($A$2:A599,A599)&gt;1,"Duplicate","Unique")</f>
        <v>Unique</v>
      </c>
      <c r="M599" t="str">
        <f t="shared" si="91"/>
        <v>2024-05</v>
      </c>
      <c r="N599" s="2">
        <f t="shared" ca="1" si="92"/>
        <v>45485</v>
      </c>
      <c r="O599" s="4">
        <f t="shared" ca="1" si="93"/>
        <v>2</v>
      </c>
      <c r="P599" s="4">
        <f t="shared" ca="1" si="94"/>
        <v>644</v>
      </c>
      <c r="Q599">
        <f t="shared" ca="1" si="95"/>
        <v>1</v>
      </c>
      <c r="R599">
        <f t="shared" si="96"/>
        <v>3</v>
      </c>
      <c r="S599">
        <f t="shared" ca="1" si="97"/>
        <v>5</v>
      </c>
      <c r="T599" t="str">
        <f t="shared" ca="1" si="98"/>
        <v>135</v>
      </c>
      <c r="U599" t="str">
        <f t="shared" ca="1" si="99"/>
        <v>At Risk</v>
      </c>
    </row>
    <row r="600" spans="1:21">
      <c r="A600" s="13" t="str">
        <f>Cleaned_Data!A600</f>
        <v>MEM0599</v>
      </c>
      <c r="B600" s="14" t="str">
        <f ca="1">Cleaned_Data!D600</f>
        <v>BR02</v>
      </c>
      <c r="C600" s="14" t="str">
        <f ca="1">Cleaned_Data!E600</f>
        <v>Basic</v>
      </c>
      <c r="D600" s="15">
        <f>Cleaned_Data!F600</f>
        <v>45544</v>
      </c>
      <c r="E600" s="15">
        <f>Cleaned_Data!G600</f>
        <v>45574</v>
      </c>
      <c r="F600" s="14">
        <f>Cleaned_Data!H600</f>
        <v>3500</v>
      </c>
      <c r="G600" s="14">
        <f ca="1">Cleaned_Data!I600</f>
        <v>10500</v>
      </c>
      <c r="H600" s="14">
        <f>Cleaned_Data!J600</f>
        <v>13</v>
      </c>
      <c r="I600" s="14" t="str">
        <f>Cleaned_Data!M600</f>
        <v>Active</v>
      </c>
      <c r="J600" s="16">
        <f>Cleaned_Data!N600</f>
        <v>46082</v>
      </c>
      <c r="K600" t="str">
        <f t="shared" si="90"/>
        <v>Moderate</v>
      </c>
      <c r="L600" s="5" t="str">
        <f>IF(COUNTIF($A$2:A600,A600)&gt;1,"Duplicate","Unique")</f>
        <v>Unique</v>
      </c>
      <c r="M600" t="str">
        <f t="shared" si="91"/>
        <v>2024-09</v>
      </c>
      <c r="N600" s="2">
        <f t="shared" ca="1" si="92"/>
        <v>46082</v>
      </c>
      <c r="O600" s="4">
        <f t="shared" ca="1" si="93"/>
        <v>17</v>
      </c>
      <c r="P600" s="4">
        <f t="shared" ca="1" si="94"/>
        <v>47</v>
      </c>
      <c r="Q600">
        <f t="shared" ca="1" si="95"/>
        <v>4</v>
      </c>
      <c r="R600">
        <f t="shared" si="96"/>
        <v>3</v>
      </c>
      <c r="S600">
        <f t="shared" ca="1" si="97"/>
        <v>4</v>
      </c>
      <c r="T600" t="str">
        <f t="shared" ca="1" si="98"/>
        <v>434</v>
      </c>
      <c r="U600" t="str">
        <f t="shared" ca="1" si="99"/>
        <v>Loyal</v>
      </c>
    </row>
    <row r="601" spans="1:21">
      <c r="A601" s="17" t="str">
        <f>Cleaned_Data!A601</f>
        <v>MEM0600</v>
      </c>
      <c r="B601" s="18" t="str">
        <f ca="1">Cleaned_Data!D601</f>
        <v>BR03</v>
      </c>
      <c r="C601" s="18" t="str">
        <f ca="1">Cleaned_Data!E601</f>
        <v>Standard</v>
      </c>
      <c r="D601" s="19">
        <f>Cleaned_Data!F601</f>
        <v>45063</v>
      </c>
      <c r="E601" s="19">
        <f>Cleaned_Data!G601</f>
        <v>45153</v>
      </c>
      <c r="F601" s="18">
        <f>Cleaned_Data!H601</f>
        <v>3500</v>
      </c>
      <c r="G601" s="18">
        <f ca="1">Cleaned_Data!I601</f>
        <v>42000</v>
      </c>
      <c r="H601" s="18">
        <f>Cleaned_Data!J601</f>
        <v>24</v>
      </c>
      <c r="I601" s="18" t="str">
        <f>Cleaned_Data!M601</f>
        <v>Active</v>
      </c>
      <c r="J601" s="20">
        <f>Cleaned_Data!N601</f>
        <v>45819</v>
      </c>
      <c r="K601" t="str">
        <f t="shared" si="90"/>
        <v>Highly Active</v>
      </c>
      <c r="L601" s="5" t="str">
        <f>IF(COUNTIF($A$2:A601,A601)&gt;1,"Duplicate","Unique")</f>
        <v>Unique</v>
      </c>
      <c r="M601" t="str">
        <f t="shared" si="91"/>
        <v>2023-05</v>
      </c>
      <c r="N601" s="2">
        <f t="shared" ca="1" si="92"/>
        <v>45819</v>
      </c>
      <c r="O601" s="4">
        <f t="shared" ca="1" si="93"/>
        <v>24</v>
      </c>
      <c r="P601" s="4">
        <f t="shared" ca="1" si="94"/>
        <v>310</v>
      </c>
      <c r="Q601">
        <f t="shared" ca="1" si="95"/>
        <v>2</v>
      </c>
      <c r="R601">
        <f t="shared" si="96"/>
        <v>5</v>
      </c>
      <c r="S601">
        <f t="shared" ca="1" si="97"/>
        <v>5</v>
      </c>
      <c r="T601" t="str">
        <f t="shared" ca="1" si="98"/>
        <v>255</v>
      </c>
      <c r="U601" t="str">
        <f t="shared" ca="1" si="99"/>
        <v>At Risk</v>
      </c>
    </row>
    <row r="602" spans="1:21">
      <c r="A602" s="13" t="str">
        <f>Cleaned_Data!A602</f>
        <v>MEM0601</v>
      </c>
      <c r="B602" s="14" t="str">
        <f ca="1">Cleaned_Data!D602</f>
        <v>BR05</v>
      </c>
      <c r="C602" s="14" t="str">
        <f ca="1">Cleaned_Data!E602</f>
        <v>Basic</v>
      </c>
      <c r="D602" s="15">
        <f>Cleaned_Data!F602</f>
        <v>45581</v>
      </c>
      <c r="E602" s="15">
        <f>Cleaned_Data!G602</f>
        <v>45671</v>
      </c>
      <c r="F602" s="14">
        <f>Cleaned_Data!H602</f>
        <v>1000</v>
      </c>
      <c r="G602" s="14">
        <f ca="1">Cleaned_Data!I602</f>
        <v>3000</v>
      </c>
      <c r="H602" s="14">
        <f>Cleaned_Data!J602</f>
        <v>19</v>
      </c>
      <c r="I602" s="14" t="str">
        <f>Cleaned_Data!M602</f>
        <v>Cancelled</v>
      </c>
      <c r="J602" s="16">
        <f>Cleaned_Data!N602</f>
        <v>46114</v>
      </c>
      <c r="K602" t="str">
        <f t="shared" si="90"/>
        <v>Highly Active</v>
      </c>
      <c r="L602" s="5" t="str">
        <f>IF(COUNTIF($A$2:A602,A602)&gt;1,"Duplicate","Unique")</f>
        <v>Unique</v>
      </c>
      <c r="M602" t="str">
        <f t="shared" si="91"/>
        <v>2024-10</v>
      </c>
      <c r="N602" s="2">
        <f t="shared" ca="1" si="92"/>
        <v>46114</v>
      </c>
      <c r="O602" s="4">
        <f t="shared" ca="1" si="93"/>
        <v>17</v>
      </c>
      <c r="P602" s="4">
        <f t="shared" ca="1" si="94"/>
        <v>15</v>
      </c>
      <c r="Q602">
        <f t="shared" ca="1" si="95"/>
        <v>5</v>
      </c>
      <c r="R602">
        <f t="shared" si="96"/>
        <v>4</v>
      </c>
      <c r="S602">
        <f t="shared" ca="1" si="97"/>
        <v>2</v>
      </c>
      <c r="T602" t="str">
        <f t="shared" ca="1" si="98"/>
        <v>542</v>
      </c>
      <c r="U602" t="str">
        <f t="shared" ca="1" si="99"/>
        <v>Others</v>
      </c>
    </row>
    <row r="603" spans="1:21">
      <c r="A603" s="17" t="str">
        <f>Cleaned_Data!A603</f>
        <v>MEM0602</v>
      </c>
      <c r="B603" s="18" t="str">
        <f ca="1">Cleaned_Data!D603</f>
        <v>BR01</v>
      </c>
      <c r="C603" s="18" t="str">
        <f ca="1">Cleaned_Data!E603</f>
        <v>Standard</v>
      </c>
      <c r="D603" s="19">
        <f>Cleaned_Data!F603</f>
        <v>44959</v>
      </c>
      <c r="E603" s="19">
        <f>Cleaned_Data!G603</f>
        <v>44989</v>
      </c>
      <c r="F603" s="18">
        <f>Cleaned_Data!H603</f>
        <v>1000</v>
      </c>
      <c r="G603" s="18">
        <f ca="1">Cleaned_Data!I603</f>
        <v>8000</v>
      </c>
      <c r="H603" s="18">
        <f>Cleaned_Data!J603</f>
        <v>9</v>
      </c>
      <c r="I603" s="18" t="str">
        <f>Cleaned_Data!M603</f>
        <v>Active</v>
      </c>
      <c r="J603" s="20">
        <f>Cleaned_Data!N603</f>
        <v>45774</v>
      </c>
      <c r="K603" t="str">
        <f t="shared" si="90"/>
        <v>Moderate</v>
      </c>
      <c r="L603" s="5" t="str">
        <f>IF(COUNTIF($A$2:A603,A603)&gt;1,"Duplicate","Unique")</f>
        <v>Unique</v>
      </c>
      <c r="M603" t="str">
        <f t="shared" si="91"/>
        <v>2023-02</v>
      </c>
      <c r="N603" s="2">
        <f t="shared" ca="1" si="92"/>
        <v>45774</v>
      </c>
      <c r="O603" s="4">
        <f t="shared" ca="1" si="93"/>
        <v>26</v>
      </c>
      <c r="P603" s="4">
        <f t="shared" ca="1" si="94"/>
        <v>355</v>
      </c>
      <c r="Q603">
        <f t="shared" ca="1" si="95"/>
        <v>2</v>
      </c>
      <c r="R603">
        <f t="shared" si="96"/>
        <v>2</v>
      </c>
      <c r="S603">
        <f t="shared" ca="1" si="97"/>
        <v>3</v>
      </c>
      <c r="T603" t="str">
        <f t="shared" ca="1" si="98"/>
        <v>223</v>
      </c>
      <c r="U603" t="str">
        <f t="shared" ca="1" si="99"/>
        <v>At Risk</v>
      </c>
    </row>
    <row r="604" spans="1:21">
      <c r="A604" s="13" t="str">
        <f>Cleaned_Data!A604</f>
        <v>MEM0603</v>
      </c>
      <c r="B604" s="14" t="str">
        <f ca="1">Cleaned_Data!D604</f>
        <v>BR04</v>
      </c>
      <c r="C604" s="14" t="str">
        <f ca="1">Cleaned_Data!E604</f>
        <v>Standard</v>
      </c>
      <c r="D604" s="15">
        <f>Cleaned_Data!F604</f>
        <v>45837</v>
      </c>
      <c r="E604" s="15">
        <f>Cleaned_Data!G604</f>
        <v>45867</v>
      </c>
      <c r="F604" s="14">
        <f>Cleaned_Data!H604</f>
        <v>2000</v>
      </c>
      <c r="G604" s="14">
        <f ca="1">Cleaned_Data!I604</f>
        <v>18000</v>
      </c>
      <c r="H604" s="14">
        <f>Cleaned_Data!J604</f>
        <v>12</v>
      </c>
      <c r="I604" s="14" t="str">
        <f>Cleaned_Data!M604</f>
        <v>Active</v>
      </c>
      <c r="J604" s="16">
        <f>Cleaned_Data!N604</f>
        <v>45967</v>
      </c>
      <c r="K604" t="str">
        <f t="shared" si="90"/>
        <v>Moderate</v>
      </c>
      <c r="L604" s="5" t="str">
        <f>IF(COUNTIF($A$2:A604,A604)&gt;1,"Duplicate","Unique")</f>
        <v>Unique</v>
      </c>
      <c r="M604" t="str">
        <f t="shared" si="91"/>
        <v>2025-06</v>
      </c>
      <c r="N604" s="2">
        <f t="shared" ca="1" si="92"/>
        <v>45967</v>
      </c>
      <c r="O604" s="4">
        <f t="shared" ca="1" si="93"/>
        <v>4</v>
      </c>
      <c r="P604" s="4">
        <f t="shared" ca="1" si="94"/>
        <v>162</v>
      </c>
      <c r="Q604">
        <f t="shared" ca="1" si="95"/>
        <v>3</v>
      </c>
      <c r="R604">
        <f t="shared" si="96"/>
        <v>3</v>
      </c>
      <c r="S604">
        <f t="shared" ca="1" si="97"/>
        <v>4</v>
      </c>
      <c r="T604" t="str">
        <f t="shared" ca="1" si="98"/>
        <v>334</v>
      </c>
      <c r="U604" t="str">
        <f t="shared" ca="1" si="99"/>
        <v>Loyal</v>
      </c>
    </row>
    <row r="605" spans="1:21">
      <c r="A605" s="17" t="str">
        <f>Cleaned_Data!A605</f>
        <v>MEM0604</v>
      </c>
      <c r="B605" s="18" t="str">
        <f ca="1">Cleaned_Data!D605</f>
        <v>BR06</v>
      </c>
      <c r="C605" s="18" t="str">
        <f ca="1">Cleaned_Data!E605</f>
        <v>Premium</v>
      </c>
      <c r="D605" s="19">
        <f>Cleaned_Data!F605</f>
        <v>45178</v>
      </c>
      <c r="E605" s="19">
        <f>Cleaned_Data!G605</f>
        <v>45268</v>
      </c>
      <c r="F605" s="18">
        <f>Cleaned_Data!H605</f>
        <v>3500</v>
      </c>
      <c r="G605" s="18">
        <f ca="1">Cleaned_Data!I605</f>
        <v>38500</v>
      </c>
      <c r="H605" s="18">
        <f>Cleaned_Data!J605</f>
        <v>20</v>
      </c>
      <c r="I605" s="18" t="str">
        <f>Cleaned_Data!M605</f>
        <v>Active</v>
      </c>
      <c r="J605" s="20">
        <f>Cleaned_Data!N605</f>
        <v>46001</v>
      </c>
      <c r="K605" t="str">
        <f t="shared" si="90"/>
        <v>Highly Active</v>
      </c>
      <c r="L605" s="5" t="str">
        <f>IF(COUNTIF($A$2:A605,A605)&gt;1,"Duplicate","Unique")</f>
        <v>Unique</v>
      </c>
      <c r="M605" t="str">
        <f t="shared" si="91"/>
        <v>2023-09</v>
      </c>
      <c r="N605" s="2">
        <f t="shared" ca="1" si="92"/>
        <v>46001</v>
      </c>
      <c r="O605" s="4">
        <f t="shared" ca="1" si="93"/>
        <v>27</v>
      </c>
      <c r="P605" s="4">
        <f t="shared" ca="1" si="94"/>
        <v>128</v>
      </c>
      <c r="Q605">
        <f t="shared" ca="1" si="95"/>
        <v>3</v>
      </c>
      <c r="R605">
        <f t="shared" si="96"/>
        <v>5</v>
      </c>
      <c r="S605">
        <f t="shared" ca="1" si="97"/>
        <v>5</v>
      </c>
      <c r="T605" t="str">
        <f t="shared" ca="1" si="98"/>
        <v>355</v>
      </c>
      <c r="U605" t="str">
        <f t="shared" ca="1" si="99"/>
        <v>Loyal</v>
      </c>
    </row>
    <row r="606" spans="1:21">
      <c r="A606" s="13" t="str">
        <f>Cleaned_Data!A606</f>
        <v>MEM0605</v>
      </c>
      <c r="B606" s="14" t="str">
        <f ca="1">Cleaned_Data!D606</f>
        <v>BR04</v>
      </c>
      <c r="C606" s="14" t="str">
        <f ca="1">Cleaned_Data!E606</f>
        <v>Premium</v>
      </c>
      <c r="D606" s="15">
        <f>Cleaned_Data!F606</f>
        <v>45155</v>
      </c>
      <c r="E606" s="15">
        <f>Cleaned_Data!G606</f>
        <v>45245</v>
      </c>
      <c r="F606" s="14">
        <f>Cleaned_Data!H606</f>
        <v>3500</v>
      </c>
      <c r="G606" s="14">
        <f ca="1">Cleaned_Data!I606</f>
        <v>42000</v>
      </c>
      <c r="H606" s="14">
        <f>Cleaned_Data!J606</f>
        <v>25</v>
      </c>
      <c r="I606" s="14" t="str">
        <f>Cleaned_Data!M606</f>
        <v>Active</v>
      </c>
      <c r="J606" s="16">
        <f>Cleaned_Data!N606</f>
        <v>45237</v>
      </c>
      <c r="K606" t="str">
        <f t="shared" si="90"/>
        <v>Highly Active</v>
      </c>
      <c r="L606" s="5" t="str">
        <f>IF(COUNTIF($A$2:A606,A606)&gt;1,"Duplicate","Unique")</f>
        <v>Unique</v>
      </c>
      <c r="M606" t="str">
        <f t="shared" si="91"/>
        <v>2023-08</v>
      </c>
      <c r="N606" s="2">
        <f t="shared" ca="1" si="92"/>
        <v>45237</v>
      </c>
      <c r="O606" s="4">
        <f t="shared" ca="1" si="93"/>
        <v>2</v>
      </c>
      <c r="P606" s="4">
        <f t="shared" ca="1" si="94"/>
        <v>892</v>
      </c>
      <c r="Q606">
        <f t="shared" ca="1" si="95"/>
        <v>1</v>
      </c>
      <c r="R606">
        <f t="shared" si="96"/>
        <v>5</v>
      </c>
      <c r="S606">
        <f t="shared" ca="1" si="97"/>
        <v>5</v>
      </c>
      <c r="T606" t="str">
        <f t="shared" ca="1" si="98"/>
        <v>155</v>
      </c>
      <c r="U606" t="str">
        <f t="shared" ca="1" si="99"/>
        <v>At Risk</v>
      </c>
    </row>
    <row r="607" spans="1:21">
      <c r="A607" s="17" t="str">
        <f>Cleaned_Data!A607</f>
        <v>MEM0606</v>
      </c>
      <c r="B607" s="18" t="str">
        <f ca="1">Cleaned_Data!D607</f>
        <v>BR07</v>
      </c>
      <c r="C607" s="18" t="str">
        <f ca="1">Cleaned_Data!E607</f>
        <v>Premium</v>
      </c>
      <c r="D607" s="19">
        <f>Cleaned_Data!F607</f>
        <v>45251</v>
      </c>
      <c r="E607" s="19">
        <f>Cleaned_Data!G607</f>
        <v>45281</v>
      </c>
      <c r="F607" s="18">
        <f>Cleaned_Data!H607</f>
        <v>1000</v>
      </c>
      <c r="G607" s="18">
        <f ca="1">Cleaned_Data!I607</f>
        <v>5000</v>
      </c>
      <c r="H607" s="18">
        <f>Cleaned_Data!J607</f>
        <v>20</v>
      </c>
      <c r="I607" s="18" t="str">
        <f>Cleaned_Data!M607</f>
        <v>Active</v>
      </c>
      <c r="J607" s="20">
        <f>Cleaned_Data!N607</f>
        <v>45642</v>
      </c>
      <c r="K607" t="str">
        <f t="shared" si="90"/>
        <v>Highly Active</v>
      </c>
      <c r="L607" s="5" t="str">
        <f>IF(COUNTIF($A$2:A607,A607)&gt;1,"Duplicate","Unique")</f>
        <v>Unique</v>
      </c>
      <c r="M607" t="str">
        <f t="shared" si="91"/>
        <v>2023-11</v>
      </c>
      <c r="N607" s="2">
        <f t="shared" ca="1" si="92"/>
        <v>45642</v>
      </c>
      <c r="O607" s="4">
        <f t="shared" ca="1" si="93"/>
        <v>12</v>
      </c>
      <c r="P607" s="4">
        <f t="shared" ca="1" si="94"/>
        <v>487</v>
      </c>
      <c r="Q607">
        <f t="shared" ca="1" si="95"/>
        <v>1</v>
      </c>
      <c r="R607">
        <f t="shared" si="96"/>
        <v>5</v>
      </c>
      <c r="S607">
        <f t="shared" ca="1" si="97"/>
        <v>3</v>
      </c>
      <c r="T607" t="str">
        <f t="shared" ca="1" si="98"/>
        <v>153</v>
      </c>
      <c r="U607" t="str">
        <f t="shared" ca="1" si="99"/>
        <v>At Risk</v>
      </c>
    </row>
    <row r="608" spans="1:21">
      <c r="A608" s="13" t="str">
        <f>Cleaned_Data!A608</f>
        <v>MEM0607</v>
      </c>
      <c r="B608" s="14" t="str">
        <f ca="1">Cleaned_Data!D608</f>
        <v>BR02</v>
      </c>
      <c r="C608" s="14" t="str">
        <f ca="1">Cleaned_Data!E608</f>
        <v>Standard</v>
      </c>
      <c r="D608" s="15">
        <f>Cleaned_Data!F608</f>
        <v>45720</v>
      </c>
      <c r="E608" s="15">
        <f>Cleaned_Data!G608</f>
        <v>46085</v>
      </c>
      <c r="F608" s="14">
        <f>Cleaned_Data!H608</f>
        <v>2000</v>
      </c>
      <c r="G608" s="14">
        <f ca="1">Cleaned_Data!I608</f>
        <v>20000</v>
      </c>
      <c r="H608" s="14">
        <f>Cleaned_Data!J608</f>
        <v>16</v>
      </c>
      <c r="I608" s="14" t="str">
        <f>Cleaned_Data!M608</f>
        <v>Active</v>
      </c>
      <c r="J608" s="16">
        <f>Cleaned_Data!N608</f>
        <v>46065</v>
      </c>
      <c r="K608" t="str">
        <f t="shared" si="90"/>
        <v>Highly Active</v>
      </c>
      <c r="L608" s="5" t="str">
        <f>IF(COUNTIF($A$2:A608,A608)&gt;1,"Duplicate","Unique")</f>
        <v>Unique</v>
      </c>
      <c r="M608" t="str">
        <f t="shared" si="91"/>
        <v>2025-03</v>
      </c>
      <c r="N608" s="2">
        <f t="shared" ca="1" si="92"/>
        <v>46065</v>
      </c>
      <c r="O608" s="4">
        <f t="shared" ca="1" si="93"/>
        <v>11</v>
      </c>
      <c r="P608" s="4">
        <f t="shared" ca="1" si="94"/>
        <v>64</v>
      </c>
      <c r="Q608">
        <f t="shared" ca="1" si="95"/>
        <v>4</v>
      </c>
      <c r="R608">
        <f t="shared" si="96"/>
        <v>4</v>
      </c>
      <c r="S608">
        <f t="shared" ca="1" si="97"/>
        <v>5</v>
      </c>
      <c r="T608" t="str">
        <f t="shared" ca="1" si="98"/>
        <v>445</v>
      </c>
      <c r="U608" t="str">
        <f t="shared" ca="1" si="99"/>
        <v>Champion</v>
      </c>
    </row>
    <row r="609" spans="1:21">
      <c r="A609" s="17" t="str">
        <f>Cleaned_Data!A609</f>
        <v>MEM0608</v>
      </c>
      <c r="B609" s="18" t="str">
        <f ca="1">Cleaned_Data!D609</f>
        <v>BR02</v>
      </c>
      <c r="C609" s="18" t="str">
        <f ca="1">Cleaned_Data!E609</f>
        <v>Basic</v>
      </c>
      <c r="D609" s="19">
        <f>Cleaned_Data!F609</f>
        <v>45189</v>
      </c>
      <c r="E609" s="19">
        <f>Cleaned_Data!G609</f>
        <v>45279</v>
      </c>
      <c r="F609" s="18">
        <f>Cleaned_Data!H609</f>
        <v>3500</v>
      </c>
      <c r="G609" s="18">
        <f ca="1">Cleaned_Data!I609</f>
        <v>28000</v>
      </c>
      <c r="H609" s="18">
        <f>Cleaned_Data!J609</f>
        <v>19</v>
      </c>
      <c r="I609" s="18" t="str">
        <f>Cleaned_Data!M609</f>
        <v>Active</v>
      </c>
      <c r="J609" s="20">
        <f>Cleaned_Data!N609</f>
        <v>45273</v>
      </c>
      <c r="K609" t="str">
        <f t="shared" si="90"/>
        <v>Highly Active</v>
      </c>
      <c r="L609" s="5" t="str">
        <f>IF(COUNTIF($A$2:A609,A609)&gt;1,"Duplicate","Unique")</f>
        <v>Unique</v>
      </c>
      <c r="M609" t="str">
        <f t="shared" si="91"/>
        <v>2023-09</v>
      </c>
      <c r="N609" s="2">
        <f t="shared" ca="1" si="92"/>
        <v>45273</v>
      </c>
      <c r="O609" s="4">
        <f t="shared" ca="1" si="93"/>
        <v>2</v>
      </c>
      <c r="P609" s="4">
        <f t="shared" ca="1" si="94"/>
        <v>856</v>
      </c>
      <c r="Q609">
        <f t="shared" ca="1" si="95"/>
        <v>1</v>
      </c>
      <c r="R609">
        <f t="shared" si="96"/>
        <v>4</v>
      </c>
      <c r="S609">
        <f t="shared" ca="1" si="97"/>
        <v>5</v>
      </c>
      <c r="T609" t="str">
        <f t="shared" ca="1" si="98"/>
        <v>145</v>
      </c>
      <c r="U609" t="str">
        <f t="shared" ca="1" si="99"/>
        <v>At Risk</v>
      </c>
    </row>
    <row r="610" spans="1:21">
      <c r="A610" s="13" t="str">
        <f>Cleaned_Data!A610</f>
        <v>MEM0609</v>
      </c>
      <c r="B610" s="14" t="str">
        <f ca="1">Cleaned_Data!D610</f>
        <v>BR07</v>
      </c>
      <c r="C610" s="14" t="str">
        <f ca="1">Cleaned_Data!E610</f>
        <v>Premium</v>
      </c>
      <c r="D610" s="15">
        <f>Cleaned_Data!F610</f>
        <v>46041</v>
      </c>
      <c r="E610" s="15">
        <f>Cleaned_Data!G610</f>
        <v>46071</v>
      </c>
      <c r="F610" s="14">
        <f>Cleaned_Data!H610</f>
        <v>3500</v>
      </c>
      <c r="G610" s="14">
        <f ca="1">Cleaned_Data!I610</f>
        <v>7000</v>
      </c>
      <c r="H610" s="14">
        <f>Cleaned_Data!J610</f>
        <v>20</v>
      </c>
      <c r="I610" s="14" t="str">
        <f>Cleaned_Data!M610</f>
        <v>Active</v>
      </c>
      <c r="J610" s="16">
        <f>Cleaned_Data!N610</f>
        <v>46082</v>
      </c>
      <c r="K610" t="str">
        <f t="shared" si="90"/>
        <v>Highly Active</v>
      </c>
      <c r="L610" s="5" t="str">
        <f>IF(COUNTIF($A$2:A610,A610)&gt;1,"Duplicate","Unique")</f>
        <v>Unique</v>
      </c>
      <c r="M610" t="str">
        <f t="shared" si="91"/>
        <v>2026-01</v>
      </c>
      <c r="N610" s="2">
        <f t="shared" ca="1" si="92"/>
        <v>46082</v>
      </c>
      <c r="O610" s="4">
        <f t="shared" ca="1" si="93"/>
        <v>1</v>
      </c>
      <c r="P610" s="4">
        <f t="shared" ca="1" si="94"/>
        <v>47</v>
      </c>
      <c r="Q610">
        <f t="shared" ca="1" si="95"/>
        <v>4</v>
      </c>
      <c r="R610">
        <f t="shared" si="96"/>
        <v>5</v>
      </c>
      <c r="S610">
        <f t="shared" ca="1" si="97"/>
        <v>3</v>
      </c>
      <c r="T610" t="str">
        <f t="shared" ca="1" si="98"/>
        <v>453</v>
      </c>
      <c r="U610" t="str">
        <f t="shared" ca="1" si="99"/>
        <v>Loyal</v>
      </c>
    </row>
    <row r="611" spans="1:21">
      <c r="A611" s="17" t="str">
        <f>Cleaned_Data!A611</f>
        <v>MEM0610</v>
      </c>
      <c r="B611" s="18" t="str">
        <f ca="1">Cleaned_Data!D611</f>
        <v>BR07</v>
      </c>
      <c r="C611" s="18" t="str">
        <f ca="1">Cleaned_Data!E611</f>
        <v>Basic</v>
      </c>
      <c r="D611" s="19">
        <f>Cleaned_Data!F611</f>
        <v>45629</v>
      </c>
      <c r="E611" s="19">
        <f>Cleaned_Data!G611</f>
        <v>45659</v>
      </c>
      <c r="F611" s="18">
        <f>Cleaned_Data!H611</f>
        <v>2000</v>
      </c>
      <c r="G611" s="18">
        <f ca="1">Cleaned_Data!I611</f>
        <v>10000</v>
      </c>
      <c r="H611" s="18">
        <f>Cleaned_Data!J611</f>
        <v>1</v>
      </c>
      <c r="I611" s="18" t="str">
        <f>Cleaned_Data!M611</f>
        <v>Cancelled</v>
      </c>
      <c r="J611" s="20">
        <f>Cleaned_Data!N611</f>
        <v>45664</v>
      </c>
      <c r="K611" t="str">
        <f t="shared" si="90"/>
        <v>At Risk</v>
      </c>
      <c r="L611" s="5" t="str">
        <f>IF(COUNTIF($A$2:A611,A611)&gt;1,"Duplicate","Unique")</f>
        <v>Unique</v>
      </c>
      <c r="M611" t="str">
        <f t="shared" si="91"/>
        <v>2024-12</v>
      </c>
      <c r="N611" s="2">
        <f t="shared" ca="1" si="92"/>
        <v>45664</v>
      </c>
      <c r="O611" s="4">
        <f t="shared" ca="1" si="93"/>
        <v>1</v>
      </c>
      <c r="P611" s="4">
        <f t="shared" ca="1" si="94"/>
        <v>465</v>
      </c>
      <c r="Q611">
        <f t="shared" ca="1" si="95"/>
        <v>1</v>
      </c>
      <c r="R611">
        <f t="shared" si="96"/>
        <v>1</v>
      </c>
      <c r="S611">
        <f t="shared" ca="1" si="97"/>
        <v>4</v>
      </c>
      <c r="T611" t="str">
        <f t="shared" ca="1" si="98"/>
        <v>114</v>
      </c>
      <c r="U611" t="str">
        <f t="shared" ca="1" si="99"/>
        <v>At Risk</v>
      </c>
    </row>
    <row r="612" spans="1:21">
      <c r="A612" s="13" t="str">
        <f>Cleaned_Data!A612</f>
        <v>MEM0611</v>
      </c>
      <c r="B612" s="14" t="str">
        <f ca="1">Cleaned_Data!D612</f>
        <v>BR03</v>
      </c>
      <c r="C612" s="14" t="str">
        <f ca="1">Cleaned_Data!E612</f>
        <v>Standard</v>
      </c>
      <c r="D612" s="15">
        <f>Cleaned_Data!F612</f>
        <v>45927</v>
      </c>
      <c r="E612" s="15">
        <f>Cleaned_Data!G612</f>
        <v>45957</v>
      </c>
      <c r="F612" s="14">
        <f>Cleaned_Data!H612</f>
        <v>3500</v>
      </c>
      <c r="G612" s="14">
        <f ca="1">Cleaned_Data!I612</f>
        <v>7000</v>
      </c>
      <c r="H612" s="14">
        <f>Cleaned_Data!J612</f>
        <v>12</v>
      </c>
      <c r="I612" s="14" t="str">
        <f>Cleaned_Data!M612</f>
        <v>Active</v>
      </c>
      <c r="J612" s="16">
        <f>Cleaned_Data!N612</f>
        <v>46061</v>
      </c>
      <c r="K612" t="str">
        <f t="shared" si="90"/>
        <v>Moderate</v>
      </c>
      <c r="L612" s="5" t="str">
        <f>IF(COUNTIF($A$2:A612,A612)&gt;1,"Duplicate","Unique")</f>
        <v>Unique</v>
      </c>
      <c r="M612" t="str">
        <f t="shared" si="91"/>
        <v>2025-09</v>
      </c>
      <c r="N612" s="2">
        <f t="shared" ca="1" si="92"/>
        <v>46061</v>
      </c>
      <c r="O612" s="4">
        <f t="shared" ca="1" si="93"/>
        <v>4</v>
      </c>
      <c r="P612" s="4">
        <f t="shared" ca="1" si="94"/>
        <v>68</v>
      </c>
      <c r="Q612">
        <f t="shared" ca="1" si="95"/>
        <v>4</v>
      </c>
      <c r="R612">
        <f t="shared" si="96"/>
        <v>3</v>
      </c>
      <c r="S612">
        <f t="shared" ca="1" si="97"/>
        <v>3</v>
      </c>
      <c r="T612" t="str">
        <f t="shared" ca="1" si="98"/>
        <v>433</v>
      </c>
      <c r="U612" t="str">
        <f t="shared" ca="1" si="99"/>
        <v>Loyal</v>
      </c>
    </row>
    <row r="613" spans="1:21">
      <c r="A613" s="17" t="str">
        <f>Cleaned_Data!A613</f>
        <v>MEM0612</v>
      </c>
      <c r="B613" s="18" t="str">
        <f ca="1">Cleaned_Data!D613</f>
        <v>BR05</v>
      </c>
      <c r="C613" s="18" t="str">
        <f ca="1">Cleaned_Data!E613</f>
        <v>Basic</v>
      </c>
      <c r="D613" s="19">
        <f>Cleaned_Data!F613</f>
        <v>45437</v>
      </c>
      <c r="E613" s="19">
        <f>Cleaned_Data!G613</f>
        <v>45467</v>
      </c>
      <c r="F613" s="18">
        <f>Cleaned_Data!H613</f>
        <v>2000</v>
      </c>
      <c r="G613" s="18">
        <f ca="1">Cleaned_Data!I613</f>
        <v>20000</v>
      </c>
      <c r="H613" s="18">
        <f>Cleaned_Data!J613</f>
        <v>1</v>
      </c>
      <c r="I613" s="18" t="str">
        <f>Cleaned_Data!M613</f>
        <v>Active</v>
      </c>
      <c r="J613" s="20">
        <f>Cleaned_Data!N613</f>
        <v>45457</v>
      </c>
      <c r="K613" t="str">
        <f t="shared" si="90"/>
        <v>At Risk</v>
      </c>
      <c r="L613" s="5" t="str">
        <f>IF(COUNTIF($A$2:A613,A613)&gt;1,"Duplicate","Unique")</f>
        <v>Unique</v>
      </c>
      <c r="M613" t="str">
        <f t="shared" si="91"/>
        <v>2024-05</v>
      </c>
      <c r="N613" s="2">
        <f t="shared" ca="1" si="92"/>
        <v>45457</v>
      </c>
      <c r="O613" s="4">
        <f t="shared" ca="1" si="93"/>
        <v>0</v>
      </c>
      <c r="P613" s="4">
        <f t="shared" ca="1" si="94"/>
        <v>672</v>
      </c>
      <c r="Q613">
        <f t="shared" ca="1" si="95"/>
        <v>1</v>
      </c>
      <c r="R613">
        <f t="shared" si="96"/>
        <v>1</v>
      </c>
      <c r="S613">
        <f t="shared" ca="1" si="97"/>
        <v>5</v>
      </c>
      <c r="T613" t="str">
        <f t="shared" ca="1" si="98"/>
        <v>115</v>
      </c>
      <c r="U613" t="str">
        <f t="shared" ca="1" si="99"/>
        <v>At Risk</v>
      </c>
    </row>
    <row r="614" spans="1:21">
      <c r="A614" s="13" t="str">
        <f>Cleaned_Data!A614</f>
        <v>MEM0613</v>
      </c>
      <c r="B614" s="14" t="str">
        <f ca="1">Cleaned_Data!D614</f>
        <v>BR06</v>
      </c>
      <c r="C614" s="14" t="str">
        <f ca="1">Cleaned_Data!E614</f>
        <v>Standard</v>
      </c>
      <c r="D614" s="15">
        <f>Cleaned_Data!F614</f>
        <v>45253</v>
      </c>
      <c r="E614" s="15">
        <f>Cleaned_Data!G614</f>
        <v>45343</v>
      </c>
      <c r="F614" s="14">
        <f>Cleaned_Data!H614</f>
        <v>2000</v>
      </c>
      <c r="G614" s="14">
        <f ca="1">Cleaned_Data!I614</f>
        <v>4000</v>
      </c>
      <c r="H614" s="14">
        <f>Cleaned_Data!J614</f>
        <v>12</v>
      </c>
      <c r="I614" s="14" t="str">
        <f>Cleaned_Data!M614</f>
        <v>Active</v>
      </c>
      <c r="J614" s="16">
        <f>Cleaned_Data!N614</f>
        <v>46071</v>
      </c>
      <c r="K614" t="str">
        <f t="shared" si="90"/>
        <v>Moderate</v>
      </c>
      <c r="L614" s="5" t="str">
        <f>IF(COUNTIF($A$2:A614,A614)&gt;1,"Duplicate","Unique")</f>
        <v>Unique</v>
      </c>
      <c r="M614" t="str">
        <f t="shared" si="91"/>
        <v>2023-11</v>
      </c>
      <c r="N614" s="2">
        <f t="shared" ca="1" si="92"/>
        <v>46071</v>
      </c>
      <c r="O614" s="4">
        <f t="shared" ca="1" si="93"/>
        <v>26</v>
      </c>
      <c r="P614" s="4">
        <f t="shared" ca="1" si="94"/>
        <v>58</v>
      </c>
      <c r="Q614">
        <f t="shared" ca="1" si="95"/>
        <v>4</v>
      </c>
      <c r="R614">
        <f t="shared" si="96"/>
        <v>3</v>
      </c>
      <c r="S614">
        <f t="shared" ca="1" si="97"/>
        <v>2</v>
      </c>
      <c r="T614" t="str">
        <f t="shared" ca="1" si="98"/>
        <v>432</v>
      </c>
      <c r="U614" t="str">
        <f t="shared" ca="1" si="99"/>
        <v>Others</v>
      </c>
    </row>
    <row r="615" spans="1:21">
      <c r="A615" s="17" t="str">
        <f>Cleaned_Data!A615</f>
        <v>MEM0614</v>
      </c>
      <c r="B615" s="18" t="str">
        <f ca="1">Cleaned_Data!D615</f>
        <v>BR01</v>
      </c>
      <c r="C615" s="18" t="str">
        <f ca="1">Cleaned_Data!E615</f>
        <v>Premium</v>
      </c>
      <c r="D615" s="19">
        <f>Cleaned_Data!F615</f>
        <v>46031</v>
      </c>
      <c r="E615" s="19">
        <f>Cleaned_Data!G615</f>
        <v>46121</v>
      </c>
      <c r="F615" s="18">
        <f>Cleaned_Data!H615</f>
        <v>3500</v>
      </c>
      <c r="G615" s="18">
        <f ca="1">Cleaned_Data!I615</f>
        <v>24500</v>
      </c>
      <c r="H615" s="18">
        <f>Cleaned_Data!J615</f>
        <v>15</v>
      </c>
      <c r="I615" s="18" t="str">
        <f>Cleaned_Data!M615</f>
        <v>Active</v>
      </c>
      <c r="J615" s="20">
        <f>Cleaned_Data!N615</f>
        <v>46077</v>
      </c>
      <c r="K615" t="str">
        <f t="shared" si="90"/>
        <v>Highly Active</v>
      </c>
      <c r="L615" s="5" t="str">
        <f>IF(COUNTIF($A$2:A615,A615)&gt;1,"Duplicate","Unique")</f>
        <v>Unique</v>
      </c>
      <c r="M615" t="str">
        <f t="shared" si="91"/>
        <v>2026-01</v>
      </c>
      <c r="N615" s="2">
        <f t="shared" ca="1" si="92"/>
        <v>46077</v>
      </c>
      <c r="O615" s="4">
        <f t="shared" ca="1" si="93"/>
        <v>1</v>
      </c>
      <c r="P615" s="4">
        <f t="shared" ca="1" si="94"/>
        <v>52</v>
      </c>
      <c r="Q615">
        <f t="shared" ca="1" si="95"/>
        <v>4</v>
      </c>
      <c r="R615">
        <f t="shared" si="96"/>
        <v>4</v>
      </c>
      <c r="S615">
        <f t="shared" ca="1" si="97"/>
        <v>5</v>
      </c>
      <c r="T615" t="str">
        <f t="shared" ca="1" si="98"/>
        <v>445</v>
      </c>
      <c r="U615" t="str">
        <f t="shared" ca="1" si="99"/>
        <v>Champion</v>
      </c>
    </row>
    <row r="616" spans="1:21">
      <c r="A616" s="13" t="str">
        <f>Cleaned_Data!A616</f>
        <v>MEM0615</v>
      </c>
      <c r="B616" s="14" t="str">
        <f ca="1">Cleaned_Data!D616</f>
        <v>BR01</v>
      </c>
      <c r="C616" s="14" t="str">
        <f ca="1">Cleaned_Data!E616</f>
        <v>Standard</v>
      </c>
      <c r="D616" s="15">
        <f>Cleaned_Data!F616</f>
        <v>45319</v>
      </c>
      <c r="E616" s="15">
        <f>Cleaned_Data!G616</f>
        <v>45684</v>
      </c>
      <c r="F616" s="14">
        <f>Cleaned_Data!H616</f>
        <v>3500</v>
      </c>
      <c r="G616" s="14">
        <f ca="1">Cleaned_Data!I616</f>
        <v>21000</v>
      </c>
      <c r="H616" s="14">
        <f>Cleaned_Data!J616</f>
        <v>13</v>
      </c>
      <c r="I616" s="14" t="str">
        <f>Cleaned_Data!M616</f>
        <v>Cancelled</v>
      </c>
      <c r="J616" s="16">
        <f>Cleaned_Data!N616</f>
        <v>45628</v>
      </c>
      <c r="K616" t="str">
        <f t="shared" si="90"/>
        <v>Moderate</v>
      </c>
      <c r="L616" s="5" t="str">
        <f>IF(COUNTIF($A$2:A616,A616)&gt;1,"Duplicate","Unique")</f>
        <v>Unique</v>
      </c>
      <c r="M616" t="str">
        <f t="shared" si="91"/>
        <v>2024-01</v>
      </c>
      <c r="N616" s="2">
        <f t="shared" ca="1" si="92"/>
        <v>45628</v>
      </c>
      <c r="O616" s="4">
        <f t="shared" ca="1" si="93"/>
        <v>10</v>
      </c>
      <c r="P616" s="4">
        <f t="shared" ca="1" si="94"/>
        <v>501</v>
      </c>
      <c r="Q616">
        <f t="shared" ca="1" si="95"/>
        <v>1</v>
      </c>
      <c r="R616">
        <f t="shared" si="96"/>
        <v>3</v>
      </c>
      <c r="S616">
        <f t="shared" ca="1" si="97"/>
        <v>5</v>
      </c>
      <c r="T616" t="str">
        <f t="shared" ca="1" si="98"/>
        <v>135</v>
      </c>
      <c r="U616" t="str">
        <f t="shared" ca="1" si="99"/>
        <v>At Risk</v>
      </c>
    </row>
    <row r="617" spans="1:21">
      <c r="A617" s="17" t="str">
        <f>Cleaned_Data!A617</f>
        <v>MEM0616</v>
      </c>
      <c r="B617" s="18" t="str">
        <f ca="1">Cleaned_Data!D617</f>
        <v>BR02</v>
      </c>
      <c r="C617" s="18" t="str">
        <f ca="1">Cleaned_Data!E617</f>
        <v>Standard</v>
      </c>
      <c r="D617" s="19">
        <f>Cleaned_Data!F617</f>
        <v>45528</v>
      </c>
      <c r="E617" s="19">
        <f>Cleaned_Data!G617</f>
        <v>45558</v>
      </c>
      <c r="F617" s="18">
        <f>Cleaned_Data!H617</f>
        <v>1000</v>
      </c>
      <c r="G617" s="18">
        <f ca="1">Cleaned_Data!I617</f>
        <v>8000</v>
      </c>
      <c r="H617" s="18">
        <f>Cleaned_Data!J617</f>
        <v>0</v>
      </c>
      <c r="I617" s="18" t="str">
        <f>Cleaned_Data!M617</f>
        <v>Cancelled</v>
      </c>
      <c r="J617" s="20">
        <f>Cleaned_Data!N617</f>
        <v>45559</v>
      </c>
      <c r="K617" t="str">
        <f t="shared" si="90"/>
        <v>At Risk</v>
      </c>
      <c r="L617" s="5" t="str">
        <f>IF(COUNTIF($A$2:A617,A617)&gt;1,"Duplicate","Unique")</f>
        <v>Unique</v>
      </c>
      <c r="M617" t="str">
        <f t="shared" si="91"/>
        <v>2024-08</v>
      </c>
      <c r="N617" s="2">
        <f t="shared" ca="1" si="92"/>
        <v>45559</v>
      </c>
      <c r="O617" s="4">
        <f t="shared" ca="1" si="93"/>
        <v>1</v>
      </c>
      <c r="P617" s="4">
        <f t="shared" ca="1" si="94"/>
        <v>570</v>
      </c>
      <c r="Q617">
        <f t="shared" ca="1" si="95"/>
        <v>1</v>
      </c>
      <c r="R617">
        <f t="shared" si="96"/>
        <v>1</v>
      </c>
      <c r="S617">
        <f t="shared" ca="1" si="97"/>
        <v>3</v>
      </c>
      <c r="T617" t="str">
        <f t="shared" ca="1" si="98"/>
        <v>113</v>
      </c>
      <c r="U617" t="str">
        <f t="shared" ca="1" si="99"/>
        <v>At Risk</v>
      </c>
    </row>
    <row r="618" spans="1:21">
      <c r="A618" s="13" t="str">
        <f>Cleaned_Data!A618</f>
        <v>MEM0617</v>
      </c>
      <c r="B618" s="14" t="str">
        <f ca="1">Cleaned_Data!D618</f>
        <v>BR02</v>
      </c>
      <c r="C618" s="14" t="str">
        <f ca="1">Cleaned_Data!E618</f>
        <v>Basic</v>
      </c>
      <c r="D618" s="15">
        <f>Cleaned_Data!F618</f>
        <v>45248</v>
      </c>
      <c r="E618" s="15">
        <f>Cleaned_Data!G618</f>
        <v>45278</v>
      </c>
      <c r="F618" s="14">
        <f>Cleaned_Data!H618</f>
        <v>2000</v>
      </c>
      <c r="G618" s="14">
        <f ca="1">Cleaned_Data!I618</f>
        <v>16000</v>
      </c>
      <c r="H618" s="14">
        <f>Cleaned_Data!J618</f>
        <v>24</v>
      </c>
      <c r="I618" s="14" t="str">
        <f>Cleaned_Data!M618</f>
        <v>Cancelled</v>
      </c>
      <c r="J618" s="16">
        <f>Cleaned_Data!N618</f>
        <v>45304</v>
      </c>
      <c r="K618" t="str">
        <f t="shared" si="90"/>
        <v>Highly Active</v>
      </c>
      <c r="L618" s="5" t="str">
        <f>IF(COUNTIF($A$2:A618,A618)&gt;1,"Duplicate","Unique")</f>
        <v>Unique</v>
      </c>
      <c r="M618" t="str">
        <f t="shared" si="91"/>
        <v>2023-11</v>
      </c>
      <c r="N618" s="2">
        <f t="shared" ca="1" si="92"/>
        <v>45304</v>
      </c>
      <c r="O618" s="4">
        <f t="shared" ca="1" si="93"/>
        <v>1</v>
      </c>
      <c r="P618" s="4">
        <f t="shared" ca="1" si="94"/>
        <v>825</v>
      </c>
      <c r="Q618">
        <f t="shared" ca="1" si="95"/>
        <v>1</v>
      </c>
      <c r="R618">
        <f t="shared" si="96"/>
        <v>5</v>
      </c>
      <c r="S618">
        <f t="shared" ca="1" si="97"/>
        <v>4</v>
      </c>
      <c r="T618" t="str">
        <f t="shared" ca="1" si="98"/>
        <v>154</v>
      </c>
      <c r="U618" t="str">
        <f t="shared" ca="1" si="99"/>
        <v>At Risk</v>
      </c>
    </row>
    <row r="619" spans="1:21">
      <c r="A619" s="17" t="str">
        <f>Cleaned_Data!A619</f>
        <v>MEM0618</v>
      </c>
      <c r="B619" s="18" t="str">
        <f ca="1">Cleaned_Data!D619</f>
        <v>BR03</v>
      </c>
      <c r="C619" s="18" t="str">
        <f ca="1">Cleaned_Data!E619</f>
        <v>Basic</v>
      </c>
      <c r="D619" s="19">
        <f>Cleaned_Data!F619</f>
        <v>45843</v>
      </c>
      <c r="E619" s="19">
        <f>Cleaned_Data!G619</f>
        <v>46208</v>
      </c>
      <c r="F619" s="18">
        <f>Cleaned_Data!H619</f>
        <v>1000</v>
      </c>
      <c r="G619" s="18">
        <f ca="1">Cleaned_Data!I619</f>
        <v>1000</v>
      </c>
      <c r="H619" s="18">
        <f>Cleaned_Data!J619</f>
        <v>9</v>
      </c>
      <c r="I619" s="18" t="str">
        <f>Cleaned_Data!M619</f>
        <v>Active</v>
      </c>
      <c r="J619" s="20">
        <f>Cleaned_Data!N619</f>
        <v>45943</v>
      </c>
      <c r="K619" t="str">
        <f t="shared" si="90"/>
        <v>Moderate</v>
      </c>
      <c r="L619" s="5" t="str">
        <f>IF(COUNTIF($A$2:A619,A619)&gt;1,"Duplicate","Unique")</f>
        <v>Unique</v>
      </c>
      <c r="M619" t="str">
        <f t="shared" si="91"/>
        <v>2025-07</v>
      </c>
      <c r="N619" s="2">
        <f t="shared" ca="1" si="92"/>
        <v>45943</v>
      </c>
      <c r="O619" s="4">
        <f t="shared" ca="1" si="93"/>
        <v>3</v>
      </c>
      <c r="P619" s="4">
        <f t="shared" ca="1" si="94"/>
        <v>186</v>
      </c>
      <c r="Q619">
        <f t="shared" ca="1" si="95"/>
        <v>2</v>
      </c>
      <c r="R619">
        <f t="shared" si="96"/>
        <v>2</v>
      </c>
      <c r="S619">
        <f t="shared" ca="1" si="97"/>
        <v>1</v>
      </c>
      <c r="T619" t="str">
        <f t="shared" ca="1" si="98"/>
        <v>221</v>
      </c>
      <c r="U619" t="str">
        <f t="shared" ca="1" si="99"/>
        <v>At Risk</v>
      </c>
    </row>
    <row r="620" spans="1:21">
      <c r="A620" s="13" t="str">
        <f>Cleaned_Data!A620</f>
        <v>MEM0619</v>
      </c>
      <c r="B620" s="14" t="str">
        <f ca="1">Cleaned_Data!D620</f>
        <v>BR02</v>
      </c>
      <c r="C620" s="14" t="str">
        <f ca="1">Cleaned_Data!E620</f>
        <v>Premium</v>
      </c>
      <c r="D620" s="15">
        <f>Cleaned_Data!F620</f>
        <v>44937</v>
      </c>
      <c r="E620" s="15">
        <f>Cleaned_Data!G620</f>
        <v>45027</v>
      </c>
      <c r="F620" s="14">
        <f>Cleaned_Data!H620</f>
        <v>1000</v>
      </c>
      <c r="G620" s="14">
        <f ca="1">Cleaned_Data!I620</f>
        <v>4000</v>
      </c>
      <c r="H620" s="14">
        <f>Cleaned_Data!J620</f>
        <v>15</v>
      </c>
      <c r="I620" s="14" t="str">
        <f>Cleaned_Data!M620</f>
        <v>Active</v>
      </c>
      <c r="J620" s="16">
        <f>Cleaned_Data!N620</f>
        <v>45792</v>
      </c>
      <c r="K620" t="str">
        <f t="shared" si="90"/>
        <v>Highly Active</v>
      </c>
      <c r="L620" s="5" t="str">
        <f>IF(COUNTIF($A$2:A620,A620)&gt;1,"Duplicate","Unique")</f>
        <v>Unique</v>
      </c>
      <c r="M620" t="str">
        <f t="shared" si="91"/>
        <v>2023-01</v>
      </c>
      <c r="N620" s="2">
        <f t="shared" ca="1" si="92"/>
        <v>45792</v>
      </c>
      <c r="O620" s="4">
        <f t="shared" ca="1" si="93"/>
        <v>28</v>
      </c>
      <c r="P620" s="4">
        <f t="shared" ca="1" si="94"/>
        <v>337</v>
      </c>
      <c r="Q620">
        <f t="shared" ca="1" si="95"/>
        <v>2</v>
      </c>
      <c r="R620">
        <f t="shared" si="96"/>
        <v>4</v>
      </c>
      <c r="S620">
        <f t="shared" ca="1" si="97"/>
        <v>2</v>
      </c>
      <c r="T620" t="str">
        <f t="shared" ca="1" si="98"/>
        <v>242</v>
      </c>
      <c r="U620" t="str">
        <f t="shared" ca="1" si="99"/>
        <v>At Risk</v>
      </c>
    </row>
    <row r="621" spans="1:21">
      <c r="A621" s="17" t="str">
        <f>Cleaned_Data!A621</f>
        <v>MEM0620</v>
      </c>
      <c r="B621" s="18" t="str">
        <f ca="1">Cleaned_Data!D621</f>
        <v>BR04</v>
      </c>
      <c r="C621" s="18" t="str">
        <f ca="1">Cleaned_Data!E621</f>
        <v>Basic</v>
      </c>
      <c r="D621" s="19">
        <f>Cleaned_Data!F621</f>
        <v>45052</v>
      </c>
      <c r="E621" s="19">
        <f>Cleaned_Data!G621</f>
        <v>45142</v>
      </c>
      <c r="F621" s="18">
        <f>Cleaned_Data!H621</f>
        <v>2000</v>
      </c>
      <c r="G621" s="18">
        <f ca="1">Cleaned_Data!I621</f>
        <v>4000</v>
      </c>
      <c r="H621" s="18">
        <f>Cleaned_Data!J621</f>
        <v>20</v>
      </c>
      <c r="I621" s="18" t="str">
        <f>Cleaned_Data!M621</f>
        <v>Active</v>
      </c>
      <c r="J621" s="20">
        <f>Cleaned_Data!N621</f>
        <v>46109</v>
      </c>
      <c r="K621" t="str">
        <f t="shared" si="90"/>
        <v>Highly Active</v>
      </c>
      <c r="L621" s="5" t="str">
        <f>IF(COUNTIF($A$2:A621,A621)&gt;1,"Duplicate","Unique")</f>
        <v>Unique</v>
      </c>
      <c r="M621" t="str">
        <f t="shared" si="91"/>
        <v>2023-05</v>
      </c>
      <c r="N621" s="2">
        <f t="shared" ca="1" si="92"/>
        <v>46109</v>
      </c>
      <c r="O621" s="4">
        <f t="shared" ca="1" si="93"/>
        <v>34</v>
      </c>
      <c r="P621" s="4">
        <f t="shared" ca="1" si="94"/>
        <v>20</v>
      </c>
      <c r="Q621">
        <f t="shared" ca="1" si="95"/>
        <v>5</v>
      </c>
      <c r="R621">
        <f t="shared" si="96"/>
        <v>5</v>
      </c>
      <c r="S621">
        <f t="shared" ca="1" si="97"/>
        <v>2</v>
      </c>
      <c r="T621" t="str">
        <f t="shared" ca="1" si="98"/>
        <v>552</v>
      </c>
      <c r="U621" t="str">
        <f t="shared" ca="1" si="99"/>
        <v>Others</v>
      </c>
    </row>
    <row r="622" spans="1:21">
      <c r="A622" s="13" t="str">
        <f>Cleaned_Data!A622</f>
        <v>MEM0621</v>
      </c>
      <c r="B622" s="14" t="str">
        <f ca="1">Cleaned_Data!D622</f>
        <v>BR03</v>
      </c>
      <c r="C622" s="14" t="str">
        <f ca="1">Cleaned_Data!E622</f>
        <v>Premium</v>
      </c>
      <c r="D622" s="15">
        <f>Cleaned_Data!F622</f>
        <v>45585</v>
      </c>
      <c r="E622" s="15">
        <f>Cleaned_Data!G622</f>
        <v>45615</v>
      </c>
      <c r="F622" s="14">
        <f>Cleaned_Data!H622</f>
        <v>3500</v>
      </c>
      <c r="G622" s="14">
        <f ca="1">Cleaned_Data!I622</f>
        <v>3500</v>
      </c>
      <c r="H622" s="14">
        <f>Cleaned_Data!J622</f>
        <v>7</v>
      </c>
      <c r="I622" s="14" t="str">
        <f>Cleaned_Data!M622</f>
        <v>Active</v>
      </c>
      <c r="J622" s="16">
        <f>Cleaned_Data!N622</f>
        <v>45659</v>
      </c>
      <c r="K622" t="str">
        <f t="shared" si="90"/>
        <v>Moderate</v>
      </c>
      <c r="L622" s="5" t="str">
        <f>IF(COUNTIF($A$2:A622,A622)&gt;1,"Duplicate","Unique")</f>
        <v>Unique</v>
      </c>
      <c r="M622" t="str">
        <f t="shared" si="91"/>
        <v>2024-10</v>
      </c>
      <c r="N622" s="2">
        <f t="shared" ca="1" si="92"/>
        <v>45659</v>
      </c>
      <c r="O622" s="4">
        <f t="shared" ca="1" si="93"/>
        <v>2</v>
      </c>
      <c r="P622" s="4">
        <f t="shared" ca="1" si="94"/>
        <v>470</v>
      </c>
      <c r="Q622">
        <f t="shared" ca="1" si="95"/>
        <v>1</v>
      </c>
      <c r="R622">
        <f t="shared" si="96"/>
        <v>2</v>
      </c>
      <c r="S622">
        <f t="shared" ca="1" si="97"/>
        <v>2</v>
      </c>
      <c r="T622" t="str">
        <f t="shared" ca="1" si="98"/>
        <v>122</v>
      </c>
      <c r="U622" t="str">
        <f t="shared" ca="1" si="99"/>
        <v>At Risk</v>
      </c>
    </row>
    <row r="623" spans="1:21">
      <c r="A623" s="17" t="str">
        <f>Cleaned_Data!A623</f>
        <v>MEM0622</v>
      </c>
      <c r="B623" s="18" t="str">
        <f ca="1">Cleaned_Data!D623</f>
        <v>BR06</v>
      </c>
      <c r="C623" s="18" t="str">
        <f ca="1">Cleaned_Data!E623</f>
        <v>Standard</v>
      </c>
      <c r="D623" s="19">
        <f>Cleaned_Data!F623</f>
        <v>45979</v>
      </c>
      <c r="E623" s="19">
        <f>Cleaned_Data!G623</f>
        <v>46009</v>
      </c>
      <c r="F623" s="18">
        <f>Cleaned_Data!H623</f>
        <v>2000</v>
      </c>
      <c r="G623" s="18">
        <f ca="1">Cleaned_Data!I623</f>
        <v>8000</v>
      </c>
      <c r="H623" s="18">
        <f>Cleaned_Data!J623</f>
        <v>10</v>
      </c>
      <c r="I623" s="18" t="str">
        <f>Cleaned_Data!M623</f>
        <v>Active</v>
      </c>
      <c r="J623" s="20">
        <f>Cleaned_Data!N623</f>
        <v>46022</v>
      </c>
      <c r="K623" t="str">
        <f t="shared" si="90"/>
        <v>Moderate</v>
      </c>
      <c r="L623" s="5" t="str">
        <f>IF(COUNTIF($A$2:A623,A623)&gt;1,"Duplicate","Unique")</f>
        <v>Unique</v>
      </c>
      <c r="M623" t="str">
        <f t="shared" si="91"/>
        <v>2025-11</v>
      </c>
      <c r="N623" s="2">
        <f t="shared" ca="1" si="92"/>
        <v>46022</v>
      </c>
      <c r="O623" s="4">
        <f t="shared" ca="1" si="93"/>
        <v>1</v>
      </c>
      <c r="P623" s="4">
        <f t="shared" ca="1" si="94"/>
        <v>107</v>
      </c>
      <c r="Q623">
        <f t="shared" ca="1" si="95"/>
        <v>3</v>
      </c>
      <c r="R623">
        <f t="shared" si="96"/>
        <v>3</v>
      </c>
      <c r="S623">
        <f t="shared" ca="1" si="97"/>
        <v>3</v>
      </c>
      <c r="T623" t="str">
        <f t="shared" ca="1" si="98"/>
        <v>333</v>
      </c>
      <c r="U623" t="str">
        <f t="shared" ca="1" si="99"/>
        <v>Loyal</v>
      </c>
    </row>
    <row r="624" spans="1:21">
      <c r="A624" s="13" t="str">
        <f>Cleaned_Data!A624</f>
        <v>MEM0623</v>
      </c>
      <c r="B624" s="14" t="str">
        <f ca="1">Cleaned_Data!D624</f>
        <v>BR05</v>
      </c>
      <c r="C624" s="14" t="str">
        <f ca="1">Cleaned_Data!E624</f>
        <v>Standard</v>
      </c>
      <c r="D624" s="15">
        <f>Cleaned_Data!F624</f>
        <v>45595</v>
      </c>
      <c r="E624" s="15">
        <f>Cleaned_Data!G624</f>
        <v>45960</v>
      </c>
      <c r="F624" s="14">
        <f>Cleaned_Data!H624</f>
        <v>2000</v>
      </c>
      <c r="G624" s="14">
        <f ca="1">Cleaned_Data!I624</f>
        <v>4000</v>
      </c>
      <c r="H624" s="14">
        <f>Cleaned_Data!J624</f>
        <v>21</v>
      </c>
      <c r="I624" s="14" t="str">
        <f>Cleaned_Data!M624</f>
        <v>Active</v>
      </c>
      <c r="J624" s="16">
        <f>Cleaned_Data!N624</f>
        <v>45927</v>
      </c>
      <c r="K624" t="str">
        <f t="shared" si="90"/>
        <v>Highly Active</v>
      </c>
      <c r="L624" s="5" t="str">
        <f>IF(COUNTIF($A$2:A624,A624)&gt;1,"Duplicate","Unique")</f>
        <v>Unique</v>
      </c>
      <c r="M624" t="str">
        <f t="shared" si="91"/>
        <v>2024-10</v>
      </c>
      <c r="N624" s="2">
        <f t="shared" ca="1" si="92"/>
        <v>45927</v>
      </c>
      <c r="O624" s="4">
        <f t="shared" ca="1" si="93"/>
        <v>10</v>
      </c>
      <c r="P624" s="4">
        <f t="shared" ca="1" si="94"/>
        <v>202</v>
      </c>
      <c r="Q624">
        <f t="shared" ca="1" si="95"/>
        <v>2</v>
      </c>
      <c r="R624">
        <f t="shared" si="96"/>
        <v>5</v>
      </c>
      <c r="S624">
        <f t="shared" ca="1" si="97"/>
        <v>2</v>
      </c>
      <c r="T624" t="str">
        <f t="shared" ca="1" si="98"/>
        <v>252</v>
      </c>
      <c r="U624" t="str">
        <f t="shared" ca="1" si="99"/>
        <v>At Risk</v>
      </c>
    </row>
    <row r="625" spans="1:21">
      <c r="A625" s="17" t="str">
        <f>Cleaned_Data!A625</f>
        <v>MEM0624</v>
      </c>
      <c r="B625" s="18" t="str">
        <f ca="1">Cleaned_Data!D625</f>
        <v>BR02</v>
      </c>
      <c r="C625" s="18" t="str">
        <f ca="1">Cleaned_Data!E625</f>
        <v>Premium</v>
      </c>
      <c r="D625" s="19">
        <f>Cleaned_Data!F625</f>
        <v>44934</v>
      </c>
      <c r="E625" s="19">
        <f>Cleaned_Data!G625</f>
        <v>44964</v>
      </c>
      <c r="F625" s="18">
        <f>Cleaned_Data!H625</f>
        <v>2000</v>
      </c>
      <c r="G625" s="18">
        <f ca="1">Cleaned_Data!I625</f>
        <v>16000</v>
      </c>
      <c r="H625" s="18">
        <f>Cleaned_Data!J625</f>
        <v>6</v>
      </c>
      <c r="I625" s="18" t="str">
        <f>Cleaned_Data!M625</f>
        <v>Active</v>
      </c>
      <c r="J625" s="20">
        <f>Cleaned_Data!N625</f>
        <v>45960</v>
      </c>
      <c r="K625" t="str">
        <f t="shared" si="90"/>
        <v>Moderate</v>
      </c>
      <c r="L625" s="5" t="str">
        <f>IF(COUNTIF($A$2:A625,A625)&gt;1,"Duplicate","Unique")</f>
        <v>Unique</v>
      </c>
      <c r="M625" t="str">
        <f t="shared" si="91"/>
        <v>2023-01</v>
      </c>
      <c r="N625" s="2">
        <f t="shared" ca="1" si="92"/>
        <v>45960</v>
      </c>
      <c r="O625" s="4">
        <f t="shared" ca="1" si="93"/>
        <v>33</v>
      </c>
      <c r="P625" s="4">
        <f t="shared" ca="1" si="94"/>
        <v>169</v>
      </c>
      <c r="Q625">
        <f t="shared" ca="1" si="95"/>
        <v>3</v>
      </c>
      <c r="R625">
        <f t="shared" si="96"/>
        <v>2</v>
      </c>
      <c r="S625">
        <f t="shared" ca="1" si="97"/>
        <v>4</v>
      </c>
      <c r="T625" t="str">
        <f t="shared" ca="1" si="98"/>
        <v>324</v>
      </c>
      <c r="U625" t="str">
        <f t="shared" ca="1" si="99"/>
        <v>Others</v>
      </c>
    </row>
    <row r="626" spans="1:21">
      <c r="A626" s="13" t="str">
        <f>Cleaned_Data!A626</f>
        <v>MEM0625</v>
      </c>
      <c r="B626" s="14" t="str">
        <f ca="1">Cleaned_Data!D626</f>
        <v>BR06</v>
      </c>
      <c r="C626" s="14" t="str">
        <f ca="1">Cleaned_Data!E626</f>
        <v>Standard</v>
      </c>
      <c r="D626" s="15">
        <f>Cleaned_Data!F626</f>
        <v>45712</v>
      </c>
      <c r="E626" s="15">
        <f>Cleaned_Data!G626</f>
        <v>45802</v>
      </c>
      <c r="F626" s="14">
        <f>Cleaned_Data!H626</f>
        <v>1000</v>
      </c>
      <c r="G626" s="14">
        <f ca="1">Cleaned_Data!I626</f>
        <v>7000</v>
      </c>
      <c r="H626" s="14">
        <f>Cleaned_Data!J626</f>
        <v>15</v>
      </c>
      <c r="I626" s="14" t="str">
        <f>Cleaned_Data!M626</f>
        <v>Active</v>
      </c>
      <c r="J626" s="16">
        <f>Cleaned_Data!N626</f>
        <v>45840</v>
      </c>
      <c r="K626" t="str">
        <f t="shared" si="90"/>
        <v>Highly Active</v>
      </c>
      <c r="L626" s="5" t="str">
        <f>IF(COUNTIF($A$2:A626,A626)&gt;1,"Duplicate","Unique")</f>
        <v>Unique</v>
      </c>
      <c r="M626" t="str">
        <f t="shared" si="91"/>
        <v>2025-02</v>
      </c>
      <c r="N626" s="2">
        <f t="shared" ca="1" si="92"/>
        <v>45840</v>
      </c>
      <c r="O626" s="4">
        <f t="shared" ca="1" si="93"/>
        <v>4</v>
      </c>
      <c r="P626" s="4">
        <f t="shared" ca="1" si="94"/>
        <v>289</v>
      </c>
      <c r="Q626">
        <f t="shared" ca="1" si="95"/>
        <v>2</v>
      </c>
      <c r="R626">
        <f t="shared" si="96"/>
        <v>4</v>
      </c>
      <c r="S626">
        <f t="shared" ca="1" si="97"/>
        <v>3</v>
      </c>
      <c r="T626" t="str">
        <f t="shared" ca="1" si="98"/>
        <v>243</v>
      </c>
      <c r="U626" t="str">
        <f t="shared" ca="1" si="99"/>
        <v>At Risk</v>
      </c>
    </row>
    <row r="627" spans="1:21">
      <c r="A627" s="17" t="str">
        <f>Cleaned_Data!A627</f>
        <v>MEM0626</v>
      </c>
      <c r="B627" s="18" t="str">
        <f ca="1">Cleaned_Data!D627</f>
        <v>BR01</v>
      </c>
      <c r="C627" s="18" t="str">
        <f ca="1">Cleaned_Data!E627</f>
        <v>Basic</v>
      </c>
      <c r="D627" s="19">
        <f>Cleaned_Data!F627</f>
        <v>45806</v>
      </c>
      <c r="E627" s="19">
        <f>Cleaned_Data!G627</f>
        <v>45836</v>
      </c>
      <c r="F627" s="18">
        <f>Cleaned_Data!H627</f>
        <v>3500</v>
      </c>
      <c r="G627" s="18">
        <f ca="1">Cleaned_Data!I627</f>
        <v>35000</v>
      </c>
      <c r="H627" s="18">
        <f>Cleaned_Data!J627</f>
        <v>25</v>
      </c>
      <c r="I627" s="18" t="str">
        <f>Cleaned_Data!M627</f>
        <v>Active</v>
      </c>
      <c r="J627" s="20">
        <f>Cleaned_Data!N627</f>
        <v>45934</v>
      </c>
      <c r="K627" t="str">
        <f t="shared" si="90"/>
        <v>Highly Active</v>
      </c>
      <c r="L627" s="5" t="str">
        <f>IF(COUNTIF($A$2:A627,A627)&gt;1,"Duplicate","Unique")</f>
        <v>Unique</v>
      </c>
      <c r="M627" t="str">
        <f t="shared" si="91"/>
        <v>2025-05</v>
      </c>
      <c r="N627" s="2">
        <f t="shared" ca="1" si="92"/>
        <v>45934</v>
      </c>
      <c r="O627" s="4">
        <f t="shared" ca="1" si="93"/>
        <v>4</v>
      </c>
      <c r="P627" s="4">
        <f t="shared" ca="1" si="94"/>
        <v>195</v>
      </c>
      <c r="Q627">
        <f t="shared" ca="1" si="95"/>
        <v>2</v>
      </c>
      <c r="R627">
        <f t="shared" si="96"/>
        <v>5</v>
      </c>
      <c r="S627">
        <f t="shared" ca="1" si="97"/>
        <v>5</v>
      </c>
      <c r="T627" t="str">
        <f t="shared" ca="1" si="98"/>
        <v>255</v>
      </c>
      <c r="U627" t="str">
        <f t="shared" ca="1" si="99"/>
        <v>At Risk</v>
      </c>
    </row>
    <row r="628" spans="1:21">
      <c r="A628" s="13" t="str">
        <f>Cleaned_Data!A628</f>
        <v>MEM0627</v>
      </c>
      <c r="B628" s="14" t="str">
        <f ca="1">Cleaned_Data!D628</f>
        <v>BR05</v>
      </c>
      <c r="C628" s="14" t="str">
        <f ca="1">Cleaned_Data!E628</f>
        <v>Premium</v>
      </c>
      <c r="D628" s="15">
        <f>Cleaned_Data!F628</f>
        <v>45031</v>
      </c>
      <c r="E628" s="15">
        <f>Cleaned_Data!G628</f>
        <v>45061</v>
      </c>
      <c r="F628" s="14">
        <f>Cleaned_Data!H628</f>
        <v>2000</v>
      </c>
      <c r="G628" s="14">
        <f ca="1">Cleaned_Data!I628</f>
        <v>4000</v>
      </c>
      <c r="H628" s="14">
        <f>Cleaned_Data!J628</f>
        <v>21</v>
      </c>
      <c r="I628" s="14" t="str">
        <f>Cleaned_Data!M628</f>
        <v>Active</v>
      </c>
      <c r="J628" s="16">
        <f>Cleaned_Data!N628</f>
        <v>45663</v>
      </c>
      <c r="K628" t="str">
        <f t="shared" si="90"/>
        <v>Highly Active</v>
      </c>
      <c r="L628" s="5" t="str">
        <f>IF(COUNTIF($A$2:A628,A628)&gt;1,"Duplicate","Unique")</f>
        <v>Unique</v>
      </c>
      <c r="M628" t="str">
        <f t="shared" si="91"/>
        <v>2023-04</v>
      </c>
      <c r="N628" s="2">
        <f t="shared" ca="1" si="92"/>
        <v>45663</v>
      </c>
      <c r="O628" s="4">
        <f t="shared" ca="1" si="93"/>
        <v>20</v>
      </c>
      <c r="P628" s="4">
        <f t="shared" ca="1" si="94"/>
        <v>466</v>
      </c>
      <c r="Q628">
        <f t="shared" ca="1" si="95"/>
        <v>1</v>
      </c>
      <c r="R628">
        <f t="shared" si="96"/>
        <v>5</v>
      </c>
      <c r="S628">
        <f t="shared" ca="1" si="97"/>
        <v>2</v>
      </c>
      <c r="T628" t="str">
        <f t="shared" ca="1" si="98"/>
        <v>152</v>
      </c>
      <c r="U628" t="str">
        <f t="shared" ca="1" si="99"/>
        <v>At Risk</v>
      </c>
    </row>
    <row r="629" spans="1:21">
      <c r="A629" s="17" t="str">
        <f>Cleaned_Data!A629</f>
        <v>MEM0628</v>
      </c>
      <c r="B629" s="18" t="str">
        <f ca="1">Cleaned_Data!D629</f>
        <v>BR07</v>
      </c>
      <c r="C629" s="18" t="str">
        <f ca="1">Cleaned_Data!E629</f>
        <v>Basic</v>
      </c>
      <c r="D629" s="19">
        <f>Cleaned_Data!F629</f>
        <v>45730</v>
      </c>
      <c r="E629" s="19">
        <f>Cleaned_Data!G629</f>
        <v>45760</v>
      </c>
      <c r="F629" s="18">
        <f>Cleaned_Data!H629</f>
        <v>3500</v>
      </c>
      <c r="G629" s="18">
        <f ca="1">Cleaned_Data!I629</f>
        <v>35000</v>
      </c>
      <c r="H629" s="18">
        <f>Cleaned_Data!J629</f>
        <v>3</v>
      </c>
      <c r="I629" s="18" t="str">
        <f>Cleaned_Data!M629</f>
        <v>Cancelled</v>
      </c>
      <c r="J629" s="20">
        <f>Cleaned_Data!N629</f>
        <v>46054</v>
      </c>
      <c r="K629" t="str">
        <f t="shared" si="90"/>
        <v>At Risk</v>
      </c>
      <c r="L629" s="5" t="str">
        <f>IF(COUNTIF($A$2:A629,A629)&gt;1,"Duplicate","Unique")</f>
        <v>Unique</v>
      </c>
      <c r="M629" t="str">
        <f t="shared" si="91"/>
        <v>2025-03</v>
      </c>
      <c r="N629" s="2">
        <f t="shared" ca="1" si="92"/>
        <v>46054</v>
      </c>
      <c r="O629" s="4">
        <f t="shared" ca="1" si="93"/>
        <v>10</v>
      </c>
      <c r="P629" s="4">
        <f t="shared" ca="1" si="94"/>
        <v>75</v>
      </c>
      <c r="Q629">
        <f t="shared" ca="1" si="95"/>
        <v>4</v>
      </c>
      <c r="R629">
        <f t="shared" si="96"/>
        <v>1</v>
      </c>
      <c r="S629">
        <f t="shared" ca="1" si="97"/>
        <v>5</v>
      </c>
      <c r="T629" t="str">
        <f t="shared" ca="1" si="98"/>
        <v>415</v>
      </c>
      <c r="U629" t="str">
        <f t="shared" ca="1" si="99"/>
        <v>Others</v>
      </c>
    </row>
    <row r="630" spans="1:21">
      <c r="A630" s="13" t="str">
        <f>Cleaned_Data!A630</f>
        <v>MEM0629</v>
      </c>
      <c r="B630" s="14" t="str">
        <f ca="1">Cleaned_Data!D630</f>
        <v>BR01</v>
      </c>
      <c r="C630" s="14" t="str">
        <f ca="1">Cleaned_Data!E630</f>
        <v>Basic</v>
      </c>
      <c r="D630" s="15">
        <f>Cleaned_Data!F630</f>
        <v>44948</v>
      </c>
      <c r="E630" s="15">
        <f>Cleaned_Data!G630</f>
        <v>44978</v>
      </c>
      <c r="F630" s="14">
        <f>Cleaned_Data!H630</f>
        <v>3500</v>
      </c>
      <c r="G630" s="14">
        <f ca="1">Cleaned_Data!I630</f>
        <v>35000</v>
      </c>
      <c r="H630" s="14">
        <f>Cleaned_Data!J630</f>
        <v>16</v>
      </c>
      <c r="I630" s="14" t="str">
        <f>Cleaned_Data!M630</f>
        <v>Active</v>
      </c>
      <c r="J630" s="16">
        <f>Cleaned_Data!N630</f>
        <v>45654</v>
      </c>
      <c r="K630" t="str">
        <f t="shared" si="90"/>
        <v>Highly Active</v>
      </c>
      <c r="L630" s="5" t="str">
        <f>IF(COUNTIF($A$2:A630,A630)&gt;1,"Duplicate","Unique")</f>
        <v>Unique</v>
      </c>
      <c r="M630" t="str">
        <f t="shared" si="91"/>
        <v>2023-01</v>
      </c>
      <c r="N630" s="2">
        <f t="shared" ca="1" si="92"/>
        <v>45654</v>
      </c>
      <c r="O630" s="4">
        <f t="shared" ca="1" si="93"/>
        <v>23</v>
      </c>
      <c r="P630" s="4">
        <f t="shared" ca="1" si="94"/>
        <v>475</v>
      </c>
      <c r="Q630">
        <f t="shared" ca="1" si="95"/>
        <v>1</v>
      </c>
      <c r="R630">
        <f t="shared" si="96"/>
        <v>4</v>
      </c>
      <c r="S630">
        <f t="shared" ca="1" si="97"/>
        <v>5</v>
      </c>
      <c r="T630" t="str">
        <f t="shared" ca="1" si="98"/>
        <v>145</v>
      </c>
      <c r="U630" t="str">
        <f t="shared" ca="1" si="99"/>
        <v>At Risk</v>
      </c>
    </row>
    <row r="631" spans="1:21">
      <c r="A631" s="17" t="str">
        <f>Cleaned_Data!A631</f>
        <v>MEM0630</v>
      </c>
      <c r="B631" s="18" t="str">
        <f ca="1">Cleaned_Data!D631</f>
        <v>BR05</v>
      </c>
      <c r="C631" s="18" t="str">
        <f ca="1">Cleaned_Data!E631</f>
        <v>Premium</v>
      </c>
      <c r="D631" s="19">
        <f>Cleaned_Data!F631</f>
        <v>45690</v>
      </c>
      <c r="E631" s="19">
        <f>Cleaned_Data!G631</f>
        <v>45720</v>
      </c>
      <c r="F631" s="18">
        <f>Cleaned_Data!H631</f>
        <v>2000</v>
      </c>
      <c r="G631" s="18">
        <f ca="1">Cleaned_Data!I631</f>
        <v>4000</v>
      </c>
      <c r="H631" s="18">
        <f>Cleaned_Data!J631</f>
        <v>22</v>
      </c>
      <c r="I631" s="18" t="str">
        <f>Cleaned_Data!M631</f>
        <v>Active</v>
      </c>
      <c r="J631" s="20">
        <f>Cleaned_Data!N631</f>
        <v>45943</v>
      </c>
      <c r="K631" t="str">
        <f t="shared" si="90"/>
        <v>Highly Active</v>
      </c>
      <c r="L631" s="5" t="str">
        <f>IF(COUNTIF($A$2:A631,A631)&gt;1,"Duplicate","Unique")</f>
        <v>Unique</v>
      </c>
      <c r="M631" t="str">
        <f t="shared" si="91"/>
        <v>2025-02</v>
      </c>
      <c r="N631" s="2">
        <f t="shared" ca="1" si="92"/>
        <v>45943</v>
      </c>
      <c r="O631" s="4">
        <f t="shared" ca="1" si="93"/>
        <v>8</v>
      </c>
      <c r="P631" s="4">
        <f t="shared" ca="1" si="94"/>
        <v>186</v>
      </c>
      <c r="Q631">
        <f t="shared" ca="1" si="95"/>
        <v>2</v>
      </c>
      <c r="R631">
        <f t="shared" si="96"/>
        <v>5</v>
      </c>
      <c r="S631">
        <f t="shared" ca="1" si="97"/>
        <v>2</v>
      </c>
      <c r="T631" t="str">
        <f t="shared" ca="1" si="98"/>
        <v>252</v>
      </c>
      <c r="U631" t="str">
        <f t="shared" ca="1" si="99"/>
        <v>At Risk</v>
      </c>
    </row>
    <row r="632" spans="1:21">
      <c r="A632" s="13" t="str">
        <f>Cleaned_Data!A632</f>
        <v>MEM0631</v>
      </c>
      <c r="B632" s="14" t="str">
        <f ca="1">Cleaned_Data!D632</f>
        <v>BR03</v>
      </c>
      <c r="C632" s="14" t="str">
        <f ca="1">Cleaned_Data!E632</f>
        <v>Basic</v>
      </c>
      <c r="D632" s="15">
        <f>Cleaned_Data!F632</f>
        <v>45887</v>
      </c>
      <c r="E632" s="15">
        <f>Cleaned_Data!G632</f>
        <v>45977</v>
      </c>
      <c r="F632" s="14">
        <f>Cleaned_Data!H632</f>
        <v>2000</v>
      </c>
      <c r="G632" s="14">
        <f ca="1">Cleaned_Data!I632</f>
        <v>8000</v>
      </c>
      <c r="H632" s="14">
        <f>Cleaned_Data!J632</f>
        <v>24</v>
      </c>
      <c r="I632" s="14" t="str">
        <f>Cleaned_Data!M632</f>
        <v>Active</v>
      </c>
      <c r="J632" s="16">
        <f>Cleaned_Data!N632</f>
        <v>46043</v>
      </c>
      <c r="K632" t="str">
        <f t="shared" si="90"/>
        <v>Highly Active</v>
      </c>
      <c r="L632" s="5" t="str">
        <f>IF(COUNTIF($A$2:A632,A632)&gt;1,"Duplicate","Unique")</f>
        <v>Unique</v>
      </c>
      <c r="M632" t="str">
        <f t="shared" si="91"/>
        <v>2025-08</v>
      </c>
      <c r="N632" s="2">
        <f t="shared" ca="1" si="92"/>
        <v>46043</v>
      </c>
      <c r="O632" s="4">
        <f t="shared" ca="1" si="93"/>
        <v>5</v>
      </c>
      <c r="P632" s="4">
        <f t="shared" ca="1" si="94"/>
        <v>86</v>
      </c>
      <c r="Q632">
        <f t="shared" ca="1" si="95"/>
        <v>4</v>
      </c>
      <c r="R632">
        <f t="shared" si="96"/>
        <v>5</v>
      </c>
      <c r="S632">
        <f t="shared" ca="1" si="97"/>
        <v>3</v>
      </c>
      <c r="T632" t="str">
        <f t="shared" ca="1" si="98"/>
        <v>453</v>
      </c>
      <c r="U632" t="str">
        <f t="shared" ca="1" si="99"/>
        <v>Loyal</v>
      </c>
    </row>
    <row r="633" spans="1:21">
      <c r="A633" s="17" t="str">
        <f>Cleaned_Data!A633</f>
        <v>MEM0632</v>
      </c>
      <c r="B633" s="18" t="str">
        <f ca="1">Cleaned_Data!D633</f>
        <v>BR07</v>
      </c>
      <c r="C633" s="18" t="str">
        <f ca="1">Cleaned_Data!E633</f>
        <v>Premium</v>
      </c>
      <c r="D633" s="19">
        <f>Cleaned_Data!F633</f>
        <v>45381</v>
      </c>
      <c r="E633" s="19">
        <f>Cleaned_Data!G633</f>
        <v>45471</v>
      </c>
      <c r="F633" s="18">
        <f>Cleaned_Data!H633</f>
        <v>2000</v>
      </c>
      <c r="G633" s="18">
        <f ca="1">Cleaned_Data!I633</f>
        <v>18000</v>
      </c>
      <c r="H633" s="18">
        <f>Cleaned_Data!J633</f>
        <v>8</v>
      </c>
      <c r="I633" s="18" t="str">
        <f>Cleaned_Data!M633</f>
        <v>Active</v>
      </c>
      <c r="J633" s="20">
        <f>Cleaned_Data!N633</f>
        <v>45511</v>
      </c>
      <c r="K633" t="str">
        <f t="shared" si="90"/>
        <v>Moderate</v>
      </c>
      <c r="L633" s="5" t="str">
        <f>IF(COUNTIF($A$2:A633,A633)&gt;1,"Duplicate","Unique")</f>
        <v>Unique</v>
      </c>
      <c r="M633" t="str">
        <f t="shared" si="91"/>
        <v>2024-03</v>
      </c>
      <c r="N633" s="2">
        <f t="shared" ca="1" si="92"/>
        <v>45511</v>
      </c>
      <c r="O633" s="4">
        <f t="shared" ca="1" si="93"/>
        <v>4</v>
      </c>
      <c r="P633" s="4">
        <f t="shared" ca="1" si="94"/>
        <v>618</v>
      </c>
      <c r="Q633">
        <f t="shared" ca="1" si="95"/>
        <v>1</v>
      </c>
      <c r="R633">
        <f t="shared" si="96"/>
        <v>2</v>
      </c>
      <c r="S633">
        <f t="shared" ca="1" si="97"/>
        <v>4</v>
      </c>
      <c r="T633" t="str">
        <f t="shared" ca="1" si="98"/>
        <v>124</v>
      </c>
      <c r="U633" t="str">
        <f t="shared" ca="1" si="99"/>
        <v>At Risk</v>
      </c>
    </row>
    <row r="634" spans="1:21">
      <c r="A634" s="13" t="str">
        <f>Cleaned_Data!A634</f>
        <v>MEM0633</v>
      </c>
      <c r="B634" s="14" t="str">
        <f ca="1">Cleaned_Data!D634</f>
        <v>BR04</v>
      </c>
      <c r="C634" s="14" t="str">
        <f ca="1">Cleaned_Data!E634</f>
        <v>Premium</v>
      </c>
      <c r="D634" s="15">
        <f>Cleaned_Data!F634</f>
        <v>44950</v>
      </c>
      <c r="E634" s="15">
        <f>Cleaned_Data!G634</f>
        <v>45315</v>
      </c>
      <c r="F634" s="14">
        <f>Cleaned_Data!H634</f>
        <v>3500</v>
      </c>
      <c r="G634" s="14">
        <f ca="1">Cleaned_Data!I634</f>
        <v>21000</v>
      </c>
      <c r="H634" s="14">
        <f>Cleaned_Data!J634</f>
        <v>3</v>
      </c>
      <c r="I634" s="14" t="str">
        <f>Cleaned_Data!M634</f>
        <v>Active</v>
      </c>
      <c r="J634" s="16">
        <f>Cleaned_Data!N634</f>
        <v>45727</v>
      </c>
      <c r="K634" t="str">
        <f t="shared" si="90"/>
        <v>At Risk</v>
      </c>
      <c r="L634" s="5" t="str">
        <f>IF(COUNTIF($A$2:A634,A634)&gt;1,"Duplicate","Unique")</f>
        <v>Unique</v>
      </c>
      <c r="M634" t="str">
        <f t="shared" si="91"/>
        <v>2023-01</v>
      </c>
      <c r="N634" s="2">
        <f t="shared" ca="1" si="92"/>
        <v>45727</v>
      </c>
      <c r="O634" s="4">
        <f t="shared" ca="1" si="93"/>
        <v>25</v>
      </c>
      <c r="P634" s="4">
        <f t="shared" ca="1" si="94"/>
        <v>402</v>
      </c>
      <c r="Q634">
        <f t="shared" ca="1" si="95"/>
        <v>1</v>
      </c>
      <c r="R634">
        <f t="shared" si="96"/>
        <v>1</v>
      </c>
      <c r="S634">
        <f t="shared" ca="1" si="97"/>
        <v>5</v>
      </c>
      <c r="T634" t="str">
        <f t="shared" ca="1" si="98"/>
        <v>115</v>
      </c>
      <c r="U634" t="str">
        <f t="shared" ca="1" si="99"/>
        <v>At Risk</v>
      </c>
    </row>
    <row r="635" spans="1:21">
      <c r="A635" s="17" t="str">
        <f>Cleaned_Data!A635</f>
        <v>MEM0634</v>
      </c>
      <c r="B635" s="18" t="str">
        <f ca="1">Cleaned_Data!D635</f>
        <v>BR04</v>
      </c>
      <c r="C635" s="18" t="str">
        <f ca="1">Cleaned_Data!E635</f>
        <v>Premium</v>
      </c>
      <c r="D635" s="19">
        <f>Cleaned_Data!F635</f>
        <v>45977</v>
      </c>
      <c r="E635" s="19">
        <f>Cleaned_Data!G635</f>
        <v>46007</v>
      </c>
      <c r="F635" s="18">
        <f>Cleaned_Data!H635</f>
        <v>3500</v>
      </c>
      <c r="G635" s="18">
        <f ca="1">Cleaned_Data!I635</f>
        <v>17500</v>
      </c>
      <c r="H635" s="18">
        <f>Cleaned_Data!J635</f>
        <v>24</v>
      </c>
      <c r="I635" s="18" t="str">
        <f>Cleaned_Data!M635</f>
        <v>Active</v>
      </c>
      <c r="J635" s="20">
        <f>Cleaned_Data!N635</f>
        <v>46082</v>
      </c>
      <c r="K635" t="str">
        <f t="shared" si="90"/>
        <v>Highly Active</v>
      </c>
      <c r="L635" s="5" t="str">
        <f>IF(COUNTIF($A$2:A635,A635)&gt;1,"Duplicate","Unique")</f>
        <v>Unique</v>
      </c>
      <c r="M635" t="str">
        <f t="shared" si="91"/>
        <v>2025-11</v>
      </c>
      <c r="N635" s="2">
        <f t="shared" ca="1" si="92"/>
        <v>46082</v>
      </c>
      <c r="O635" s="4">
        <f t="shared" ca="1" si="93"/>
        <v>3</v>
      </c>
      <c r="P635" s="4">
        <f t="shared" ca="1" si="94"/>
        <v>47</v>
      </c>
      <c r="Q635">
        <f t="shared" ca="1" si="95"/>
        <v>4</v>
      </c>
      <c r="R635">
        <f t="shared" si="96"/>
        <v>5</v>
      </c>
      <c r="S635">
        <f t="shared" ca="1" si="97"/>
        <v>4</v>
      </c>
      <c r="T635" t="str">
        <f t="shared" ca="1" si="98"/>
        <v>454</v>
      </c>
      <c r="U635" t="str">
        <f t="shared" ca="1" si="99"/>
        <v>Champion</v>
      </c>
    </row>
    <row r="636" spans="1:21">
      <c r="A636" s="13" t="str">
        <f>Cleaned_Data!A636</f>
        <v>MEM0635</v>
      </c>
      <c r="B636" s="14" t="str">
        <f ca="1">Cleaned_Data!D636</f>
        <v>BR05</v>
      </c>
      <c r="C636" s="14" t="str">
        <f ca="1">Cleaned_Data!E636</f>
        <v>Premium</v>
      </c>
      <c r="D636" s="15">
        <f>Cleaned_Data!F636</f>
        <v>45928</v>
      </c>
      <c r="E636" s="15">
        <f>Cleaned_Data!G636</f>
        <v>45958</v>
      </c>
      <c r="F636" s="14">
        <f>Cleaned_Data!H636</f>
        <v>1000</v>
      </c>
      <c r="G636" s="14">
        <f ca="1">Cleaned_Data!I636</f>
        <v>1000</v>
      </c>
      <c r="H636" s="14">
        <f>Cleaned_Data!J636</f>
        <v>14</v>
      </c>
      <c r="I636" s="14" t="str">
        <f>Cleaned_Data!M636</f>
        <v>Active</v>
      </c>
      <c r="J636" s="16">
        <f>Cleaned_Data!N636</f>
        <v>45945</v>
      </c>
      <c r="K636" t="str">
        <f t="shared" si="90"/>
        <v>Moderate</v>
      </c>
      <c r="L636" s="5" t="str">
        <f>IF(COUNTIF($A$2:A636,A636)&gt;1,"Duplicate","Unique")</f>
        <v>Unique</v>
      </c>
      <c r="M636" t="str">
        <f t="shared" si="91"/>
        <v>2025-09</v>
      </c>
      <c r="N636" s="2">
        <f t="shared" ca="1" si="92"/>
        <v>45945</v>
      </c>
      <c r="O636" s="4">
        <f t="shared" ca="1" si="93"/>
        <v>0</v>
      </c>
      <c r="P636" s="4">
        <f t="shared" ca="1" si="94"/>
        <v>184</v>
      </c>
      <c r="Q636">
        <f t="shared" ca="1" si="95"/>
        <v>2</v>
      </c>
      <c r="R636">
        <f t="shared" si="96"/>
        <v>3</v>
      </c>
      <c r="S636">
        <f t="shared" ca="1" si="97"/>
        <v>1</v>
      </c>
      <c r="T636" t="str">
        <f t="shared" ca="1" si="98"/>
        <v>231</v>
      </c>
      <c r="U636" t="str">
        <f t="shared" ca="1" si="99"/>
        <v>At Risk</v>
      </c>
    </row>
    <row r="637" spans="1:21">
      <c r="A637" s="17" t="str">
        <f>Cleaned_Data!A637</f>
        <v>MEM0636</v>
      </c>
      <c r="B637" s="18" t="str">
        <f ca="1">Cleaned_Data!D637</f>
        <v>BR07</v>
      </c>
      <c r="C637" s="18" t="str">
        <f ca="1">Cleaned_Data!E637</f>
        <v>Basic</v>
      </c>
      <c r="D637" s="19">
        <f>Cleaned_Data!F637</f>
        <v>45176</v>
      </c>
      <c r="E637" s="19">
        <f>Cleaned_Data!G637</f>
        <v>45206</v>
      </c>
      <c r="F637" s="18">
        <f>Cleaned_Data!H637</f>
        <v>1000</v>
      </c>
      <c r="G637" s="18">
        <f ca="1">Cleaned_Data!I637</f>
        <v>6000</v>
      </c>
      <c r="H637" s="18">
        <f>Cleaned_Data!J637</f>
        <v>19</v>
      </c>
      <c r="I637" s="18" t="str">
        <f>Cleaned_Data!M637</f>
        <v>Active</v>
      </c>
      <c r="J637" s="20">
        <f>Cleaned_Data!N637</f>
        <v>45820</v>
      </c>
      <c r="K637" t="str">
        <f t="shared" si="90"/>
        <v>Highly Active</v>
      </c>
      <c r="L637" s="5" t="str">
        <f>IF(COUNTIF($A$2:A637,A637)&gt;1,"Duplicate","Unique")</f>
        <v>Unique</v>
      </c>
      <c r="M637" t="str">
        <f t="shared" si="91"/>
        <v>2023-09</v>
      </c>
      <c r="N637" s="2">
        <f t="shared" ca="1" si="92"/>
        <v>45820</v>
      </c>
      <c r="O637" s="4">
        <f t="shared" ca="1" si="93"/>
        <v>21</v>
      </c>
      <c r="P637" s="4">
        <f t="shared" ca="1" si="94"/>
        <v>309</v>
      </c>
      <c r="Q637">
        <f t="shared" ca="1" si="95"/>
        <v>2</v>
      </c>
      <c r="R637">
        <f t="shared" si="96"/>
        <v>4</v>
      </c>
      <c r="S637">
        <f t="shared" ca="1" si="97"/>
        <v>3</v>
      </c>
      <c r="T637" t="str">
        <f t="shared" ca="1" si="98"/>
        <v>243</v>
      </c>
      <c r="U637" t="str">
        <f t="shared" ca="1" si="99"/>
        <v>At Risk</v>
      </c>
    </row>
    <row r="638" spans="1:21">
      <c r="A638" s="13" t="str">
        <f>Cleaned_Data!A638</f>
        <v>MEM0637</v>
      </c>
      <c r="B638" s="14" t="str">
        <f ca="1">Cleaned_Data!D638</f>
        <v>BR06</v>
      </c>
      <c r="C638" s="14" t="str">
        <f ca="1">Cleaned_Data!E638</f>
        <v>Standard</v>
      </c>
      <c r="D638" s="15">
        <f>Cleaned_Data!F638</f>
        <v>45711</v>
      </c>
      <c r="E638" s="15">
        <f>Cleaned_Data!G638</f>
        <v>45801</v>
      </c>
      <c r="F638" s="14">
        <f>Cleaned_Data!H638</f>
        <v>3500</v>
      </c>
      <c r="G638" s="14">
        <f ca="1">Cleaned_Data!I638</f>
        <v>21000</v>
      </c>
      <c r="H638" s="14">
        <f>Cleaned_Data!J638</f>
        <v>8</v>
      </c>
      <c r="I638" s="14" t="str">
        <f>Cleaned_Data!M638</f>
        <v>Active</v>
      </c>
      <c r="J638" s="16">
        <f>Cleaned_Data!N638</f>
        <v>45922</v>
      </c>
      <c r="K638" t="str">
        <f t="shared" si="90"/>
        <v>Moderate</v>
      </c>
      <c r="L638" s="5" t="str">
        <f>IF(COUNTIF($A$2:A638,A638)&gt;1,"Duplicate","Unique")</f>
        <v>Unique</v>
      </c>
      <c r="M638" t="str">
        <f t="shared" si="91"/>
        <v>2025-02</v>
      </c>
      <c r="N638" s="2">
        <f t="shared" ca="1" si="92"/>
        <v>45922</v>
      </c>
      <c r="O638" s="4">
        <f t="shared" ca="1" si="93"/>
        <v>6</v>
      </c>
      <c r="P638" s="4">
        <f t="shared" ca="1" si="94"/>
        <v>207</v>
      </c>
      <c r="Q638">
        <f t="shared" ca="1" si="95"/>
        <v>2</v>
      </c>
      <c r="R638">
        <f t="shared" si="96"/>
        <v>2</v>
      </c>
      <c r="S638">
        <f t="shared" ca="1" si="97"/>
        <v>5</v>
      </c>
      <c r="T638" t="str">
        <f t="shared" ca="1" si="98"/>
        <v>225</v>
      </c>
      <c r="U638" t="str">
        <f t="shared" ca="1" si="99"/>
        <v>At Risk</v>
      </c>
    </row>
    <row r="639" spans="1:21">
      <c r="A639" s="17" t="str">
        <f>Cleaned_Data!A639</f>
        <v>MEM0638</v>
      </c>
      <c r="B639" s="18" t="str">
        <f ca="1">Cleaned_Data!D639</f>
        <v>BR05</v>
      </c>
      <c r="C639" s="18" t="str">
        <f ca="1">Cleaned_Data!E639</f>
        <v>Standard</v>
      </c>
      <c r="D639" s="19">
        <f>Cleaned_Data!F639</f>
        <v>45339</v>
      </c>
      <c r="E639" s="19">
        <f>Cleaned_Data!G639</f>
        <v>45429</v>
      </c>
      <c r="F639" s="18">
        <f>Cleaned_Data!H639</f>
        <v>2000</v>
      </c>
      <c r="G639" s="18">
        <f ca="1">Cleaned_Data!I639</f>
        <v>22000</v>
      </c>
      <c r="H639" s="18">
        <f>Cleaned_Data!J639</f>
        <v>5</v>
      </c>
      <c r="I639" s="18" t="str">
        <f>Cleaned_Data!M639</f>
        <v>Active</v>
      </c>
      <c r="J639" s="20">
        <f>Cleaned_Data!N639</f>
        <v>45971</v>
      </c>
      <c r="K639" t="str">
        <f t="shared" si="90"/>
        <v>Moderate</v>
      </c>
      <c r="L639" s="5" t="str">
        <f>IF(COUNTIF($A$2:A639,A639)&gt;1,"Duplicate","Unique")</f>
        <v>Unique</v>
      </c>
      <c r="M639" t="str">
        <f t="shared" si="91"/>
        <v>2024-02</v>
      </c>
      <c r="N639" s="2">
        <f t="shared" ca="1" si="92"/>
        <v>45971</v>
      </c>
      <c r="O639" s="4">
        <f t="shared" ca="1" si="93"/>
        <v>20</v>
      </c>
      <c r="P639" s="4">
        <f t="shared" ca="1" si="94"/>
        <v>158</v>
      </c>
      <c r="Q639">
        <f t="shared" ca="1" si="95"/>
        <v>3</v>
      </c>
      <c r="R639">
        <f t="shared" si="96"/>
        <v>2</v>
      </c>
      <c r="S639">
        <f t="shared" ca="1" si="97"/>
        <v>5</v>
      </c>
      <c r="T639" t="str">
        <f t="shared" ca="1" si="98"/>
        <v>325</v>
      </c>
      <c r="U639" t="str">
        <f t="shared" ca="1" si="99"/>
        <v>Others</v>
      </c>
    </row>
    <row r="640" spans="1:21">
      <c r="A640" s="13" t="str">
        <f>Cleaned_Data!A640</f>
        <v>MEM0639</v>
      </c>
      <c r="B640" s="14" t="str">
        <f ca="1">Cleaned_Data!D640</f>
        <v>BR03</v>
      </c>
      <c r="C640" s="14" t="str">
        <f ca="1">Cleaned_Data!E640</f>
        <v>Standard</v>
      </c>
      <c r="D640" s="15">
        <f>Cleaned_Data!F640</f>
        <v>45267</v>
      </c>
      <c r="E640" s="15">
        <f>Cleaned_Data!G640</f>
        <v>45357</v>
      </c>
      <c r="F640" s="14">
        <f>Cleaned_Data!H640</f>
        <v>3500</v>
      </c>
      <c r="G640" s="14">
        <f ca="1">Cleaned_Data!I640</f>
        <v>28000</v>
      </c>
      <c r="H640" s="14">
        <f>Cleaned_Data!J640</f>
        <v>14</v>
      </c>
      <c r="I640" s="14" t="str">
        <f>Cleaned_Data!M640</f>
        <v>Active</v>
      </c>
      <c r="J640" s="16">
        <f>Cleaned_Data!N640</f>
        <v>45626</v>
      </c>
      <c r="K640" t="str">
        <f t="shared" si="90"/>
        <v>Moderate</v>
      </c>
      <c r="L640" s="5" t="str">
        <f>IF(COUNTIF($A$2:A640,A640)&gt;1,"Duplicate","Unique")</f>
        <v>Unique</v>
      </c>
      <c r="M640" t="str">
        <f t="shared" si="91"/>
        <v>2023-12</v>
      </c>
      <c r="N640" s="2">
        <f t="shared" ca="1" si="92"/>
        <v>45626</v>
      </c>
      <c r="O640" s="4">
        <f t="shared" ca="1" si="93"/>
        <v>11</v>
      </c>
      <c r="P640" s="4">
        <f t="shared" ca="1" si="94"/>
        <v>503</v>
      </c>
      <c r="Q640">
        <f t="shared" ca="1" si="95"/>
        <v>1</v>
      </c>
      <c r="R640">
        <f t="shared" si="96"/>
        <v>3</v>
      </c>
      <c r="S640">
        <f t="shared" ca="1" si="97"/>
        <v>5</v>
      </c>
      <c r="T640" t="str">
        <f t="shared" ca="1" si="98"/>
        <v>135</v>
      </c>
      <c r="U640" t="str">
        <f t="shared" ca="1" si="99"/>
        <v>At Risk</v>
      </c>
    </row>
    <row r="641" spans="1:21">
      <c r="A641" s="17" t="str">
        <f>Cleaned_Data!A641</f>
        <v>MEM0640</v>
      </c>
      <c r="B641" s="18" t="str">
        <f ca="1">Cleaned_Data!D641</f>
        <v>BR04</v>
      </c>
      <c r="C641" s="18" t="str">
        <f ca="1">Cleaned_Data!E641</f>
        <v>Premium</v>
      </c>
      <c r="D641" s="19">
        <f>Cleaned_Data!F641</f>
        <v>45401</v>
      </c>
      <c r="E641" s="19">
        <f>Cleaned_Data!G641</f>
        <v>45491</v>
      </c>
      <c r="F641" s="18">
        <f>Cleaned_Data!H641</f>
        <v>1000</v>
      </c>
      <c r="G641" s="18">
        <f ca="1">Cleaned_Data!I641</f>
        <v>9000</v>
      </c>
      <c r="H641" s="18">
        <f>Cleaned_Data!J641</f>
        <v>25</v>
      </c>
      <c r="I641" s="18" t="str">
        <f>Cleaned_Data!M641</f>
        <v>Active</v>
      </c>
      <c r="J641" s="20">
        <f>Cleaned_Data!N641</f>
        <v>46098</v>
      </c>
      <c r="K641" t="str">
        <f t="shared" si="90"/>
        <v>Highly Active</v>
      </c>
      <c r="L641" s="5" t="str">
        <f>IF(COUNTIF($A$2:A641,A641)&gt;1,"Duplicate","Unique")</f>
        <v>Unique</v>
      </c>
      <c r="M641" t="str">
        <f t="shared" si="91"/>
        <v>2024-04</v>
      </c>
      <c r="N641" s="2">
        <f t="shared" ca="1" si="92"/>
        <v>46098</v>
      </c>
      <c r="O641" s="4">
        <f t="shared" ca="1" si="93"/>
        <v>22</v>
      </c>
      <c r="P641" s="4">
        <f t="shared" ca="1" si="94"/>
        <v>31</v>
      </c>
      <c r="Q641">
        <f t="shared" ca="1" si="95"/>
        <v>4</v>
      </c>
      <c r="R641">
        <f t="shared" si="96"/>
        <v>5</v>
      </c>
      <c r="S641">
        <f t="shared" ca="1" si="97"/>
        <v>3</v>
      </c>
      <c r="T641" t="str">
        <f t="shared" ca="1" si="98"/>
        <v>453</v>
      </c>
      <c r="U641" t="str">
        <f t="shared" ca="1" si="99"/>
        <v>Loyal</v>
      </c>
    </row>
    <row r="642" spans="1:21">
      <c r="A642" s="13" t="str">
        <f>Cleaned_Data!A642</f>
        <v>MEM0641</v>
      </c>
      <c r="B642" s="14" t="str">
        <f ca="1">Cleaned_Data!D642</f>
        <v>BR01</v>
      </c>
      <c r="C642" s="14" t="str">
        <f ca="1">Cleaned_Data!E642</f>
        <v>Standard</v>
      </c>
      <c r="D642" s="15">
        <f>Cleaned_Data!F642</f>
        <v>45141</v>
      </c>
      <c r="E642" s="15">
        <f>Cleaned_Data!G642</f>
        <v>45171</v>
      </c>
      <c r="F642" s="14">
        <f>Cleaned_Data!H642</f>
        <v>3500</v>
      </c>
      <c r="G642" s="14">
        <f ca="1">Cleaned_Data!I642</f>
        <v>42000</v>
      </c>
      <c r="H642" s="14">
        <f>Cleaned_Data!J642</f>
        <v>1</v>
      </c>
      <c r="I642" s="14" t="str">
        <f>Cleaned_Data!M642</f>
        <v>Cancelled</v>
      </c>
      <c r="J642" s="16">
        <f>Cleaned_Data!N642</f>
        <v>46115</v>
      </c>
      <c r="K642" t="str">
        <f t="shared" si="90"/>
        <v>At Risk</v>
      </c>
      <c r="L642" s="5" t="str">
        <f>IF(COUNTIF($A$2:A642,A642)&gt;1,"Duplicate","Unique")</f>
        <v>Unique</v>
      </c>
      <c r="M642" t="str">
        <f t="shared" si="91"/>
        <v>2023-08</v>
      </c>
      <c r="N642" s="2">
        <f t="shared" ca="1" si="92"/>
        <v>46115</v>
      </c>
      <c r="O642" s="4">
        <f t="shared" ca="1" si="93"/>
        <v>32</v>
      </c>
      <c r="P642" s="4">
        <f t="shared" ca="1" si="94"/>
        <v>14</v>
      </c>
      <c r="Q642">
        <f t="shared" ca="1" si="95"/>
        <v>5</v>
      </c>
      <c r="R642">
        <f t="shared" si="96"/>
        <v>1</v>
      </c>
      <c r="S642">
        <f t="shared" ca="1" si="97"/>
        <v>5</v>
      </c>
      <c r="T642" t="str">
        <f t="shared" ca="1" si="98"/>
        <v>515</v>
      </c>
      <c r="U642" t="str">
        <f t="shared" ca="1" si="99"/>
        <v>Others</v>
      </c>
    </row>
    <row r="643" spans="1:21">
      <c r="A643" s="17" t="str">
        <f>Cleaned_Data!A643</f>
        <v>MEM0642</v>
      </c>
      <c r="B643" s="18" t="str">
        <f ca="1">Cleaned_Data!D643</f>
        <v>BR07</v>
      </c>
      <c r="C643" s="18" t="str">
        <f ca="1">Cleaned_Data!E643</f>
        <v>Premium</v>
      </c>
      <c r="D643" s="19">
        <f>Cleaned_Data!F643</f>
        <v>45880</v>
      </c>
      <c r="E643" s="19">
        <f>Cleaned_Data!G643</f>
        <v>45910</v>
      </c>
      <c r="F643" s="18">
        <f>Cleaned_Data!H643</f>
        <v>1000</v>
      </c>
      <c r="G643" s="18">
        <f ca="1">Cleaned_Data!I643</f>
        <v>2000</v>
      </c>
      <c r="H643" s="18">
        <f>Cleaned_Data!J643</f>
        <v>2</v>
      </c>
      <c r="I643" s="18" t="str">
        <f>Cleaned_Data!M643</f>
        <v>Active</v>
      </c>
      <c r="J643" s="20">
        <f>Cleaned_Data!N643</f>
        <v>45900</v>
      </c>
      <c r="K643" t="str">
        <f t="shared" ref="K643:K706" si="100">IF(H643&lt;5,"At Risk",
 IF(H643&lt;15,"Moderate",
 "Highly Active"))</f>
        <v>At Risk</v>
      </c>
      <c r="L643" s="5" t="str">
        <f>IF(COUNTIF($A$2:A643,A643)&gt;1,"Duplicate","Unique")</f>
        <v>Unique</v>
      </c>
      <c r="M643" t="str">
        <f t="shared" ref="M643:M706" si="101">TEXT(D643,"YYYY-MM")</f>
        <v>2025-08</v>
      </c>
      <c r="N643" s="2">
        <f t="shared" ref="N643:N706" ca="1" si="102">IF(J643&lt;&gt;"",
    J643,
    IF(I643="Active", TODAY(), E643)
)</f>
        <v>45900</v>
      </c>
      <c r="O643" s="4">
        <f t="shared" ref="O643:O706" ca="1" si="103">IFERROR(
   IF(N643&gt;=D643,
      DATEDIF(D643, N643, "M"),
      0
   ),
   0
)</f>
        <v>0</v>
      </c>
      <c r="P643" s="4">
        <f t="shared" ref="P643:P706" ca="1" si="104">TODAY() - N643</f>
        <v>229</v>
      </c>
      <c r="Q643">
        <f t="shared" ref="Q643:Q706" ca="1" si="105">IF(P643&lt;=30,5,
 IF(P643&lt;=90,4,
 IF(P643&lt;=180,3,
 IF(P643&lt;=365,2,1))))</f>
        <v>2</v>
      </c>
      <c r="R643">
        <f t="shared" ref="R643:R706" si="106">IF(H643&gt;=20,5,
 IF(H643&gt;=15,4,
 IF(H643&gt;=10,3,
 IF(H643&gt;=5,2,1))))</f>
        <v>1</v>
      </c>
      <c r="S643">
        <f t="shared" ref="S643:S706" ca="1" si="107">IF(G643&gt;=20000,5,
 IF(G643&gt;=10000,4,
 IF(G643&gt;=5000,3,
 IF(G643&gt;=2000,2,1))))</f>
        <v>2</v>
      </c>
      <c r="T643" t="str">
        <f t="shared" ref="T643:T706" ca="1" si="108">Q643 &amp; R643 &amp; S643</f>
        <v>212</v>
      </c>
      <c r="U643" t="str">
        <f t="shared" ref="U643:U706" ca="1" si="109">IF(AND(Q643&gt;=4,R643&gt;=4,S643&gt;=4),"Champion",
 IF(AND(Q643&gt;=3,R643&gt;=3,S643&gt;=3),"Loyal",
 IF(Q643&lt;=2,"At Risk",
 "Others")))</f>
        <v>At Risk</v>
      </c>
    </row>
    <row r="644" spans="1:21">
      <c r="A644" s="13" t="str">
        <f>Cleaned_Data!A644</f>
        <v>MEM0643</v>
      </c>
      <c r="B644" s="14" t="str">
        <f ca="1">Cleaned_Data!D644</f>
        <v>BR01</v>
      </c>
      <c r="C644" s="14" t="str">
        <f ca="1">Cleaned_Data!E644</f>
        <v>Premium</v>
      </c>
      <c r="D644" s="15">
        <f>Cleaned_Data!F644</f>
        <v>45886</v>
      </c>
      <c r="E644" s="15">
        <f>Cleaned_Data!G644</f>
        <v>46251</v>
      </c>
      <c r="F644" s="14">
        <f>Cleaned_Data!H644</f>
        <v>1000</v>
      </c>
      <c r="G644" s="14">
        <f ca="1">Cleaned_Data!I644</f>
        <v>12000</v>
      </c>
      <c r="H644" s="14">
        <f>Cleaned_Data!J644</f>
        <v>21</v>
      </c>
      <c r="I644" s="14" t="str">
        <f>Cleaned_Data!M644</f>
        <v>Active</v>
      </c>
      <c r="J644" s="16">
        <f>Cleaned_Data!N644</f>
        <v>45955</v>
      </c>
      <c r="K644" t="str">
        <f t="shared" si="100"/>
        <v>Highly Active</v>
      </c>
      <c r="L644" s="5" t="str">
        <f>IF(COUNTIF($A$2:A644,A644)&gt;1,"Duplicate","Unique")</f>
        <v>Unique</v>
      </c>
      <c r="M644" t="str">
        <f t="shared" si="101"/>
        <v>2025-08</v>
      </c>
      <c r="N644" s="2">
        <f t="shared" ca="1" si="102"/>
        <v>45955</v>
      </c>
      <c r="O644" s="4">
        <f t="shared" ca="1" si="103"/>
        <v>2</v>
      </c>
      <c r="P644" s="4">
        <f t="shared" ca="1" si="104"/>
        <v>174</v>
      </c>
      <c r="Q644">
        <f t="shared" ca="1" si="105"/>
        <v>3</v>
      </c>
      <c r="R644">
        <f t="shared" si="106"/>
        <v>5</v>
      </c>
      <c r="S644">
        <f t="shared" ca="1" si="107"/>
        <v>4</v>
      </c>
      <c r="T644" t="str">
        <f t="shared" ca="1" si="108"/>
        <v>354</v>
      </c>
      <c r="U644" t="str">
        <f t="shared" ca="1" si="109"/>
        <v>Loyal</v>
      </c>
    </row>
    <row r="645" spans="1:21">
      <c r="A645" s="17" t="str">
        <f>Cleaned_Data!A645</f>
        <v>MEM0644</v>
      </c>
      <c r="B645" s="18" t="str">
        <f ca="1">Cleaned_Data!D645</f>
        <v>BR01</v>
      </c>
      <c r="C645" s="18" t="str">
        <f ca="1">Cleaned_Data!E645</f>
        <v>Premium</v>
      </c>
      <c r="D645" s="19">
        <f>Cleaned_Data!F645</f>
        <v>45759</v>
      </c>
      <c r="E645" s="19">
        <f>Cleaned_Data!G645</f>
        <v>45849</v>
      </c>
      <c r="F645" s="18">
        <f>Cleaned_Data!H645</f>
        <v>1000</v>
      </c>
      <c r="G645" s="18">
        <f ca="1">Cleaned_Data!I645</f>
        <v>8000</v>
      </c>
      <c r="H645" s="18">
        <f>Cleaned_Data!J645</f>
        <v>17</v>
      </c>
      <c r="I645" s="18" t="str">
        <f>Cleaned_Data!M645</f>
        <v>Active</v>
      </c>
      <c r="J645" s="20">
        <f>Cleaned_Data!N645</f>
        <v>45766</v>
      </c>
      <c r="K645" t="str">
        <f t="shared" si="100"/>
        <v>Highly Active</v>
      </c>
      <c r="L645" s="5" t="str">
        <f>IF(COUNTIF($A$2:A645,A645)&gt;1,"Duplicate","Unique")</f>
        <v>Unique</v>
      </c>
      <c r="M645" t="str">
        <f t="shared" si="101"/>
        <v>2025-04</v>
      </c>
      <c r="N645" s="2">
        <f t="shared" ca="1" si="102"/>
        <v>45766</v>
      </c>
      <c r="O645" s="4">
        <f t="shared" ca="1" si="103"/>
        <v>0</v>
      </c>
      <c r="P645" s="4">
        <f t="shared" ca="1" si="104"/>
        <v>363</v>
      </c>
      <c r="Q645">
        <f t="shared" ca="1" si="105"/>
        <v>2</v>
      </c>
      <c r="R645">
        <f t="shared" si="106"/>
        <v>4</v>
      </c>
      <c r="S645">
        <f t="shared" ca="1" si="107"/>
        <v>3</v>
      </c>
      <c r="T645" t="str">
        <f t="shared" ca="1" si="108"/>
        <v>243</v>
      </c>
      <c r="U645" t="str">
        <f t="shared" ca="1" si="109"/>
        <v>At Risk</v>
      </c>
    </row>
    <row r="646" spans="1:21">
      <c r="A646" s="13" t="str">
        <f>Cleaned_Data!A646</f>
        <v>MEM0645</v>
      </c>
      <c r="B646" s="14" t="str">
        <f ca="1">Cleaned_Data!D646</f>
        <v>BR05</v>
      </c>
      <c r="C646" s="14" t="str">
        <f ca="1">Cleaned_Data!E646</f>
        <v>Premium</v>
      </c>
      <c r="D646" s="15">
        <f>Cleaned_Data!F646</f>
        <v>45618</v>
      </c>
      <c r="E646" s="15">
        <f>Cleaned_Data!G646</f>
        <v>45708</v>
      </c>
      <c r="F646" s="14">
        <f>Cleaned_Data!H646</f>
        <v>2000</v>
      </c>
      <c r="G646" s="14">
        <f ca="1">Cleaned_Data!I646</f>
        <v>10000</v>
      </c>
      <c r="H646" s="14">
        <f>Cleaned_Data!J646</f>
        <v>13</v>
      </c>
      <c r="I646" s="14" t="str">
        <f>Cleaned_Data!M646</f>
        <v>Active</v>
      </c>
      <c r="J646" s="16">
        <f>Cleaned_Data!N646</f>
        <v>46073</v>
      </c>
      <c r="K646" t="str">
        <f t="shared" si="100"/>
        <v>Moderate</v>
      </c>
      <c r="L646" s="5" t="str">
        <f>IF(COUNTIF($A$2:A646,A646)&gt;1,"Duplicate","Unique")</f>
        <v>Unique</v>
      </c>
      <c r="M646" t="str">
        <f t="shared" si="101"/>
        <v>2024-11</v>
      </c>
      <c r="N646" s="2">
        <f t="shared" ca="1" si="102"/>
        <v>46073</v>
      </c>
      <c r="O646" s="4">
        <f t="shared" ca="1" si="103"/>
        <v>14</v>
      </c>
      <c r="P646" s="4">
        <f t="shared" ca="1" si="104"/>
        <v>56</v>
      </c>
      <c r="Q646">
        <f t="shared" ca="1" si="105"/>
        <v>4</v>
      </c>
      <c r="R646">
        <f t="shared" si="106"/>
        <v>3</v>
      </c>
      <c r="S646">
        <f t="shared" ca="1" si="107"/>
        <v>4</v>
      </c>
      <c r="T646" t="str">
        <f t="shared" ca="1" si="108"/>
        <v>434</v>
      </c>
      <c r="U646" t="str">
        <f t="shared" ca="1" si="109"/>
        <v>Loyal</v>
      </c>
    </row>
    <row r="647" spans="1:21">
      <c r="A647" s="17" t="str">
        <f>Cleaned_Data!A647</f>
        <v>MEM0646</v>
      </c>
      <c r="B647" s="18" t="str">
        <f ca="1">Cleaned_Data!D647</f>
        <v>BR01</v>
      </c>
      <c r="C647" s="18" t="str">
        <f ca="1">Cleaned_Data!E647</f>
        <v>Basic</v>
      </c>
      <c r="D647" s="19">
        <f>Cleaned_Data!F647</f>
        <v>45219</v>
      </c>
      <c r="E647" s="19">
        <f>Cleaned_Data!G647</f>
        <v>45584</v>
      </c>
      <c r="F647" s="18">
        <f>Cleaned_Data!H647</f>
        <v>1000</v>
      </c>
      <c r="G647" s="18">
        <f ca="1">Cleaned_Data!I647</f>
        <v>1000</v>
      </c>
      <c r="H647" s="18">
        <f>Cleaned_Data!J647</f>
        <v>14</v>
      </c>
      <c r="I647" s="18" t="str">
        <f>Cleaned_Data!M647</f>
        <v>Active</v>
      </c>
      <c r="J647" s="20">
        <f>Cleaned_Data!N647</f>
        <v>46070</v>
      </c>
      <c r="K647" t="str">
        <f t="shared" si="100"/>
        <v>Moderate</v>
      </c>
      <c r="L647" s="5" t="str">
        <f>IF(COUNTIF($A$2:A647,A647)&gt;1,"Duplicate","Unique")</f>
        <v>Unique</v>
      </c>
      <c r="M647" t="str">
        <f t="shared" si="101"/>
        <v>2023-10</v>
      </c>
      <c r="N647" s="2">
        <f t="shared" ca="1" si="102"/>
        <v>46070</v>
      </c>
      <c r="O647" s="4">
        <f t="shared" ca="1" si="103"/>
        <v>27</v>
      </c>
      <c r="P647" s="4">
        <f t="shared" ca="1" si="104"/>
        <v>59</v>
      </c>
      <c r="Q647">
        <f t="shared" ca="1" si="105"/>
        <v>4</v>
      </c>
      <c r="R647">
        <f t="shared" si="106"/>
        <v>3</v>
      </c>
      <c r="S647">
        <f t="shared" ca="1" si="107"/>
        <v>1</v>
      </c>
      <c r="T647" t="str">
        <f t="shared" ca="1" si="108"/>
        <v>431</v>
      </c>
      <c r="U647" t="str">
        <f t="shared" ca="1" si="109"/>
        <v>Others</v>
      </c>
    </row>
    <row r="648" spans="1:21">
      <c r="A648" s="13" t="str">
        <f>Cleaned_Data!A648</f>
        <v>MEM0647</v>
      </c>
      <c r="B648" s="14" t="str">
        <f ca="1">Cleaned_Data!D648</f>
        <v>BR07</v>
      </c>
      <c r="C648" s="14" t="str">
        <f ca="1">Cleaned_Data!E648</f>
        <v>Basic</v>
      </c>
      <c r="D648" s="15">
        <f>Cleaned_Data!F648</f>
        <v>45786</v>
      </c>
      <c r="E648" s="15">
        <f>Cleaned_Data!G648</f>
        <v>45816</v>
      </c>
      <c r="F648" s="14">
        <f>Cleaned_Data!H648</f>
        <v>2000</v>
      </c>
      <c r="G648" s="14">
        <f ca="1">Cleaned_Data!I648</f>
        <v>16000</v>
      </c>
      <c r="H648" s="14">
        <f>Cleaned_Data!J648</f>
        <v>25</v>
      </c>
      <c r="I648" s="14" t="str">
        <f>Cleaned_Data!M648</f>
        <v>Active</v>
      </c>
      <c r="J648" s="16">
        <f>Cleaned_Data!N648</f>
        <v>45819</v>
      </c>
      <c r="K648" t="str">
        <f t="shared" si="100"/>
        <v>Highly Active</v>
      </c>
      <c r="L648" s="5" t="str">
        <f>IF(COUNTIF($A$2:A648,A648)&gt;1,"Duplicate","Unique")</f>
        <v>Unique</v>
      </c>
      <c r="M648" t="str">
        <f t="shared" si="101"/>
        <v>2025-05</v>
      </c>
      <c r="N648" s="2">
        <f t="shared" ca="1" si="102"/>
        <v>45819</v>
      </c>
      <c r="O648" s="4">
        <f t="shared" ca="1" si="103"/>
        <v>1</v>
      </c>
      <c r="P648" s="4">
        <f t="shared" ca="1" si="104"/>
        <v>310</v>
      </c>
      <c r="Q648">
        <f t="shared" ca="1" si="105"/>
        <v>2</v>
      </c>
      <c r="R648">
        <f t="shared" si="106"/>
        <v>5</v>
      </c>
      <c r="S648">
        <f t="shared" ca="1" si="107"/>
        <v>4</v>
      </c>
      <c r="T648" t="str">
        <f t="shared" ca="1" si="108"/>
        <v>254</v>
      </c>
      <c r="U648" t="str">
        <f t="shared" ca="1" si="109"/>
        <v>At Risk</v>
      </c>
    </row>
    <row r="649" spans="1:21">
      <c r="A649" s="17" t="str">
        <f>Cleaned_Data!A649</f>
        <v>MEM0648</v>
      </c>
      <c r="B649" s="18" t="str">
        <f ca="1">Cleaned_Data!D649</f>
        <v>BR03</v>
      </c>
      <c r="C649" s="18" t="str">
        <f ca="1">Cleaned_Data!E649</f>
        <v>Basic</v>
      </c>
      <c r="D649" s="19">
        <f>Cleaned_Data!F649</f>
        <v>45513</v>
      </c>
      <c r="E649" s="19">
        <f>Cleaned_Data!G649</f>
        <v>45603</v>
      </c>
      <c r="F649" s="18">
        <f>Cleaned_Data!H649</f>
        <v>1000</v>
      </c>
      <c r="G649" s="18">
        <f ca="1">Cleaned_Data!I649</f>
        <v>9000</v>
      </c>
      <c r="H649" s="18">
        <f>Cleaned_Data!J649</f>
        <v>3</v>
      </c>
      <c r="I649" s="18" t="str">
        <f>Cleaned_Data!M649</f>
        <v>Active</v>
      </c>
      <c r="J649" s="20">
        <f>Cleaned_Data!N649</f>
        <v>45521</v>
      </c>
      <c r="K649" t="str">
        <f t="shared" si="100"/>
        <v>At Risk</v>
      </c>
      <c r="L649" s="5" t="str">
        <f>IF(COUNTIF($A$2:A649,A649)&gt;1,"Duplicate","Unique")</f>
        <v>Unique</v>
      </c>
      <c r="M649" t="str">
        <f t="shared" si="101"/>
        <v>2024-08</v>
      </c>
      <c r="N649" s="2">
        <f t="shared" ca="1" si="102"/>
        <v>45521</v>
      </c>
      <c r="O649" s="4">
        <f t="shared" ca="1" si="103"/>
        <v>0</v>
      </c>
      <c r="P649" s="4">
        <f t="shared" ca="1" si="104"/>
        <v>608</v>
      </c>
      <c r="Q649">
        <f t="shared" ca="1" si="105"/>
        <v>1</v>
      </c>
      <c r="R649">
        <f t="shared" si="106"/>
        <v>1</v>
      </c>
      <c r="S649">
        <f t="shared" ca="1" si="107"/>
        <v>3</v>
      </c>
      <c r="T649" t="str">
        <f t="shared" ca="1" si="108"/>
        <v>113</v>
      </c>
      <c r="U649" t="str">
        <f t="shared" ca="1" si="109"/>
        <v>At Risk</v>
      </c>
    </row>
    <row r="650" spans="1:21">
      <c r="A650" s="13" t="str">
        <f>Cleaned_Data!A650</f>
        <v>MEM0649</v>
      </c>
      <c r="B650" s="14" t="str">
        <f ca="1">Cleaned_Data!D650</f>
        <v>BR06</v>
      </c>
      <c r="C650" s="14" t="str">
        <f ca="1">Cleaned_Data!E650</f>
        <v>Premium</v>
      </c>
      <c r="D650" s="15">
        <f>Cleaned_Data!F650</f>
        <v>45793</v>
      </c>
      <c r="E650" s="15">
        <f>Cleaned_Data!G650</f>
        <v>45823</v>
      </c>
      <c r="F650" s="14">
        <f>Cleaned_Data!H650</f>
        <v>3500</v>
      </c>
      <c r="G650" s="14">
        <f ca="1">Cleaned_Data!I650</f>
        <v>42000</v>
      </c>
      <c r="H650" s="14">
        <f>Cleaned_Data!J650</f>
        <v>10</v>
      </c>
      <c r="I650" s="14" t="str">
        <f>Cleaned_Data!M650</f>
        <v>Active</v>
      </c>
      <c r="J650" s="16">
        <f>Cleaned_Data!N650</f>
        <v>46051</v>
      </c>
      <c r="K650" t="str">
        <f t="shared" si="100"/>
        <v>Moderate</v>
      </c>
      <c r="L650" s="5" t="str">
        <f>IF(COUNTIF($A$2:A650,A650)&gt;1,"Duplicate","Unique")</f>
        <v>Unique</v>
      </c>
      <c r="M650" t="str">
        <f t="shared" si="101"/>
        <v>2025-05</v>
      </c>
      <c r="N650" s="2">
        <f t="shared" ca="1" si="102"/>
        <v>46051</v>
      </c>
      <c r="O650" s="4">
        <f t="shared" ca="1" si="103"/>
        <v>8</v>
      </c>
      <c r="P650" s="4">
        <f t="shared" ca="1" si="104"/>
        <v>78</v>
      </c>
      <c r="Q650">
        <f t="shared" ca="1" si="105"/>
        <v>4</v>
      </c>
      <c r="R650">
        <f t="shared" si="106"/>
        <v>3</v>
      </c>
      <c r="S650">
        <f t="shared" ca="1" si="107"/>
        <v>5</v>
      </c>
      <c r="T650" t="str">
        <f t="shared" ca="1" si="108"/>
        <v>435</v>
      </c>
      <c r="U650" t="str">
        <f t="shared" ca="1" si="109"/>
        <v>Loyal</v>
      </c>
    </row>
    <row r="651" spans="1:21">
      <c r="A651" s="17" t="str">
        <f>Cleaned_Data!A651</f>
        <v>MEM0650</v>
      </c>
      <c r="B651" s="18" t="str">
        <f ca="1">Cleaned_Data!D651</f>
        <v>BR05</v>
      </c>
      <c r="C651" s="18" t="str">
        <f ca="1">Cleaned_Data!E651</f>
        <v>Standard</v>
      </c>
      <c r="D651" s="19">
        <f>Cleaned_Data!F651</f>
        <v>45226</v>
      </c>
      <c r="E651" s="19">
        <f>Cleaned_Data!G651</f>
        <v>45256</v>
      </c>
      <c r="F651" s="18">
        <f>Cleaned_Data!H651</f>
        <v>2000</v>
      </c>
      <c r="G651" s="18">
        <f ca="1">Cleaned_Data!I651</f>
        <v>12000</v>
      </c>
      <c r="H651" s="18">
        <f>Cleaned_Data!J651</f>
        <v>13</v>
      </c>
      <c r="I651" s="18" t="str">
        <f>Cleaned_Data!M651</f>
        <v>Active</v>
      </c>
      <c r="J651" s="20">
        <f>Cleaned_Data!N651</f>
        <v>45723</v>
      </c>
      <c r="K651" t="str">
        <f t="shared" si="100"/>
        <v>Moderate</v>
      </c>
      <c r="L651" s="5" t="str">
        <f>IF(COUNTIF($A$2:A651,A651)&gt;1,"Duplicate","Unique")</f>
        <v>Unique</v>
      </c>
      <c r="M651" t="str">
        <f t="shared" si="101"/>
        <v>2023-10</v>
      </c>
      <c r="N651" s="2">
        <f t="shared" ca="1" si="102"/>
        <v>45723</v>
      </c>
      <c r="O651" s="4">
        <f t="shared" ca="1" si="103"/>
        <v>16</v>
      </c>
      <c r="P651" s="4">
        <f t="shared" ca="1" si="104"/>
        <v>406</v>
      </c>
      <c r="Q651">
        <f t="shared" ca="1" si="105"/>
        <v>1</v>
      </c>
      <c r="R651">
        <f t="shared" si="106"/>
        <v>3</v>
      </c>
      <c r="S651">
        <f t="shared" ca="1" si="107"/>
        <v>4</v>
      </c>
      <c r="T651" t="str">
        <f t="shared" ca="1" si="108"/>
        <v>134</v>
      </c>
      <c r="U651" t="str">
        <f t="shared" ca="1" si="109"/>
        <v>At Risk</v>
      </c>
    </row>
    <row r="652" spans="1:21">
      <c r="A652" s="13" t="str">
        <f>Cleaned_Data!A652</f>
        <v>MEM0651</v>
      </c>
      <c r="B652" s="14" t="str">
        <f ca="1">Cleaned_Data!D652</f>
        <v>BR02</v>
      </c>
      <c r="C652" s="14" t="str">
        <f ca="1">Cleaned_Data!E652</f>
        <v>Standard</v>
      </c>
      <c r="D652" s="15">
        <f>Cleaned_Data!F652</f>
        <v>45558</v>
      </c>
      <c r="E652" s="15">
        <f>Cleaned_Data!G652</f>
        <v>45648</v>
      </c>
      <c r="F652" s="14">
        <f>Cleaned_Data!H652</f>
        <v>3500</v>
      </c>
      <c r="G652" s="14">
        <f ca="1">Cleaned_Data!I652</f>
        <v>31500</v>
      </c>
      <c r="H652" s="14">
        <f>Cleaned_Data!J652</f>
        <v>13</v>
      </c>
      <c r="I652" s="14" t="str">
        <f>Cleaned_Data!M652</f>
        <v>Active</v>
      </c>
      <c r="J652" s="16">
        <f>Cleaned_Data!N652</f>
        <v>45564</v>
      </c>
      <c r="K652" t="str">
        <f t="shared" si="100"/>
        <v>Moderate</v>
      </c>
      <c r="L652" s="5" t="str">
        <f>IF(COUNTIF($A$2:A652,A652)&gt;1,"Duplicate","Unique")</f>
        <v>Unique</v>
      </c>
      <c r="M652" t="str">
        <f t="shared" si="101"/>
        <v>2024-09</v>
      </c>
      <c r="N652" s="2">
        <f t="shared" ca="1" si="102"/>
        <v>45564</v>
      </c>
      <c r="O652" s="4">
        <f t="shared" ca="1" si="103"/>
        <v>0</v>
      </c>
      <c r="P652" s="4">
        <f t="shared" ca="1" si="104"/>
        <v>565</v>
      </c>
      <c r="Q652">
        <f t="shared" ca="1" si="105"/>
        <v>1</v>
      </c>
      <c r="R652">
        <f t="shared" si="106"/>
        <v>3</v>
      </c>
      <c r="S652">
        <f t="shared" ca="1" si="107"/>
        <v>5</v>
      </c>
      <c r="T652" t="str">
        <f t="shared" ca="1" si="108"/>
        <v>135</v>
      </c>
      <c r="U652" t="str">
        <f t="shared" ca="1" si="109"/>
        <v>At Risk</v>
      </c>
    </row>
    <row r="653" spans="1:21">
      <c r="A653" s="17" t="str">
        <f>Cleaned_Data!A653</f>
        <v>MEM0652</v>
      </c>
      <c r="B653" s="18" t="str">
        <f ca="1">Cleaned_Data!D653</f>
        <v>BR01</v>
      </c>
      <c r="C653" s="18" t="str">
        <f ca="1">Cleaned_Data!E653</f>
        <v>Basic</v>
      </c>
      <c r="D653" s="19">
        <f>Cleaned_Data!F653</f>
        <v>45848</v>
      </c>
      <c r="E653" s="19">
        <f>Cleaned_Data!G653</f>
        <v>46213</v>
      </c>
      <c r="F653" s="18">
        <f>Cleaned_Data!H653</f>
        <v>1000</v>
      </c>
      <c r="G653" s="18">
        <f ca="1">Cleaned_Data!I653</f>
        <v>12000</v>
      </c>
      <c r="H653" s="18">
        <f>Cleaned_Data!J653</f>
        <v>1</v>
      </c>
      <c r="I653" s="18" t="str">
        <f>Cleaned_Data!M653</f>
        <v>Active</v>
      </c>
      <c r="J653" s="20">
        <f>Cleaned_Data!N653</f>
        <v>45889</v>
      </c>
      <c r="K653" t="str">
        <f t="shared" si="100"/>
        <v>At Risk</v>
      </c>
      <c r="L653" s="5" t="str">
        <f>IF(COUNTIF($A$2:A653,A653)&gt;1,"Duplicate","Unique")</f>
        <v>Unique</v>
      </c>
      <c r="M653" t="str">
        <f t="shared" si="101"/>
        <v>2025-07</v>
      </c>
      <c r="N653" s="2">
        <f t="shared" ca="1" si="102"/>
        <v>45889</v>
      </c>
      <c r="O653" s="4">
        <f t="shared" ca="1" si="103"/>
        <v>1</v>
      </c>
      <c r="P653" s="4">
        <f t="shared" ca="1" si="104"/>
        <v>240</v>
      </c>
      <c r="Q653">
        <f t="shared" ca="1" si="105"/>
        <v>2</v>
      </c>
      <c r="R653">
        <f t="shared" si="106"/>
        <v>1</v>
      </c>
      <c r="S653">
        <f t="shared" ca="1" si="107"/>
        <v>4</v>
      </c>
      <c r="T653" t="str">
        <f t="shared" ca="1" si="108"/>
        <v>214</v>
      </c>
      <c r="U653" t="str">
        <f t="shared" ca="1" si="109"/>
        <v>At Risk</v>
      </c>
    </row>
    <row r="654" spans="1:21">
      <c r="A654" s="13" t="str">
        <f>Cleaned_Data!A654</f>
        <v>MEM0653</v>
      </c>
      <c r="B654" s="14" t="str">
        <f ca="1">Cleaned_Data!D654</f>
        <v>BR03</v>
      </c>
      <c r="C654" s="14" t="str">
        <f ca="1">Cleaned_Data!E654</f>
        <v>Premium</v>
      </c>
      <c r="D654" s="15">
        <f>Cleaned_Data!F654</f>
        <v>45999</v>
      </c>
      <c r="E654" s="15">
        <f>Cleaned_Data!G654</f>
        <v>46089</v>
      </c>
      <c r="F654" s="14">
        <f>Cleaned_Data!H654</f>
        <v>3500</v>
      </c>
      <c r="G654" s="14">
        <f ca="1">Cleaned_Data!I654</f>
        <v>24500</v>
      </c>
      <c r="H654" s="14">
        <f>Cleaned_Data!J654</f>
        <v>21</v>
      </c>
      <c r="I654" s="14" t="str">
        <f>Cleaned_Data!M654</f>
        <v>Active</v>
      </c>
      <c r="J654" s="16">
        <f>Cleaned_Data!N654</f>
        <v>46083</v>
      </c>
      <c r="K654" t="str">
        <f t="shared" si="100"/>
        <v>Highly Active</v>
      </c>
      <c r="L654" s="5" t="str">
        <f>IF(COUNTIF($A$2:A654,A654)&gt;1,"Duplicate","Unique")</f>
        <v>Unique</v>
      </c>
      <c r="M654" t="str">
        <f t="shared" si="101"/>
        <v>2025-12</v>
      </c>
      <c r="N654" s="2">
        <f t="shared" ca="1" si="102"/>
        <v>46083</v>
      </c>
      <c r="O654" s="4">
        <f t="shared" ca="1" si="103"/>
        <v>2</v>
      </c>
      <c r="P654" s="4">
        <f t="shared" ca="1" si="104"/>
        <v>46</v>
      </c>
      <c r="Q654">
        <f t="shared" ca="1" si="105"/>
        <v>4</v>
      </c>
      <c r="R654">
        <f t="shared" si="106"/>
        <v>5</v>
      </c>
      <c r="S654">
        <f t="shared" ca="1" si="107"/>
        <v>5</v>
      </c>
      <c r="T654" t="str">
        <f t="shared" ca="1" si="108"/>
        <v>455</v>
      </c>
      <c r="U654" t="str">
        <f t="shared" ca="1" si="109"/>
        <v>Champion</v>
      </c>
    </row>
    <row r="655" spans="1:21">
      <c r="A655" s="17" t="str">
        <f>Cleaned_Data!A655</f>
        <v>MEM0654</v>
      </c>
      <c r="B655" s="18" t="str">
        <f ca="1">Cleaned_Data!D655</f>
        <v>BR04</v>
      </c>
      <c r="C655" s="18" t="str">
        <f ca="1">Cleaned_Data!E655</f>
        <v>Standard</v>
      </c>
      <c r="D655" s="19">
        <f>Cleaned_Data!F655</f>
        <v>45464</v>
      </c>
      <c r="E655" s="19">
        <f>Cleaned_Data!G655</f>
        <v>45829</v>
      </c>
      <c r="F655" s="18">
        <f>Cleaned_Data!H655</f>
        <v>2000</v>
      </c>
      <c r="G655" s="18">
        <f ca="1">Cleaned_Data!I655</f>
        <v>2000</v>
      </c>
      <c r="H655" s="18">
        <f>Cleaned_Data!J655</f>
        <v>5</v>
      </c>
      <c r="I655" s="18" t="str">
        <f>Cleaned_Data!M655</f>
        <v>Active</v>
      </c>
      <c r="J655" s="20">
        <f>Cleaned_Data!N655</f>
        <v>45549</v>
      </c>
      <c r="K655" t="str">
        <f t="shared" si="100"/>
        <v>Moderate</v>
      </c>
      <c r="L655" s="5" t="str">
        <f>IF(COUNTIF($A$2:A655,A655)&gt;1,"Duplicate","Unique")</f>
        <v>Unique</v>
      </c>
      <c r="M655" t="str">
        <f t="shared" si="101"/>
        <v>2024-06</v>
      </c>
      <c r="N655" s="2">
        <f t="shared" ca="1" si="102"/>
        <v>45549</v>
      </c>
      <c r="O655" s="4">
        <f t="shared" ca="1" si="103"/>
        <v>2</v>
      </c>
      <c r="P655" s="4">
        <f t="shared" ca="1" si="104"/>
        <v>580</v>
      </c>
      <c r="Q655">
        <f t="shared" ca="1" si="105"/>
        <v>1</v>
      </c>
      <c r="R655">
        <f t="shared" si="106"/>
        <v>2</v>
      </c>
      <c r="S655">
        <f t="shared" ca="1" si="107"/>
        <v>2</v>
      </c>
      <c r="T655" t="str">
        <f t="shared" ca="1" si="108"/>
        <v>122</v>
      </c>
      <c r="U655" t="str">
        <f t="shared" ca="1" si="109"/>
        <v>At Risk</v>
      </c>
    </row>
    <row r="656" spans="1:21">
      <c r="A656" s="13" t="str">
        <f>Cleaned_Data!A656</f>
        <v>MEM0655</v>
      </c>
      <c r="B656" s="14" t="str">
        <f ca="1">Cleaned_Data!D656</f>
        <v>BR01</v>
      </c>
      <c r="C656" s="14" t="str">
        <f ca="1">Cleaned_Data!E656</f>
        <v>Standard</v>
      </c>
      <c r="D656" s="15">
        <f>Cleaned_Data!F656</f>
        <v>45540</v>
      </c>
      <c r="E656" s="15">
        <f>Cleaned_Data!G656</f>
        <v>45630</v>
      </c>
      <c r="F656" s="14">
        <f>Cleaned_Data!H656</f>
        <v>2000</v>
      </c>
      <c r="G656" s="14">
        <f ca="1">Cleaned_Data!I656</f>
        <v>4000</v>
      </c>
      <c r="H656" s="14">
        <f>Cleaned_Data!J656</f>
        <v>9</v>
      </c>
      <c r="I656" s="14" t="str">
        <f>Cleaned_Data!M656</f>
        <v>Active</v>
      </c>
      <c r="J656" s="16">
        <f>Cleaned_Data!N656</f>
        <v>45762</v>
      </c>
      <c r="K656" t="str">
        <f t="shared" si="100"/>
        <v>Moderate</v>
      </c>
      <c r="L656" s="5" t="str">
        <f>IF(COUNTIF($A$2:A656,A656)&gt;1,"Duplicate","Unique")</f>
        <v>Unique</v>
      </c>
      <c r="M656" t="str">
        <f t="shared" si="101"/>
        <v>2024-09</v>
      </c>
      <c r="N656" s="2">
        <f t="shared" ca="1" si="102"/>
        <v>45762</v>
      </c>
      <c r="O656" s="4">
        <f t="shared" ca="1" si="103"/>
        <v>7</v>
      </c>
      <c r="P656" s="4">
        <f t="shared" ca="1" si="104"/>
        <v>367</v>
      </c>
      <c r="Q656">
        <f t="shared" ca="1" si="105"/>
        <v>1</v>
      </c>
      <c r="R656">
        <f t="shared" si="106"/>
        <v>2</v>
      </c>
      <c r="S656">
        <f t="shared" ca="1" si="107"/>
        <v>2</v>
      </c>
      <c r="T656" t="str">
        <f t="shared" ca="1" si="108"/>
        <v>122</v>
      </c>
      <c r="U656" t="str">
        <f t="shared" ca="1" si="109"/>
        <v>At Risk</v>
      </c>
    </row>
    <row r="657" spans="1:21">
      <c r="A657" s="17" t="str">
        <f>Cleaned_Data!A657</f>
        <v>MEM0656</v>
      </c>
      <c r="B657" s="18" t="str">
        <f ca="1">Cleaned_Data!D657</f>
        <v>BR05</v>
      </c>
      <c r="C657" s="18" t="str">
        <f ca="1">Cleaned_Data!E657</f>
        <v>Basic</v>
      </c>
      <c r="D657" s="19">
        <f>Cleaned_Data!F657</f>
        <v>46021</v>
      </c>
      <c r="E657" s="19">
        <f>Cleaned_Data!G657</f>
        <v>46051</v>
      </c>
      <c r="F657" s="18">
        <f>Cleaned_Data!H657</f>
        <v>2000</v>
      </c>
      <c r="G657" s="18">
        <f ca="1">Cleaned_Data!I657</f>
        <v>14000</v>
      </c>
      <c r="H657" s="18">
        <f>Cleaned_Data!J657</f>
        <v>5</v>
      </c>
      <c r="I657" s="18" t="str">
        <f>Cleaned_Data!M657</f>
        <v>Active</v>
      </c>
      <c r="J657" s="20">
        <f>Cleaned_Data!N657</f>
        <v>46073</v>
      </c>
      <c r="K657" t="str">
        <f t="shared" si="100"/>
        <v>Moderate</v>
      </c>
      <c r="L657" s="5" t="str">
        <f>IF(COUNTIF($A$2:A657,A657)&gt;1,"Duplicate","Unique")</f>
        <v>Unique</v>
      </c>
      <c r="M657" t="str">
        <f t="shared" si="101"/>
        <v>2025-12</v>
      </c>
      <c r="N657" s="2">
        <f t="shared" ca="1" si="102"/>
        <v>46073</v>
      </c>
      <c r="O657" s="4">
        <f t="shared" ca="1" si="103"/>
        <v>1</v>
      </c>
      <c r="P657" s="4">
        <f t="shared" ca="1" si="104"/>
        <v>56</v>
      </c>
      <c r="Q657">
        <f t="shared" ca="1" si="105"/>
        <v>4</v>
      </c>
      <c r="R657">
        <f t="shared" si="106"/>
        <v>2</v>
      </c>
      <c r="S657">
        <f t="shared" ca="1" si="107"/>
        <v>4</v>
      </c>
      <c r="T657" t="str">
        <f t="shared" ca="1" si="108"/>
        <v>424</v>
      </c>
      <c r="U657" t="str">
        <f t="shared" ca="1" si="109"/>
        <v>Others</v>
      </c>
    </row>
    <row r="658" spans="1:21">
      <c r="A658" s="13" t="str">
        <f>Cleaned_Data!A658</f>
        <v>MEM0657</v>
      </c>
      <c r="B658" s="14" t="str">
        <f ca="1">Cleaned_Data!D658</f>
        <v>BR07</v>
      </c>
      <c r="C658" s="14" t="str">
        <f ca="1">Cleaned_Data!E658</f>
        <v>Basic</v>
      </c>
      <c r="D658" s="15">
        <f>Cleaned_Data!F658</f>
        <v>45271</v>
      </c>
      <c r="E658" s="15">
        <f>Cleaned_Data!G658</f>
        <v>45636</v>
      </c>
      <c r="F658" s="14">
        <f>Cleaned_Data!H658</f>
        <v>3500</v>
      </c>
      <c r="G658" s="14">
        <f ca="1">Cleaned_Data!I658</f>
        <v>17500</v>
      </c>
      <c r="H658" s="14">
        <f>Cleaned_Data!J658</f>
        <v>5</v>
      </c>
      <c r="I658" s="14" t="str">
        <f>Cleaned_Data!M658</f>
        <v>Cancelled</v>
      </c>
      <c r="J658" s="16">
        <f>Cleaned_Data!N658</f>
        <v>45652</v>
      </c>
      <c r="K658" t="str">
        <f t="shared" si="100"/>
        <v>Moderate</v>
      </c>
      <c r="L658" s="5" t="str">
        <f>IF(COUNTIF($A$2:A658,A658)&gt;1,"Duplicate","Unique")</f>
        <v>Unique</v>
      </c>
      <c r="M658" t="str">
        <f t="shared" si="101"/>
        <v>2023-12</v>
      </c>
      <c r="N658" s="2">
        <f t="shared" ca="1" si="102"/>
        <v>45652</v>
      </c>
      <c r="O658" s="4">
        <f t="shared" ca="1" si="103"/>
        <v>12</v>
      </c>
      <c r="P658" s="4">
        <f t="shared" ca="1" si="104"/>
        <v>477</v>
      </c>
      <c r="Q658">
        <f t="shared" ca="1" si="105"/>
        <v>1</v>
      </c>
      <c r="R658">
        <f t="shared" si="106"/>
        <v>2</v>
      </c>
      <c r="S658">
        <f t="shared" ca="1" si="107"/>
        <v>4</v>
      </c>
      <c r="T658" t="str">
        <f t="shared" ca="1" si="108"/>
        <v>124</v>
      </c>
      <c r="U658" t="str">
        <f t="shared" ca="1" si="109"/>
        <v>At Risk</v>
      </c>
    </row>
    <row r="659" spans="1:21">
      <c r="A659" s="17" t="str">
        <f>Cleaned_Data!A659</f>
        <v>MEM0658</v>
      </c>
      <c r="B659" s="18" t="str">
        <f ca="1">Cleaned_Data!D659</f>
        <v>BR07</v>
      </c>
      <c r="C659" s="18" t="str">
        <f ca="1">Cleaned_Data!E659</f>
        <v>Premium</v>
      </c>
      <c r="D659" s="19">
        <f>Cleaned_Data!F659</f>
        <v>45900</v>
      </c>
      <c r="E659" s="19">
        <f>Cleaned_Data!G659</f>
        <v>45990</v>
      </c>
      <c r="F659" s="18">
        <f>Cleaned_Data!H659</f>
        <v>1000</v>
      </c>
      <c r="G659" s="18">
        <f ca="1">Cleaned_Data!I659</f>
        <v>2000</v>
      </c>
      <c r="H659" s="18">
        <f>Cleaned_Data!J659</f>
        <v>8</v>
      </c>
      <c r="I659" s="18" t="str">
        <f>Cleaned_Data!M659</f>
        <v>Active</v>
      </c>
      <c r="J659" s="20">
        <f>Cleaned_Data!N659</f>
        <v>46094</v>
      </c>
      <c r="K659" t="str">
        <f t="shared" si="100"/>
        <v>Moderate</v>
      </c>
      <c r="L659" s="5" t="str">
        <f>IF(COUNTIF($A$2:A659,A659)&gt;1,"Duplicate","Unique")</f>
        <v>Unique</v>
      </c>
      <c r="M659" t="str">
        <f t="shared" si="101"/>
        <v>2025-08</v>
      </c>
      <c r="N659" s="2">
        <f t="shared" ca="1" si="102"/>
        <v>46094</v>
      </c>
      <c r="O659" s="4">
        <f t="shared" ca="1" si="103"/>
        <v>6</v>
      </c>
      <c r="P659" s="4">
        <f t="shared" ca="1" si="104"/>
        <v>35</v>
      </c>
      <c r="Q659">
        <f t="shared" ca="1" si="105"/>
        <v>4</v>
      </c>
      <c r="R659">
        <f t="shared" si="106"/>
        <v>2</v>
      </c>
      <c r="S659">
        <f t="shared" ca="1" si="107"/>
        <v>2</v>
      </c>
      <c r="T659" t="str">
        <f t="shared" ca="1" si="108"/>
        <v>422</v>
      </c>
      <c r="U659" t="str">
        <f t="shared" ca="1" si="109"/>
        <v>Others</v>
      </c>
    </row>
    <row r="660" spans="1:21">
      <c r="A660" s="13" t="str">
        <f>Cleaned_Data!A660</f>
        <v>MEM0659</v>
      </c>
      <c r="B660" s="14" t="str">
        <f ca="1">Cleaned_Data!D660</f>
        <v>BR06</v>
      </c>
      <c r="C660" s="14" t="str">
        <f ca="1">Cleaned_Data!E660</f>
        <v>Basic</v>
      </c>
      <c r="D660" s="15">
        <f>Cleaned_Data!F660</f>
        <v>45475</v>
      </c>
      <c r="E660" s="15">
        <f>Cleaned_Data!G660</f>
        <v>45840</v>
      </c>
      <c r="F660" s="14">
        <f>Cleaned_Data!H660</f>
        <v>3500</v>
      </c>
      <c r="G660" s="14">
        <f ca="1">Cleaned_Data!I660</f>
        <v>14000</v>
      </c>
      <c r="H660" s="14">
        <f>Cleaned_Data!J660</f>
        <v>12</v>
      </c>
      <c r="I660" s="14" t="str">
        <f>Cleaned_Data!M660</f>
        <v>Active</v>
      </c>
      <c r="J660" s="16">
        <f>Cleaned_Data!N660</f>
        <v>45685</v>
      </c>
      <c r="K660" t="str">
        <f t="shared" si="100"/>
        <v>Moderate</v>
      </c>
      <c r="L660" s="5" t="str">
        <f>IF(COUNTIF($A$2:A660,A660)&gt;1,"Duplicate","Unique")</f>
        <v>Unique</v>
      </c>
      <c r="M660" t="str">
        <f t="shared" si="101"/>
        <v>2024-07</v>
      </c>
      <c r="N660" s="2">
        <f t="shared" ca="1" si="102"/>
        <v>45685</v>
      </c>
      <c r="O660" s="4">
        <f t="shared" ca="1" si="103"/>
        <v>6</v>
      </c>
      <c r="P660" s="4">
        <f t="shared" ca="1" si="104"/>
        <v>444</v>
      </c>
      <c r="Q660">
        <f t="shared" ca="1" si="105"/>
        <v>1</v>
      </c>
      <c r="R660">
        <f t="shared" si="106"/>
        <v>3</v>
      </c>
      <c r="S660">
        <f t="shared" ca="1" si="107"/>
        <v>4</v>
      </c>
      <c r="T660" t="str">
        <f t="shared" ca="1" si="108"/>
        <v>134</v>
      </c>
      <c r="U660" t="str">
        <f t="shared" ca="1" si="109"/>
        <v>At Risk</v>
      </c>
    </row>
    <row r="661" spans="1:21">
      <c r="A661" s="17" t="str">
        <f>Cleaned_Data!A661</f>
        <v>MEM0660</v>
      </c>
      <c r="B661" s="18" t="str">
        <f ca="1">Cleaned_Data!D661</f>
        <v>BR07</v>
      </c>
      <c r="C661" s="18" t="str">
        <f ca="1">Cleaned_Data!E661</f>
        <v>Basic</v>
      </c>
      <c r="D661" s="19">
        <f>Cleaned_Data!F661</f>
        <v>46000</v>
      </c>
      <c r="E661" s="19">
        <f>Cleaned_Data!G661</f>
        <v>46090</v>
      </c>
      <c r="F661" s="18">
        <f>Cleaned_Data!H661</f>
        <v>1000</v>
      </c>
      <c r="G661" s="18">
        <f ca="1">Cleaned_Data!I661</f>
        <v>11000</v>
      </c>
      <c r="H661" s="18">
        <f>Cleaned_Data!J661</f>
        <v>4</v>
      </c>
      <c r="I661" s="18" t="str">
        <f>Cleaned_Data!M661</f>
        <v>Active</v>
      </c>
      <c r="J661" s="20">
        <f>Cleaned_Data!N661</f>
        <v>46053</v>
      </c>
      <c r="K661" t="str">
        <f t="shared" si="100"/>
        <v>At Risk</v>
      </c>
      <c r="L661" s="5" t="str">
        <f>IF(COUNTIF($A$2:A661,A661)&gt;1,"Duplicate","Unique")</f>
        <v>Unique</v>
      </c>
      <c r="M661" t="str">
        <f t="shared" si="101"/>
        <v>2025-12</v>
      </c>
      <c r="N661" s="2">
        <f t="shared" ca="1" si="102"/>
        <v>46053</v>
      </c>
      <c r="O661" s="4">
        <f t="shared" ca="1" si="103"/>
        <v>1</v>
      </c>
      <c r="P661" s="4">
        <f t="shared" ca="1" si="104"/>
        <v>76</v>
      </c>
      <c r="Q661">
        <f t="shared" ca="1" si="105"/>
        <v>4</v>
      </c>
      <c r="R661">
        <f t="shared" si="106"/>
        <v>1</v>
      </c>
      <c r="S661">
        <f t="shared" ca="1" si="107"/>
        <v>4</v>
      </c>
      <c r="T661" t="str">
        <f t="shared" ca="1" si="108"/>
        <v>414</v>
      </c>
      <c r="U661" t="str">
        <f t="shared" ca="1" si="109"/>
        <v>Others</v>
      </c>
    </row>
    <row r="662" spans="1:21">
      <c r="A662" s="13" t="str">
        <f>Cleaned_Data!A662</f>
        <v>MEM0661</v>
      </c>
      <c r="B662" s="14" t="str">
        <f ca="1">Cleaned_Data!D662</f>
        <v>BR02</v>
      </c>
      <c r="C662" s="14" t="str">
        <f ca="1">Cleaned_Data!E662</f>
        <v>Premium</v>
      </c>
      <c r="D662" s="15">
        <f>Cleaned_Data!F662</f>
        <v>45060</v>
      </c>
      <c r="E662" s="15">
        <f>Cleaned_Data!G662</f>
        <v>45425</v>
      </c>
      <c r="F662" s="14">
        <f>Cleaned_Data!H662</f>
        <v>2000</v>
      </c>
      <c r="G662" s="14">
        <f ca="1">Cleaned_Data!I662</f>
        <v>4000</v>
      </c>
      <c r="H662" s="14">
        <f>Cleaned_Data!J662</f>
        <v>0</v>
      </c>
      <c r="I662" s="14" t="str">
        <f>Cleaned_Data!M662</f>
        <v>Cancelled</v>
      </c>
      <c r="J662" s="16">
        <f>Cleaned_Data!N662</f>
        <v>45100</v>
      </c>
      <c r="K662" t="str">
        <f t="shared" si="100"/>
        <v>At Risk</v>
      </c>
      <c r="L662" s="5" t="str">
        <f>IF(COUNTIF($A$2:A662,A662)&gt;1,"Duplicate","Unique")</f>
        <v>Unique</v>
      </c>
      <c r="M662" t="str">
        <f t="shared" si="101"/>
        <v>2023-05</v>
      </c>
      <c r="N662" s="2">
        <f t="shared" ca="1" si="102"/>
        <v>45100</v>
      </c>
      <c r="O662" s="4">
        <f t="shared" ca="1" si="103"/>
        <v>1</v>
      </c>
      <c r="P662" s="4">
        <f t="shared" ca="1" si="104"/>
        <v>1029</v>
      </c>
      <c r="Q662">
        <f t="shared" ca="1" si="105"/>
        <v>1</v>
      </c>
      <c r="R662">
        <f t="shared" si="106"/>
        <v>1</v>
      </c>
      <c r="S662">
        <f t="shared" ca="1" si="107"/>
        <v>2</v>
      </c>
      <c r="T662" t="str">
        <f t="shared" ca="1" si="108"/>
        <v>112</v>
      </c>
      <c r="U662" t="str">
        <f t="shared" ca="1" si="109"/>
        <v>At Risk</v>
      </c>
    </row>
    <row r="663" spans="1:21">
      <c r="A663" s="17" t="str">
        <f>Cleaned_Data!A663</f>
        <v>MEM0662</v>
      </c>
      <c r="B663" s="18" t="str">
        <f ca="1">Cleaned_Data!D663</f>
        <v>BR04</v>
      </c>
      <c r="C663" s="18" t="str">
        <f ca="1">Cleaned_Data!E663</f>
        <v>Basic</v>
      </c>
      <c r="D663" s="19">
        <f>Cleaned_Data!F663</f>
        <v>45485</v>
      </c>
      <c r="E663" s="19">
        <f>Cleaned_Data!G663</f>
        <v>45850</v>
      </c>
      <c r="F663" s="18">
        <f>Cleaned_Data!H663</f>
        <v>3500</v>
      </c>
      <c r="G663" s="18">
        <f ca="1">Cleaned_Data!I663</f>
        <v>17500</v>
      </c>
      <c r="H663" s="18">
        <f>Cleaned_Data!J663</f>
        <v>18</v>
      </c>
      <c r="I663" s="18" t="str">
        <f>Cleaned_Data!M663</f>
        <v>Active</v>
      </c>
      <c r="J663" s="20">
        <f>Cleaned_Data!N663</f>
        <v>45765</v>
      </c>
      <c r="K663" t="str">
        <f t="shared" si="100"/>
        <v>Highly Active</v>
      </c>
      <c r="L663" s="5" t="str">
        <f>IF(COUNTIF($A$2:A663,A663)&gt;1,"Duplicate","Unique")</f>
        <v>Unique</v>
      </c>
      <c r="M663" t="str">
        <f t="shared" si="101"/>
        <v>2024-07</v>
      </c>
      <c r="N663" s="2">
        <f t="shared" ca="1" si="102"/>
        <v>45765</v>
      </c>
      <c r="O663" s="4">
        <f t="shared" ca="1" si="103"/>
        <v>9</v>
      </c>
      <c r="P663" s="4">
        <f t="shared" ca="1" si="104"/>
        <v>364</v>
      </c>
      <c r="Q663">
        <f t="shared" ca="1" si="105"/>
        <v>2</v>
      </c>
      <c r="R663">
        <f t="shared" si="106"/>
        <v>4</v>
      </c>
      <c r="S663">
        <f t="shared" ca="1" si="107"/>
        <v>4</v>
      </c>
      <c r="T663" t="str">
        <f t="shared" ca="1" si="108"/>
        <v>244</v>
      </c>
      <c r="U663" t="str">
        <f t="shared" ca="1" si="109"/>
        <v>At Risk</v>
      </c>
    </row>
    <row r="664" spans="1:21">
      <c r="A664" s="13" t="str">
        <f>Cleaned_Data!A664</f>
        <v>MEM0663</v>
      </c>
      <c r="B664" s="14" t="str">
        <f ca="1">Cleaned_Data!D664</f>
        <v>BR02</v>
      </c>
      <c r="C664" s="14" t="str">
        <f ca="1">Cleaned_Data!E664</f>
        <v>Basic</v>
      </c>
      <c r="D664" s="15">
        <f>Cleaned_Data!F664</f>
        <v>45846</v>
      </c>
      <c r="E664" s="15">
        <f>Cleaned_Data!G664</f>
        <v>45936</v>
      </c>
      <c r="F664" s="14">
        <f>Cleaned_Data!H664</f>
        <v>2000</v>
      </c>
      <c r="G664" s="14">
        <f ca="1">Cleaned_Data!I664</f>
        <v>16000</v>
      </c>
      <c r="H664" s="14">
        <f>Cleaned_Data!J664</f>
        <v>16</v>
      </c>
      <c r="I664" s="14" t="str">
        <f>Cleaned_Data!M664</f>
        <v>Active</v>
      </c>
      <c r="J664" s="16">
        <f>Cleaned_Data!N664</f>
        <v>45952</v>
      </c>
      <c r="K664" t="str">
        <f t="shared" si="100"/>
        <v>Highly Active</v>
      </c>
      <c r="L664" s="5" t="str">
        <f>IF(COUNTIF($A$2:A664,A664)&gt;1,"Duplicate","Unique")</f>
        <v>Unique</v>
      </c>
      <c r="M664" t="str">
        <f t="shared" si="101"/>
        <v>2025-07</v>
      </c>
      <c r="N664" s="2">
        <f t="shared" ca="1" si="102"/>
        <v>45952</v>
      </c>
      <c r="O664" s="4">
        <f t="shared" ca="1" si="103"/>
        <v>3</v>
      </c>
      <c r="P664" s="4">
        <f t="shared" ca="1" si="104"/>
        <v>177</v>
      </c>
      <c r="Q664">
        <f t="shared" ca="1" si="105"/>
        <v>3</v>
      </c>
      <c r="R664">
        <f t="shared" si="106"/>
        <v>4</v>
      </c>
      <c r="S664">
        <f t="shared" ca="1" si="107"/>
        <v>4</v>
      </c>
      <c r="T664" t="str">
        <f t="shared" ca="1" si="108"/>
        <v>344</v>
      </c>
      <c r="U664" t="str">
        <f t="shared" ca="1" si="109"/>
        <v>Loyal</v>
      </c>
    </row>
    <row r="665" spans="1:21">
      <c r="A665" s="17" t="str">
        <f>Cleaned_Data!A665</f>
        <v>MEM0664</v>
      </c>
      <c r="B665" s="18" t="str">
        <f ca="1">Cleaned_Data!D665</f>
        <v>BR06</v>
      </c>
      <c r="C665" s="18" t="str">
        <f ca="1">Cleaned_Data!E665</f>
        <v>Premium</v>
      </c>
      <c r="D665" s="19">
        <f>Cleaned_Data!F665</f>
        <v>45345</v>
      </c>
      <c r="E665" s="19">
        <f>Cleaned_Data!G665</f>
        <v>45435</v>
      </c>
      <c r="F665" s="18">
        <f>Cleaned_Data!H665</f>
        <v>2000</v>
      </c>
      <c r="G665" s="18">
        <f ca="1">Cleaned_Data!I665</f>
        <v>22000</v>
      </c>
      <c r="H665" s="18">
        <f>Cleaned_Data!J665</f>
        <v>13</v>
      </c>
      <c r="I665" s="18" t="str">
        <f>Cleaned_Data!M665</f>
        <v>Active</v>
      </c>
      <c r="J665" s="20">
        <f>Cleaned_Data!N665</f>
        <v>46100</v>
      </c>
      <c r="K665" t="str">
        <f t="shared" si="100"/>
        <v>Moderate</v>
      </c>
      <c r="L665" s="5" t="str">
        <f>IF(COUNTIF($A$2:A665,A665)&gt;1,"Duplicate","Unique")</f>
        <v>Unique</v>
      </c>
      <c r="M665" t="str">
        <f t="shared" si="101"/>
        <v>2024-02</v>
      </c>
      <c r="N665" s="2">
        <f t="shared" ca="1" si="102"/>
        <v>46100</v>
      </c>
      <c r="O665" s="4">
        <f t="shared" ca="1" si="103"/>
        <v>24</v>
      </c>
      <c r="P665" s="4">
        <f t="shared" ca="1" si="104"/>
        <v>29</v>
      </c>
      <c r="Q665">
        <f t="shared" ca="1" si="105"/>
        <v>5</v>
      </c>
      <c r="R665">
        <f t="shared" si="106"/>
        <v>3</v>
      </c>
      <c r="S665">
        <f t="shared" ca="1" si="107"/>
        <v>5</v>
      </c>
      <c r="T665" t="str">
        <f t="shared" ca="1" si="108"/>
        <v>535</v>
      </c>
      <c r="U665" t="str">
        <f t="shared" ca="1" si="109"/>
        <v>Loyal</v>
      </c>
    </row>
    <row r="666" spans="1:21">
      <c r="A666" s="13" t="str">
        <f>Cleaned_Data!A666</f>
        <v>MEM0665</v>
      </c>
      <c r="B666" s="14" t="str">
        <f ca="1">Cleaned_Data!D666</f>
        <v>BR05</v>
      </c>
      <c r="C666" s="14" t="str">
        <f ca="1">Cleaned_Data!E666</f>
        <v>Standard</v>
      </c>
      <c r="D666" s="15">
        <f>Cleaned_Data!F666</f>
        <v>45042</v>
      </c>
      <c r="E666" s="15">
        <f>Cleaned_Data!G666</f>
        <v>45072</v>
      </c>
      <c r="F666" s="14">
        <f>Cleaned_Data!H666</f>
        <v>2000</v>
      </c>
      <c r="G666" s="14">
        <f ca="1">Cleaned_Data!I666</f>
        <v>8000</v>
      </c>
      <c r="H666" s="14">
        <f>Cleaned_Data!J666</f>
        <v>24</v>
      </c>
      <c r="I666" s="14" t="str">
        <f>Cleaned_Data!M666</f>
        <v>Active</v>
      </c>
      <c r="J666" s="16">
        <f>Cleaned_Data!N666</f>
        <v>45831</v>
      </c>
      <c r="K666" t="str">
        <f t="shared" si="100"/>
        <v>Highly Active</v>
      </c>
      <c r="L666" s="5" t="str">
        <f>IF(COUNTIF($A$2:A666,A666)&gt;1,"Duplicate","Unique")</f>
        <v>Unique</v>
      </c>
      <c r="M666" t="str">
        <f t="shared" si="101"/>
        <v>2023-04</v>
      </c>
      <c r="N666" s="2">
        <f t="shared" ca="1" si="102"/>
        <v>45831</v>
      </c>
      <c r="O666" s="4">
        <f t="shared" ca="1" si="103"/>
        <v>25</v>
      </c>
      <c r="P666" s="4">
        <f t="shared" ca="1" si="104"/>
        <v>298</v>
      </c>
      <c r="Q666">
        <f t="shared" ca="1" si="105"/>
        <v>2</v>
      </c>
      <c r="R666">
        <f t="shared" si="106"/>
        <v>5</v>
      </c>
      <c r="S666">
        <f t="shared" ca="1" si="107"/>
        <v>3</v>
      </c>
      <c r="T666" t="str">
        <f t="shared" ca="1" si="108"/>
        <v>253</v>
      </c>
      <c r="U666" t="str">
        <f t="shared" ca="1" si="109"/>
        <v>At Risk</v>
      </c>
    </row>
    <row r="667" spans="1:21">
      <c r="A667" s="17" t="str">
        <f>Cleaned_Data!A667</f>
        <v>MEM0666</v>
      </c>
      <c r="B667" s="18" t="str">
        <f ca="1">Cleaned_Data!D667</f>
        <v>BR05</v>
      </c>
      <c r="C667" s="18" t="str">
        <f ca="1">Cleaned_Data!E667</f>
        <v>Basic</v>
      </c>
      <c r="D667" s="19">
        <f>Cleaned_Data!F667</f>
        <v>45901</v>
      </c>
      <c r="E667" s="19">
        <f>Cleaned_Data!G667</f>
        <v>46266</v>
      </c>
      <c r="F667" s="18">
        <f>Cleaned_Data!H667</f>
        <v>1000</v>
      </c>
      <c r="G667" s="18">
        <f ca="1">Cleaned_Data!I667</f>
        <v>6000</v>
      </c>
      <c r="H667" s="18">
        <f>Cleaned_Data!J667</f>
        <v>13</v>
      </c>
      <c r="I667" s="18" t="str">
        <f>Cleaned_Data!M667</f>
        <v>Active</v>
      </c>
      <c r="J667" s="20">
        <f>Cleaned_Data!N667</f>
        <v>46115</v>
      </c>
      <c r="K667" t="str">
        <f t="shared" si="100"/>
        <v>Moderate</v>
      </c>
      <c r="L667" s="5" t="str">
        <f>IF(COUNTIF($A$2:A667,A667)&gt;1,"Duplicate","Unique")</f>
        <v>Unique</v>
      </c>
      <c r="M667" t="str">
        <f t="shared" si="101"/>
        <v>2025-09</v>
      </c>
      <c r="N667" s="2">
        <f t="shared" ca="1" si="102"/>
        <v>46115</v>
      </c>
      <c r="O667" s="4">
        <f t="shared" ca="1" si="103"/>
        <v>7</v>
      </c>
      <c r="P667" s="4">
        <f t="shared" ca="1" si="104"/>
        <v>14</v>
      </c>
      <c r="Q667">
        <f t="shared" ca="1" si="105"/>
        <v>5</v>
      </c>
      <c r="R667">
        <f t="shared" si="106"/>
        <v>3</v>
      </c>
      <c r="S667">
        <f t="shared" ca="1" si="107"/>
        <v>3</v>
      </c>
      <c r="T667" t="str">
        <f t="shared" ca="1" si="108"/>
        <v>533</v>
      </c>
      <c r="U667" t="str">
        <f t="shared" ca="1" si="109"/>
        <v>Loyal</v>
      </c>
    </row>
    <row r="668" spans="1:21">
      <c r="A668" s="13" t="str">
        <f>Cleaned_Data!A668</f>
        <v>MEM0667</v>
      </c>
      <c r="B668" s="14" t="str">
        <f ca="1">Cleaned_Data!D668</f>
        <v>BR02</v>
      </c>
      <c r="C668" s="14" t="str">
        <f ca="1">Cleaned_Data!E668</f>
        <v>Basic</v>
      </c>
      <c r="D668" s="15">
        <f>Cleaned_Data!F668</f>
        <v>45991</v>
      </c>
      <c r="E668" s="15">
        <f>Cleaned_Data!G668</f>
        <v>46356</v>
      </c>
      <c r="F668" s="14">
        <f>Cleaned_Data!H668</f>
        <v>3500</v>
      </c>
      <c r="G668" s="14">
        <f ca="1">Cleaned_Data!I668</f>
        <v>31500</v>
      </c>
      <c r="H668" s="14">
        <f>Cleaned_Data!J668</f>
        <v>20</v>
      </c>
      <c r="I668" s="14" t="str">
        <f>Cleaned_Data!M668</f>
        <v>Active</v>
      </c>
      <c r="J668" s="16">
        <f>Cleaned_Data!N668</f>
        <v>46083</v>
      </c>
      <c r="K668" t="str">
        <f t="shared" si="100"/>
        <v>Highly Active</v>
      </c>
      <c r="L668" s="5" t="str">
        <f>IF(COUNTIF($A$2:A668,A668)&gt;1,"Duplicate","Unique")</f>
        <v>Unique</v>
      </c>
      <c r="M668" t="str">
        <f t="shared" si="101"/>
        <v>2025-11</v>
      </c>
      <c r="N668" s="2">
        <f t="shared" ca="1" si="102"/>
        <v>46083</v>
      </c>
      <c r="O668" s="4">
        <f t="shared" ca="1" si="103"/>
        <v>3</v>
      </c>
      <c r="P668" s="4">
        <f t="shared" ca="1" si="104"/>
        <v>46</v>
      </c>
      <c r="Q668">
        <f t="shared" ca="1" si="105"/>
        <v>4</v>
      </c>
      <c r="R668">
        <f t="shared" si="106"/>
        <v>5</v>
      </c>
      <c r="S668">
        <f t="shared" ca="1" si="107"/>
        <v>5</v>
      </c>
      <c r="T668" t="str">
        <f t="shared" ca="1" si="108"/>
        <v>455</v>
      </c>
      <c r="U668" t="str">
        <f t="shared" ca="1" si="109"/>
        <v>Champion</v>
      </c>
    </row>
    <row r="669" spans="1:21">
      <c r="A669" s="17" t="str">
        <f>Cleaned_Data!A669</f>
        <v>MEM0668</v>
      </c>
      <c r="B669" s="18" t="str">
        <f ca="1">Cleaned_Data!D669</f>
        <v>BR02</v>
      </c>
      <c r="C669" s="18" t="str">
        <f ca="1">Cleaned_Data!E669</f>
        <v>Premium</v>
      </c>
      <c r="D669" s="19">
        <f>Cleaned_Data!F669</f>
        <v>45231</v>
      </c>
      <c r="E669" s="19">
        <f>Cleaned_Data!G669</f>
        <v>45321</v>
      </c>
      <c r="F669" s="18">
        <f>Cleaned_Data!H669</f>
        <v>3500</v>
      </c>
      <c r="G669" s="18">
        <f ca="1">Cleaned_Data!I669</f>
        <v>35000</v>
      </c>
      <c r="H669" s="18">
        <f>Cleaned_Data!J669</f>
        <v>19</v>
      </c>
      <c r="I669" s="18" t="str">
        <f>Cleaned_Data!M669</f>
        <v>Active</v>
      </c>
      <c r="J669" s="20">
        <f>Cleaned_Data!N669</f>
        <v>45663</v>
      </c>
      <c r="K669" t="str">
        <f t="shared" si="100"/>
        <v>Highly Active</v>
      </c>
      <c r="L669" s="5" t="str">
        <f>IF(COUNTIF($A$2:A669,A669)&gt;1,"Duplicate","Unique")</f>
        <v>Unique</v>
      </c>
      <c r="M669" t="str">
        <f t="shared" si="101"/>
        <v>2023-11</v>
      </c>
      <c r="N669" s="2">
        <f t="shared" ca="1" si="102"/>
        <v>45663</v>
      </c>
      <c r="O669" s="4">
        <f t="shared" ca="1" si="103"/>
        <v>14</v>
      </c>
      <c r="P669" s="4">
        <f t="shared" ca="1" si="104"/>
        <v>466</v>
      </c>
      <c r="Q669">
        <f t="shared" ca="1" si="105"/>
        <v>1</v>
      </c>
      <c r="R669">
        <f t="shared" si="106"/>
        <v>4</v>
      </c>
      <c r="S669">
        <f t="shared" ca="1" si="107"/>
        <v>5</v>
      </c>
      <c r="T669" t="str">
        <f t="shared" ca="1" si="108"/>
        <v>145</v>
      </c>
      <c r="U669" t="str">
        <f t="shared" ca="1" si="109"/>
        <v>At Risk</v>
      </c>
    </row>
    <row r="670" spans="1:21">
      <c r="A670" s="13" t="str">
        <f>Cleaned_Data!A670</f>
        <v>MEM0669</v>
      </c>
      <c r="B670" s="14" t="str">
        <f ca="1">Cleaned_Data!D670</f>
        <v>BR06</v>
      </c>
      <c r="C670" s="14" t="str">
        <f ca="1">Cleaned_Data!E670</f>
        <v>Basic</v>
      </c>
      <c r="D670" s="15">
        <f>Cleaned_Data!F670</f>
        <v>45712</v>
      </c>
      <c r="E670" s="15">
        <f>Cleaned_Data!G670</f>
        <v>45742</v>
      </c>
      <c r="F670" s="14">
        <f>Cleaned_Data!H670</f>
        <v>1000</v>
      </c>
      <c r="G670" s="14">
        <f ca="1">Cleaned_Data!I670</f>
        <v>6000</v>
      </c>
      <c r="H670" s="14">
        <f>Cleaned_Data!J670</f>
        <v>14</v>
      </c>
      <c r="I670" s="14" t="str">
        <f>Cleaned_Data!M670</f>
        <v>Active</v>
      </c>
      <c r="J670" s="16">
        <f>Cleaned_Data!N670</f>
        <v>45719</v>
      </c>
      <c r="K670" t="str">
        <f t="shared" si="100"/>
        <v>Moderate</v>
      </c>
      <c r="L670" s="5" t="str">
        <f>IF(COUNTIF($A$2:A670,A670)&gt;1,"Duplicate","Unique")</f>
        <v>Unique</v>
      </c>
      <c r="M670" t="str">
        <f t="shared" si="101"/>
        <v>2025-02</v>
      </c>
      <c r="N670" s="2">
        <f t="shared" ca="1" si="102"/>
        <v>45719</v>
      </c>
      <c r="O670" s="4">
        <f t="shared" ca="1" si="103"/>
        <v>0</v>
      </c>
      <c r="P670" s="4">
        <f t="shared" ca="1" si="104"/>
        <v>410</v>
      </c>
      <c r="Q670">
        <f t="shared" ca="1" si="105"/>
        <v>1</v>
      </c>
      <c r="R670">
        <f t="shared" si="106"/>
        <v>3</v>
      </c>
      <c r="S670">
        <f t="shared" ca="1" si="107"/>
        <v>3</v>
      </c>
      <c r="T670" t="str">
        <f t="shared" ca="1" si="108"/>
        <v>133</v>
      </c>
      <c r="U670" t="str">
        <f t="shared" ca="1" si="109"/>
        <v>At Risk</v>
      </c>
    </row>
    <row r="671" spans="1:21">
      <c r="A671" s="17" t="str">
        <f>Cleaned_Data!A671</f>
        <v>MEM0670</v>
      </c>
      <c r="B671" s="18" t="str">
        <f ca="1">Cleaned_Data!D671</f>
        <v>BR07</v>
      </c>
      <c r="C671" s="18" t="str">
        <f ca="1">Cleaned_Data!E671</f>
        <v>Basic</v>
      </c>
      <c r="D671" s="19">
        <f>Cleaned_Data!F671</f>
        <v>45422</v>
      </c>
      <c r="E671" s="19">
        <f>Cleaned_Data!G671</f>
        <v>45787</v>
      </c>
      <c r="F671" s="18">
        <f>Cleaned_Data!H671</f>
        <v>2000</v>
      </c>
      <c r="G671" s="18">
        <f ca="1">Cleaned_Data!I671</f>
        <v>24000</v>
      </c>
      <c r="H671" s="18">
        <f>Cleaned_Data!J671</f>
        <v>7</v>
      </c>
      <c r="I671" s="18" t="str">
        <f>Cleaned_Data!M671</f>
        <v>Active</v>
      </c>
      <c r="J671" s="20">
        <f>Cleaned_Data!N671</f>
        <v>46006</v>
      </c>
      <c r="K671" t="str">
        <f t="shared" si="100"/>
        <v>Moderate</v>
      </c>
      <c r="L671" s="5" t="str">
        <f>IF(COUNTIF($A$2:A671,A671)&gt;1,"Duplicate","Unique")</f>
        <v>Unique</v>
      </c>
      <c r="M671" t="str">
        <f t="shared" si="101"/>
        <v>2024-05</v>
      </c>
      <c r="N671" s="2">
        <f t="shared" ca="1" si="102"/>
        <v>46006</v>
      </c>
      <c r="O671" s="4">
        <f t="shared" ca="1" si="103"/>
        <v>19</v>
      </c>
      <c r="P671" s="4">
        <f t="shared" ca="1" si="104"/>
        <v>123</v>
      </c>
      <c r="Q671">
        <f t="shared" ca="1" si="105"/>
        <v>3</v>
      </c>
      <c r="R671">
        <f t="shared" si="106"/>
        <v>2</v>
      </c>
      <c r="S671">
        <f t="shared" ca="1" si="107"/>
        <v>5</v>
      </c>
      <c r="T671" t="str">
        <f t="shared" ca="1" si="108"/>
        <v>325</v>
      </c>
      <c r="U671" t="str">
        <f t="shared" ca="1" si="109"/>
        <v>Others</v>
      </c>
    </row>
    <row r="672" spans="1:21">
      <c r="A672" s="13" t="str">
        <f>Cleaned_Data!A672</f>
        <v>MEM0671</v>
      </c>
      <c r="B672" s="14" t="str">
        <f ca="1">Cleaned_Data!D672</f>
        <v>BR03</v>
      </c>
      <c r="C672" s="14" t="str">
        <f ca="1">Cleaned_Data!E672</f>
        <v>Basic</v>
      </c>
      <c r="D672" s="15">
        <f>Cleaned_Data!F672</f>
        <v>44996</v>
      </c>
      <c r="E672" s="15">
        <f>Cleaned_Data!G672</f>
        <v>45361</v>
      </c>
      <c r="F672" s="14">
        <f>Cleaned_Data!H672</f>
        <v>1000</v>
      </c>
      <c r="G672" s="14">
        <f ca="1">Cleaned_Data!I672</f>
        <v>12000</v>
      </c>
      <c r="H672" s="14">
        <f>Cleaned_Data!J672</f>
        <v>0</v>
      </c>
      <c r="I672" s="14" t="str">
        <f>Cleaned_Data!M672</f>
        <v>Active</v>
      </c>
      <c r="J672" s="16">
        <f>Cleaned_Data!N672</f>
        <v>45479</v>
      </c>
      <c r="K672" t="str">
        <f t="shared" si="100"/>
        <v>At Risk</v>
      </c>
      <c r="L672" s="5" t="str">
        <f>IF(COUNTIF($A$2:A672,A672)&gt;1,"Duplicate","Unique")</f>
        <v>Unique</v>
      </c>
      <c r="M672" t="str">
        <f t="shared" si="101"/>
        <v>2023-03</v>
      </c>
      <c r="N672" s="2">
        <f t="shared" ca="1" si="102"/>
        <v>45479</v>
      </c>
      <c r="O672" s="4">
        <f t="shared" ca="1" si="103"/>
        <v>15</v>
      </c>
      <c r="P672" s="4">
        <f t="shared" ca="1" si="104"/>
        <v>650</v>
      </c>
      <c r="Q672">
        <f t="shared" ca="1" si="105"/>
        <v>1</v>
      </c>
      <c r="R672">
        <f t="shared" si="106"/>
        <v>1</v>
      </c>
      <c r="S672">
        <f t="shared" ca="1" si="107"/>
        <v>4</v>
      </c>
      <c r="T672" t="str">
        <f t="shared" ca="1" si="108"/>
        <v>114</v>
      </c>
      <c r="U672" t="str">
        <f t="shared" ca="1" si="109"/>
        <v>At Risk</v>
      </c>
    </row>
    <row r="673" spans="1:21">
      <c r="A673" s="17" t="str">
        <f>Cleaned_Data!A673</f>
        <v>MEM0672</v>
      </c>
      <c r="B673" s="18" t="str">
        <f ca="1">Cleaned_Data!D673</f>
        <v>BR01</v>
      </c>
      <c r="C673" s="18" t="str">
        <f ca="1">Cleaned_Data!E673</f>
        <v>Basic</v>
      </c>
      <c r="D673" s="19">
        <f>Cleaned_Data!F673</f>
        <v>45495</v>
      </c>
      <c r="E673" s="19">
        <f>Cleaned_Data!G673</f>
        <v>45585</v>
      </c>
      <c r="F673" s="18">
        <f>Cleaned_Data!H673</f>
        <v>3500</v>
      </c>
      <c r="G673" s="18">
        <f ca="1">Cleaned_Data!I673</f>
        <v>3500</v>
      </c>
      <c r="H673" s="18">
        <f>Cleaned_Data!J673</f>
        <v>9</v>
      </c>
      <c r="I673" s="18" t="str">
        <f>Cleaned_Data!M673</f>
        <v>Active</v>
      </c>
      <c r="J673" s="20">
        <f>Cleaned_Data!N673</f>
        <v>45980</v>
      </c>
      <c r="K673" t="str">
        <f t="shared" si="100"/>
        <v>Moderate</v>
      </c>
      <c r="L673" s="5" t="str">
        <f>IF(COUNTIF($A$2:A673,A673)&gt;1,"Duplicate","Unique")</f>
        <v>Unique</v>
      </c>
      <c r="M673" t="str">
        <f t="shared" si="101"/>
        <v>2024-07</v>
      </c>
      <c r="N673" s="2">
        <f t="shared" ca="1" si="102"/>
        <v>45980</v>
      </c>
      <c r="O673" s="4">
        <f t="shared" ca="1" si="103"/>
        <v>15</v>
      </c>
      <c r="P673" s="4">
        <f t="shared" ca="1" si="104"/>
        <v>149</v>
      </c>
      <c r="Q673">
        <f t="shared" ca="1" si="105"/>
        <v>3</v>
      </c>
      <c r="R673">
        <f t="shared" si="106"/>
        <v>2</v>
      </c>
      <c r="S673">
        <f t="shared" ca="1" si="107"/>
        <v>2</v>
      </c>
      <c r="T673" t="str">
        <f t="shared" ca="1" si="108"/>
        <v>322</v>
      </c>
      <c r="U673" t="str">
        <f t="shared" ca="1" si="109"/>
        <v>Others</v>
      </c>
    </row>
    <row r="674" spans="1:21">
      <c r="A674" s="13" t="str">
        <f>Cleaned_Data!A674</f>
        <v>MEM0673</v>
      </c>
      <c r="B674" s="14" t="str">
        <f ca="1">Cleaned_Data!D674</f>
        <v>BR05</v>
      </c>
      <c r="C674" s="14" t="str">
        <f ca="1">Cleaned_Data!E674</f>
        <v>Premium</v>
      </c>
      <c r="D674" s="15">
        <f>Cleaned_Data!F674</f>
        <v>45728</v>
      </c>
      <c r="E674" s="15">
        <f>Cleaned_Data!G674</f>
        <v>45758</v>
      </c>
      <c r="F674" s="14">
        <f>Cleaned_Data!H674</f>
        <v>1000</v>
      </c>
      <c r="G674" s="14">
        <f ca="1">Cleaned_Data!I674</f>
        <v>2000</v>
      </c>
      <c r="H674" s="14">
        <f>Cleaned_Data!J674</f>
        <v>0</v>
      </c>
      <c r="I674" s="14" t="str">
        <f>Cleaned_Data!M674</f>
        <v>Cancelled</v>
      </c>
      <c r="J674" s="16">
        <f>Cleaned_Data!N674</f>
        <v>45920</v>
      </c>
      <c r="K674" t="str">
        <f t="shared" si="100"/>
        <v>At Risk</v>
      </c>
      <c r="L674" s="5" t="str">
        <f>IF(COUNTIF($A$2:A674,A674)&gt;1,"Duplicate","Unique")</f>
        <v>Unique</v>
      </c>
      <c r="M674" t="str">
        <f t="shared" si="101"/>
        <v>2025-03</v>
      </c>
      <c r="N674" s="2">
        <f t="shared" ca="1" si="102"/>
        <v>45920</v>
      </c>
      <c r="O674" s="4">
        <f t="shared" ca="1" si="103"/>
        <v>6</v>
      </c>
      <c r="P674" s="4">
        <f t="shared" ca="1" si="104"/>
        <v>209</v>
      </c>
      <c r="Q674">
        <f t="shared" ca="1" si="105"/>
        <v>2</v>
      </c>
      <c r="R674">
        <f t="shared" si="106"/>
        <v>1</v>
      </c>
      <c r="S674">
        <f t="shared" ca="1" si="107"/>
        <v>2</v>
      </c>
      <c r="T674" t="str">
        <f t="shared" ca="1" si="108"/>
        <v>212</v>
      </c>
      <c r="U674" t="str">
        <f t="shared" ca="1" si="109"/>
        <v>At Risk</v>
      </c>
    </row>
    <row r="675" spans="1:21">
      <c r="A675" s="17" t="str">
        <f>Cleaned_Data!A675</f>
        <v>MEM0674</v>
      </c>
      <c r="B675" s="18" t="str">
        <f ca="1">Cleaned_Data!D675</f>
        <v>BR01</v>
      </c>
      <c r="C675" s="18" t="str">
        <f ca="1">Cleaned_Data!E675</f>
        <v>Basic</v>
      </c>
      <c r="D675" s="19">
        <f>Cleaned_Data!F675</f>
        <v>45325</v>
      </c>
      <c r="E675" s="19">
        <f>Cleaned_Data!G675</f>
        <v>45355</v>
      </c>
      <c r="F675" s="18">
        <f>Cleaned_Data!H675</f>
        <v>2000</v>
      </c>
      <c r="G675" s="18">
        <f ca="1">Cleaned_Data!I675</f>
        <v>14000</v>
      </c>
      <c r="H675" s="18">
        <f>Cleaned_Data!J675</f>
        <v>22</v>
      </c>
      <c r="I675" s="18" t="str">
        <f>Cleaned_Data!M675</f>
        <v>Active</v>
      </c>
      <c r="J675" s="20">
        <f>Cleaned_Data!N675</f>
        <v>45680</v>
      </c>
      <c r="K675" t="str">
        <f t="shared" si="100"/>
        <v>Highly Active</v>
      </c>
      <c r="L675" s="5" t="str">
        <f>IF(COUNTIF($A$2:A675,A675)&gt;1,"Duplicate","Unique")</f>
        <v>Unique</v>
      </c>
      <c r="M675" t="str">
        <f t="shared" si="101"/>
        <v>2024-02</v>
      </c>
      <c r="N675" s="2">
        <f t="shared" ca="1" si="102"/>
        <v>45680</v>
      </c>
      <c r="O675" s="4">
        <f t="shared" ca="1" si="103"/>
        <v>11</v>
      </c>
      <c r="P675" s="4">
        <f t="shared" ca="1" si="104"/>
        <v>449</v>
      </c>
      <c r="Q675">
        <f t="shared" ca="1" si="105"/>
        <v>1</v>
      </c>
      <c r="R675">
        <f t="shared" si="106"/>
        <v>5</v>
      </c>
      <c r="S675">
        <f t="shared" ca="1" si="107"/>
        <v>4</v>
      </c>
      <c r="T675" t="str">
        <f t="shared" ca="1" si="108"/>
        <v>154</v>
      </c>
      <c r="U675" t="str">
        <f t="shared" ca="1" si="109"/>
        <v>At Risk</v>
      </c>
    </row>
    <row r="676" spans="1:21">
      <c r="A676" s="13" t="str">
        <f>Cleaned_Data!A676</f>
        <v>MEM0675</v>
      </c>
      <c r="B676" s="14" t="str">
        <f ca="1">Cleaned_Data!D676</f>
        <v>BR06</v>
      </c>
      <c r="C676" s="14" t="str">
        <f ca="1">Cleaned_Data!E676</f>
        <v>Standard</v>
      </c>
      <c r="D676" s="15">
        <f>Cleaned_Data!F676</f>
        <v>45876</v>
      </c>
      <c r="E676" s="15">
        <f>Cleaned_Data!G676</f>
        <v>45906</v>
      </c>
      <c r="F676" s="14">
        <f>Cleaned_Data!H676</f>
        <v>3500</v>
      </c>
      <c r="G676" s="14">
        <f ca="1">Cleaned_Data!I676</f>
        <v>7000</v>
      </c>
      <c r="H676" s="14">
        <f>Cleaned_Data!J676</f>
        <v>9</v>
      </c>
      <c r="I676" s="14" t="str">
        <f>Cleaned_Data!M676</f>
        <v>Active</v>
      </c>
      <c r="J676" s="16">
        <f>Cleaned_Data!N676</f>
        <v>45889</v>
      </c>
      <c r="K676" t="str">
        <f t="shared" si="100"/>
        <v>Moderate</v>
      </c>
      <c r="L676" s="5" t="str">
        <f>IF(COUNTIF($A$2:A676,A676)&gt;1,"Duplicate","Unique")</f>
        <v>Unique</v>
      </c>
      <c r="M676" t="str">
        <f t="shared" si="101"/>
        <v>2025-08</v>
      </c>
      <c r="N676" s="2">
        <f t="shared" ca="1" si="102"/>
        <v>45889</v>
      </c>
      <c r="O676" s="4">
        <f t="shared" ca="1" si="103"/>
        <v>0</v>
      </c>
      <c r="P676" s="4">
        <f t="shared" ca="1" si="104"/>
        <v>240</v>
      </c>
      <c r="Q676">
        <f t="shared" ca="1" si="105"/>
        <v>2</v>
      </c>
      <c r="R676">
        <f t="shared" si="106"/>
        <v>2</v>
      </c>
      <c r="S676">
        <f t="shared" ca="1" si="107"/>
        <v>3</v>
      </c>
      <c r="T676" t="str">
        <f t="shared" ca="1" si="108"/>
        <v>223</v>
      </c>
      <c r="U676" t="str">
        <f t="shared" ca="1" si="109"/>
        <v>At Risk</v>
      </c>
    </row>
    <row r="677" spans="1:21">
      <c r="A677" s="17" t="str">
        <f>Cleaned_Data!A677</f>
        <v>MEM0676</v>
      </c>
      <c r="B677" s="18" t="str">
        <f ca="1">Cleaned_Data!D677</f>
        <v>BR07</v>
      </c>
      <c r="C677" s="18" t="str">
        <f ca="1">Cleaned_Data!E677</f>
        <v>Basic</v>
      </c>
      <c r="D677" s="19">
        <f>Cleaned_Data!F677</f>
        <v>46010</v>
      </c>
      <c r="E677" s="19">
        <f>Cleaned_Data!G677</f>
        <v>46375</v>
      </c>
      <c r="F677" s="18">
        <f>Cleaned_Data!H677</f>
        <v>1000</v>
      </c>
      <c r="G677" s="18">
        <f ca="1">Cleaned_Data!I677</f>
        <v>12000</v>
      </c>
      <c r="H677" s="18">
        <f>Cleaned_Data!J677</f>
        <v>6</v>
      </c>
      <c r="I677" s="18" t="str">
        <f>Cleaned_Data!M677</f>
        <v>Cancelled</v>
      </c>
      <c r="J677" s="20">
        <f>Cleaned_Data!N677</f>
        <v>46087</v>
      </c>
      <c r="K677" t="str">
        <f t="shared" si="100"/>
        <v>Moderate</v>
      </c>
      <c r="L677" s="5" t="str">
        <f>IF(COUNTIF($A$2:A677,A677)&gt;1,"Duplicate","Unique")</f>
        <v>Unique</v>
      </c>
      <c r="M677" t="str">
        <f t="shared" si="101"/>
        <v>2025-12</v>
      </c>
      <c r="N677" s="2">
        <f t="shared" ca="1" si="102"/>
        <v>46087</v>
      </c>
      <c r="O677" s="4">
        <f t="shared" ca="1" si="103"/>
        <v>2</v>
      </c>
      <c r="P677" s="4">
        <f t="shared" ca="1" si="104"/>
        <v>42</v>
      </c>
      <c r="Q677">
        <f t="shared" ca="1" si="105"/>
        <v>4</v>
      </c>
      <c r="R677">
        <f t="shared" si="106"/>
        <v>2</v>
      </c>
      <c r="S677">
        <f t="shared" ca="1" si="107"/>
        <v>4</v>
      </c>
      <c r="T677" t="str">
        <f t="shared" ca="1" si="108"/>
        <v>424</v>
      </c>
      <c r="U677" t="str">
        <f t="shared" ca="1" si="109"/>
        <v>Others</v>
      </c>
    </row>
    <row r="678" spans="1:21">
      <c r="A678" s="13" t="str">
        <f>Cleaned_Data!A678</f>
        <v>MEM0677</v>
      </c>
      <c r="B678" s="14" t="str">
        <f ca="1">Cleaned_Data!D678</f>
        <v>BR06</v>
      </c>
      <c r="C678" s="14" t="str">
        <f ca="1">Cleaned_Data!E678</f>
        <v>Basic</v>
      </c>
      <c r="D678" s="15">
        <f>Cleaned_Data!F678</f>
        <v>45454</v>
      </c>
      <c r="E678" s="15">
        <f>Cleaned_Data!G678</f>
        <v>45484</v>
      </c>
      <c r="F678" s="14">
        <f>Cleaned_Data!H678</f>
        <v>1000</v>
      </c>
      <c r="G678" s="14">
        <f ca="1">Cleaned_Data!I678</f>
        <v>11000</v>
      </c>
      <c r="H678" s="14">
        <f>Cleaned_Data!J678</f>
        <v>8</v>
      </c>
      <c r="I678" s="14" t="str">
        <f>Cleaned_Data!M678</f>
        <v>Active</v>
      </c>
      <c r="J678" s="16">
        <f>Cleaned_Data!N678</f>
        <v>45844</v>
      </c>
      <c r="K678" t="str">
        <f t="shared" si="100"/>
        <v>Moderate</v>
      </c>
      <c r="L678" s="5" t="str">
        <f>IF(COUNTIF($A$2:A678,A678)&gt;1,"Duplicate","Unique")</f>
        <v>Unique</v>
      </c>
      <c r="M678" t="str">
        <f t="shared" si="101"/>
        <v>2024-06</v>
      </c>
      <c r="N678" s="2">
        <f t="shared" ca="1" si="102"/>
        <v>45844</v>
      </c>
      <c r="O678" s="4">
        <f t="shared" ca="1" si="103"/>
        <v>12</v>
      </c>
      <c r="P678" s="4">
        <f t="shared" ca="1" si="104"/>
        <v>285</v>
      </c>
      <c r="Q678">
        <f t="shared" ca="1" si="105"/>
        <v>2</v>
      </c>
      <c r="R678">
        <f t="shared" si="106"/>
        <v>2</v>
      </c>
      <c r="S678">
        <f t="shared" ca="1" si="107"/>
        <v>4</v>
      </c>
      <c r="T678" t="str">
        <f t="shared" ca="1" si="108"/>
        <v>224</v>
      </c>
      <c r="U678" t="str">
        <f t="shared" ca="1" si="109"/>
        <v>At Risk</v>
      </c>
    </row>
    <row r="679" spans="1:21">
      <c r="A679" s="17" t="str">
        <f>Cleaned_Data!A679</f>
        <v>MEM0678</v>
      </c>
      <c r="B679" s="18" t="str">
        <f ca="1">Cleaned_Data!D679</f>
        <v>BR03</v>
      </c>
      <c r="C679" s="18" t="str">
        <f ca="1">Cleaned_Data!E679</f>
        <v>Standard</v>
      </c>
      <c r="D679" s="19">
        <f>Cleaned_Data!F679</f>
        <v>45686</v>
      </c>
      <c r="E679" s="19">
        <f>Cleaned_Data!G679</f>
        <v>45716</v>
      </c>
      <c r="F679" s="18">
        <f>Cleaned_Data!H679</f>
        <v>1000</v>
      </c>
      <c r="G679" s="18">
        <f ca="1">Cleaned_Data!I679</f>
        <v>1000</v>
      </c>
      <c r="H679" s="18">
        <f>Cleaned_Data!J679</f>
        <v>21</v>
      </c>
      <c r="I679" s="18" t="str">
        <f>Cleaned_Data!M679</f>
        <v>Active</v>
      </c>
      <c r="J679" s="20">
        <f>Cleaned_Data!N679</f>
        <v>45857</v>
      </c>
      <c r="K679" t="str">
        <f t="shared" si="100"/>
        <v>Highly Active</v>
      </c>
      <c r="L679" s="5" t="str">
        <f>IF(COUNTIF($A$2:A679,A679)&gt;1,"Duplicate","Unique")</f>
        <v>Unique</v>
      </c>
      <c r="M679" t="str">
        <f t="shared" si="101"/>
        <v>2025-01</v>
      </c>
      <c r="N679" s="2">
        <f t="shared" ca="1" si="102"/>
        <v>45857</v>
      </c>
      <c r="O679" s="4">
        <f t="shared" ca="1" si="103"/>
        <v>5</v>
      </c>
      <c r="P679" s="4">
        <f t="shared" ca="1" si="104"/>
        <v>272</v>
      </c>
      <c r="Q679">
        <f t="shared" ca="1" si="105"/>
        <v>2</v>
      </c>
      <c r="R679">
        <f t="shared" si="106"/>
        <v>5</v>
      </c>
      <c r="S679">
        <f t="shared" ca="1" si="107"/>
        <v>1</v>
      </c>
      <c r="T679" t="str">
        <f t="shared" ca="1" si="108"/>
        <v>251</v>
      </c>
      <c r="U679" t="str">
        <f t="shared" ca="1" si="109"/>
        <v>At Risk</v>
      </c>
    </row>
    <row r="680" spans="1:21">
      <c r="A680" s="13" t="str">
        <f>Cleaned_Data!A680</f>
        <v>MEM0679</v>
      </c>
      <c r="B680" s="14" t="str">
        <f ca="1">Cleaned_Data!D680</f>
        <v>BR07</v>
      </c>
      <c r="C680" s="14" t="str">
        <f ca="1">Cleaned_Data!E680</f>
        <v>Premium</v>
      </c>
      <c r="D680" s="15">
        <f>Cleaned_Data!F680</f>
        <v>45343</v>
      </c>
      <c r="E680" s="15">
        <f>Cleaned_Data!G680</f>
        <v>45708</v>
      </c>
      <c r="F680" s="14">
        <f>Cleaned_Data!H680</f>
        <v>2000</v>
      </c>
      <c r="G680" s="14">
        <f ca="1">Cleaned_Data!I680</f>
        <v>8000</v>
      </c>
      <c r="H680" s="14">
        <f>Cleaned_Data!J680</f>
        <v>20</v>
      </c>
      <c r="I680" s="14" t="str">
        <f>Cleaned_Data!M680</f>
        <v>Cancelled</v>
      </c>
      <c r="J680" s="16">
        <f>Cleaned_Data!N680</f>
        <v>45745</v>
      </c>
      <c r="K680" t="str">
        <f t="shared" si="100"/>
        <v>Highly Active</v>
      </c>
      <c r="L680" s="5" t="str">
        <f>IF(COUNTIF($A$2:A680,A680)&gt;1,"Duplicate","Unique")</f>
        <v>Unique</v>
      </c>
      <c r="M680" t="str">
        <f t="shared" si="101"/>
        <v>2024-02</v>
      </c>
      <c r="N680" s="2">
        <f t="shared" ca="1" si="102"/>
        <v>45745</v>
      </c>
      <c r="O680" s="4">
        <f t="shared" ca="1" si="103"/>
        <v>13</v>
      </c>
      <c r="P680" s="4">
        <f t="shared" ca="1" si="104"/>
        <v>384</v>
      </c>
      <c r="Q680">
        <f t="shared" ca="1" si="105"/>
        <v>1</v>
      </c>
      <c r="R680">
        <f t="shared" si="106"/>
        <v>5</v>
      </c>
      <c r="S680">
        <f t="shared" ca="1" si="107"/>
        <v>3</v>
      </c>
      <c r="T680" t="str">
        <f t="shared" ca="1" si="108"/>
        <v>153</v>
      </c>
      <c r="U680" t="str">
        <f t="shared" ca="1" si="109"/>
        <v>At Risk</v>
      </c>
    </row>
    <row r="681" spans="1:21">
      <c r="A681" s="17" t="str">
        <f>Cleaned_Data!A681</f>
        <v>MEM0680</v>
      </c>
      <c r="B681" s="18" t="str">
        <f ca="1">Cleaned_Data!D681</f>
        <v>BR05</v>
      </c>
      <c r="C681" s="18" t="str">
        <f ca="1">Cleaned_Data!E681</f>
        <v>Basic</v>
      </c>
      <c r="D681" s="19">
        <f>Cleaned_Data!F681</f>
        <v>45618</v>
      </c>
      <c r="E681" s="19">
        <f>Cleaned_Data!G681</f>
        <v>45708</v>
      </c>
      <c r="F681" s="18">
        <f>Cleaned_Data!H681</f>
        <v>3500</v>
      </c>
      <c r="G681" s="18">
        <f ca="1">Cleaned_Data!I681</f>
        <v>17500</v>
      </c>
      <c r="H681" s="18">
        <f>Cleaned_Data!J681</f>
        <v>22</v>
      </c>
      <c r="I681" s="18" t="str">
        <f>Cleaned_Data!M681</f>
        <v>Active</v>
      </c>
      <c r="J681" s="20">
        <f>Cleaned_Data!N681</f>
        <v>46038</v>
      </c>
      <c r="K681" t="str">
        <f t="shared" si="100"/>
        <v>Highly Active</v>
      </c>
      <c r="L681" s="5" t="str">
        <f>IF(COUNTIF($A$2:A681,A681)&gt;1,"Duplicate","Unique")</f>
        <v>Unique</v>
      </c>
      <c r="M681" t="str">
        <f t="shared" si="101"/>
        <v>2024-11</v>
      </c>
      <c r="N681" s="2">
        <f t="shared" ca="1" si="102"/>
        <v>46038</v>
      </c>
      <c r="O681" s="4">
        <f t="shared" ca="1" si="103"/>
        <v>13</v>
      </c>
      <c r="P681" s="4">
        <f t="shared" ca="1" si="104"/>
        <v>91</v>
      </c>
      <c r="Q681">
        <f t="shared" ca="1" si="105"/>
        <v>3</v>
      </c>
      <c r="R681">
        <f t="shared" si="106"/>
        <v>5</v>
      </c>
      <c r="S681">
        <f t="shared" ca="1" si="107"/>
        <v>4</v>
      </c>
      <c r="T681" t="str">
        <f t="shared" ca="1" si="108"/>
        <v>354</v>
      </c>
      <c r="U681" t="str">
        <f t="shared" ca="1" si="109"/>
        <v>Loyal</v>
      </c>
    </row>
    <row r="682" spans="1:21">
      <c r="A682" s="13" t="str">
        <f>Cleaned_Data!A682</f>
        <v>MEM0681</v>
      </c>
      <c r="B682" s="14" t="str">
        <f ca="1">Cleaned_Data!D682</f>
        <v>BR05</v>
      </c>
      <c r="C682" s="14" t="str">
        <f ca="1">Cleaned_Data!E682</f>
        <v>Premium</v>
      </c>
      <c r="D682" s="15">
        <f>Cleaned_Data!F682</f>
        <v>45939</v>
      </c>
      <c r="E682" s="15">
        <f>Cleaned_Data!G682</f>
        <v>45969</v>
      </c>
      <c r="F682" s="14">
        <f>Cleaned_Data!H682</f>
        <v>3500</v>
      </c>
      <c r="G682" s="14">
        <f ca="1">Cleaned_Data!I682</f>
        <v>24500</v>
      </c>
      <c r="H682" s="14">
        <f>Cleaned_Data!J682</f>
        <v>4</v>
      </c>
      <c r="I682" s="14" t="str">
        <f>Cleaned_Data!M682</f>
        <v>Cancelled</v>
      </c>
      <c r="J682" s="16">
        <f>Cleaned_Data!N682</f>
        <v>45961</v>
      </c>
      <c r="K682" t="str">
        <f t="shared" si="100"/>
        <v>At Risk</v>
      </c>
      <c r="L682" s="5" t="str">
        <f>IF(COUNTIF($A$2:A682,A682)&gt;1,"Duplicate","Unique")</f>
        <v>Unique</v>
      </c>
      <c r="M682" t="str">
        <f t="shared" si="101"/>
        <v>2025-10</v>
      </c>
      <c r="N682" s="2">
        <f t="shared" ca="1" si="102"/>
        <v>45961</v>
      </c>
      <c r="O682" s="4">
        <f t="shared" ca="1" si="103"/>
        <v>0</v>
      </c>
      <c r="P682" s="4">
        <f t="shared" ca="1" si="104"/>
        <v>168</v>
      </c>
      <c r="Q682">
        <f t="shared" ca="1" si="105"/>
        <v>3</v>
      </c>
      <c r="R682">
        <f t="shared" si="106"/>
        <v>1</v>
      </c>
      <c r="S682">
        <f t="shared" ca="1" si="107"/>
        <v>5</v>
      </c>
      <c r="T682" t="str">
        <f t="shared" ca="1" si="108"/>
        <v>315</v>
      </c>
      <c r="U682" t="str">
        <f t="shared" ca="1" si="109"/>
        <v>Others</v>
      </c>
    </row>
    <row r="683" spans="1:21">
      <c r="A683" s="17" t="str">
        <f>Cleaned_Data!A683</f>
        <v>MEM0682</v>
      </c>
      <c r="B683" s="18" t="str">
        <f ca="1">Cleaned_Data!D683</f>
        <v>BR05</v>
      </c>
      <c r="C683" s="18" t="str">
        <f ca="1">Cleaned_Data!E683</f>
        <v>Premium</v>
      </c>
      <c r="D683" s="19">
        <f>Cleaned_Data!F683</f>
        <v>44969</v>
      </c>
      <c r="E683" s="19">
        <f>Cleaned_Data!G683</f>
        <v>44999</v>
      </c>
      <c r="F683" s="18">
        <f>Cleaned_Data!H683</f>
        <v>3500</v>
      </c>
      <c r="G683" s="18">
        <f ca="1">Cleaned_Data!I683</f>
        <v>28000</v>
      </c>
      <c r="H683" s="18">
        <f>Cleaned_Data!J683</f>
        <v>3</v>
      </c>
      <c r="I683" s="18" t="str">
        <f>Cleaned_Data!M683</f>
        <v>Active</v>
      </c>
      <c r="J683" s="20">
        <f>Cleaned_Data!N683</f>
        <v>45850</v>
      </c>
      <c r="K683" t="str">
        <f t="shared" si="100"/>
        <v>At Risk</v>
      </c>
      <c r="L683" s="5" t="str">
        <f>IF(COUNTIF($A$2:A683,A683)&gt;1,"Duplicate","Unique")</f>
        <v>Unique</v>
      </c>
      <c r="M683" t="str">
        <f t="shared" si="101"/>
        <v>2023-02</v>
      </c>
      <c r="N683" s="2">
        <f t="shared" ca="1" si="102"/>
        <v>45850</v>
      </c>
      <c r="O683" s="4">
        <f t="shared" ca="1" si="103"/>
        <v>29</v>
      </c>
      <c r="P683" s="4">
        <f t="shared" ca="1" si="104"/>
        <v>279</v>
      </c>
      <c r="Q683">
        <f t="shared" ca="1" si="105"/>
        <v>2</v>
      </c>
      <c r="R683">
        <f t="shared" si="106"/>
        <v>1</v>
      </c>
      <c r="S683">
        <f t="shared" ca="1" si="107"/>
        <v>5</v>
      </c>
      <c r="T683" t="str">
        <f t="shared" ca="1" si="108"/>
        <v>215</v>
      </c>
      <c r="U683" t="str">
        <f t="shared" ca="1" si="109"/>
        <v>At Risk</v>
      </c>
    </row>
    <row r="684" spans="1:21">
      <c r="A684" s="13" t="str">
        <f>Cleaned_Data!A684</f>
        <v>MEM0683</v>
      </c>
      <c r="B684" s="14" t="str">
        <f ca="1">Cleaned_Data!D684</f>
        <v>BR01</v>
      </c>
      <c r="C684" s="14" t="str">
        <f ca="1">Cleaned_Data!E684</f>
        <v>Premium</v>
      </c>
      <c r="D684" s="15">
        <f>Cleaned_Data!F684</f>
        <v>45619</v>
      </c>
      <c r="E684" s="15">
        <f>Cleaned_Data!G684</f>
        <v>45984</v>
      </c>
      <c r="F684" s="14">
        <f>Cleaned_Data!H684</f>
        <v>3500</v>
      </c>
      <c r="G684" s="14">
        <f ca="1">Cleaned_Data!I684</f>
        <v>42000</v>
      </c>
      <c r="H684" s="14">
        <f>Cleaned_Data!J684</f>
        <v>12</v>
      </c>
      <c r="I684" s="14" t="str">
        <f>Cleaned_Data!M684</f>
        <v>Active</v>
      </c>
      <c r="J684" s="16">
        <f>Cleaned_Data!N684</f>
        <v>46062</v>
      </c>
      <c r="K684" t="str">
        <f t="shared" si="100"/>
        <v>Moderate</v>
      </c>
      <c r="L684" s="5" t="str">
        <f>IF(COUNTIF($A$2:A684,A684)&gt;1,"Duplicate","Unique")</f>
        <v>Unique</v>
      </c>
      <c r="M684" t="str">
        <f t="shared" si="101"/>
        <v>2024-11</v>
      </c>
      <c r="N684" s="2">
        <f t="shared" ca="1" si="102"/>
        <v>46062</v>
      </c>
      <c r="O684" s="4">
        <f t="shared" ca="1" si="103"/>
        <v>14</v>
      </c>
      <c r="P684" s="4">
        <f t="shared" ca="1" si="104"/>
        <v>67</v>
      </c>
      <c r="Q684">
        <f t="shared" ca="1" si="105"/>
        <v>4</v>
      </c>
      <c r="R684">
        <f t="shared" si="106"/>
        <v>3</v>
      </c>
      <c r="S684">
        <f t="shared" ca="1" si="107"/>
        <v>5</v>
      </c>
      <c r="T684" t="str">
        <f t="shared" ca="1" si="108"/>
        <v>435</v>
      </c>
      <c r="U684" t="str">
        <f t="shared" ca="1" si="109"/>
        <v>Loyal</v>
      </c>
    </row>
    <row r="685" spans="1:21">
      <c r="A685" s="17" t="str">
        <f>Cleaned_Data!A685</f>
        <v>MEM0684</v>
      </c>
      <c r="B685" s="18" t="str">
        <f ca="1">Cleaned_Data!D685</f>
        <v>BR07</v>
      </c>
      <c r="C685" s="18" t="str">
        <f ca="1">Cleaned_Data!E685</f>
        <v>Basic</v>
      </c>
      <c r="D685" s="19">
        <f>Cleaned_Data!F685</f>
        <v>45226</v>
      </c>
      <c r="E685" s="19">
        <f>Cleaned_Data!G685</f>
        <v>45316</v>
      </c>
      <c r="F685" s="18">
        <f>Cleaned_Data!H685</f>
        <v>2000</v>
      </c>
      <c r="G685" s="18">
        <f ca="1">Cleaned_Data!I685</f>
        <v>24000</v>
      </c>
      <c r="H685" s="18">
        <f>Cleaned_Data!J685</f>
        <v>16</v>
      </c>
      <c r="I685" s="18" t="str">
        <f>Cleaned_Data!M685</f>
        <v>Active</v>
      </c>
      <c r="J685" s="20">
        <f>Cleaned_Data!N685</f>
        <v>45328</v>
      </c>
      <c r="K685" t="str">
        <f t="shared" si="100"/>
        <v>Highly Active</v>
      </c>
      <c r="L685" s="5" t="str">
        <f>IF(COUNTIF($A$2:A685,A685)&gt;1,"Duplicate","Unique")</f>
        <v>Unique</v>
      </c>
      <c r="M685" t="str">
        <f t="shared" si="101"/>
        <v>2023-10</v>
      </c>
      <c r="N685" s="2">
        <f t="shared" ca="1" si="102"/>
        <v>45328</v>
      </c>
      <c r="O685" s="4">
        <f t="shared" ca="1" si="103"/>
        <v>3</v>
      </c>
      <c r="P685" s="4">
        <f t="shared" ca="1" si="104"/>
        <v>801</v>
      </c>
      <c r="Q685">
        <f t="shared" ca="1" si="105"/>
        <v>1</v>
      </c>
      <c r="R685">
        <f t="shared" si="106"/>
        <v>4</v>
      </c>
      <c r="S685">
        <f t="shared" ca="1" si="107"/>
        <v>5</v>
      </c>
      <c r="T685" t="str">
        <f t="shared" ca="1" si="108"/>
        <v>145</v>
      </c>
      <c r="U685" t="str">
        <f t="shared" ca="1" si="109"/>
        <v>At Risk</v>
      </c>
    </row>
    <row r="686" spans="1:21">
      <c r="A686" s="13" t="str">
        <f>Cleaned_Data!A686</f>
        <v>MEM0685</v>
      </c>
      <c r="B686" s="14" t="str">
        <f ca="1">Cleaned_Data!D686</f>
        <v>BR03</v>
      </c>
      <c r="C686" s="14" t="str">
        <f ca="1">Cleaned_Data!E686</f>
        <v>Standard</v>
      </c>
      <c r="D686" s="15">
        <f>Cleaned_Data!F686</f>
        <v>46053</v>
      </c>
      <c r="E686" s="15">
        <f>Cleaned_Data!G686</f>
        <v>46143</v>
      </c>
      <c r="F686" s="14">
        <f>Cleaned_Data!H686</f>
        <v>2000</v>
      </c>
      <c r="G686" s="14">
        <f ca="1">Cleaned_Data!I686</f>
        <v>8000</v>
      </c>
      <c r="H686" s="14">
        <f>Cleaned_Data!J686</f>
        <v>2</v>
      </c>
      <c r="I686" s="14" t="str">
        <f>Cleaned_Data!M686</f>
        <v>Cancelled</v>
      </c>
      <c r="J686" s="16">
        <f>Cleaned_Data!N686</f>
        <v>46072</v>
      </c>
      <c r="K686" t="str">
        <f t="shared" si="100"/>
        <v>At Risk</v>
      </c>
      <c r="L686" s="5" t="str">
        <f>IF(COUNTIF($A$2:A686,A686)&gt;1,"Duplicate","Unique")</f>
        <v>Unique</v>
      </c>
      <c r="M686" t="str">
        <f t="shared" si="101"/>
        <v>2026-01</v>
      </c>
      <c r="N686" s="2">
        <f t="shared" ca="1" si="102"/>
        <v>46072</v>
      </c>
      <c r="O686" s="4">
        <f t="shared" ca="1" si="103"/>
        <v>0</v>
      </c>
      <c r="P686" s="4">
        <f t="shared" ca="1" si="104"/>
        <v>57</v>
      </c>
      <c r="Q686">
        <f t="shared" ca="1" si="105"/>
        <v>4</v>
      </c>
      <c r="R686">
        <f t="shared" si="106"/>
        <v>1</v>
      </c>
      <c r="S686">
        <f t="shared" ca="1" si="107"/>
        <v>3</v>
      </c>
      <c r="T686" t="str">
        <f t="shared" ca="1" si="108"/>
        <v>413</v>
      </c>
      <c r="U686" t="str">
        <f t="shared" ca="1" si="109"/>
        <v>Others</v>
      </c>
    </row>
    <row r="687" spans="1:21">
      <c r="A687" s="17" t="str">
        <f>Cleaned_Data!A687</f>
        <v>MEM0686</v>
      </c>
      <c r="B687" s="18" t="str">
        <f ca="1">Cleaned_Data!D687</f>
        <v>BR01</v>
      </c>
      <c r="C687" s="18" t="str">
        <f ca="1">Cleaned_Data!E687</f>
        <v>Standard</v>
      </c>
      <c r="D687" s="19">
        <f>Cleaned_Data!F687</f>
        <v>46051</v>
      </c>
      <c r="E687" s="19">
        <f>Cleaned_Data!G687</f>
        <v>46416</v>
      </c>
      <c r="F687" s="18">
        <f>Cleaned_Data!H687</f>
        <v>1000</v>
      </c>
      <c r="G687" s="18">
        <f ca="1">Cleaned_Data!I687</f>
        <v>3000</v>
      </c>
      <c r="H687" s="18">
        <f>Cleaned_Data!J687</f>
        <v>7</v>
      </c>
      <c r="I687" s="18" t="str">
        <f>Cleaned_Data!M687</f>
        <v>Active</v>
      </c>
      <c r="J687" s="20">
        <f>Cleaned_Data!N687</f>
        <v>46102</v>
      </c>
      <c r="K687" t="str">
        <f t="shared" si="100"/>
        <v>Moderate</v>
      </c>
      <c r="L687" s="5" t="str">
        <f>IF(COUNTIF($A$2:A687,A687)&gt;1,"Duplicate","Unique")</f>
        <v>Unique</v>
      </c>
      <c r="M687" t="str">
        <f t="shared" si="101"/>
        <v>2026-01</v>
      </c>
      <c r="N687" s="2">
        <f t="shared" ca="1" si="102"/>
        <v>46102</v>
      </c>
      <c r="O687" s="4">
        <f t="shared" ca="1" si="103"/>
        <v>1</v>
      </c>
      <c r="P687" s="4">
        <f t="shared" ca="1" si="104"/>
        <v>27</v>
      </c>
      <c r="Q687">
        <f t="shared" ca="1" si="105"/>
        <v>5</v>
      </c>
      <c r="R687">
        <f t="shared" si="106"/>
        <v>2</v>
      </c>
      <c r="S687">
        <f t="shared" ca="1" si="107"/>
        <v>2</v>
      </c>
      <c r="T687" t="str">
        <f t="shared" ca="1" si="108"/>
        <v>522</v>
      </c>
      <c r="U687" t="str">
        <f t="shared" ca="1" si="109"/>
        <v>Others</v>
      </c>
    </row>
    <row r="688" spans="1:21">
      <c r="A688" s="13" t="str">
        <f>Cleaned_Data!A688</f>
        <v>MEM0687</v>
      </c>
      <c r="B688" s="14" t="str">
        <f ca="1">Cleaned_Data!D688</f>
        <v>BR01</v>
      </c>
      <c r="C688" s="14" t="str">
        <f ca="1">Cleaned_Data!E688</f>
        <v>Premium</v>
      </c>
      <c r="D688" s="15">
        <f>Cleaned_Data!F688</f>
        <v>45000</v>
      </c>
      <c r="E688" s="15">
        <f>Cleaned_Data!G688</f>
        <v>45090</v>
      </c>
      <c r="F688" s="14">
        <f>Cleaned_Data!H688</f>
        <v>2000</v>
      </c>
      <c r="G688" s="14">
        <f ca="1">Cleaned_Data!I688</f>
        <v>16000</v>
      </c>
      <c r="H688" s="14">
        <f>Cleaned_Data!J688</f>
        <v>4</v>
      </c>
      <c r="I688" s="14" t="str">
        <f>Cleaned_Data!M688</f>
        <v>Active</v>
      </c>
      <c r="J688" s="16">
        <f>Cleaned_Data!N688</f>
        <v>45026</v>
      </c>
      <c r="K688" t="str">
        <f t="shared" si="100"/>
        <v>At Risk</v>
      </c>
      <c r="L688" s="5" t="str">
        <f>IF(COUNTIF($A$2:A688,A688)&gt;1,"Duplicate","Unique")</f>
        <v>Unique</v>
      </c>
      <c r="M688" t="str">
        <f t="shared" si="101"/>
        <v>2023-03</v>
      </c>
      <c r="N688" s="2">
        <f t="shared" ca="1" si="102"/>
        <v>45026</v>
      </c>
      <c r="O688" s="4">
        <f t="shared" ca="1" si="103"/>
        <v>0</v>
      </c>
      <c r="P688" s="4">
        <f t="shared" ca="1" si="104"/>
        <v>1103</v>
      </c>
      <c r="Q688">
        <f t="shared" ca="1" si="105"/>
        <v>1</v>
      </c>
      <c r="R688">
        <f t="shared" si="106"/>
        <v>1</v>
      </c>
      <c r="S688">
        <f t="shared" ca="1" si="107"/>
        <v>4</v>
      </c>
      <c r="T688" t="str">
        <f t="shared" ca="1" si="108"/>
        <v>114</v>
      </c>
      <c r="U688" t="str">
        <f t="shared" ca="1" si="109"/>
        <v>At Risk</v>
      </c>
    </row>
    <row r="689" spans="1:21">
      <c r="A689" s="17" t="str">
        <f>Cleaned_Data!A689</f>
        <v>MEM0688</v>
      </c>
      <c r="B689" s="18" t="str">
        <f ca="1">Cleaned_Data!D689</f>
        <v>BR07</v>
      </c>
      <c r="C689" s="18" t="str">
        <f ca="1">Cleaned_Data!E689</f>
        <v>Standard</v>
      </c>
      <c r="D689" s="19">
        <f>Cleaned_Data!F689</f>
        <v>44958</v>
      </c>
      <c r="E689" s="19">
        <f>Cleaned_Data!G689</f>
        <v>44988</v>
      </c>
      <c r="F689" s="18">
        <f>Cleaned_Data!H689</f>
        <v>3500</v>
      </c>
      <c r="G689" s="18">
        <f ca="1">Cleaned_Data!I689</f>
        <v>3500</v>
      </c>
      <c r="H689" s="18">
        <f>Cleaned_Data!J689</f>
        <v>5</v>
      </c>
      <c r="I689" s="18" t="str">
        <f>Cleaned_Data!M689</f>
        <v>Active</v>
      </c>
      <c r="J689" s="20">
        <f>Cleaned_Data!N689</f>
        <v>45912</v>
      </c>
      <c r="K689" t="str">
        <f t="shared" si="100"/>
        <v>Moderate</v>
      </c>
      <c r="L689" s="5" t="str">
        <f>IF(COUNTIF($A$2:A689,A689)&gt;1,"Duplicate","Unique")</f>
        <v>Unique</v>
      </c>
      <c r="M689" t="str">
        <f t="shared" si="101"/>
        <v>2023-02</v>
      </c>
      <c r="N689" s="2">
        <f t="shared" ca="1" si="102"/>
        <v>45912</v>
      </c>
      <c r="O689" s="4">
        <f t="shared" ca="1" si="103"/>
        <v>31</v>
      </c>
      <c r="P689" s="4">
        <f t="shared" ca="1" si="104"/>
        <v>217</v>
      </c>
      <c r="Q689">
        <f t="shared" ca="1" si="105"/>
        <v>2</v>
      </c>
      <c r="R689">
        <f t="shared" si="106"/>
        <v>2</v>
      </c>
      <c r="S689">
        <f t="shared" ca="1" si="107"/>
        <v>2</v>
      </c>
      <c r="T689" t="str">
        <f t="shared" ca="1" si="108"/>
        <v>222</v>
      </c>
      <c r="U689" t="str">
        <f t="shared" ca="1" si="109"/>
        <v>At Risk</v>
      </c>
    </row>
    <row r="690" spans="1:21">
      <c r="A690" s="13" t="str">
        <f>Cleaned_Data!A690</f>
        <v>MEM0689</v>
      </c>
      <c r="B690" s="14" t="str">
        <f ca="1">Cleaned_Data!D690</f>
        <v>BR05</v>
      </c>
      <c r="C690" s="14" t="str">
        <f ca="1">Cleaned_Data!E690</f>
        <v>Premium</v>
      </c>
      <c r="D690" s="15">
        <f>Cleaned_Data!F690</f>
        <v>45178</v>
      </c>
      <c r="E690" s="15">
        <f>Cleaned_Data!G690</f>
        <v>45268</v>
      </c>
      <c r="F690" s="14">
        <f>Cleaned_Data!H690</f>
        <v>2000</v>
      </c>
      <c r="G690" s="14">
        <f ca="1">Cleaned_Data!I690</f>
        <v>8000</v>
      </c>
      <c r="H690" s="14">
        <f>Cleaned_Data!J690</f>
        <v>0</v>
      </c>
      <c r="I690" s="14" t="str">
        <f>Cleaned_Data!M690</f>
        <v>Active</v>
      </c>
      <c r="J690" s="16">
        <f>Cleaned_Data!N690</f>
        <v>45281</v>
      </c>
      <c r="K690" t="str">
        <f t="shared" si="100"/>
        <v>At Risk</v>
      </c>
      <c r="L690" s="5" t="str">
        <f>IF(COUNTIF($A$2:A690,A690)&gt;1,"Duplicate","Unique")</f>
        <v>Unique</v>
      </c>
      <c r="M690" t="str">
        <f t="shared" si="101"/>
        <v>2023-09</v>
      </c>
      <c r="N690" s="2">
        <f t="shared" ca="1" si="102"/>
        <v>45281</v>
      </c>
      <c r="O690" s="4">
        <f t="shared" ca="1" si="103"/>
        <v>3</v>
      </c>
      <c r="P690" s="4">
        <f t="shared" ca="1" si="104"/>
        <v>848</v>
      </c>
      <c r="Q690">
        <f t="shared" ca="1" si="105"/>
        <v>1</v>
      </c>
      <c r="R690">
        <f t="shared" si="106"/>
        <v>1</v>
      </c>
      <c r="S690">
        <f t="shared" ca="1" si="107"/>
        <v>3</v>
      </c>
      <c r="T690" t="str">
        <f t="shared" ca="1" si="108"/>
        <v>113</v>
      </c>
      <c r="U690" t="str">
        <f t="shared" ca="1" si="109"/>
        <v>At Risk</v>
      </c>
    </row>
    <row r="691" spans="1:21">
      <c r="A691" s="17" t="str">
        <f>Cleaned_Data!A691</f>
        <v>MEM0690</v>
      </c>
      <c r="B691" s="18" t="str">
        <f ca="1">Cleaned_Data!D691</f>
        <v>BR07</v>
      </c>
      <c r="C691" s="18" t="str">
        <f ca="1">Cleaned_Data!E691</f>
        <v>Premium</v>
      </c>
      <c r="D691" s="19">
        <f>Cleaned_Data!F691</f>
        <v>46035</v>
      </c>
      <c r="E691" s="19">
        <f>Cleaned_Data!G691</f>
        <v>46400</v>
      </c>
      <c r="F691" s="18">
        <f>Cleaned_Data!H691</f>
        <v>3500</v>
      </c>
      <c r="G691" s="18">
        <f ca="1">Cleaned_Data!I691</f>
        <v>3500</v>
      </c>
      <c r="H691" s="18">
        <f>Cleaned_Data!J691</f>
        <v>20</v>
      </c>
      <c r="I691" s="18" t="str">
        <f>Cleaned_Data!M691</f>
        <v>Cancelled</v>
      </c>
      <c r="J691" s="20">
        <f>Cleaned_Data!N691</f>
        <v>46116</v>
      </c>
      <c r="K691" t="str">
        <f t="shared" si="100"/>
        <v>Highly Active</v>
      </c>
      <c r="L691" s="5" t="str">
        <f>IF(COUNTIF($A$2:A691,A691)&gt;1,"Duplicate","Unique")</f>
        <v>Unique</v>
      </c>
      <c r="M691" t="str">
        <f t="shared" si="101"/>
        <v>2026-01</v>
      </c>
      <c r="N691" s="2">
        <f t="shared" ca="1" si="102"/>
        <v>46116</v>
      </c>
      <c r="O691" s="4">
        <f t="shared" ca="1" si="103"/>
        <v>2</v>
      </c>
      <c r="P691" s="4">
        <f t="shared" ca="1" si="104"/>
        <v>13</v>
      </c>
      <c r="Q691">
        <f t="shared" ca="1" si="105"/>
        <v>5</v>
      </c>
      <c r="R691">
        <f t="shared" si="106"/>
        <v>5</v>
      </c>
      <c r="S691">
        <f t="shared" ca="1" si="107"/>
        <v>2</v>
      </c>
      <c r="T691" t="str">
        <f t="shared" ca="1" si="108"/>
        <v>552</v>
      </c>
      <c r="U691" t="str">
        <f t="shared" ca="1" si="109"/>
        <v>Others</v>
      </c>
    </row>
    <row r="692" spans="1:21">
      <c r="A692" s="13" t="str">
        <f>Cleaned_Data!A692</f>
        <v>MEM0691</v>
      </c>
      <c r="B692" s="14" t="str">
        <f ca="1">Cleaned_Data!D692</f>
        <v>BR07</v>
      </c>
      <c r="C692" s="14" t="str">
        <f ca="1">Cleaned_Data!E692</f>
        <v>Basic</v>
      </c>
      <c r="D692" s="15">
        <f>Cleaned_Data!F692</f>
        <v>44934</v>
      </c>
      <c r="E692" s="15">
        <f>Cleaned_Data!G692</f>
        <v>45299</v>
      </c>
      <c r="F692" s="14">
        <f>Cleaned_Data!H692</f>
        <v>1000</v>
      </c>
      <c r="G692" s="14">
        <f ca="1">Cleaned_Data!I692</f>
        <v>12000</v>
      </c>
      <c r="H692" s="14">
        <f>Cleaned_Data!J692</f>
        <v>19</v>
      </c>
      <c r="I692" s="14" t="str">
        <f>Cleaned_Data!M692</f>
        <v>Active</v>
      </c>
      <c r="J692" s="16">
        <f>Cleaned_Data!N692</f>
        <v>45606</v>
      </c>
      <c r="K692" t="str">
        <f t="shared" si="100"/>
        <v>Highly Active</v>
      </c>
      <c r="L692" s="5" t="str">
        <f>IF(COUNTIF($A$2:A692,A692)&gt;1,"Duplicate","Unique")</f>
        <v>Unique</v>
      </c>
      <c r="M692" t="str">
        <f t="shared" si="101"/>
        <v>2023-01</v>
      </c>
      <c r="N692" s="2">
        <f t="shared" ca="1" si="102"/>
        <v>45606</v>
      </c>
      <c r="O692" s="4">
        <f t="shared" ca="1" si="103"/>
        <v>22</v>
      </c>
      <c r="P692" s="4">
        <f t="shared" ca="1" si="104"/>
        <v>523</v>
      </c>
      <c r="Q692">
        <f t="shared" ca="1" si="105"/>
        <v>1</v>
      </c>
      <c r="R692">
        <f t="shared" si="106"/>
        <v>4</v>
      </c>
      <c r="S692">
        <f t="shared" ca="1" si="107"/>
        <v>4</v>
      </c>
      <c r="T692" t="str">
        <f t="shared" ca="1" si="108"/>
        <v>144</v>
      </c>
      <c r="U692" t="str">
        <f t="shared" ca="1" si="109"/>
        <v>At Risk</v>
      </c>
    </row>
    <row r="693" spans="1:21">
      <c r="A693" s="17" t="str">
        <f>Cleaned_Data!A693</f>
        <v>MEM0692</v>
      </c>
      <c r="B693" s="18" t="str">
        <f ca="1">Cleaned_Data!D693</f>
        <v>BR02</v>
      </c>
      <c r="C693" s="18" t="str">
        <f ca="1">Cleaned_Data!E693</f>
        <v>Basic</v>
      </c>
      <c r="D693" s="19">
        <f>Cleaned_Data!F693</f>
        <v>45994</v>
      </c>
      <c r="E693" s="19">
        <f>Cleaned_Data!G693</f>
        <v>46024</v>
      </c>
      <c r="F693" s="18">
        <f>Cleaned_Data!H693</f>
        <v>1000</v>
      </c>
      <c r="G693" s="18">
        <f ca="1">Cleaned_Data!I693</f>
        <v>6000</v>
      </c>
      <c r="H693" s="18">
        <f>Cleaned_Data!J693</f>
        <v>6</v>
      </c>
      <c r="I693" s="18" t="str">
        <f>Cleaned_Data!M693</f>
        <v>Active</v>
      </c>
      <c r="J693" s="20">
        <f>Cleaned_Data!N693</f>
        <v>46063</v>
      </c>
      <c r="K693" t="str">
        <f t="shared" si="100"/>
        <v>Moderate</v>
      </c>
      <c r="L693" s="5" t="str">
        <f>IF(COUNTIF($A$2:A693,A693)&gt;1,"Duplicate","Unique")</f>
        <v>Unique</v>
      </c>
      <c r="M693" t="str">
        <f t="shared" si="101"/>
        <v>2025-12</v>
      </c>
      <c r="N693" s="2">
        <f t="shared" ca="1" si="102"/>
        <v>46063</v>
      </c>
      <c r="O693" s="4">
        <f t="shared" ca="1" si="103"/>
        <v>2</v>
      </c>
      <c r="P693" s="4">
        <f t="shared" ca="1" si="104"/>
        <v>66</v>
      </c>
      <c r="Q693">
        <f t="shared" ca="1" si="105"/>
        <v>4</v>
      </c>
      <c r="R693">
        <f t="shared" si="106"/>
        <v>2</v>
      </c>
      <c r="S693">
        <f t="shared" ca="1" si="107"/>
        <v>3</v>
      </c>
      <c r="T693" t="str">
        <f t="shared" ca="1" si="108"/>
        <v>423</v>
      </c>
      <c r="U693" t="str">
        <f t="shared" ca="1" si="109"/>
        <v>Others</v>
      </c>
    </row>
    <row r="694" spans="1:21">
      <c r="A694" s="13" t="str">
        <f>Cleaned_Data!A694</f>
        <v>MEM0693</v>
      </c>
      <c r="B694" s="14" t="str">
        <f ca="1">Cleaned_Data!D694</f>
        <v>BR02</v>
      </c>
      <c r="C694" s="14" t="str">
        <f ca="1">Cleaned_Data!E694</f>
        <v>Premium</v>
      </c>
      <c r="D694" s="15">
        <f>Cleaned_Data!F694</f>
        <v>45381</v>
      </c>
      <c r="E694" s="15">
        <f>Cleaned_Data!G694</f>
        <v>45411</v>
      </c>
      <c r="F694" s="14">
        <f>Cleaned_Data!H694</f>
        <v>2000</v>
      </c>
      <c r="G694" s="14">
        <f ca="1">Cleaned_Data!I694</f>
        <v>22000</v>
      </c>
      <c r="H694" s="14">
        <f>Cleaned_Data!J694</f>
        <v>0</v>
      </c>
      <c r="I694" s="14" t="str">
        <f>Cleaned_Data!M694</f>
        <v>Active</v>
      </c>
      <c r="J694" s="16">
        <f>Cleaned_Data!N694</f>
        <v>46077</v>
      </c>
      <c r="K694" t="str">
        <f t="shared" si="100"/>
        <v>At Risk</v>
      </c>
      <c r="L694" s="5" t="str">
        <f>IF(COUNTIF($A$2:A694,A694)&gt;1,"Duplicate","Unique")</f>
        <v>Unique</v>
      </c>
      <c r="M694" t="str">
        <f t="shared" si="101"/>
        <v>2024-03</v>
      </c>
      <c r="N694" s="2">
        <f t="shared" ca="1" si="102"/>
        <v>46077</v>
      </c>
      <c r="O694" s="4">
        <f t="shared" ca="1" si="103"/>
        <v>22</v>
      </c>
      <c r="P694" s="4">
        <f t="shared" ca="1" si="104"/>
        <v>52</v>
      </c>
      <c r="Q694">
        <f t="shared" ca="1" si="105"/>
        <v>4</v>
      </c>
      <c r="R694">
        <f t="shared" si="106"/>
        <v>1</v>
      </c>
      <c r="S694">
        <f t="shared" ca="1" si="107"/>
        <v>5</v>
      </c>
      <c r="T694" t="str">
        <f t="shared" ca="1" si="108"/>
        <v>415</v>
      </c>
      <c r="U694" t="str">
        <f t="shared" ca="1" si="109"/>
        <v>Others</v>
      </c>
    </row>
    <row r="695" spans="1:21">
      <c r="A695" s="17" t="str">
        <f>Cleaned_Data!A695</f>
        <v>MEM0694</v>
      </c>
      <c r="B695" s="18" t="str">
        <f ca="1">Cleaned_Data!D695</f>
        <v>BR06</v>
      </c>
      <c r="C695" s="18" t="str">
        <f ca="1">Cleaned_Data!E695</f>
        <v>Basic</v>
      </c>
      <c r="D695" s="19">
        <f>Cleaned_Data!F695</f>
        <v>45328</v>
      </c>
      <c r="E695" s="19">
        <f>Cleaned_Data!G695</f>
        <v>45418</v>
      </c>
      <c r="F695" s="18">
        <f>Cleaned_Data!H695</f>
        <v>1000</v>
      </c>
      <c r="G695" s="18">
        <f ca="1">Cleaned_Data!I695</f>
        <v>8000</v>
      </c>
      <c r="H695" s="18">
        <f>Cleaned_Data!J695</f>
        <v>8</v>
      </c>
      <c r="I695" s="18" t="str">
        <f>Cleaned_Data!M695</f>
        <v>Active</v>
      </c>
      <c r="J695" s="20">
        <f>Cleaned_Data!N695</f>
        <v>46040</v>
      </c>
      <c r="K695" t="str">
        <f t="shared" si="100"/>
        <v>Moderate</v>
      </c>
      <c r="L695" s="5" t="str">
        <f>IF(COUNTIF($A$2:A695,A695)&gt;1,"Duplicate","Unique")</f>
        <v>Unique</v>
      </c>
      <c r="M695" t="str">
        <f t="shared" si="101"/>
        <v>2024-02</v>
      </c>
      <c r="N695" s="2">
        <f t="shared" ca="1" si="102"/>
        <v>46040</v>
      </c>
      <c r="O695" s="4">
        <f t="shared" ca="1" si="103"/>
        <v>23</v>
      </c>
      <c r="P695" s="4">
        <f t="shared" ca="1" si="104"/>
        <v>89</v>
      </c>
      <c r="Q695">
        <f t="shared" ca="1" si="105"/>
        <v>4</v>
      </c>
      <c r="R695">
        <f t="shared" si="106"/>
        <v>2</v>
      </c>
      <c r="S695">
        <f t="shared" ca="1" si="107"/>
        <v>3</v>
      </c>
      <c r="T695" t="str">
        <f t="shared" ca="1" si="108"/>
        <v>423</v>
      </c>
      <c r="U695" t="str">
        <f t="shared" ca="1" si="109"/>
        <v>Others</v>
      </c>
    </row>
    <row r="696" spans="1:21">
      <c r="A696" s="13" t="str">
        <f>Cleaned_Data!A696</f>
        <v>MEM0695</v>
      </c>
      <c r="B696" s="14" t="str">
        <f ca="1">Cleaned_Data!D696</f>
        <v>BR06</v>
      </c>
      <c r="C696" s="14" t="str">
        <f ca="1">Cleaned_Data!E696</f>
        <v>Standard</v>
      </c>
      <c r="D696" s="15">
        <f>Cleaned_Data!F696</f>
        <v>45413</v>
      </c>
      <c r="E696" s="15">
        <f>Cleaned_Data!G696</f>
        <v>45778</v>
      </c>
      <c r="F696" s="14">
        <f>Cleaned_Data!H696</f>
        <v>3500</v>
      </c>
      <c r="G696" s="14">
        <f ca="1">Cleaned_Data!I696</f>
        <v>7000</v>
      </c>
      <c r="H696" s="14">
        <f>Cleaned_Data!J696</f>
        <v>14</v>
      </c>
      <c r="I696" s="14" t="str">
        <f>Cleaned_Data!M696</f>
        <v>Active</v>
      </c>
      <c r="J696" s="16">
        <f>Cleaned_Data!N696</f>
        <v>45492</v>
      </c>
      <c r="K696" t="str">
        <f t="shared" si="100"/>
        <v>Moderate</v>
      </c>
      <c r="L696" s="5" t="str">
        <f>IF(COUNTIF($A$2:A696,A696)&gt;1,"Duplicate","Unique")</f>
        <v>Unique</v>
      </c>
      <c r="M696" t="str">
        <f t="shared" si="101"/>
        <v>2024-05</v>
      </c>
      <c r="N696" s="2">
        <f t="shared" ca="1" si="102"/>
        <v>45492</v>
      </c>
      <c r="O696" s="4">
        <f t="shared" ca="1" si="103"/>
        <v>2</v>
      </c>
      <c r="P696" s="4">
        <f t="shared" ca="1" si="104"/>
        <v>637</v>
      </c>
      <c r="Q696">
        <f t="shared" ca="1" si="105"/>
        <v>1</v>
      </c>
      <c r="R696">
        <f t="shared" si="106"/>
        <v>3</v>
      </c>
      <c r="S696">
        <f t="shared" ca="1" si="107"/>
        <v>3</v>
      </c>
      <c r="T696" t="str">
        <f t="shared" ca="1" si="108"/>
        <v>133</v>
      </c>
      <c r="U696" t="str">
        <f t="shared" ca="1" si="109"/>
        <v>At Risk</v>
      </c>
    </row>
    <row r="697" spans="1:21">
      <c r="A697" s="17" t="str">
        <f>Cleaned_Data!A697</f>
        <v>MEM0696</v>
      </c>
      <c r="B697" s="18" t="str">
        <f ca="1">Cleaned_Data!D697</f>
        <v>BR04</v>
      </c>
      <c r="C697" s="18" t="str">
        <f ca="1">Cleaned_Data!E697</f>
        <v>Standard</v>
      </c>
      <c r="D697" s="19">
        <f>Cleaned_Data!F697</f>
        <v>45355</v>
      </c>
      <c r="E697" s="19">
        <f>Cleaned_Data!G697</f>
        <v>45445</v>
      </c>
      <c r="F697" s="18">
        <f>Cleaned_Data!H697</f>
        <v>3500</v>
      </c>
      <c r="G697" s="18">
        <f ca="1">Cleaned_Data!I697</f>
        <v>31500</v>
      </c>
      <c r="H697" s="18">
        <f>Cleaned_Data!J697</f>
        <v>23</v>
      </c>
      <c r="I697" s="18" t="str">
        <f>Cleaned_Data!M697</f>
        <v>Active</v>
      </c>
      <c r="J697" s="20">
        <f>Cleaned_Data!N697</f>
        <v>45445</v>
      </c>
      <c r="K697" t="str">
        <f t="shared" si="100"/>
        <v>Highly Active</v>
      </c>
      <c r="L697" s="5" t="str">
        <f>IF(COUNTIF($A$2:A697,A697)&gt;1,"Duplicate","Unique")</f>
        <v>Unique</v>
      </c>
      <c r="M697" t="str">
        <f t="shared" si="101"/>
        <v>2024-03</v>
      </c>
      <c r="N697" s="2">
        <f t="shared" ca="1" si="102"/>
        <v>45445</v>
      </c>
      <c r="O697" s="4">
        <f t="shared" ca="1" si="103"/>
        <v>2</v>
      </c>
      <c r="P697" s="4">
        <f t="shared" ca="1" si="104"/>
        <v>684</v>
      </c>
      <c r="Q697">
        <f t="shared" ca="1" si="105"/>
        <v>1</v>
      </c>
      <c r="R697">
        <f t="shared" si="106"/>
        <v>5</v>
      </c>
      <c r="S697">
        <f t="shared" ca="1" si="107"/>
        <v>5</v>
      </c>
      <c r="T697" t="str">
        <f t="shared" ca="1" si="108"/>
        <v>155</v>
      </c>
      <c r="U697" t="str">
        <f t="shared" ca="1" si="109"/>
        <v>At Risk</v>
      </c>
    </row>
    <row r="698" spans="1:21">
      <c r="A698" s="13" t="str">
        <f>Cleaned_Data!A698</f>
        <v>MEM0697</v>
      </c>
      <c r="B698" s="14" t="str">
        <f ca="1">Cleaned_Data!D698</f>
        <v>BR06</v>
      </c>
      <c r="C698" s="14" t="str">
        <f ca="1">Cleaned_Data!E698</f>
        <v>Basic</v>
      </c>
      <c r="D698" s="15">
        <f>Cleaned_Data!F698</f>
        <v>46004</v>
      </c>
      <c r="E698" s="15">
        <f>Cleaned_Data!G698</f>
        <v>46034</v>
      </c>
      <c r="F698" s="14">
        <f>Cleaned_Data!H698</f>
        <v>1000</v>
      </c>
      <c r="G698" s="14">
        <f ca="1">Cleaned_Data!I698</f>
        <v>7000</v>
      </c>
      <c r="H698" s="14">
        <f>Cleaned_Data!J698</f>
        <v>6</v>
      </c>
      <c r="I698" s="14" t="str">
        <f>Cleaned_Data!M698</f>
        <v>Active</v>
      </c>
      <c r="J698" s="16">
        <f>Cleaned_Data!N698</f>
        <v>46098</v>
      </c>
      <c r="K698" t="str">
        <f t="shared" si="100"/>
        <v>Moderate</v>
      </c>
      <c r="L698" s="5" t="str">
        <f>IF(COUNTIF($A$2:A698,A698)&gt;1,"Duplicate","Unique")</f>
        <v>Unique</v>
      </c>
      <c r="M698" t="str">
        <f t="shared" si="101"/>
        <v>2025-12</v>
      </c>
      <c r="N698" s="2">
        <f t="shared" ca="1" si="102"/>
        <v>46098</v>
      </c>
      <c r="O698" s="4">
        <f t="shared" ca="1" si="103"/>
        <v>3</v>
      </c>
      <c r="P698" s="4">
        <f t="shared" ca="1" si="104"/>
        <v>31</v>
      </c>
      <c r="Q698">
        <f t="shared" ca="1" si="105"/>
        <v>4</v>
      </c>
      <c r="R698">
        <f t="shared" si="106"/>
        <v>2</v>
      </c>
      <c r="S698">
        <f t="shared" ca="1" si="107"/>
        <v>3</v>
      </c>
      <c r="T698" t="str">
        <f t="shared" ca="1" si="108"/>
        <v>423</v>
      </c>
      <c r="U698" t="str">
        <f t="shared" ca="1" si="109"/>
        <v>Others</v>
      </c>
    </row>
    <row r="699" spans="1:21">
      <c r="A699" s="17" t="str">
        <f>Cleaned_Data!A699</f>
        <v>MEM0698</v>
      </c>
      <c r="B699" s="18" t="str">
        <f ca="1">Cleaned_Data!D699</f>
        <v>BR01</v>
      </c>
      <c r="C699" s="18" t="str">
        <f ca="1">Cleaned_Data!E699</f>
        <v>Basic</v>
      </c>
      <c r="D699" s="19">
        <f>Cleaned_Data!F699</f>
        <v>45735</v>
      </c>
      <c r="E699" s="19">
        <f>Cleaned_Data!G699</f>
        <v>46100</v>
      </c>
      <c r="F699" s="18">
        <f>Cleaned_Data!H699</f>
        <v>3500</v>
      </c>
      <c r="G699" s="18">
        <f ca="1">Cleaned_Data!I699</f>
        <v>42000</v>
      </c>
      <c r="H699" s="18">
        <f>Cleaned_Data!J699</f>
        <v>22</v>
      </c>
      <c r="I699" s="18" t="str">
        <f>Cleaned_Data!M699</f>
        <v>Active</v>
      </c>
      <c r="J699" s="20">
        <f>Cleaned_Data!N699</f>
        <v>46027</v>
      </c>
      <c r="K699" t="str">
        <f t="shared" si="100"/>
        <v>Highly Active</v>
      </c>
      <c r="L699" s="5" t="str">
        <f>IF(COUNTIF($A$2:A699,A699)&gt;1,"Duplicate","Unique")</f>
        <v>Unique</v>
      </c>
      <c r="M699" t="str">
        <f t="shared" si="101"/>
        <v>2025-03</v>
      </c>
      <c r="N699" s="2">
        <f t="shared" ca="1" si="102"/>
        <v>46027</v>
      </c>
      <c r="O699" s="4">
        <f t="shared" ca="1" si="103"/>
        <v>9</v>
      </c>
      <c r="P699" s="4">
        <f t="shared" ca="1" si="104"/>
        <v>102</v>
      </c>
      <c r="Q699">
        <f t="shared" ca="1" si="105"/>
        <v>3</v>
      </c>
      <c r="R699">
        <f t="shared" si="106"/>
        <v>5</v>
      </c>
      <c r="S699">
        <f t="shared" ca="1" si="107"/>
        <v>5</v>
      </c>
      <c r="T699" t="str">
        <f t="shared" ca="1" si="108"/>
        <v>355</v>
      </c>
      <c r="U699" t="str">
        <f t="shared" ca="1" si="109"/>
        <v>Loyal</v>
      </c>
    </row>
    <row r="700" spans="1:21">
      <c r="A700" s="13" t="str">
        <f>Cleaned_Data!A700</f>
        <v>MEM0699</v>
      </c>
      <c r="B700" s="14" t="str">
        <f ca="1">Cleaned_Data!D700</f>
        <v>BR02</v>
      </c>
      <c r="C700" s="14" t="str">
        <f ca="1">Cleaned_Data!E700</f>
        <v>Standard</v>
      </c>
      <c r="D700" s="15">
        <f>Cleaned_Data!F700</f>
        <v>45287</v>
      </c>
      <c r="E700" s="15">
        <f>Cleaned_Data!G700</f>
        <v>45652</v>
      </c>
      <c r="F700" s="14">
        <f>Cleaned_Data!H700</f>
        <v>3500</v>
      </c>
      <c r="G700" s="14">
        <f ca="1">Cleaned_Data!I700</f>
        <v>28000</v>
      </c>
      <c r="H700" s="14">
        <f>Cleaned_Data!J700</f>
        <v>3</v>
      </c>
      <c r="I700" s="14" t="str">
        <f>Cleaned_Data!M700</f>
        <v>Cancelled</v>
      </c>
      <c r="J700" s="16">
        <f>Cleaned_Data!N700</f>
        <v>45400</v>
      </c>
      <c r="K700" t="str">
        <f t="shared" si="100"/>
        <v>At Risk</v>
      </c>
      <c r="L700" s="5" t="str">
        <f>IF(COUNTIF($A$2:A700,A700)&gt;1,"Duplicate","Unique")</f>
        <v>Unique</v>
      </c>
      <c r="M700" t="str">
        <f t="shared" si="101"/>
        <v>2023-12</v>
      </c>
      <c r="N700" s="2">
        <f t="shared" ca="1" si="102"/>
        <v>45400</v>
      </c>
      <c r="O700" s="4">
        <f t="shared" ca="1" si="103"/>
        <v>3</v>
      </c>
      <c r="P700" s="4">
        <f t="shared" ca="1" si="104"/>
        <v>729</v>
      </c>
      <c r="Q700">
        <f t="shared" ca="1" si="105"/>
        <v>1</v>
      </c>
      <c r="R700">
        <f t="shared" si="106"/>
        <v>1</v>
      </c>
      <c r="S700">
        <f t="shared" ca="1" si="107"/>
        <v>5</v>
      </c>
      <c r="T700" t="str">
        <f t="shared" ca="1" si="108"/>
        <v>115</v>
      </c>
      <c r="U700" t="str">
        <f t="shared" ca="1" si="109"/>
        <v>At Risk</v>
      </c>
    </row>
    <row r="701" spans="1:21">
      <c r="A701" s="17" t="str">
        <f>Cleaned_Data!A701</f>
        <v>MEM0700</v>
      </c>
      <c r="B701" s="18" t="str">
        <f ca="1">Cleaned_Data!D701</f>
        <v>BR07</v>
      </c>
      <c r="C701" s="18" t="str">
        <f ca="1">Cleaned_Data!E701</f>
        <v>Basic</v>
      </c>
      <c r="D701" s="19">
        <f>Cleaned_Data!F701</f>
        <v>45578</v>
      </c>
      <c r="E701" s="19">
        <f>Cleaned_Data!G701</f>
        <v>45608</v>
      </c>
      <c r="F701" s="18">
        <f>Cleaned_Data!H701</f>
        <v>2000</v>
      </c>
      <c r="G701" s="18">
        <f ca="1">Cleaned_Data!I701</f>
        <v>4000</v>
      </c>
      <c r="H701" s="18">
        <f>Cleaned_Data!J701</f>
        <v>24</v>
      </c>
      <c r="I701" s="18" t="str">
        <f>Cleaned_Data!M701</f>
        <v>Active</v>
      </c>
      <c r="J701" s="20">
        <f>Cleaned_Data!N701</f>
        <v>45816</v>
      </c>
      <c r="K701" t="str">
        <f t="shared" si="100"/>
        <v>Highly Active</v>
      </c>
      <c r="L701" s="5" t="str">
        <f>IF(COUNTIF($A$2:A701,A701)&gt;1,"Duplicate","Unique")</f>
        <v>Unique</v>
      </c>
      <c r="M701" t="str">
        <f t="shared" si="101"/>
        <v>2024-10</v>
      </c>
      <c r="N701" s="2">
        <f t="shared" ca="1" si="102"/>
        <v>45816</v>
      </c>
      <c r="O701" s="4">
        <f t="shared" ca="1" si="103"/>
        <v>7</v>
      </c>
      <c r="P701" s="4">
        <f t="shared" ca="1" si="104"/>
        <v>313</v>
      </c>
      <c r="Q701">
        <f t="shared" ca="1" si="105"/>
        <v>2</v>
      </c>
      <c r="R701">
        <f t="shared" si="106"/>
        <v>5</v>
      </c>
      <c r="S701">
        <f t="shared" ca="1" si="107"/>
        <v>2</v>
      </c>
      <c r="T701" t="str">
        <f t="shared" ca="1" si="108"/>
        <v>252</v>
      </c>
      <c r="U701" t="str">
        <f t="shared" ca="1" si="109"/>
        <v>At Risk</v>
      </c>
    </row>
    <row r="702" spans="1:21">
      <c r="A702" s="13" t="str">
        <f>Cleaned_Data!A702</f>
        <v>MEM0701</v>
      </c>
      <c r="B702" s="14" t="str">
        <f ca="1">Cleaned_Data!D702</f>
        <v>BR07</v>
      </c>
      <c r="C702" s="14" t="str">
        <f ca="1">Cleaned_Data!E702</f>
        <v>Basic</v>
      </c>
      <c r="D702" s="15">
        <f>Cleaned_Data!F702</f>
        <v>45974</v>
      </c>
      <c r="E702" s="15">
        <f>Cleaned_Data!G702</f>
        <v>46339</v>
      </c>
      <c r="F702" s="14">
        <f>Cleaned_Data!H702</f>
        <v>1000</v>
      </c>
      <c r="G702" s="14">
        <f ca="1">Cleaned_Data!I702</f>
        <v>10000</v>
      </c>
      <c r="H702" s="14">
        <f>Cleaned_Data!J702</f>
        <v>8</v>
      </c>
      <c r="I702" s="14" t="str">
        <f>Cleaned_Data!M702</f>
        <v>Cancelled</v>
      </c>
      <c r="J702" s="16">
        <f>Cleaned_Data!N702</f>
        <v>46028</v>
      </c>
      <c r="K702" t="str">
        <f t="shared" si="100"/>
        <v>Moderate</v>
      </c>
      <c r="L702" s="5" t="str">
        <f>IF(COUNTIF($A$2:A702,A702)&gt;1,"Duplicate","Unique")</f>
        <v>Unique</v>
      </c>
      <c r="M702" t="str">
        <f t="shared" si="101"/>
        <v>2025-11</v>
      </c>
      <c r="N702" s="2">
        <f t="shared" ca="1" si="102"/>
        <v>46028</v>
      </c>
      <c r="O702" s="4">
        <f t="shared" ca="1" si="103"/>
        <v>1</v>
      </c>
      <c r="P702" s="4">
        <f t="shared" ca="1" si="104"/>
        <v>101</v>
      </c>
      <c r="Q702">
        <f t="shared" ca="1" si="105"/>
        <v>3</v>
      </c>
      <c r="R702">
        <f t="shared" si="106"/>
        <v>2</v>
      </c>
      <c r="S702">
        <f t="shared" ca="1" si="107"/>
        <v>4</v>
      </c>
      <c r="T702" t="str">
        <f t="shared" ca="1" si="108"/>
        <v>324</v>
      </c>
      <c r="U702" t="str">
        <f t="shared" ca="1" si="109"/>
        <v>Others</v>
      </c>
    </row>
    <row r="703" spans="1:21">
      <c r="A703" s="17" t="str">
        <f>Cleaned_Data!A703</f>
        <v>MEM0702</v>
      </c>
      <c r="B703" s="18" t="str">
        <f ca="1">Cleaned_Data!D703</f>
        <v>BR01</v>
      </c>
      <c r="C703" s="18" t="str">
        <f ca="1">Cleaned_Data!E703</f>
        <v>Basic</v>
      </c>
      <c r="D703" s="19">
        <f>Cleaned_Data!F703</f>
        <v>44985</v>
      </c>
      <c r="E703" s="19">
        <f>Cleaned_Data!G703</f>
        <v>45075</v>
      </c>
      <c r="F703" s="18">
        <f>Cleaned_Data!H703</f>
        <v>3500</v>
      </c>
      <c r="G703" s="18">
        <f ca="1">Cleaned_Data!I703</f>
        <v>7000</v>
      </c>
      <c r="H703" s="18">
        <f>Cleaned_Data!J703</f>
        <v>19</v>
      </c>
      <c r="I703" s="18" t="str">
        <f>Cleaned_Data!M703</f>
        <v>Cancelled</v>
      </c>
      <c r="J703" s="20">
        <f>Cleaned_Data!N703</f>
        <v>45700</v>
      </c>
      <c r="K703" t="str">
        <f t="shared" si="100"/>
        <v>Highly Active</v>
      </c>
      <c r="L703" s="5" t="str">
        <f>IF(COUNTIF($A$2:A703,A703)&gt;1,"Duplicate","Unique")</f>
        <v>Unique</v>
      </c>
      <c r="M703" t="str">
        <f t="shared" si="101"/>
        <v>2023-02</v>
      </c>
      <c r="N703" s="2">
        <f t="shared" ca="1" si="102"/>
        <v>45700</v>
      </c>
      <c r="O703" s="4">
        <f t="shared" ca="1" si="103"/>
        <v>23</v>
      </c>
      <c r="P703" s="4">
        <f t="shared" ca="1" si="104"/>
        <v>429</v>
      </c>
      <c r="Q703">
        <f t="shared" ca="1" si="105"/>
        <v>1</v>
      </c>
      <c r="R703">
        <f t="shared" si="106"/>
        <v>4</v>
      </c>
      <c r="S703">
        <f t="shared" ca="1" si="107"/>
        <v>3</v>
      </c>
      <c r="T703" t="str">
        <f t="shared" ca="1" si="108"/>
        <v>143</v>
      </c>
      <c r="U703" t="str">
        <f t="shared" ca="1" si="109"/>
        <v>At Risk</v>
      </c>
    </row>
    <row r="704" spans="1:21">
      <c r="A704" s="13" t="str">
        <f>Cleaned_Data!A704</f>
        <v>MEM0703</v>
      </c>
      <c r="B704" s="14" t="str">
        <f ca="1">Cleaned_Data!D704</f>
        <v>BR05</v>
      </c>
      <c r="C704" s="14" t="str">
        <f ca="1">Cleaned_Data!E704</f>
        <v>Basic</v>
      </c>
      <c r="D704" s="15">
        <f>Cleaned_Data!F704</f>
        <v>45428</v>
      </c>
      <c r="E704" s="15">
        <f>Cleaned_Data!G704</f>
        <v>45793</v>
      </c>
      <c r="F704" s="14">
        <f>Cleaned_Data!H704</f>
        <v>3500</v>
      </c>
      <c r="G704" s="14">
        <f ca="1">Cleaned_Data!I704</f>
        <v>10500</v>
      </c>
      <c r="H704" s="14">
        <f>Cleaned_Data!J704</f>
        <v>14</v>
      </c>
      <c r="I704" s="14" t="str">
        <f>Cleaned_Data!M704</f>
        <v>Active</v>
      </c>
      <c r="J704" s="16">
        <f>Cleaned_Data!N704</f>
        <v>45653</v>
      </c>
      <c r="K704" t="str">
        <f t="shared" si="100"/>
        <v>Moderate</v>
      </c>
      <c r="L704" s="5" t="str">
        <f>IF(COUNTIF($A$2:A704,A704)&gt;1,"Duplicate","Unique")</f>
        <v>Unique</v>
      </c>
      <c r="M704" t="str">
        <f t="shared" si="101"/>
        <v>2024-05</v>
      </c>
      <c r="N704" s="2">
        <f t="shared" ca="1" si="102"/>
        <v>45653</v>
      </c>
      <c r="O704" s="4">
        <f t="shared" ca="1" si="103"/>
        <v>7</v>
      </c>
      <c r="P704" s="4">
        <f t="shared" ca="1" si="104"/>
        <v>476</v>
      </c>
      <c r="Q704">
        <f t="shared" ca="1" si="105"/>
        <v>1</v>
      </c>
      <c r="R704">
        <f t="shared" si="106"/>
        <v>3</v>
      </c>
      <c r="S704">
        <f t="shared" ca="1" si="107"/>
        <v>4</v>
      </c>
      <c r="T704" t="str">
        <f t="shared" ca="1" si="108"/>
        <v>134</v>
      </c>
      <c r="U704" t="str">
        <f t="shared" ca="1" si="109"/>
        <v>At Risk</v>
      </c>
    </row>
    <row r="705" spans="1:21">
      <c r="A705" s="17" t="str">
        <f>Cleaned_Data!A705</f>
        <v>MEM0704</v>
      </c>
      <c r="B705" s="18" t="str">
        <f ca="1">Cleaned_Data!D705</f>
        <v>BR03</v>
      </c>
      <c r="C705" s="18" t="str">
        <f ca="1">Cleaned_Data!E705</f>
        <v>Standard</v>
      </c>
      <c r="D705" s="19">
        <f>Cleaned_Data!F705</f>
        <v>45728</v>
      </c>
      <c r="E705" s="19">
        <f>Cleaned_Data!G705</f>
        <v>45758</v>
      </c>
      <c r="F705" s="18">
        <f>Cleaned_Data!H705</f>
        <v>2000</v>
      </c>
      <c r="G705" s="18">
        <f ca="1">Cleaned_Data!I705</f>
        <v>12000</v>
      </c>
      <c r="H705" s="18">
        <f>Cleaned_Data!J705</f>
        <v>23</v>
      </c>
      <c r="I705" s="18" t="str">
        <f>Cleaned_Data!M705</f>
        <v>Active</v>
      </c>
      <c r="J705" s="20">
        <f>Cleaned_Data!N705</f>
        <v>45954</v>
      </c>
      <c r="K705" t="str">
        <f t="shared" si="100"/>
        <v>Highly Active</v>
      </c>
      <c r="L705" s="5" t="str">
        <f>IF(COUNTIF($A$2:A705,A705)&gt;1,"Duplicate","Unique")</f>
        <v>Unique</v>
      </c>
      <c r="M705" t="str">
        <f t="shared" si="101"/>
        <v>2025-03</v>
      </c>
      <c r="N705" s="2">
        <f t="shared" ca="1" si="102"/>
        <v>45954</v>
      </c>
      <c r="O705" s="4">
        <f t="shared" ca="1" si="103"/>
        <v>7</v>
      </c>
      <c r="P705" s="4">
        <f t="shared" ca="1" si="104"/>
        <v>175</v>
      </c>
      <c r="Q705">
        <f t="shared" ca="1" si="105"/>
        <v>3</v>
      </c>
      <c r="R705">
        <f t="shared" si="106"/>
        <v>5</v>
      </c>
      <c r="S705">
        <f t="shared" ca="1" si="107"/>
        <v>4</v>
      </c>
      <c r="T705" t="str">
        <f t="shared" ca="1" si="108"/>
        <v>354</v>
      </c>
      <c r="U705" t="str">
        <f t="shared" ca="1" si="109"/>
        <v>Loyal</v>
      </c>
    </row>
    <row r="706" spans="1:21">
      <c r="A706" s="13" t="str">
        <f>Cleaned_Data!A706</f>
        <v>MEM0705</v>
      </c>
      <c r="B706" s="14" t="str">
        <f ca="1">Cleaned_Data!D706</f>
        <v>BR06</v>
      </c>
      <c r="C706" s="14" t="str">
        <f ca="1">Cleaned_Data!E706</f>
        <v>Basic</v>
      </c>
      <c r="D706" s="15">
        <f>Cleaned_Data!F706</f>
        <v>45489</v>
      </c>
      <c r="E706" s="15">
        <f>Cleaned_Data!G706</f>
        <v>45579</v>
      </c>
      <c r="F706" s="14">
        <f>Cleaned_Data!H706</f>
        <v>3500</v>
      </c>
      <c r="G706" s="14">
        <f ca="1">Cleaned_Data!I706</f>
        <v>7000</v>
      </c>
      <c r="H706" s="14">
        <f>Cleaned_Data!J706</f>
        <v>3</v>
      </c>
      <c r="I706" s="14" t="str">
        <f>Cleaned_Data!M706</f>
        <v>Cancelled</v>
      </c>
      <c r="J706" s="16">
        <f>Cleaned_Data!N706</f>
        <v>45515</v>
      </c>
      <c r="K706" t="str">
        <f t="shared" si="100"/>
        <v>At Risk</v>
      </c>
      <c r="L706" s="5" t="str">
        <f>IF(COUNTIF($A$2:A706,A706)&gt;1,"Duplicate","Unique")</f>
        <v>Unique</v>
      </c>
      <c r="M706" t="str">
        <f t="shared" si="101"/>
        <v>2024-07</v>
      </c>
      <c r="N706" s="2">
        <f t="shared" ca="1" si="102"/>
        <v>45515</v>
      </c>
      <c r="O706" s="4">
        <f t="shared" ca="1" si="103"/>
        <v>0</v>
      </c>
      <c r="P706" s="4">
        <f t="shared" ca="1" si="104"/>
        <v>614</v>
      </c>
      <c r="Q706">
        <f t="shared" ca="1" si="105"/>
        <v>1</v>
      </c>
      <c r="R706">
        <f t="shared" si="106"/>
        <v>1</v>
      </c>
      <c r="S706">
        <f t="shared" ca="1" si="107"/>
        <v>3</v>
      </c>
      <c r="T706" t="str">
        <f t="shared" ca="1" si="108"/>
        <v>113</v>
      </c>
      <c r="U706" t="str">
        <f t="shared" ca="1" si="109"/>
        <v>At Risk</v>
      </c>
    </row>
    <row r="707" spans="1:21">
      <c r="A707" s="17" t="str">
        <f>Cleaned_Data!A707</f>
        <v>MEM0706</v>
      </c>
      <c r="B707" s="18" t="str">
        <f ca="1">Cleaned_Data!D707</f>
        <v>BR01</v>
      </c>
      <c r="C707" s="18" t="str">
        <f ca="1">Cleaned_Data!E707</f>
        <v>Standard</v>
      </c>
      <c r="D707" s="19">
        <f>Cleaned_Data!F707</f>
        <v>45711</v>
      </c>
      <c r="E707" s="19">
        <f>Cleaned_Data!G707</f>
        <v>45741</v>
      </c>
      <c r="F707" s="18">
        <f>Cleaned_Data!H707</f>
        <v>3500</v>
      </c>
      <c r="G707" s="18">
        <f ca="1">Cleaned_Data!I707</f>
        <v>28000</v>
      </c>
      <c r="H707" s="18">
        <f>Cleaned_Data!J707</f>
        <v>6</v>
      </c>
      <c r="I707" s="18" t="str">
        <f>Cleaned_Data!M707</f>
        <v>Cancelled</v>
      </c>
      <c r="J707" s="20">
        <f>Cleaned_Data!N707</f>
        <v>45920</v>
      </c>
      <c r="K707" t="str">
        <f t="shared" ref="K707:K770" si="110">IF(H707&lt;5,"At Risk",
 IF(H707&lt;15,"Moderate",
 "Highly Active"))</f>
        <v>Moderate</v>
      </c>
      <c r="L707" s="5" t="str">
        <f>IF(COUNTIF($A$2:A707,A707)&gt;1,"Duplicate","Unique")</f>
        <v>Unique</v>
      </c>
      <c r="M707" t="str">
        <f t="shared" ref="M707:M770" si="111">TEXT(D707,"YYYY-MM")</f>
        <v>2025-02</v>
      </c>
      <c r="N707" s="2">
        <f t="shared" ref="N707:N770" ca="1" si="112">IF(J707&lt;&gt;"",
    J707,
    IF(I707="Active", TODAY(), E707)
)</f>
        <v>45920</v>
      </c>
      <c r="O707" s="4">
        <f t="shared" ref="O707:O770" ca="1" si="113">IFERROR(
   IF(N707&gt;=D707,
      DATEDIF(D707, N707, "M"),
      0
   ),
   0
)</f>
        <v>6</v>
      </c>
      <c r="P707" s="4">
        <f t="shared" ref="P707:P770" ca="1" si="114">TODAY() - N707</f>
        <v>209</v>
      </c>
      <c r="Q707">
        <f t="shared" ref="Q707:Q770" ca="1" si="115">IF(P707&lt;=30,5,
 IF(P707&lt;=90,4,
 IF(P707&lt;=180,3,
 IF(P707&lt;=365,2,1))))</f>
        <v>2</v>
      </c>
      <c r="R707">
        <f t="shared" ref="R707:R770" si="116">IF(H707&gt;=20,5,
 IF(H707&gt;=15,4,
 IF(H707&gt;=10,3,
 IF(H707&gt;=5,2,1))))</f>
        <v>2</v>
      </c>
      <c r="S707">
        <f t="shared" ref="S707:S770" ca="1" si="117">IF(G707&gt;=20000,5,
 IF(G707&gt;=10000,4,
 IF(G707&gt;=5000,3,
 IF(G707&gt;=2000,2,1))))</f>
        <v>5</v>
      </c>
      <c r="T707" t="str">
        <f t="shared" ref="T707:T770" ca="1" si="118">Q707 &amp; R707 &amp; S707</f>
        <v>225</v>
      </c>
      <c r="U707" t="str">
        <f t="shared" ref="U707:U770" ca="1" si="119">IF(AND(Q707&gt;=4,R707&gt;=4,S707&gt;=4),"Champion",
 IF(AND(Q707&gt;=3,R707&gt;=3,S707&gt;=3),"Loyal",
 IF(Q707&lt;=2,"At Risk",
 "Others")))</f>
        <v>At Risk</v>
      </c>
    </row>
    <row r="708" spans="1:21">
      <c r="A708" s="13" t="str">
        <f>Cleaned_Data!A708</f>
        <v>MEM0707</v>
      </c>
      <c r="B708" s="14" t="str">
        <f ca="1">Cleaned_Data!D708</f>
        <v>BR01</v>
      </c>
      <c r="C708" s="14" t="str">
        <f ca="1">Cleaned_Data!E708</f>
        <v>Basic</v>
      </c>
      <c r="D708" s="15">
        <f>Cleaned_Data!F708</f>
        <v>45821</v>
      </c>
      <c r="E708" s="15">
        <f>Cleaned_Data!G708</f>
        <v>45911</v>
      </c>
      <c r="F708" s="14">
        <f>Cleaned_Data!H708</f>
        <v>3500</v>
      </c>
      <c r="G708" s="14">
        <f ca="1">Cleaned_Data!I708</f>
        <v>14000</v>
      </c>
      <c r="H708" s="14">
        <f>Cleaned_Data!J708</f>
        <v>1</v>
      </c>
      <c r="I708" s="14" t="str">
        <f>Cleaned_Data!M708</f>
        <v>Cancelled</v>
      </c>
      <c r="J708" s="16">
        <f>Cleaned_Data!N708</f>
        <v>46119</v>
      </c>
      <c r="K708" t="str">
        <f t="shared" si="110"/>
        <v>At Risk</v>
      </c>
      <c r="L708" s="5" t="str">
        <f>IF(COUNTIF($A$2:A708,A708)&gt;1,"Duplicate","Unique")</f>
        <v>Unique</v>
      </c>
      <c r="M708" t="str">
        <f t="shared" si="111"/>
        <v>2025-06</v>
      </c>
      <c r="N708" s="2">
        <f t="shared" ca="1" si="112"/>
        <v>46119</v>
      </c>
      <c r="O708" s="4">
        <f t="shared" ca="1" si="113"/>
        <v>9</v>
      </c>
      <c r="P708" s="4">
        <f t="shared" ca="1" si="114"/>
        <v>10</v>
      </c>
      <c r="Q708">
        <f t="shared" ca="1" si="115"/>
        <v>5</v>
      </c>
      <c r="R708">
        <f t="shared" si="116"/>
        <v>1</v>
      </c>
      <c r="S708">
        <f t="shared" ca="1" si="117"/>
        <v>4</v>
      </c>
      <c r="T708" t="str">
        <f t="shared" ca="1" si="118"/>
        <v>514</v>
      </c>
      <c r="U708" t="str">
        <f t="shared" ca="1" si="119"/>
        <v>Others</v>
      </c>
    </row>
    <row r="709" spans="1:21">
      <c r="A709" s="17" t="str">
        <f>Cleaned_Data!A709</f>
        <v>MEM0708</v>
      </c>
      <c r="B709" s="18" t="str">
        <f ca="1">Cleaned_Data!D709</f>
        <v>BR07</v>
      </c>
      <c r="C709" s="18" t="str">
        <f ca="1">Cleaned_Data!E709</f>
        <v>Premium</v>
      </c>
      <c r="D709" s="19">
        <f>Cleaned_Data!F709</f>
        <v>45124</v>
      </c>
      <c r="E709" s="19">
        <f>Cleaned_Data!G709</f>
        <v>45489</v>
      </c>
      <c r="F709" s="18">
        <f>Cleaned_Data!H709</f>
        <v>1000</v>
      </c>
      <c r="G709" s="18">
        <f ca="1">Cleaned_Data!I709</f>
        <v>7000</v>
      </c>
      <c r="H709" s="18">
        <f>Cleaned_Data!J709</f>
        <v>12</v>
      </c>
      <c r="I709" s="18" t="str">
        <f>Cleaned_Data!M709</f>
        <v>Cancelled</v>
      </c>
      <c r="J709" s="20">
        <f>Cleaned_Data!N709</f>
        <v>45693</v>
      </c>
      <c r="K709" t="str">
        <f t="shared" si="110"/>
        <v>Moderate</v>
      </c>
      <c r="L709" s="5" t="str">
        <f>IF(COUNTIF($A$2:A709,A709)&gt;1,"Duplicate","Unique")</f>
        <v>Unique</v>
      </c>
      <c r="M709" t="str">
        <f t="shared" si="111"/>
        <v>2023-07</v>
      </c>
      <c r="N709" s="2">
        <f t="shared" ca="1" si="112"/>
        <v>45693</v>
      </c>
      <c r="O709" s="4">
        <f t="shared" ca="1" si="113"/>
        <v>18</v>
      </c>
      <c r="P709" s="4">
        <f t="shared" ca="1" si="114"/>
        <v>436</v>
      </c>
      <c r="Q709">
        <f t="shared" ca="1" si="115"/>
        <v>1</v>
      </c>
      <c r="R709">
        <f t="shared" si="116"/>
        <v>3</v>
      </c>
      <c r="S709">
        <f t="shared" ca="1" si="117"/>
        <v>3</v>
      </c>
      <c r="T709" t="str">
        <f t="shared" ca="1" si="118"/>
        <v>133</v>
      </c>
      <c r="U709" t="str">
        <f t="shared" ca="1" si="119"/>
        <v>At Risk</v>
      </c>
    </row>
    <row r="710" spans="1:21">
      <c r="A710" s="13" t="str">
        <f>Cleaned_Data!A710</f>
        <v>MEM0709</v>
      </c>
      <c r="B710" s="14" t="str">
        <f ca="1">Cleaned_Data!D710</f>
        <v>BR01</v>
      </c>
      <c r="C710" s="14" t="str">
        <f ca="1">Cleaned_Data!E710</f>
        <v>Basic</v>
      </c>
      <c r="D710" s="15">
        <f>Cleaned_Data!F710</f>
        <v>44974</v>
      </c>
      <c r="E710" s="15">
        <f>Cleaned_Data!G710</f>
        <v>45004</v>
      </c>
      <c r="F710" s="14">
        <f>Cleaned_Data!H710</f>
        <v>2000</v>
      </c>
      <c r="G710" s="14">
        <f ca="1">Cleaned_Data!I710</f>
        <v>18000</v>
      </c>
      <c r="H710" s="14">
        <f>Cleaned_Data!J710</f>
        <v>2</v>
      </c>
      <c r="I710" s="14" t="str">
        <f>Cleaned_Data!M710</f>
        <v>Cancelled</v>
      </c>
      <c r="J710" s="16">
        <f>Cleaned_Data!N710</f>
        <v>44998</v>
      </c>
      <c r="K710" t="str">
        <f t="shared" si="110"/>
        <v>At Risk</v>
      </c>
      <c r="L710" s="5" t="str">
        <f>IF(COUNTIF($A$2:A710,A710)&gt;1,"Duplicate","Unique")</f>
        <v>Unique</v>
      </c>
      <c r="M710" t="str">
        <f t="shared" si="111"/>
        <v>2023-02</v>
      </c>
      <c r="N710" s="2">
        <f t="shared" ca="1" si="112"/>
        <v>44998</v>
      </c>
      <c r="O710" s="4">
        <f t="shared" ca="1" si="113"/>
        <v>0</v>
      </c>
      <c r="P710" s="4">
        <f t="shared" ca="1" si="114"/>
        <v>1131</v>
      </c>
      <c r="Q710">
        <f t="shared" ca="1" si="115"/>
        <v>1</v>
      </c>
      <c r="R710">
        <f t="shared" si="116"/>
        <v>1</v>
      </c>
      <c r="S710">
        <f t="shared" ca="1" si="117"/>
        <v>4</v>
      </c>
      <c r="T710" t="str">
        <f t="shared" ca="1" si="118"/>
        <v>114</v>
      </c>
      <c r="U710" t="str">
        <f t="shared" ca="1" si="119"/>
        <v>At Risk</v>
      </c>
    </row>
    <row r="711" spans="1:21">
      <c r="A711" s="17" t="str">
        <f>Cleaned_Data!A711</f>
        <v>MEM0710</v>
      </c>
      <c r="B711" s="18" t="str">
        <f ca="1">Cleaned_Data!D711</f>
        <v>BR06</v>
      </c>
      <c r="C711" s="18" t="str">
        <f ca="1">Cleaned_Data!E711</f>
        <v>Standard</v>
      </c>
      <c r="D711" s="19">
        <f>Cleaned_Data!F711</f>
        <v>45970</v>
      </c>
      <c r="E711" s="19">
        <f>Cleaned_Data!G711</f>
        <v>46000</v>
      </c>
      <c r="F711" s="18">
        <f>Cleaned_Data!H711</f>
        <v>3500</v>
      </c>
      <c r="G711" s="18">
        <f ca="1">Cleaned_Data!I711</f>
        <v>3500</v>
      </c>
      <c r="H711" s="18">
        <f>Cleaned_Data!J711</f>
        <v>1</v>
      </c>
      <c r="I711" s="18" t="str">
        <f>Cleaned_Data!M711</f>
        <v>Cancelled</v>
      </c>
      <c r="J711" s="20">
        <f>Cleaned_Data!N711</f>
        <v>46100</v>
      </c>
      <c r="K711" t="str">
        <f t="shared" si="110"/>
        <v>At Risk</v>
      </c>
      <c r="L711" s="5" t="str">
        <f>IF(COUNTIF($A$2:A711,A711)&gt;1,"Duplicate","Unique")</f>
        <v>Unique</v>
      </c>
      <c r="M711" t="str">
        <f t="shared" si="111"/>
        <v>2025-11</v>
      </c>
      <c r="N711" s="2">
        <f t="shared" ca="1" si="112"/>
        <v>46100</v>
      </c>
      <c r="O711" s="4">
        <f t="shared" ca="1" si="113"/>
        <v>4</v>
      </c>
      <c r="P711" s="4">
        <f t="shared" ca="1" si="114"/>
        <v>29</v>
      </c>
      <c r="Q711">
        <f t="shared" ca="1" si="115"/>
        <v>5</v>
      </c>
      <c r="R711">
        <f t="shared" si="116"/>
        <v>1</v>
      </c>
      <c r="S711">
        <f t="shared" ca="1" si="117"/>
        <v>2</v>
      </c>
      <c r="T711" t="str">
        <f t="shared" ca="1" si="118"/>
        <v>512</v>
      </c>
      <c r="U711" t="str">
        <f t="shared" ca="1" si="119"/>
        <v>Others</v>
      </c>
    </row>
    <row r="712" spans="1:21">
      <c r="A712" s="13" t="str">
        <f>Cleaned_Data!A712</f>
        <v>MEM0711</v>
      </c>
      <c r="B712" s="14" t="str">
        <f ca="1">Cleaned_Data!D712</f>
        <v>BR05</v>
      </c>
      <c r="C712" s="14" t="str">
        <f ca="1">Cleaned_Data!E712</f>
        <v>Basic</v>
      </c>
      <c r="D712" s="15">
        <f>Cleaned_Data!F712</f>
        <v>45515</v>
      </c>
      <c r="E712" s="15">
        <f>Cleaned_Data!G712</f>
        <v>45545</v>
      </c>
      <c r="F712" s="14">
        <f>Cleaned_Data!H712</f>
        <v>2000</v>
      </c>
      <c r="G712" s="14">
        <f ca="1">Cleaned_Data!I712</f>
        <v>10000</v>
      </c>
      <c r="H712" s="14">
        <f>Cleaned_Data!J712</f>
        <v>6</v>
      </c>
      <c r="I712" s="14" t="str">
        <f>Cleaned_Data!M712</f>
        <v>Active</v>
      </c>
      <c r="J712" s="16">
        <f>Cleaned_Data!N712</f>
        <v>45684</v>
      </c>
      <c r="K712" t="str">
        <f t="shared" si="110"/>
        <v>Moderate</v>
      </c>
      <c r="L712" s="5" t="str">
        <f>IF(COUNTIF($A$2:A712,A712)&gt;1,"Duplicate","Unique")</f>
        <v>Unique</v>
      </c>
      <c r="M712" t="str">
        <f t="shared" si="111"/>
        <v>2024-08</v>
      </c>
      <c r="N712" s="2">
        <f t="shared" ca="1" si="112"/>
        <v>45684</v>
      </c>
      <c r="O712" s="4">
        <f t="shared" ca="1" si="113"/>
        <v>5</v>
      </c>
      <c r="P712" s="4">
        <f t="shared" ca="1" si="114"/>
        <v>445</v>
      </c>
      <c r="Q712">
        <f t="shared" ca="1" si="115"/>
        <v>1</v>
      </c>
      <c r="R712">
        <f t="shared" si="116"/>
        <v>2</v>
      </c>
      <c r="S712">
        <f t="shared" ca="1" si="117"/>
        <v>4</v>
      </c>
      <c r="T712" t="str">
        <f t="shared" ca="1" si="118"/>
        <v>124</v>
      </c>
      <c r="U712" t="str">
        <f t="shared" ca="1" si="119"/>
        <v>At Risk</v>
      </c>
    </row>
    <row r="713" spans="1:21">
      <c r="A713" s="17" t="str">
        <f>Cleaned_Data!A713</f>
        <v>MEM0712</v>
      </c>
      <c r="B713" s="18" t="str">
        <f ca="1">Cleaned_Data!D713</f>
        <v>BR01</v>
      </c>
      <c r="C713" s="18" t="str">
        <f ca="1">Cleaned_Data!E713</f>
        <v>Premium</v>
      </c>
      <c r="D713" s="19">
        <f>Cleaned_Data!F713</f>
        <v>45735</v>
      </c>
      <c r="E713" s="19">
        <f>Cleaned_Data!G713</f>
        <v>45765</v>
      </c>
      <c r="F713" s="18">
        <f>Cleaned_Data!H713</f>
        <v>1000</v>
      </c>
      <c r="G713" s="18">
        <f ca="1">Cleaned_Data!I713</f>
        <v>8000</v>
      </c>
      <c r="H713" s="18">
        <f>Cleaned_Data!J713</f>
        <v>7</v>
      </c>
      <c r="I713" s="18" t="str">
        <f>Cleaned_Data!M713</f>
        <v>Active</v>
      </c>
      <c r="J713" s="20">
        <f>Cleaned_Data!N713</f>
        <v>46105</v>
      </c>
      <c r="K713" t="str">
        <f t="shared" si="110"/>
        <v>Moderate</v>
      </c>
      <c r="L713" s="5" t="str">
        <f>IF(COUNTIF($A$2:A713,A713)&gt;1,"Duplicate","Unique")</f>
        <v>Unique</v>
      </c>
      <c r="M713" t="str">
        <f t="shared" si="111"/>
        <v>2025-03</v>
      </c>
      <c r="N713" s="2">
        <f t="shared" ca="1" si="112"/>
        <v>46105</v>
      </c>
      <c r="O713" s="4">
        <f t="shared" ca="1" si="113"/>
        <v>12</v>
      </c>
      <c r="P713" s="4">
        <f t="shared" ca="1" si="114"/>
        <v>24</v>
      </c>
      <c r="Q713">
        <f t="shared" ca="1" si="115"/>
        <v>5</v>
      </c>
      <c r="R713">
        <f t="shared" si="116"/>
        <v>2</v>
      </c>
      <c r="S713">
        <f t="shared" ca="1" si="117"/>
        <v>3</v>
      </c>
      <c r="T713" t="str">
        <f t="shared" ca="1" si="118"/>
        <v>523</v>
      </c>
      <c r="U713" t="str">
        <f t="shared" ca="1" si="119"/>
        <v>Others</v>
      </c>
    </row>
    <row r="714" spans="1:21">
      <c r="A714" s="13" t="str">
        <f>Cleaned_Data!A714</f>
        <v>MEM0713</v>
      </c>
      <c r="B714" s="14" t="str">
        <f ca="1">Cleaned_Data!D714</f>
        <v>BR03</v>
      </c>
      <c r="C714" s="14" t="str">
        <f ca="1">Cleaned_Data!E714</f>
        <v>Basic</v>
      </c>
      <c r="D714" s="15">
        <f>Cleaned_Data!F714</f>
        <v>45093</v>
      </c>
      <c r="E714" s="15">
        <f>Cleaned_Data!G714</f>
        <v>45123</v>
      </c>
      <c r="F714" s="14">
        <f>Cleaned_Data!H714</f>
        <v>1000</v>
      </c>
      <c r="G714" s="14">
        <f ca="1">Cleaned_Data!I714</f>
        <v>6000</v>
      </c>
      <c r="H714" s="14">
        <f>Cleaned_Data!J714</f>
        <v>12</v>
      </c>
      <c r="I714" s="14" t="str">
        <f>Cleaned_Data!M714</f>
        <v>Cancelled</v>
      </c>
      <c r="J714" s="16">
        <f>Cleaned_Data!N714</f>
        <v>45566</v>
      </c>
      <c r="K714" t="str">
        <f t="shared" si="110"/>
        <v>Moderate</v>
      </c>
      <c r="L714" s="5" t="str">
        <f>IF(COUNTIF($A$2:A714,A714)&gt;1,"Duplicate","Unique")</f>
        <v>Unique</v>
      </c>
      <c r="M714" t="str">
        <f t="shared" si="111"/>
        <v>2023-06</v>
      </c>
      <c r="N714" s="2">
        <f t="shared" ca="1" si="112"/>
        <v>45566</v>
      </c>
      <c r="O714" s="4">
        <f t="shared" ca="1" si="113"/>
        <v>15</v>
      </c>
      <c r="P714" s="4">
        <f t="shared" ca="1" si="114"/>
        <v>563</v>
      </c>
      <c r="Q714">
        <f t="shared" ca="1" si="115"/>
        <v>1</v>
      </c>
      <c r="R714">
        <f t="shared" si="116"/>
        <v>3</v>
      </c>
      <c r="S714">
        <f t="shared" ca="1" si="117"/>
        <v>3</v>
      </c>
      <c r="T714" t="str">
        <f t="shared" ca="1" si="118"/>
        <v>133</v>
      </c>
      <c r="U714" t="str">
        <f t="shared" ca="1" si="119"/>
        <v>At Risk</v>
      </c>
    </row>
    <row r="715" spans="1:21">
      <c r="A715" s="17" t="str">
        <f>Cleaned_Data!A715</f>
        <v>MEM0714</v>
      </c>
      <c r="B715" s="18" t="str">
        <f ca="1">Cleaned_Data!D715</f>
        <v>BR01</v>
      </c>
      <c r="C715" s="18" t="str">
        <f ca="1">Cleaned_Data!E715</f>
        <v>Premium</v>
      </c>
      <c r="D715" s="19">
        <f>Cleaned_Data!F715</f>
        <v>45512</v>
      </c>
      <c r="E715" s="19">
        <f>Cleaned_Data!G715</f>
        <v>45602</v>
      </c>
      <c r="F715" s="18">
        <f>Cleaned_Data!H715</f>
        <v>3500</v>
      </c>
      <c r="G715" s="18">
        <f ca="1">Cleaned_Data!I715</f>
        <v>3500</v>
      </c>
      <c r="H715" s="18">
        <f>Cleaned_Data!J715</f>
        <v>7</v>
      </c>
      <c r="I715" s="18" t="str">
        <f>Cleaned_Data!M715</f>
        <v>Active</v>
      </c>
      <c r="J715" s="20">
        <f>Cleaned_Data!N715</f>
        <v>45973</v>
      </c>
      <c r="K715" t="str">
        <f t="shared" si="110"/>
        <v>Moderate</v>
      </c>
      <c r="L715" s="5" t="str">
        <f>IF(COUNTIF($A$2:A715,A715)&gt;1,"Duplicate","Unique")</f>
        <v>Unique</v>
      </c>
      <c r="M715" t="str">
        <f t="shared" si="111"/>
        <v>2024-08</v>
      </c>
      <c r="N715" s="2">
        <f t="shared" ca="1" si="112"/>
        <v>45973</v>
      </c>
      <c r="O715" s="4">
        <f t="shared" ca="1" si="113"/>
        <v>15</v>
      </c>
      <c r="P715" s="4">
        <f t="shared" ca="1" si="114"/>
        <v>156</v>
      </c>
      <c r="Q715">
        <f t="shared" ca="1" si="115"/>
        <v>3</v>
      </c>
      <c r="R715">
        <f t="shared" si="116"/>
        <v>2</v>
      </c>
      <c r="S715">
        <f t="shared" ca="1" si="117"/>
        <v>2</v>
      </c>
      <c r="T715" t="str">
        <f t="shared" ca="1" si="118"/>
        <v>322</v>
      </c>
      <c r="U715" t="str">
        <f t="shared" ca="1" si="119"/>
        <v>Others</v>
      </c>
    </row>
    <row r="716" spans="1:21">
      <c r="A716" s="13" t="str">
        <f>Cleaned_Data!A716</f>
        <v>MEM0715</v>
      </c>
      <c r="B716" s="14" t="str">
        <f ca="1">Cleaned_Data!D716</f>
        <v>BR01</v>
      </c>
      <c r="C716" s="14" t="str">
        <f ca="1">Cleaned_Data!E716</f>
        <v>Premium</v>
      </c>
      <c r="D716" s="15">
        <f>Cleaned_Data!F716</f>
        <v>45426</v>
      </c>
      <c r="E716" s="15">
        <f>Cleaned_Data!G716</f>
        <v>45791</v>
      </c>
      <c r="F716" s="14">
        <f>Cleaned_Data!H716</f>
        <v>3500</v>
      </c>
      <c r="G716" s="14">
        <f ca="1">Cleaned_Data!I716</f>
        <v>10500</v>
      </c>
      <c r="H716" s="14">
        <f>Cleaned_Data!J716</f>
        <v>25</v>
      </c>
      <c r="I716" s="14" t="str">
        <f>Cleaned_Data!M716</f>
        <v>Active</v>
      </c>
      <c r="J716" s="16">
        <f>Cleaned_Data!N716</f>
        <v>45980</v>
      </c>
      <c r="K716" t="str">
        <f t="shared" si="110"/>
        <v>Highly Active</v>
      </c>
      <c r="L716" s="5" t="str">
        <f>IF(COUNTIF($A$2:A716,A716)&gt;1,"Duplicate","Unique")</f>
        <v>Unique</v>
      </c>
      <c r="M716" t="str">
        <f t="shared" si="111"/>
        <v>2024-05</v>
      </c>
      <c r="N716" s="2">
        <f t="shared" ca="1" si="112"/>
        <v>45980</v>
      </c>
      <c r="O716" s="4">
        <f t="shared" ca="1" si="113"/>
        <v>18</v>
      </c>
      <c r="P716" s="4">
        <f t="shared" ca="1" si="114"/>
        <v>149</v>
      </c>
      <c r="Q716">
        <f t="shared" ca="1" si="115"/>
        <v>3</v>
      </c>
      <c r="R716">
        <f t="shared" si="116"/>
        <v>5</v>
      </c>
      <c r="S716">
        <f t="shared" ca="1" si="117"/>
        <v>4</v>
      </c>
      <c r="T716" t="str">
        <f t="shared" ca="1" si="118"/>
        <v>354</v>
      </c>
      <c r="U716" t="str">
        <f t="shared" ca="1" si="119"/>
        <v>Loyal</v>
      </c>
    </row>
    <row r="717" spans="1:21">
      <c r="A717" s="17" t="str">
        <f>Cleaned_Data!A717</f>
        <v>MEM0716</v>
      </c>
      <c r="B717" s="18" t="str">
        <f ca="1">Cleaned_Data!D717</f>
        <v>BR05</v>
      </c>
      <c r="C717" s="18" t="str">
        <f ca="1">Cleaned_Data!E717</f>
        <v>Standard</v>
      </c>
      <c r="D717" s="19">
        <f>Cleaned_Data!F717</f>
        <v>45427</v>
      </c>
      <c r="E717" s="19">
        <f>Cleaned_Data!G717</f>
        <v>45517</v>
      </c>
      <c r="F717" s="18">
        <f>Cleaned_Data!H717</f>
        <v>2000</v>
      </c>
      <c r="G717" s="18">
        <f ca="1">Cleaned_Data!I717</f>
        <v>20000</v>
      </c>
      <c r="H717" s="18">
        <f>Cleaned_Data!J717</f>
        <v>4</v>
      </c>
      <c r="I717" s="18" t="str">
        <f>Cleaned_Data!M717</f>
        <v>Cancelled</v>
      </c>
      <c r="J717" s="20">
        <f>Cleaned_Data!N717</f>
        <v>45898</v>
      </c>
      <c r="K717" t="str">
        <f t="shared" si="110"/>
        <v>At Risk</v>
      </c>
      <c r="L717" s="5" t="str">
        <f>IF(COUNTIF($A$2:A717,A717)&gt;1,"Duplicate","Unique")</f>
        <v>Unique</v>
      </c>
      <c r="M717" t="str">
        <f t="shared" si="111"/>
        <v>2024-05</v>
      </c>
      <c r="N717" s="2">
        <f t="shared" ca="1" si="112"/>
        <v>45898</v>
      </c>
      <c r="O717" s="4">
        <f t="shared" ca="1" si="113"/>
        <v>15</v>
      </c>
      <c r="P717" s="4">
        <f t="shared" ca="1" si="114"/>
        <v>231</v>
      </c>
      <c r="Q717">
        <f t="shared" ca="1" si="115"/>
        <v>2</v>
      </c>
      <c r="R717">
        <f t="shared" si="116"/>
        <v>1</v>
      </c>
      <c r="S717">
        <f t="shared" ca="1" si="117"/>
        <v>5</v>
      </c>
      <c r="T717" t="str">
        <f t="shared" ca="1" si="118"/>
        <v>215</v>
      </c>
      <c r="U717" t="str">
        <f t="shared" ca="1" si="119"/>
        <v>At Risk</v>
      </c>
    </row>
    <row r="718" spans="1:21">
      <c r="A718" s="13" t="str">
        <f>Cleaned_Data!A718</f>
        <v>MEM0717</v>
      </c>
      <c r="B718" s="14" t="str">
        <f ca="1">Cleaned_Data!D718</f>
        <v>BR03</v>
      </c>
      <c r="C718" s="14" t="str">
        <f ca="1">Cleaned_Data!E718</f>
        <v>Basic</v>
      </c>
      <c r="D718" s="15">
        <f>Cleaned_Data!F718</f>
        <v>45303</v>
      </c>
      <c r="E718" s="15">
        <f>Cleaned_Data!G718</f>
        <v>45393</v>
      </c>
      <c r="F718" s="14">
        <f>Cleaned_Data!H718</f>
        <v>2000</v>
      </c>
      <c r="G718" s="14">
        <f ca="1">Cleaned_Data!I718</f>
        <v>20000</v>
      </c>
      <c r="H718" s="14">
        <f>Cleaned_Data!J718</f>
        <v>6</v>
      </c>
      <c r="I718" s="14" t="str">
        <f>Cleaned_Data!M718</f>
        <v>Active</v>
      </c>
      <c r="J718" s="16">
        <f>Cleaned_Data!N718</f>
        <v>45700</v>
      </c>
      <c r="K718" t="str">
        <f t="shared" si="110"/>
        <v>Moderate</v>
      </c>
      <c r="L718" s="5" t="str">
        <f>IF(COUNTIF($A$2:A718,A718)&gt;1,"Duplicate","Unique")</f>
        <v>Unique</v>
      </c>
      <c r="M718" t="str">
        <f t="shared" si="111"/>
        <v>2024-01</v>
      </c>
      <c r="N718" s="2">
        <f t="shared" ca="1" si="112"/>
        <v>45700</v>
      </c>
      <c r="O718" s="4">
        <f t="shared" ca="1" si="113"/>
        <v>13</v>
      </c>
      <c r="P718" s="4">
        <f t="shared" ca="1" si="114"/>
        <v>429</v>
      </c>
      <c r="Q718">
        <f t="shared" ca="1" si="115"/>
        <v>1</v>
      </c>
      <c r="R718">
        <f t="shared" si="116"/>
        <v>2</v>
      </c>
      <c r="S718">
        <f t="shared" ca="1" si="117"/>
        <v>5</v>
      </c>
      <c r="T718" t="str">
        <f t="shared" ca="1" si="118"/>
        <v>125</v>
      </c>
      <c r="U718" t="str">
        <f t="shared" ca="1" si="119"/>
        <v>At Risk</v>
      </c>
    </row>
    <row r="719" spans="1:21">
      <c r="A719" s="17" t="str">
        <f>Cleaned_Data!A719</f>
        <v>MEM0718</v>
      </c>
      <c r="B719" s="18" t="str">
        <f ca="1">Cleaned_Data!D719</f>
        <v>BR01</v>
      </c>
      <c r="C719" s="18" t="str">
        <f ca="1">Cleaned_Data!E719</f>
        <v>Basic</v>
      </c>
      <c r="D719" s="19">
        <f>Cleaned_Data!F719</f>
        <v>45456</v>
      </c>
      <c r="E719" s="19">
        <f>Cleaned_Data!G719</f>
        <v>45486</v>
      </c>
      <c r="F719" s="18">
        <f>Cleaned_Data!H719</f>
        <v>3500</v>
      </c>
      <c r="G719" s="18">
        <f ca="1">Cleaned_Data!I719</f>
        <v>10500</v>
      </c>
      <c r="H719" s="18">
        <f>Cleaned_Data!J719</f>
        <v>14</v>
      </c>
      <c r="I719" s="18" t="str">
        <f>Cleaned_Data!M719</f>
        <v>Active</v>
      </c>
      <c r="J719" s="20">
        <f>Cleaned_Data!N719</f>
        <v>45997</v>
      </c>
      <c r="K719" t="str">
        <f t="shared" si="110"/>
        <v>Moderate</v>
      </c>
      <c r="L719" s="5" t="str">
        <f>IF(COUNTIF($A$2:A719,A719)&gt;1,"Duplicate","Unique")</f>
        <v>Unique</v>
      </c>
      <c r="M719" t="str">
        <f t="shared" si="111"/>
        <v>2024-06</v>
      </c>
      <c r="N719" s="2">
        <f t="shared" ca="1" si="112"/>
        <v>45997</v>
      </c>
      <c r="O719" s="4">
        <f t="shared" ca="1" si="113"/>
        <v>17</v>
      </c>
      <c r="P719" s="4">
        <f t="shared" ca="1" si="114"/>
        <v>132</v>
      </c>
      <c r="Q719">
        <f t="shared" ca="1" si="115"/>
        <v>3</v>
      </c>
      <c r="R719">
        <f t="shared" si="116"/>
        <v>3</v>
      </c>
      <c r="S719">
        <f t="shared" ca="1" si="117"/>
        <v>4</v>
      </c>
      <c r="T719" t="str">
        <f t="shared" ca="1" si="118"/>
        <v>334</v>
      </c>
      <c r="U719" t="str">
        <f t="shared" ca="1" si="119"/>
        <v>Loyal</v>
      </c>
    </row>
    <row r="720" spans="1:21">
      <c r="A720" s="13" t="str">
        <f>Cleaned_Data!A720</f>
        <v>MEM0719</v>
      </c>
      <c r="B720" s="14" t="str">
        <f ca="1">Cleaned_Data!D720</f>
        <v>BR04</v>
      </c>
      <c r="C720" s="14" t="str">
        <f ca="1">Cleaned_Data!E720</f>
        <v>Basic</v>
      </c>
      <c r="D720" s="15">
        <f>Cleaned_Data!F720</f>
        <v>45386</v>
      </c>
      <c r="E720" s="15">
        <f>Cleaned_Data!G720</f>
        <v>45751</v>
      </c>
      <c r="F720" s="14">
        <f>Cleaned_Data!H720</f>
        <v>1000</v>
      </c>
      <c r="G720" s="14">
        <f ca="1">Cleaned_Data!I720</f>
        <v>8000</v>
      </c>
      <c r="H720" s="14">
        <f>Cleaned_Data!J720</f>
        <v>5</v>
      </c>
      <c r="I720" s="14" t="str">
        <f>Cleaned_Data!M720</f>
        <v>Active</v>
      </c>
      <c r="J720" s="16">
        <f>Cleaned_Data!N720</f>
        <v>45964</v>
      </c>
      <c r="K720" t="str">
        <f t="shared" si="110"/>
        <v>Moderate</v>
      </c>
      <c r="L720" s="5" t="str">
        <f>IF(COUNTIF($A$2:A720,A720)&gt;1,"Duplicate","Unique")</f>
        <v>Unique</v>
      </c>
      <c r="M720" t="str">
        <f t="shared" si="111"/>
        <v>2024-04</v>
      </c>
      <c r="N720" s="2">
        <f t="shared" ca="1" si="112"/>
        <v>45964</v>
      </c>
      <c r="O720" s="4">
        <f t="shared" ca="1" si="113"/>
        <v>18</v>
      </c>
      <c r="P720" s="4">
        <f t="shared" ca="1" si="114"/>
        <v>165</v>
      </c>
      <c r="Q720">
        <f t="shared" ca="1" si="115"/>
        <v>3</v>
      </c>
      <c r="R720">
        <f t="shared" si="116"/>
        <v>2</v>
      </c>
      <c r="S720">
        <f t="shared" ca="1" si="117"/>
        <v>3</v>
      </c>
      <c r="T720" t="str">
        <f t="shared" ca="1" si="118"/>
        <v>323</v>
      </c>
      <c r="U720" t="str">
        <f t="shared" ca="1" si="119"/>
        <v>Others</v>
      </c>
    </row>
    <row r="721" spans="1:21">
      <c r="A721" s="17" t="str">
        <f>Cleaned_Data!A721</f>
        <v>MEM0720</v>
      </c>
      <c r="B721" s="18" t="str">
        <f ca="1">Cleaned_Data!D721</f>
        <v>BR07</v>
      </c>
      <c r="C721" s="18" t="str">
        <f ca="1">Cleaned_Data!E721</f>
        <v>Standard</v>
      </c>
      <c r="D721" s="19">
        <f>Cleaned_Data!F721</f>
        <v>45920</v>
      </c>
      <c r="E721" s="19">
        <f>Cleaned_Data!G721</f>
        <v>45950</v>
      </c>
      <c r="F721" s="18">
        <f>Cleaned_Data!H721</f>
        <v>1000</v>
      </c>
      <c r="G721" s="18">
        <f ca="1">Cleaned_Data!I721</f>
        <v>10000</v>
      </c>
      <c r="H721" s="18">
        <f>Cleaned_Data!J721</f>
        <v>3</v>
      </c>
      <c r="I721" s="18" t="str">
        <f>Cleaned_Data!M721</f>
        <v>Active</v>
      </c>
      <c r="J721" s="20">
        <f>Cleaned_Data!N721</f>
        <v>45998</v>
      </c>
      <c r="K721" t="str">
        <f t="shared" si="110"/>
        <v>At Risk</v>
      </c>
      <c r="L721" s="5" t="str">
        <f>IF(COUNTIF($A$2:A721,A721)&gt;1,"Duplicate","Unique")</f>
        <v>Unique</v>
      </c>
      <c r="M721" t="str">
        <f t="shared" si="111"/>
        <v>2025-09</v>
      </c>
      <c r="N721" s="2">
        <f t="shared" ca="1" si="112"/>
        <v>45998</v>
      </c>
      <c r="O721" s="4">
        <f t="shared" ca="1" si="113"/>
        <v>2</v>
      </c>
      <c r="P721" s="4">
        <f t="shared" ca="1" si="114"/>
        <v>131</v>
      </c>
      <c r="Q721">
        <f t="shared" ca="1" si="115"/>
        <v>3</v>
      </c>
      <c r="R721">
        <f t="shared" si="116"/>
        <v>1</v>
      </c>
      <c r="S721">
        <f t="shared" ca="1" si="117"/>
        <v>4</v>
      </c>
      <c r="T721" t="str">
        <f t="shared" ca="1" si="118"/>
        <v>314</v>
      </c>
      <c r="U721" t="str">
        <f t="shared" ca="1" si="119"/>
        <v>Others</v>
      </c>
    </row>
    <row r="722" spans="1:21">
      <c r="A722" s="13" t="str">
        <f>Cleaned_Data!A722</f>
        <v>MEM0721</v>
      </c>
      <c r="B722" s="14" t="str">
        <f ca="1">Cleaned_Data!D722</f>
        <v>BR02</v>
      </c>
      <c r="C722" s="14" t="str">
        <f ca="1">Cleaned_Data!E722</f>
        <v>Basic</v>
      </c>
      <c r="D722" s="15">
        <f>Cleaned_Data!F722</f>
        <v>45042</v>
      </c>
      <c r="E722" s="15">
        <f>Cleaned_Data!G722</f>
        <v>45072</v>
      </c>
      <c r="F722" s="14">
        <f>Cleaned_Data!H722</f>
        <v>1000</v>
      </c>
      <c r="G722" s="14">
        <f ca="1">Cleaned_Data!I722</f>
        <v>8000</v>
      </c>
      <c r="H722" s="14">
        <f>Cleaned_Data!J722</f>
        <v>14</v>
      </c>
      <c r="I722" s="14" t="str">
        <f>Cleaned_Data!M722</f>
        <v>Active</v>
      </c>
      <c r="J722" s="16">
        <f>Cleaned_Data!N722</f>
        <v>45919</v>
      </c>
      <c r="K722" t="str">
        <f t="shared" si="110"/>
        <v>Moderate</v>
      </c>
      <c r="L722" s="5" t="str">
        <f>IF(COUNTIF($A$2:A722,A722)&gt;1,"Duplicate","Unique")</f>
        <v>Unique</v>
      </c>
      <c r="M722" t="str">
        <f t="shared" si="111"/>
        <v>2023-04</v>
      </c>
      <c r="N722" s="2">
        <f t="shared" ca="1" si="112"/>
        <v>45919</v>
      </c>
      <c r="O722" s="4">
        <f t="shared" ca="1" si="113"/>
        <v>28</v>
      </c>
      <c r="P722" s="4">
        <f t="shared" ca="1" si="114"/>
        <v>210</v>
      </c>
      <c r="Q722">
        <f t="shared" ca="1" si="115"/>
        <v>2</v>
      </c>
      <c r="R722">
        <f t="shared" si="116"/>
        <v>3</v>
      </c>
      <c r="S722">
        <f t="shared" ca="1" si="117"/>
        <v>3</v>
      </c>
      <c r="T722" t="str">
        <f t="shared" ca="1" si="118"/>
        <v>233</v>
      </c>
      <c r="U722" t="str">
        <f t="shared" ca="1" si="119"/>
        <v>At Risk</v>
      </c>
    </row>
    <row r="723" spans="1:21">
      <c r="A723" s="17" t="str">
        <f>Cleaned_Data!A723</f>
        <v>MEM0722</v>
      </c>
      <c r="B723" s="18" t="str">
        <f ca="1">Cleaned_Data!D723</f>
        <v>BR07</v>
      </c>
      <c r="C723" s="18" t="str">
        <f ca="1">Cleaned_Data!E723</f>
        <v>Standard</v>
      </c>
      <c r="D723" s="19">
        <f>Cleaned_Data!F723</f>
        <v>45310</v>
      </c>
      <c r="E723" s="19">
        <f>Cleaned_Data!G723</f>
        <v>45340</v>
      </c>
      <c r="F723" s="18">
        <f>Cleaned_Data!H723</f>
        <v>3500</v>
      </c>
      <c r="G723" s="18">
        <f ca="1">Cleaned_Data!I723</f>
        <v>10500</v>
      </c>
      <c r="H723" s="18">
        <f>Cleaned_Data!J723</f>
        <v>6</v>
      </c>
      <c r="I723" s="18" t="str">
        <f>Cleaned_Data!M723</f>
        <v>Active</v>
      </c>
      <c r="J723" s="20">
        <f>Cleaned_Data!N723</f>
        <v>45632</v>
      </c>
      <c r="K723" t="str">
        <f t="shared" si="110"/>
        <v>Moderate</v>
      </c>
      <c r="L723" s="5" t="str">
        <f>IF(COUNTIF($A$2:A723,A723)&gt;1,"Duplicate","Unique")</f>
        <v>Unique</v>
      </c>
      <c r="M723" t="str">
        <f t="shared" si="111"/>
        <v>2024-01</v>
      </c>
      <c r="N723" s="2">
        <f t="shared" ca="1" si="112"/>
        <v>45632</v>
      </c>
      <c r="O723" s="4">
        <f t="shared" ca="1" si="113"/>
        <v>10</v>
      </c>
      <c r="P723" s="4">
        <f t="shared" ca="1" si="114"/>
        <v>497</v>
      </c>
      <c r="Q723">
        <f t="shared" ca="1" si="115"/>
        <v>1</v>
      </c>
      <c r="R723">
        <f t="shared" si="116"/>
        <v>2</v>
      </c>
      <c r="S723">
        <f t="shared" ca="1" si="117"/>
        <v>4</v>
      </c>
      <c r="T723" t="str">
        <f t="shared" ca="1" si="118"/>
        <v>124</v>
      </c>
      <c r="U723" t="str">
        <f t="shared" ca="1" si="119"/>
        <v>At Risk</v>
      </c>
    </row>
    <row r="724" spans="1:21">
      <c r="A724" s="13" t="str">
        <f>Cleaned_Data!A724</f>
        <v>MEM0723</v>
      </c>
      <c r="B724" s="14" t="str">
        <f ca="1">Cleaned_Data!D724</f>
        <v>BR06</v>
      </c>
      <c r="C724" s="14" t="str">
        <f ca="1">Cleaned_Data!E724</f>
        <v>Standard</v>
      </c>
      <c r="D724" s="15">
        <f>Cleaned_Data!F724</f>
        <v>45575</v>
      </c>
      <c r="E724" s="15">
        <f>Cleaned_Data!G724</f>
        <v>45665</v>
      </c>
      <c r="F724" s="14">
        <f>Cleaned_Data!H724</f>
        <v>2000</v>
      </c>
      <c r="G724" s="14">
        <f ca="1">Cleaned_Data!I724</f>
        <v>4000</v>
      </c>
      <c r="H724" s="14">
        <f>Cleaned_Data!J724</f>
        <v>6</v>
      </c>
      <c r="I724" s="14" t="str">
        <f>Cleaned_Data!M724</f>
        <v>Cancelled</v>
      </c>
      <c r="J724" s="16">
        <f>Cleaned_Data!N724</f>
        <v>45744</v>
      </c>
      <c r="K724" t="str">
        <f t="shared" si="110"/>
        <v>Moderate</v>
      </c>
      <c r="L724" s="5" t="str">
        <f>IF(COUNTIF($A$2:A724,A724)&gt;1,"Duplicate","Unique")</f>
        <v>Unique</v>
      </c>
      <c r="M724" t="str">
        <f t="shared" si="111"/>
        <v>2024-10</v>
      </c>
      <c r="N724" s="2">
        <f t="shared" ca="1" si="112"/>
        <v>45744</v>
      </c>
      <c r="O724" s="4">
        <f t="shared" ca="1" si="113"/>
        <v>5</v>
      </c>
      <c r="P724" s="4">
        <f t="shared" ca="1" si="114"/>
        <v>385</v>
      </c>
      <c r="Q724">
        <f t="shared" ca="1" si="115"/>
        <v>1</v>
      </c>
      <c r="R724">
        <f t="shared" si="116"/>
        <v>2</v>
      </c>
      <c r="S724">
        <f t="shared" ca="1" si="117"/>
        <v>2</v>
      </c>
      <c r="T724" t="str">
        <f t="shared" ca="1" si="118"/>
        <v>122</v>
      </c>
      <c r="U724" t="str">
        <f t="shared" ca="1" si="119"/>
        <v>At Risk</v>
      </c>
    </row>
    <row r="725" spans="1:21">
      <c r="A725" s="17" t="str">
        <f>Cleaned_Data!A725</f>
        <v>MEM0724</v>
      </c>
      <c r="B725" s="18" t="str">
        <f ca="1">Cleaned_Data!D725</f>
        <v>BR03</v>
      </c>
      <c r="C725" s="18" t="str">
        <f ca="1">Cleaned_Data!E725</f>
        <v>Standard</v>
      </c>
      <c r="D725" s="19">
        <f>Cleaned_Data!F725</f>
        <v>46045</v>
      </c>
      <c r="E725" s="19">
        <f>Cleaned_Data!G725</f>
        <v>46410</v>
      </c>
      <c r="F725" s="18">
        <f>Cleaned_Data!H725</f>
        <v>3500</v>
      </c>
      <c r="G725" s="18">
        <f ca="1">Cleaned_Data!I725</f>
        <v>3500</v>
      </c>
      <c r="H725" s="18">
        <f>Cleaned_Data!J725</f>
        <v>13</v>
      </c>
      <c r="I725" s="18" t="str">
        <f>Cleaned_Data!M725</f>
        <v>Active</v>
      </c>
      <c r="J725" s="20">
        <f>Cleaned_Data!N725</f>
        <v>46087</v>
      </c>
      <c r="K725" t="str">
        <f t="shared" si="110"/>
        <v>Moderate</v>
      </c>
      <c r="L725" s="5" t="str">
        <f>IF(COUNTIF($A$2:A725,A725)&gt;1,"Duplicate","Unique")</f>
        <v>Unique</v>
      </c>
      <c r="M725" t="str">
        <f t="shared" si="111"/>
        <v>2026-01</v>
      </c>
      <c r="N725" s="2">
        <f t="shared" ca="1" si="112"/>
        <v>46087</v>
      </c>
      <c r="O725" s="4">
        <f t="shared" ca="1" si="113"/>
        <v>1</v>
      </c>
      <c r="P725" s="4">
        <f t="shared" ca="1" si="114"/>
        <v>42</v>
      </c>
      <c r="Q725">
        <f t="shared" ca="1" si="115"/>
        <v>4</v>
      </c>
      <c r="R725">
        <f t="shared" si="116"/>
        <v>3</v>
      </c>
      <c r="S725">
        <f t="shared" ca="1" si="117"/>
        <v>2</v>
      </c>
      <c r="T725" t="str">
        <f t="shared" ca="1" si="118"/>
        <v>432</v>
      </c>
      <c r="U725" t="str">
        <f t="shared" ca="1" si="119"/>
        <v>Others</v>
      </c>
    </row>
    <row r="726" spans="1:21">
      <c r="A726" s="13" t="str">
        <f>Cleaned_Data!A726</f>
        <v>MEM0725</v>
      </c>
      <c r="B726" s="14" t="str">
        <f ca="1">Cleaned_Data!D726</f>
        <v>BR01</v>
      </c>
      <c r="C726" s="14" t="str">
        <f ca="1">Cleaned_Data!E726</f>
        <v>Basic</v>
      </c>
      <c r="D726" s="15">
        <f>Cleaned_Data!F726</f>
        <v>45927</v>
      </c>
      <c r="E726" s="15">
        <f>Cleaned_Data!G726</f>
        <v>46017</v>
      </c>
      <c r="F726" s="14">
        <f>Cleaned_Data!H726</f>
        <v>1000</v>
      </c>
      <c r="G726" s="14">
        <f ca="1">Cleaned_Data!I726</f>
        <v>5000</v>
      </c>
      <c r="H726" s="14">
        <f>Cleaned_Data!J726</f>
        <v>24</v>
      </c>
      <c r="I726" s="14" t="str">
        <f>Cleaned_Data!M726</f>
        <v>Active</v>
      </c>
      <c r="J726" s="16">
        <f>Cleaned_Data!N726</f>
        <v>45972</v>
      </c>
      <c r="K726" t="str">
        <f t="shared" si="110"/>
        <v>Highly Active</v>
      </c>
      <c r="L726" s="5" t="str">
        <f>IF(COUNTIF($A$2:A726,A726)&gt;1,"Duplicate","Unique")</f>
        <v>Unique</v>
      </c>
      <c r="M726" t="str">
        <f t="shared" si="111"/>
        <v>2025-09</v>
      </c>
      <c r="N726" s="2">
        <f t="shared" ca="1" si="112"/>
        <v>45972</v>
      </c>
      <c r="O726" s="4">
        <f t="shared" ca="1" si="113"/>
        <v>1</v>
      </c>
      <c r="P726" s="4">
        <f t="shared" ca="1" si="114"/>
        <v>157</v>
      </c>
      <c r="Q726">
        <f t="shared" ca="1" si="115"/>
        <v>3</v>
      </c>
      <c r="R726">
        <f t="shared" si="116"/>
        <v>5</v>
      </c>
      <c r="S726">
        <f t="shared" ca="1" si="117"/>
        <v>3</v>
      </c>
      <c r="T726" t="str">
        <f t="shared" ca="1" si="118"/>
        <v>353</v>
      </c>
      <c r="U726" t="str">
        <f t="shared" ca="1" si="119"/>
        <v>Loyal</v>
      </c>
    </row>
    <row r="727" spans="1:21">
      <c r="A727" s="17" t="str">
        <f>Cleaned_Data!A727</f>
        <v>MEM0726</v>
      </c>
      <c r="B727" s="18" t="str">
        <f ca="1">Cleaned_Data!D727</f>
        <v>BR05</v>
      </c>
      <c r="C727" s="18" t="str">
        <f ca="1">Cleaned_Data!E727</f>
        <v>Basic</v>
      </c>
      <c r="D727" s="19">
        <f>Cleaned_Data!F727</f>
        <v>45762</v>
      </c>
      <c r="E727" s="19">
        <f>Cleaned_Data!G727</f>
        <v>45792</v>
      </c>
      <c r="F727" s="18">
        <f>Cleaned_Data!H727</f>
        <v>1000</v>
      </c>
      <c r="G727" s="18">
        <f ca="1">Cleaned_Data!I727</f>
        <v>4000</v>
      </c>
      <c r="H727" s="18">
        <f>Cleaned_Data!J727</f>
        <v>17</v>
      </c>
      <c r="I727" s="18" t="str">
        <f>Cleaned_Data!M727</f>
        <v>Active</v>
      </c>
      <c r="J727" s="20">
        <f>Cleaned_Data!N727</f>
        <v>45808</v>
      </c>
      <c r="K727" t="str">
        <f t="shared" si="110"/>
        <v>Highly Active</v>
      </c>
      <c r="L727" s="5" t="str">
        <f>IF(COUNTIF($A$2:A727,A727)&gt;1,"Duplicate","Unique")</f>
        <v>Unique</v>
      </c>
      <c r="M727" t="str">
        <f t="shared" si="111"/>
        <v>2025-04</v>
      </c>
      <c r="N727" s="2">
        <f t="shared" ca="1" si="112"/>
        <v>45808</v>
      </c>
      <c r="O727" s="4">
        <f t="shared" ca="1" si="113"/>
        <v>1</v>
      </c>
      <c r="P727" s="4">
        <f t="shared" ca="1" si="114"/>
        <v>321</v>
      </c>
      <c r="Q727">
        <f t="shared" ca="1" si="115"/>
        <v>2</v>
      </c>
      <c r="R727">
        <f t="shared" si="116"/>
        <v>4</v>
      </c>
      <c r="S727">
        <f t="shared" ca="1" si="117"/>
        <v>2</v>
      </c>
      <c r="T727" t="str">
        <f t="shared" ca="1" si="118"/>
        <v>242</v>
      </c>
      <c r="U727" t="str">
        <f t="shared" ca="1" si="119"/>
        <v>At Risk</v>
      </c>
    </row>
    <row r="728" spans="1:21">
      <c r="A728" s="13" t="str">
        <f>Cleaned_Data!A728</f>
        <v>MEM0727</v>
      </c>
      <c r="B728" s="14" t="str">
        <f ca="1">Cleaned_Data!D728</f>
        <v>BR02</v>
      </c>
      <c r="C728" s="14" t="str">
        <f ca="1">Cleaned_Data!E728</f>
        <v>Basic</v>
      </c>
      <c r="D728" s="15">
        <f>Cleaned_Data!F728</f>
        <v>45120</v>
      </c>
      <c r="E728" s="15">
        <f>Cleaned_Data!G728</f>
        <v>45150</v>
      </c>
      <c r="F728" s="14">
        <f>Cleaned_Data!H728</f>
        <v>2000</v>
      </c>
      <c r="G728" s="14">
        <f ca="1">Cleaned_Data!I728</f>
        <v>14000</v>
      </c>
      <c r="H728" s="14">
        <f>Cleaned_Data!J728</f>
        <v>16</v>
      </c>
      <c r="I728" s="14" t="str">
        <f>Cleaned_Data!M728</f>
        <v>Active</v>
      </c>
      <c r="J728" s="16">
        <f>Cleaned_Data!N728</f>
        <v>46083</v>
      </c>
      <c r="K728" t="str">
        <f t="shared" si="110"/>
        <v>Highly Active</v>
      </c>
      <c r="L728" s="5" t="str">
        <f>IF(COUNTIF($A$2:A728,A728)&gt;1,"Duplicate","Unique")</f>
        <v>Unique</v>
      </c>
      <c r="M728" t="str">
        <f t="shared" si="111"/>
        <v>2023-07</v>
      </c>
      <c r="N728" s="2">
        <f t="shared" ca="1" si="112"/>
        <v>46083</v>
      </c>
      <c r="O728" s="4">
        <f t="shared" ca="1" si="113"/>
        <v>31</v>
      </c>
      <c r="P728" s="4">
        <f t="shared" ca="1" si="114"/>
        <v>46</v>
      </c>
      <c r="Q728">
        <f t="shared" ca="1" si="115"/>
        <v>4</v>
      </c>
      <c r="R728">
        <f t="shared" si="116"/>
        <v>4</v>
      </c>
      <c r="S728">
        <f t="shared" ca="1" si="117"/>
        <v>4</v>
      </c>
      <c r="T728" t="str">
        <f t="shared" ca="1" si="118"/>
        <v>444</v>
      </c>
      <c r="U728" t="str">
        <f t="shared" ca="1" si="119"/>
        <v>Champion</v>
      </c>
    </row>
    <row r="729" spans="1:21">
      <c r="A729" s="17" t="str">
        <f>Cleaned_Data!A729</f>
        <v>MEM0728</v>
      </c>
      <c r="B729" s="18" t="str">
        <f ca="1">Cleaned_Data!D729</f>
        <v>BR07</v>
      </c>
      <c r="C729" s="18" t="str">
        <f ca="1">Cleaned_Data!E729</f>
        <v>Premium</v>
      </c>
      <c r="D729" s="19">
        <f>Cleaned_Data!F729</f>
        <v>45928</v>
      </c>
      <c r="E729" s="19">
        <f>Cleaned_Data!G729</f>
        <v>46018</v>
      </c>
      <c r="F729" s="18">
        <f>Cleaned_Data!H729</f>
        <v>3500</v>
      </c>
      <c r="G729" s="18">
        <f ca="1">Cleaned_Data!I729</f>
        <v>38500</v>
      </c>
      <c r="H729" s="18">
        <f>Cleaned_Data!J729</f>
        <v>7</v>
      </c>
      <c r="I729" s="18" t="str">
        <f>Cleaned_Data!M729</f>
        <v>Active</v>
      </c>
      <c r="J729" s="20">
        <f>Cleaned_Data!N729</f>
        <v>46099</v>
      </c>
      <c r="K729" t="str">
        <f t="shared" si="110"/>
        <v>Moderate</v>
      </c>
      <c r="L729" s="5" t="str">
        <f>IF(COUNTIF($A$2:A729,A729)&gt;1,"Duplicate","Unique")</f>
        <v>Unique</v>
      </c>
      <c r="M729" t="str">
        <f t="shared" si="111"/>
        <v>2025-09</v>
      </c>
      <c r="N729" s="2">
        <f t="shared" ca="1" si="112"/>
        <v>46099</v>
      </c>
      <c r="O729" s="4">
        <f t="shared" ca="1" si="113"/>
        <v>5</v>
      </c>
      <c r="P729" s="4">
        <f t="shared" ca="1" si="114"/>
        <v>30</v>
      </c>
      <c r="Q729">
        <f t="shared" ca="1" si="115"/>
        <v>5</v>
      </c>
      <c r="R729">
        <f t="shared" si="116"/>
        <v>2</v>
      </c>
      <c r="S729">
        <f t="shared" ca="1" si="117"/>
        <v>5</v>
      </c>
      <c r="T729" t="str">
        <f t="shared" ca="1" si="118"/>
        <v>525</v>
      </c>
      <c r="U729" t="str">
        <f t="shared" ca="1" si="119"/>
        <v>Others</v>
      </c>
    </row>
    <row r="730" spans="1:21">
      <c r="A730" s="13" t="str">
        <f>Cleaned_Data!A730</f>
        <v>MEM0729</v>
      </c>
      <c r="B730" s="14" t="str">
        <f ca="1">Cleaned_Data!D730</f>
        <v>BR07</v>
      </c>
      <c r="C730" s="14" t="str">
        <f ca="1">Cleaned_Data!E730</f>
        <v>Basic</v>
      </c>
      <c r="D730" s="15">
        <f>Cleaned_Data!F730</f>
        <v>45419</v>
      </c>
      <c r="E730" s="15">
        <f>Cleaned_Data!G730</f>
        <v>45509</v>
      </c>
      <c r="F730" s="14">
        <f>Cleaned_Data!H730</f>
        <v>2000</v>
      </c>
      <c r="G730" s="14">
        <f ca="1">Cleaned_Data!I730</f>
        <v>4000</v>
      </c>
      <c r="H730" s="14">
        <f>Cleaned_Data!J730</f>
        <v>18</v>
      </c>
      <c r="I730" s="14" t="str">
        <f>Cleaned_Data!M730</f>
        <v>Active</v>
      </c>
      <c r="J730" s="16">
        <f>Cleaned_Data!N730</f>
        <v>45759</v>
      </c>
      <c r="K730" t="str">
        <f t="shared" si="110"/>
        <v>Highly Active</v>
      </c>
      <c r="L730" s="5" t="str">
        <f>IF(COUNTIF($A$2:A730,A730)&gt;1,"Duplicate","Unique")</f>
        <v>Unique</v>
      </c>
      <c r="M730" t="str">
        <f t="shared" si="111"/>
        <v>2024-05</v>
      </c>
      <c r="N730" s="2">
        <f t="shared" ca="1" si="112"/>
        <v>45759</v>
      </c>
      <c r="O730" s="4">
        <f t="shared" ca="1" si="113"/>
        <v>11</v>
      </c>
      <c r="P730" s="4">
        <f t="shared" ca="1" si="114"/>
        <v>370</v>
      </c>
      <c r="Q730">
        <f t="shared" ca="1" si="115"/>
        <v>1</v>
      </c>
      <c r="R730">
        <f t="shared" si="116"/>
        <v>4</v>
      </c>
      <c r="S730">
        <f t="shared" ca="1" si="117"/>
        <v>2</v>
      </c>
      <c r="T730" t="str">
        <f t="shared" ca="1" si="118"/>
        <v>142</v>
      </c>
      <c r="U730" t="str">
        <f t="shared" ca="1" si="119"/>
        <v>At Risk</v>
      </c>
    </row>
    <row r="731" spans="1:21">
      <c r="A731" s="17" t="str">
        <f>Cleaned_Data!A731</f>
        <v>MEM0730</v>
      </c>
      <c r="B731" s="18" t="str">
        <f ca="1">Cleaned_Data!D731</f>
        <v>BR01</v>
      </c>
      <c r="C731" s="18" t="str">
        <f ca="1">Cleaned_Data!E731</f>
        <v>Basic</v>
      </c>
      <c r="D731" s="19">
        <f>Cleaned_Data!F731</f>
        <v>45680</v>
      </c>
      <c r="E731" s="19">
        <f>Cleaned_Data!G731</f>
        <v>46045</v>
      </c>
      <c r="F731" s="18">
        <f>Cleaned_Data!H731</f>
        <v>1000</v>
      </c>
      <c r="G731" s="18">
        <f ca="1">Cleaned_Data!I731</f>
        <v>7000</v>
      </c>
      <c r="H731" s="18">
        <f>Cleaned_Data!J731</f>
        <v>25</v>
      </c>
      <c r="I731" s="18" t="str">
        <f>Cleaned_Data!M731</f>
        <v>Cancelled</v>
      </c>
      <c r="J731" s="20">
        <f>Cleaned_Data!N731</f>
        <v>45926</v>
      </c>
      <c r="K731" t="str">
        <f t="shared" si="110"/>
        <v>Highly Active</v>
      </c>
      <c r="L731" s="5" t="str">
        <f>IF(COUNTIF($A$2:A731,A731)&gt;1,"Duplicate","Unique")</f>
        <v>Unique</v>
      </c>
      <c r="M731" t="str">
        <f t="shared" si="111"/>
        <v>2025-01</v>
      </c>
      <c r="N731" s="2">
        <f t="shared" ca="1" si="112"/>
        <v>45926</v>
      </c>
      <c r="O731" s="4">
        <f t="shared" ca="1" si="113"/>
        <v>8</v>
      </c>
      <c r="P731" s="4">
        <f t="shared" ca="1" si="114"/>
        <v>203</v>
      </c>
      <c r="Q731">
        <f t="shared" ca="1" si="115"/>
        <v>2</v>
      </c>
      <c r="R731">
        <f t="shared" si="116"/>
        <v>5</v>
      </c>
      <c r="S731">
        <f t="shared" ca="1" si="117"/>
        <v>3</v>
      </c>
      <c r="T731" t="str">
        <f t="shared" ca="1" si="118"/>
        <v>253</v>
      </c>
      <c r="U731" t="str">
        <f t="shared" ca="1" si="119"/>
        <v>At Risk</v>
      </c>
    </row>
    <row r="732" spans="1:21">
      <c r="A732" s="13" t="str">
        <f>Cleaned_Data!A732</f>
        <v>MEM0731</v>
      </c>
      <c r="B732" s="14" t="str">
        <f ca="1">Cleaned_Data!D732</f>
        <v>BR06</v>
      </c>
      <c r="C732" s="14" t="str">
        <f ca="1">Cleaned_Data!E732</f>
        <v>Standard</v>
      </c>
      <c r="D732" s="15">
        <f>Cleaned_Data!F732</f>
        <v>45271</v>
      </c>
      <c r="E732" s="15">
        <f>Cleaned_Data!G732</f>
        <v>45636</v>
      </c>
      <c r="F732" s="14">
        <f>Cleaned_Data!H732</f>
        <v>2000</v>
      </c>
      <c r="G732" s="14">
        <f ca="1">Cleaned_Data!I732</f>
        <v>10000</v>
      </c>
      <c r="H732" s="14">
        <f>Cleaned_Data!J732</f>
        <v>3</v>
      </c>
      <c r="I732" s="14" t="str">
        <f>Cleaned_Data!M732</f>
        <v>Cancelled</v>
      </c>
      <c r="J732" s="16">
        <f>Cleaned_Data!N732</f>
        <v>45350</v>
      </c>
      <c r="K732" t="str">
        <f t="shared" si="110"/>
        <v>At Risk</v>
      </c>
      <c r="L732" s="5" t="str">
        <f>IF(COUNTIF($A$2:A732,A732)&gt;1,"Duplicate","Unique")</f>
        <v>Unique</v>
      </c>
      <c r="M732" t="str">
        <f t="shared" si="111"/>
        <v>2023-12</v>
      </c>
      <c r="N732" s="2">
        <f t="shared" ca="1" si="112"/>
        <v>45350</v>
      </c>
      <c r="O732" s="4">
        <f t="shared" ca="1" si="113"/>
        <v>2</v>
      </c>
      <c r="P732" s="4">
        <f t="shared" ca="1" si="114"/>
        <v>779</v>
      </c>
      <c r="Q732">
        <f t="shared" ca="1" si="115"/>
        <v>1</v>
      </c>
      <c r="R732">
        <f t="shared" si="116"/>
        <v>1</v>
      </c>
      <c r="S732">
        <f t="shared" ca="1" si="117"/>
        <v>4</v>
      </c>
      <c r="T732" t="str">
        <f t="shared" ca="1" si="118"/>
        <v>114</v>
      </c>
      <c r="U732" t="str">
        <f t="shared" ca="1" si="119"/>
        <v>At Risk</v>
      </c>
    </row>
    <row r="733" spans="1:21">
      <c r="A733" s="17" t="str">
        <f>Cleaned_Data!A733</f>
        <v>MEM0732</v>
      </c>
      <c r="B733" s="18" t="str">
        <f ca="1">Cleaned_Data!D733</f>
        <v>BR05</v>
      </c>
      <c r="C733" s="18" t="str">
        <f ca="1">Cleaned_Data!E733</f>
        <v>Basic</v>
      </c>
      <c r="D733" s="19">
        <f>Cleaned_Data!F733</f>
        <v>46040</v>
      </c>
      <c r="E733" s="19">
        <f>Cleaned_Data!G733</f>
        <v>46070</v>
      </c>
      <c r="F733" s="18">
        <f>Cleaned_Data!H733</f>
        <v>3500</v>
      </c>
      <c r="G733" s="18">
        <f ca="1">Cleaned_Data!I733</f>
        <v>17500</v>
      </c>
      <c r="H733" s="18">
        <f>Cleaned_Data!J733</f>
        <v>7</v>
      </c>
      <c r="I733" s="18" t="str">
        <f>Cleaned_Data!M733</f>
        <v>Active</v>
      </c>
      <c r="J733" s="20">
        <f>Cleaned_Data!N733</f>
        <v>46096</v>
      </c>
      <c r="K733" t="str">
        <f t="shared" si="110"/>
        <v>Moderate</v>
      </c>
      <c r="L733" s="5" t="str">
        <f>IF(COUNTIF($A$2:A733,A733)&gt;1,"Duplicate","Unique")</f>
        <v>Unique</v>
      </c>
      <c r="M733" t="str">
        <f t="shared" si="111"/>
        <v>2026-01</v>
      </c>
      <c r="N733" s="2">
        <f t="shared" ca="1" si="112"/>
        <v>46096</v>
      </c>
      <c r="O733" s="4">
        <f t="shared" ca="1" si="113"/>
        <v>1</v>
      </c>
      <c r="P733" s="4">
        <f t="shared" ca="1" si="114"/>
        <v>33</v>
      </c>
      <c r="Q733">
        <f t="shared" ca="1" si="115"/>
        <v>4</v>
      </c>
      <c r="R733">
        <f t="shared" si="116"/>
        <v>2</v>
      </c>
      <c r="S733">
        <f t="shared" ca="1" si="117"/>
        <v>4</v>
      </c>
      <c r="T733" t="str">
        <f t="shared" ca="1" si="118"/>
        <v>424</v>
      </c>
      <c r="U733" t="str">
        <f t="shared" ca="1" si="119"/>
        <v>Others</v>
      </c>
    </row>
    <row r="734" spans="1:21">
      <c r="A734" s="13" t="str">
        <f>Cleaned_Data!A734</f>
        <v>MEM0733</v>
      </c>
      <c r="B734" s="14" t="str">
        <f ca="1">Cleaned_Data!D734</f>
        <v>BR03</v>
      </c>
      <c r="C734" s="14" t="str">
        <f ca="1">Cleaned_Data!E734</f>
        <v>Premium</v>
      </c>
      <c r="D734" s="15">
        <f>Cleaned_Data!F734</f>
        <v>45819</v>
      </c>
      <c r="E734" s="15">
        <f>Cleaned_Data!G734</f>
        <v>45909</v>
      </c>
      <c r="F734" s="14">
        <f>Cleaned_Data!H734</f>
        <v>1000</v>
      </c>
      <c r="G734" s="14">
        <f ca="1">Cleaned_Data!I734</f>
        <v>1000</v>
      </c>
      <c r="H734" s="14">
        <f>Cleaned_Data!J734</f>
        <v>14</v>
      </c>
      <c r="I734" s="14" t="str">
        <f>Cleaned_Data!M734</f>
        <v>Active</v>
      </c>
      <c r="J734" s="16">
        <f>Cleaned_Data!N734</f>
        <v>46006</v>
      </c>
      <c r="K734" t="str">
        <f t="shared" si="110"/>
        <v>Moderate</v>
      </c>
      <c r="L734" s="5" t="str">
        <f>IF(COUNTIF($A$2:A734,A734)&gt;1,"Duplicate","Unique")</f>
        <v>Unique</v>
      </c>
      <c r="M734" t="str">
        <f t="shared" si="111"/>
        <v>2025-06</v>
      </c>
      <c r="N734" s="2">
        <f t="shared" ca="1" si="112"/>
        <v>46006</v>
      </c>
      <c r="O734" s="4">
        <f t="shared" ca="1" si="113"/>
        <v>6</v>
      </c>
      <c r="P734" s="4">
        <f t="shared" ca="1" si="114"/>
        <v>123</v>
      </c>
      <c r="Q734">
        <f t="shared" ca="1" si="115"/>
        <v>3</v>
      </c>
      <c r="R734">
        <f t="shared" si="116"/>
        <v>3</v>
      </c>
      <c r="S734">
        <f t="shared" ca="1" si="117"/>
        <v>1</v>
      </c>
      <c r="T734" t="str">
        <f t="shared" ca="1" si="118"/>
        <v>331</v>
      </c>
      <c r="U734" t="str">
        <f t="shared" ca="1" si="119"/>
        <v>Others</v>
      </c>
    </row>
    <row r="735" spans="1:21">
      <c r="A735" s="17" t="str">
        <f>Cleaned_Data!A735</f>
        <v>MEM0734</v>
      </c>
      <c r="B735" s="18" t="str">
        <f ca="1">Cleaned_Data!D735</f>
        <v>BR07</v>
      </c>
      <c r="C735" s="18" t="str">
        <f ca="1">Cleaned_Data!E735</f>
        <v>Basic</v>
      </c>
      <c r="D735" s="19">
        <f>Cleaned_Data!F735</f>
        <v>45615</v>
      </c>
      <c r="E735" s="19">
        <f>Cleaned_Data!G735</f>
        <v>45705</v>
      </c>
      <c r="F735" s="18">
        <f>Cleaned_Data!H735</f>
        <v>3500</v>
      </c>
      <c r="G735" s="18">
        <f ca="1">Cleaned_Data!I735</f>
        <v>35000</v>
      </c>
      <c r="H735" s="18">
        <f>Cleaned_Data!J735</f>
        <v>17</v>
      </c>
      <c r="I735" s="18" t="str">
        <f>Cleaned_Data!M735</f>
        <v>Active</v>
      </c>
      <c r="J735" s="20">
        <f>Cleaned_Data!N735</f>
        <v>46120</v>
      </c>
      <c r="K735" t="str">
        <f t="shared" si="110"/>
        <v>Highly Active</v>
      </c>
      <c r="L735" s="5" t="str">
        <f>IF(COUNTIF($A$2:A735,A735)&gt;1,"Duplicate","Unique")</f>
        <v>Unique</v>
      </c>
      <c r="M735" t="str">
        <f t="shared" si="111"/>
        <v>2024-11</v>
      </c>
      <c r="N735" s="2">
        <f t="shared" ca="1" si="112"/>
        <v>46120</v>
      </c>
      <c r="O735" s="4">
        <f t="shared" ca="1" si="113"/>
        <v>16</v>
      </c>
      <c r="P735" s="4">
        <f t="shared" ca="1" si="114"/>
        <v>9</v>
      </c>
      <c r="Q735">
        <f t="shared" ca="1" si="115"/>
        <v>5</v>
      </c>
      <c r="R735">
        <f t="shared" si="116"/>
        <v>4</v>
      </c>
      <c r="S735">
        <f t="shared" ca="1" si="117"/>
        <v>5</v>
      </c>
      <c r="T735" t="str">
        <f t="shared" ca="1" si="118"/>
        <v>545</v>
      </c>
      <c r="U735" t="str">
        <f t="shared" ca="1" si="119"/>
        <v>Champion</v>
      </c>
    </row>
    <row r="736" spans="1:21">
      <c r="A736" s="13" t="str">
        <f>Cleaned_Data!A736</f>
        <v>MEM0735</v>
      </c>
      <c r="B736" s="14" t="str">
        <f ca="1">Cleaned_Data!D736</f>
        <v>BR04</v>
      </c>
      <c r="C736" s="14" t="str">
        <f ca="1">Cleaned_Data!E736</f>
        <v>Premium</v>
      </c>
      <c r="D736" s="15">
        <f>Cleaned_Data!F736</f>
        <v>45993</v>
      </c>
      <c r="E736" s="15">
        <f>Cleaned_Data!G736</f>
        <v>46083</v>
      </c>
      <c r="F736" s="14">
        <f>Cleaned_Data!H736</f>
        <v>1000</v>
      </c>
      <c r="G736" s="14">
        <f ca="1">Cleaned_Data!I736</f>
        <v>11000</v>
      </c>
      <c r="H736" s="14">
        <f>Cleaned_Data!J736</f>
        <v>18</v>
      </c>
      <c r="I736" s="14" t="str">
        <f>Cleaned_Data!M736</f>
        <v>Active</v>
      </c>
      <c r="J736" s="16">
        <f>Cleaned_Data!N736</f>
        <v>46068</v>
      </c>
      <c r="K736" t="str">
        <f t="shared" si="110"/>
        <v>Highly Active</v>
      </c>
      <c r="L736" s="5" t="str">
        <f>IF(COUNTIF($A$2:A736,A736)&gt;1,"Duplicate","Unique")</f>
        <v>Unique</v>
      </c>
      <c r="M736" t="str">
        <f t="shared" si="111"/>
        <v>2025-12</v>
      </c>
      <c r="N736" s="2">
        <f t="shared" ca="1" si="112"/>
        <v>46068</v>
      </c>
      <c r="O736" s="4">
        <f t="shared" ca="1" si="113"/>
        <v>2</v>
      </c>
      <c r="P736" s="4">
        <f t="shared" ca="1" si="114"/>
        <v>61</v>
      </c>
      <c r="Q736">
        <f t="shared" ca="1" si="115"/>
        <v>4</v>
      </c>
      <c r="R736">
        <f t="shared" si="116"/>
        <v>4</v>
      </c>
      <c r="S736">
        <f t="shared" ca="1" si="117"/>
        <v>4</v>
      </c>
      <c r="T736" t="str">
        <f t="shared" ca="1" si="118"/>
        <v>444</v>
      </c>
      <c r="U736" t="str">
        <f t="shared" ca="1" si="119"/>
        <v>Champion</v>
      </c>
    </row>
    <row r="737" spans="1:21">
      <c r="A737" s="17" t="str">
        <f>Cleaned_Data!A737</f>
        <v>MEM0736</v>
      </c>
      <c r="B737" s="18" t="str">
        <f ca="1">Cleaned_Data!D737</f>
        <v>BR06</v>
      </c>
      <c r="C737" s="18" t="str">
        <f ca="1">Cleaned_Data!E737</f>
        <v>Basic</v>
      </c>
      <c r="D737" s="19">
        <f>Cleaned_Data!F737</f>
        <v>45545</v>
      </c>
      <c r="E737" s="19">
        <f>Cleaned_Data!G737</f>
        <v>45635</v>
      </c>
      <c r="F737" s="18">
        <f>Cleaned_Data!H737</f>
        <v>2000</v>
      </c>
      <c r="G737" s="18">
        <f ca="1">Cleaned_Data!I737</f>
        <v>10000</v>
      </c>
      <c r="H737" s="18">
        <f>Cleaned_Data!J737</f>
        <v>6</v>
      </c>
      <c r="I737" s="18" t="str">
        <f>Cleaned_Data!M737</f>
        <v>Active</v>
      </c>
      <c r="J737" s="20">
        <f>Cleaned_Data!N737</f>
        <v>45843</v>
      </c>
      <c r="K737" t="str">
        <f t="shared" si="110"/>
        <v>Moderate</v>
      </c>
      <c r="L737" s="5" t="str">
        <f>IF(COUNTIF($A$2:A737,A737)&gt;1,"Duplicate","Unique")</f>
        <v>Unique</v>
      </c>
      <c r="M737" t="str">
        <f t="shared" si="111"/>
        <v>2024-09</v>
      </c>
      <c r="N737" s="2">
        <f t="shared" ca="1" si="112"/>
        <v>45843</v>
      </c>
      <c r="O737" s="4">
        <f t="shared" ca="1" si="113"/>
        <v>9</v>
      </c>
      <c r="P737" s="4">
        <f t="shared" ca="1" si="114"/>
        <v>286</v>
      </c>
      <c r="Q737">
        <f t="shared" ca="1" si="115"/>
        <v>2</v>
      </c>
      <c r="R737">
        <f t="shared" si="116"/>
        <v>2</v>
      </c>
      <c r="S737">
        <f t="shared" ca="1" si="117"/>
        <v>4</v>
      </c>
      <c r="T737" t="str">
        <f t="shared" ca="1" si="118"/>
        <v>224</v>
      </c>
      <c r="U737" t="str">
        <f t="shared" ca="1" si="119"/>
        <v>At Risk</v>
      </c>
    </row>
    <row r="738" spans="1:21">
      <c r="A738" s="13" t="str">
        <f>Cleaned_Data!A738</f>
        <v>MEM0737</v>
      </c>
      <c r="B738" s="14" t="str">
        <f ca="1">Cleaned_Data!D738</f>
        <v>BR05</v>
      </c>
      <c r="C738" s="14" t="str">
        <f ca="1">Cleaned_Data!E738</f>
        <v>Premium</v>
      </c>
      <c r="D738" s="15">
        <f>Cleaned_Data!F738</f>
        <v>45976</v>
      </c>
      <c r="E738" s="15">
        <f>Cleaned_Data!G738</f>
        <v>46066</v>
      </c>
      <c r="F738" s="14">
        <f>Cleaned_Data!H738</f>
        <v>2000</v>
      </c>
      <c r="G738" s="14">
        <f ca="1">Cleaned_Data!I738</f>
        <v>14000</v>
      </c>
      <c r="H738" s="14">
        <f>Cleaned_Data!J738</f>
        <v>15</v>
      </c>
      <c r="I738" s="14" t="str">
        <f>Cleaned_Data!M738</f>
        <v>Active</v>
      </c>
      <c r="J738" s="16">
        <f>Cleaned_Data!N738</f>
        <v>46107</v>
      </c>
      <c r="K738" t="str">
        <f t="shared" si="110"/>
        <v>Highly Active</v>
      </c>
      <c r="L738" s="5" t="str">
        <f>IF(COUNTIF($A$2:A738,A738)&gt;1,"Duplicate","Unique")</f>
        <v>Unique</v>
      </c>
      <c r="M738" t="str">
        <f t="shared" si="111"/>
        <v>2025-11</v>
      </c>
      <c r="N738" s="2">
        <f t="shared" ca="1" si="112"/>
        <v>46107</v>
      </c>
      <c r="O738" s="4">
        <f t="shared" ca="1" si="113"/>
        <v>4</v>
      </c>
      <c r="P738" s="4">
        <f t="shared" ca="1" si="114"/>
        <v>22</v>
      </c>
      <c r="Q738">
        <f t="shared" ca="1" si="115"/>
        <v>5</v>
      </c>
      <c r="R738">
        <f t="shared" si="116"/>
        <v>4</v>
      </c>
      <c r="S738">
        <f t="shared" ca="1" si="117"/>
        <v>4</v>
      </c>
      <c r="T738" t="str">
        <f t="shared" ca="1" si="118"/>
        <v>544</v>
      </c>
      <c r="U738" t="str">
        <f t="shared" ca="1" si="119"/>
        <v>Champion</v>
      </c>
    </row>
    <row r="739" spans="1:21">
      <c r="A739" s="17" t="str">
        <f>Cleaned_Data!A739</f>
        <v>MEM0738</v>
      </c>
      <c r="B739" s="18" t="str">
        <f ca="1">Cleaned_Data!D739</f>
        <v>BR02</v>
      </c>
      <c r="C739" s="18" t="str">
        <f ca="1">Cleaned_Data!E739</f>
        <v>Basic</v>
      </c>
      <c r="D739" s="19">
        <f>Cleaned_Data!F739</f>
        <v>45670</v>
      </c>
      <c r="E739" s="19">
        <f>Cleaned_Data!G739</f>
        <v>45700</v>
      </c>
      <c r="F739" s="18">
        <f>Cleaned_Data!H739</f>
        <v>1000</v>
      </c>
      <c r="G739" s="18">
        <f ca="1">Cleaned_Data!I739</f>
        <v>11000</v>
      </c>
      <c r="H739" s="18">
        <f>Cleaned_Data!J739</f>
        <v>22</v>
      </c>
      <c r="I739" s="18" t="str">
        <f>Cleaned_Data!M739</f>
        <v>Active</v>
      </c>
      <c r="J739" s="20">
        <f>Cleaned_Data!N739</f>
        <v>45772</v>
      </c>
      <c r="K739" t="str">
        <f t="shared" si="110"/>
        <v>Highly Active</v>
      </c>
      <c r="L739" s="5" t="str">
        <f>IF(COUNTIF($A$2:A739,A739)&gt;1,"Duplicate","Unique")</f>
        <v>Unique</v>
      </c>
      <c r="M739" t="str">
        <f t="shared" si="111"/>
        <v>2025-01</v>
      </c>
      <c r="N739" s="2">
        <f t="shared" ca="1" si="112"/>
        <v>45772</v>
      </c>
      <c r="O739" s="4">
        <f t="shared" ca="1" si="113"/>
        <v>3</v>
      </c>
      <c r="P739" s="4">
        <f t="shared" ca="1" si="114"/>
        <v>357</v>
      </c>
      <c r="Q739">
        <f t="shared" ca="1" si="115"/>
        <v>2</v>
      </c>
      <c r="R739">
        <f t="shared" si="116"/>
        <v>5</v>
      </c>
      <c r="S739">
        <f t="shared" ca="1" si="117"/>
        <v>4</v>
      </c>
      <c r="T739" t="str">
        <f t="shared" ca="1" si="118"/>
        <v>254</v>
      </c>
      <c r="U739" t="str">
        <f t="shared" ca="1" si="119"/>
        <v>At Risk</v>
      </c>
    </row>
    <row r="740" spans="1:21">
      <c r="A740" s="13" t="str">
        <f>Cleaned_Data!A740</f>
        <v>MEM0739</v>
      </c>
      <c r="B740" s="14" t="str">
        <f ca="1">Cleaned_Data!D740</f>
        <v>BR01</v>
      </c>
      <c r="C740" s="14" t="str">
        <f ca="1">Cleaned_Data!E740</f>
        <v>Standard</v>
      </c>
      <c r="D740" s="15">
        <f>Cleaned_Data!F740</f>
        <v>45559</v>
      </c>
      <c r="E740" s="15">
        <f>Cleaned_Data!G740</f>
        <v>45589</v>
      </c>
      <c r="F740" s="14">
        <f>Cleaned_Data!H740</f>
        <v>3500</v>
      </c>
      <c r="G740" s="14">
        <f ca="1">Cleaned_Data!I740</f>
        <v>21000</v>
      </c>
      <c r="H740" s="14">
        <f>Cleaned_Data!J740</f>
        <v>15</v>
      </c>
      <c r="I740" s="14" t="str">
        <f>Cleaned_Data!M740</f>
        <v>Active</v>
      </c>
      <c r="J740" s="16">
        <f>Cleaned_Data!N740</f>
        <v>45902</v>
      </c>
      <c r="K740" t="str">
        <f t="shared" si="110"/>
        <v>Highly Active</v>
      </c>
      <c r="L740" s="5" t="str">
        <f>IF(COUNTIF($A$2:A740,A740)&gt;1,"Duplicate","Unique")</f>
        <v>Unique</v>
      </c>
      <c r="M740" t="str">
        <f t="shared" si="111"/>
        <v>2024-09</v>
      </c>
      <c r="N740" s="2">
        <f t="shared" ca="1" si="112"/>
        <v>45902</v>
      </c>
      <c r="O740" s="4">
        <f t="shared" ca="1" si="113"/>
        <v>11</v>
      </c>
      <c r="P740" s="4">
        <f t="shared" ca="1" si="114"/>
        <v>227</v>
      </c>
      <c r="Q740">
        <f t="shared" ca="1" si="115"/>
        <v>2</v>
      </c>
      <c r="R740">
        <f t="shared" si="116"/>
        <v>4</v>
      </c>
      <c r="S740">
        <f t="shared" ca="1" si="117"/>
        <v>5</v>
      </c>
      <c r="T740" t="str">
        <f t="shared" ca="1" si="118"/>
        <v>245</v>
      </c>
      <c r="U740" t="str">
        <f t="shared" ca="1" si="119"/>
        <v>At Risk</v>
      </c>
    </row>
    <row r="741" spans="1:21">
      <c r="A741" s="17" t="str">
        <f>Cleaned_Data!A741</f>
        <v>MEM0740</v>
      </c>
      <c r="B741" s="18" t="str">
        <f ca="1">Cleaned_Data!D741</f>
        <v>BR02</v>
      </c>
      <c r="C741" s="18" t="str">
        <f ca="1">Cleaned_Data!E741</f>
        <v>Premium</v>
      </c>
      <c r="D741" s="19">
        <f>Cleaned_Data!F741</f>
        <v>45012</v>
      </c>
      <c r="E741" s="19">
        <f>Cleaned_Data!G741</f>
        <v>45042</v>
      </c>
      <c r="F741" s="18">
        <f>Cleaned_Data!H741</f>
        <v>1000</v>
      </c>
      <c r="G741" s="18">
        <f ca="1">Cleaned_Data!I741</f>
        <v>5000</v>
      </c>
      <c r="H741" s="18">
        <f>Cleaned_Data!J741</f>
        <v>9</v>
      </c>
      <c r="I741" s="18" t="str">
        <f>Cleaned_Data!M741</f>
        <v>Active</v>
      </c>
      <c r="J741" s="20">
        <f>Cleaned_Data!N741</f>
        <v>45019</v>
      </c>
      <c r="K741" t="str">
        <f t="shared" si="110"/>
        <v>Moderate</v>
      </c>
      <c r="L741" s="5" t="str">
        <f>IF(COUNTIF($A$2:A741,A741)&gt;1,"Duplicate","Unique")</f>
        <v>Unique</v>
      </c>
      <c r="M741" t="str">
        <f t="shared" si="111"/>
        <v>2023-03</v>
      </c>
      <c r="N741" s="2">
        <f t="shared" ca="1" si="112"/>
        <v>45019</v>
      </c>
      <c r="O741" s="4">
        <f t="shared" ca="1" si="113"/>
        <v>0</v>
      </c>
      <c r="P741" s="4">
        <f t="shared" ca="1" si="114"/>
        <v>1110</v>
      </c>
      <c r="Q741">
        <f t="shared" ca="1" si="115"/>
        <v>1</v>
      </c>
      <c r="R741">
        <f t="shared" si="116"/>
        <v>2</v>
      </c>
      <c r="S741">
        <f t="shared" ca="1" si="117"/>
        <v>3</v>
      </c>
      <c r="T741" t="str">
        <f t="shared" ca="1" si="118"/>
        <v>123</v>
      </c>
      <c r="U741" t="str">
        <f t="shared" ca="1" si="119"/>
        <v>At Risk</v>
      </c>
    </row>
    <row r="742" spans="1:21">
      <c r="A742" s="13" t="str">
        <f>Cleaned_Data!A742</f>
        <v>MEM0741</v>
      </c>
      <c r="B742" s="14" t="str">
        <f ca="1">Cleaned_Data!D742</f>
        <v>BR03</v>
      </c>
      <c r="C742" s="14" t="str">
        <f ca="1">Cleaned_Data!E742</f>
        <v>Basic</v>
      </c>
      <c r="D742" s="15">
        <f>Cleaned_Data!F742</f>
        <v>45773</v>
      </c>
      <c r="E742" s="15">
        <f>Cleaned_Data!G742</f>
        <v>46138</v>
      </c>
      <c r="F742" s="14">
        <f>Cleaned_Data!H742</f>
        <v>2000</v>
      </c>
      <c r="G742" s="14">
        <f ca="1">Cleaned_Data!I742</f>
        <v>22000</v>
      </c>
      <c r="H742" s="14">
        <f>Cleaned_Data!J742</f>
        <v>22</v>
      </c>
      <c r="I742" s="14" t="str">
        <f>Cleaned_Data!M742</f>
        <v>Active</v>
      </c>
      <c r="J742" s="16">
        <f>Cleaned_Data!N742</f>
        <v>45998</v>
      </c>
      <c r="K742" t="str">
        <f t="shared" si="110"/>
        <v>Highly Active</v>
      </c>
      <c r="L742" s="5" t="str">
        <f>IF(COUNTIF($A$2:A742,A742)&gt;1,"Duplicate","Unique")</f>
        <v>Unique</v>
      </c>
      <c r="M742" t="str">
        <f t="shared" si="111"/>
        <v>2025-04</v>
      </c>
      <c r="N742" s="2">
        <f t="shared" ca="1" si="112"/>
        <v>45998</v>
      </c>
      <c r="O742" s="4">
        <f t="shared" ca="1" si="113"/>
        <v>7</v>
      </c>
      <c r="P742" s="4">
        <f t="shared" ca="1" si="114"/>
        <v>131</v>
      </c>
      <c r="Q742">
        <f t="shared" ca="1" si="115"/>
        <v>3</v>
      </c>
      <c r="R742">
        <f t="shared" si="116"/>
        <v>5</v>
      </c>
      <c r="S742">
        <f t="shared" ca="1" si="117"/>
        <v>5</v>
      </c>
      <c r="T742" t="str">
        <f t="shared" ca="1" si="118"/>
        <v>355</v>
      </c>
      <c r="U742" t="str">
        <f t="shared" ca="1" si="119"/>
        <v>Loyal</v>
      </c>
    </row>
    <row r="743" spans="1:21">
      <c r="A743" s="17" t="str">
        <f>Cleaned_Data!A743</f>
        <v>MEM0742</v>
      </c>
      <c r="B743" s="18" t="str">
        <f ca="1">Cleaned_Data!D743</f>
        <v>BR02</v>
      </c>
      <c r="C743" s="18" t="str">
        <f ca="1">Cleaned_Data!E743</f>
        <v>Standard</v>
      </c>
      <c r="D743" s="19">
        <f>Cleaned_Data!F743</f>
        <v>45656</v>
      </c>
      <c r="E743" s="19">
        <f>Cleaned_Data!G743</f>
        <v>45746</v>
      </c>
      <c r="F743" s="18">
        <f>Cleaned_Data!H743</f>
        <v>3500</v>
      </c>
      <c r="G743" s="18">
        <f ca="1">Cleaned_Data!I743</f>
        <v>10500</v>
      </c>
      <c r="H743" s="18">
        <f>Cleaned_Data!J743</f>
        <v>10</v>
      </c>
      <c r="I743" s="18" t="str">
        <f>Cleaned_Data!M743</f>
        <v>Active</v>
      </c>
      <c r="J743" s="20">
        <f>Cleaned_Data!N743</f>
        <v>45881</v>
      </c>
      <c r="K743" t="str">
        <f t="shared" si="110"/>
        <v>Moderate</v>
      </c>
      <c r="L743" s="5" t="str">
        <f>IF(COUNTIF($A$2:A743,A743)&gt;1,"Duplicate","Unique")</f>
        <v>Unique</v>
      </c>
      <c r="M743" t="str">
        <f t="shared" si="111"/>
        <v>2024-12</v>
      </c>
      <c r="N743" s="2">
        <f t="shared" ca="1" si="112"/>
        <v>45881</v>
      </c>
      <c r="O743" s="4">
        <f t="shared" ca="1" si="113"/>
        <v>7</v>
      </c>
      <c r="P743" s="4">
        <f t="shared" ca="1" si="114"/>
        <v>248</v>
      </c>
      <c r="Q743">
        <f t="shared" ca="1" si="115"/>
        <v>2</v>
      </c>
      <c r="R743">
        <f t="shared" si="116"/>
        <v>3</v>
      </c>
      <c r="S743">
        <f t="shared" ca="1" si="117"/>
        <v>4</v>
      </c>
      <c r="T743" t="str">
        <f t="shared" ca="1" si="118"/>
        <v>234</v>
      </c>
      <c r="U743" t="str">
        <f t="shared" ca="1" si="119"/>
        <v>At Risk</v>
      </c>
    </row>
    <row r="744" spans="1:21">
      <c r="A744" s="13" t="str">
        <f>Cleaned_Data!A744</f>
        <v>MEM0743</v>
      </c>
      <c r="B744" s="14" t="str">
        <f ca="1">Cleaned_Data!D744</f>
        <v>BR04</v>
      </c>
      <c r="C744" s="14" t="str">
        <f ca="1">Cleaned_Data!E744</f>
        <v>Basic</v>
      </c>
      <c r="D744" s="15">
        <f>Cleaned_Data!F744</f>
        <v>45065</v>
      </c>
      <c r="E744" s="15">
        <f>Cleaned_Data!G744</f>
        <v>45155</v>
      </c>
      <c r="F744" s="14">
        <f>Cleaned_Data!H744</f>
        <v>3500</v>
      </c>
      <c r="G744" s="14">
        <f ca="1">Cleaned_Data!I744</f>
        <v>38500</v>
      </c>
      <c r="H744" s="14">
        <f>Cleaned_Data!J744</f>
        <v>20</v>
      </c>
      <c r="I744" s="14" t="str">
        <f>Cleaned_Data!M744</f>
        <v>Active</v>
      </c>
      <c r="J744" s="16">
        <f>Cleaned_Data!N744</f>
        <v>45312</v>
      </c>
      <c r="K744" t="str">
        <f t="shared" si="110"/>
        <v>Highly Active</v>
      </c>
      <c r="L744" s="5" t="str">
        <f>IF(COUNTIF($A$2:A744,A744)&gt;1,"Duplicate","Unique")</f>
        <v>Unique</v>
      </c>
      <c r="M744" t="str">
        <f t="shared" si="111"/>
        <v>2023-05</v>
      </c>
      <c r="N744" s="2">
        <f t="shared" ca="1" si="112"/>
        <v>45312</v>
      </c>
      <c r="O744" s="4">
        <f t="shared" ca="1" si="113"/>
        <v>8</v>
      </c>
      <c r="P744" s="4">
        <f t="shared" ca="1" si="114"/>
        <v>817</v>
      </c>
      <c r="Q744">
        <f t="shared" ca="1" si="115"/>
        <v>1</v>
      </c>
      <c r="R744">
        <f t="shared" si="116"/>
        <v>5</v>
      </c>
      <c r="S744">
        <f t="shared" ca="1" si="117"/>
        <v>5</v>
      </c>
      <c r="T744" t="str">
        <f t="shared" ca="1" si="118"/>
        <v>155</v>
      </c>
      <c r="U744" t="str">
        <f t="shared" ca="1" si="119"/>
        <v>At Risk</v>
      </c>
    </row>
    <row r="745" spans="1:21">
      <c r="A745" s="17" t="str">
        <f>Cleaned_Data!A745</f>
        <v>MEM0744</v>
      </c>
      <c r="B745" s="18" t="str">
        <f ca="1">Cleaned_Data!D745</f>
        <v>BR02</v>
      </c>
      <c r="C745" s="18" t="str">
        <f ca="1">Cleaned_Data!E745</f>
        <v>Premium</v>
      </c>
      <c r="D745" s="19">
        <f>Cleaned_Data!F745</f>
        <v>45369</v>
      </c>
      <c r="E745" s="19">
        <f>Cleaned_Data!G745</f>
        <v>45734</v>
      </c>
      <c r="F745" s="18">
        <f>Cleaned_Data!H745</f>
        <v>3500</v>
      </c>
      <c r="G745" s="18">
        <f ca="1">Cleaned_Data!I745</f>
        <v>24500</v>
      </c>
      <c r="H745" s="18">
        <f>Cleaned_Data!J745</f>
        <v>16</v>
      </c>
      <c r="I745" s="18" t="str">
        <f>Cleaned_Data!M745</f>
        <v>Active</v>
      </c>
      <c r="J745" s="20">
        <f>Cleaned_Data!N745</f>
        <v>45933</v>
      </c>
      <c r="K745" t="str">
        <f t="shared" si="110"/>
        <v>Highly Active</v>
      </c>
      <c r="L745" s="5" t="str">
        <f>IF(COUNTIF($A$2:A745,A745)&gt;1,"Duplicate","Unique")</f>
        <v>Unique</v>
      </c>
      <c r="M745" t="str">
        <f t="shared" si="111"/>
        <v>2024-03</v>
      </c>
      <c r="N745" s="2">
        <f t="shared" ca="1" si="112"/>
        <v>45933</v>
      </c>
      <c r="O745" s="4">
        <f t="shared" ca="1" si="113"/>
        <v>18</v>
      </c>
      <c r="P745" s="4">
        <f t="shared" ca="1" si="114"/>
        <v>196</v>
      </c>
      <c r="Q745">
        <f t="shared" ca="1" si="115"/>
        <v>2</v>
      </c>
      <c r="R745">
        <f t="shared" si="116"/>
        <v>4</v>
      </c>
      <c r="S745">
        <f t="shared" ca="1" si="117"/>
        <v>5</v>
      </c>
      <c r="T745" t="str">
        <f t="shared" ca="1" si="118"/>
        <v>245</v>
      </c>
      <c r="U745" t="str">
        <f t="shared" ca="1" si="119"/>
        <v>At Risk</v>
      </c>
    </row>
    <row r="746" spans="1:21">
      <c r="A746" s="13" t="str">
        <f>Cleaned_Data!A746</f>
        <v>MEM0745</v>
      </c>
      <c r="B746" s="14" t="str">
        <f ca="1">Cleaned_Data!D746</f>
        <v>BR04</v>
      </c>
      <c r="C746" s="14" t="str">
        <f ca="1">Cleaned_Data!E746</f>
        <v>Premium</v>
      </c>
      <c r="D746" s="15">
        <f>Cleaned_Data!F746</f>
        <v>45452</v>
      </c>
      <c r="E746" s="15">
        <f>Cleaned_Data!G746</f>
        <v>45817</v>
      </c>
      <c r="F746" s="14">
        <f>Cleaned_Data!H746</f>
        <v>2000</v>
      </c>
      <c r="G746" s="14">
        <f ca="1">Cleaned_Data!I746</f>
        <v>12000</v>
      </c>
      <c r="H746" s="14">
        <f>Cleaned_Data!J746</f>
        <v>3</v>
      </c>
      <c r="I746" s="14" t="str">
        <f>Cleaned_Data!M746</f>
        <v>Active</v>
      </c>
      <c r="J746" s="16">
        <f>Cleaned_Data!N746</f>
        <v>45476</v>
      </c>
      <c r="K746" t="str">
        <f t="shared" si="110"/>
        <v>At Risk</v>
      </c>
      <c r="L746" s="5" t="str">
        <f>IF(COUNTIF($A$2:A746,A746)&gt;1,"Duplicate","Unique")</f>
        <v>Unique</v>
      </c>
      <c r="M746" t="str">
        <f t="shared" si="111"/>
        <v>2024-06</v>
      </c>
      <c r="N746" s="2">
        <f t="shared" ca="1" si="112"/>
        <v>45476</v>
      </c>
      <c r="O746" s="4">
        <f t="shared" ca="1" si="113"/>
        <v>0</v>
      </c>
      <c r="P746" s="4">
        <f t="shared" ca="1" si="114"/>
        <v>653</v>
      </c>
      <c r="Q746">
        <f t="shared" ca="1" si="115"/>
        <v>1</v>
      </c>
      <c r="R746">
        <f t="shared" si="116"/>
        <v>1</v>
      </c>
      <c r="S746">
        <f t="shared" ca="1" si="117"/>
        <v>4</v>
      </c>
      <c r="T746" t="str">
        <f t="shared" ca="1" si="118"/>
        <v>114</v>
      </c>
      <c r="U746" t="str">
        <f t="shared" ca="1" si="119"/>
        <v>At Risk</v>
      </c>
    </row>
    <row r="747" spans="1:21">
      <c r="A747" s="17" t="str">
        <f>Cleaned_Data!A747</f>
        <v>MEM0746</v>
      </c>
      <c r="B747" s="18" t="str">
        <f ca="1">Cleaned_Data!D747</f>
        <v>BR05</v>
      </c>
      <c r="C747" s="18" t="str">
        <f ca="1">Cleaned_Data!E747</f>
        <v>Premium</v>
      </c>
      <c r="D747" s="19">
        <f>Cleaned_Data!F747</f>
        <v>45878</v>
      </c>
      <c r="E747" s="19">
        <f>Cleaned_Data!G747</f>
        <v>46243</v>
      </c>
      <c r="F747" s="18">
        <f>Cleaned_Data!H747</f>
        <v>3500</v>
      </c>
      <c r="G747" s="18">
        <f ca="1">Cleaned_Data!I747</f>
        <v>21000</v>
      </c>
      <c r="H747" s="18">
        <f>Cleaned_Data!J747</f>
        <v>16</v>
      </c>
      <c r="I747" s="18" t="str">
        <f>Cleaned_Data!M747</f>
        <v>Active</v>
      </c>
      <c r="J747" s="20">
        <f>Cleaned_Data!N747</f>
        <v>46030</v>
      </c>
      <c r="K747" t="str">
        <f t="shared" si="110"/>
        <v>Highly Active</v>
      </c>
      <c r="L747" s="5" t="str">
        <f>IF(COUNTIF($A$2:A747,A747)&gt;1,"Duplicate","Unique")</f>
        <v>Unique</v>
      </c>
      <c r="M747" t="str">
        <f t="shared" si="111"/>
        <v>2025-08</v>
      </c>
      <c r="N747" s="2">
        <f t="shared" ca="1" si="112"/>
        <v>46030</v>
      </c>
      <c r="O747" s="4">
        <f t="shared" ca="1" si="113"/>
        <v>4</v>
      </c>
      <c r="P747" s="4">
        <f t="shared" ca="1" si="114"/>
        <v>99</v>
      </c>
      <c r="Q747">
        <f t="shared" ca="1" si="115"/>
        <v>3</v>
      </c>
      <c r="R747">
        <f t="shared" si="116"/>
        <v>4</v>
      </c>
      <c r="S747">
        <f t="shared" ca="1" si="117"/>
        <v>5</v>
      </c>
      <c r="T747" t="str">
        <f t="shared" ca="1" si="118"/>
        <v>345</v>
      </c>
      <c r="U747" t="str">
        <f t="shared" ca="1" si="119"/>
        <v>Loyal</v>
      </c>
    </row>
    <row r="748" spans="1:21">
      <c r="A748" s="13" t="str">
        <f>Cleaned_Data!A748</f>
        <v>MEM0747</v>
      </c>
      <c r="B748" s="14" t="str">
        <f ca="1">Cleaned_Data!D748</f>
        <v>BR02</v>
      </c>
      <c r="C748" s="14" t="str">
        <f ca="1">Cleaned_Data!E748</f>
        <v>Premium</v>
      </c>
      <c r="D748" s="15">
        <f>Cleaned_Data!F748</f>
        <v>45769</v>
      </c>
      <c r="E748" s="15">
        <f>Cleaned_Data!G748</f>
        <v>45859</v>
      </c>
      <c r="F748" s="14">
        <f>Cleaned_Data!H748</f>
        <v>1000</v>
      </c>
      <c r="G748" s="14">
        <f ca="1">Cleaned_Data!I748</f>
        <v>3000</v>
      </c>
      <c r="H748" s="14">
        <f>Cleaned_Data!J748</f>
        <v>17</v>
      </c>
      <c r="I748" s="14" t="str">
        <f>Cleaned_Data!M748</f>
        <v>Active</v>
      </c>
      <c r="J748" s="16">
        <f>Cleaned_Data!N748</f>
        <v>45814</v>
      </c>
      <c r="K748" t="str">
        <f t="shared" si="110"/>
        <v>Highly Active</v>
      </c>
      <c r="L748" s="5" t="str">
        <f>IF(COUNTIF($A$2:A748,A748)&gt;1,"Duplicate","Unique")</f>
        <v>Unique</v>
      </c>
      <c r="M748" t="str">
        <f t="shared" si="111"/>
        <v>2025-04</v>
      </c>
      <c r="N748" s="2">
        <f t="shared" ca="1" si="112"/>
        <v>45814</v>
      </c>
      <c r="O748" s="4">
        <f t="shared" ca="1" si="113"/>
        <v>1</v>
      </c>
      <c r="P748" s="4">
        <f t="shared" ca="1" si="114"/>
        <v>315</v>
      </c>
      <c r="Q748">
        <f t="shared" ca="1" si="115"/>
        <v>2</v>
      </c>
      <c r="R748">
        <f t="shared" si="116"/>
        <v>4</v>
      </c>
      <c r="S748">
        <f t="shared" ca="1" si="117"/>
        <v>2</v>
      </c>
      <c r="T748" t="str">
        <f t="shared" ca="1" si="118"/>
        <v>242</v>
      </c>
      <c r="U748" t="str">
        <f t="shared" ca="1" si="119"/>
        <v>At Risk</v>
      </c>
    </row>
    <row r="749" spans="1:21">
      <c r="A749" s="17" t="str">
        <f>Cleaned_Data!A749</f>
        <v>MEM0748</v>
      </c>
      <c r="B749" s="18" t="str">
        <f ca="1">Cleaned_Data!D749</f>
        <v>BR05</v>
      </c>
      <c r="C749" s="18" t="str">
        <f ca="1">Cleaned_Data!E749</f>
        <v>Basic</v>
      </c>
      <c r="D749" s="19">
        <f>Cleaned_Data!F749</f>
        <v>45208</v>
      </c>
      <c r="E749" s="19">
        <f>Cleaned_Data!G749</f>
        <v>45573</v>
      </c>
      <c r="F749" s="18">
        <f>Cleaned_Data!H749</f>
        <v>1000</v>
      </c>
      <c r="G749" s="18">
        <f ca="1">Cleaned_Data!I749</f>
        <v>9000</v>
      </c>
      <c r="H749" s="18">
        <f>Cleaned_Data!J749</f>
        <v>20</v>
      </c>
      <c r="I749" s="18" t="str">
        <f>Cleaned_Data!M749</f>
        <v>Active</v>
      </c>
      <c r="J749" s="20">
        <f>Cleaned_Data!N749</f>
        <v>45540</v>
      </c>
      <c r="K749" t="str">
        <f t="shared" si="110"/>
        <v>Highly Active</v>
      </c>
      <c r="L749" s="5" t="str">
        <f>IF(COUNTIF($A$2:A749,A749)&gt;1,"Duplicate","Unique")</f>
        <v>Unique</v>
      </c>
      <c r="M749" t="str">
        <f t="shared" si="111"/>
        <v>2023-10</v>
      </c>
      <c r="N749" s="2">
        <f t="shared" ca="1" si="112"/>
        <v>45540</v>
      </c>
      <c r="O749" s="4">
        <f t="shared" ca="1" si="113"/>
        <v>10</v>
      </c>
      <c r="P749" s="4">
        <f t="shared" ca="1" si="114"/>
        <v>589</v>
      </c>
      <c r="Q749">
        <f t="shared" ca="1" si="115"/>
        <v>1</v>
      </c>
      <c r="R749">
        <f t="shared" si="116"/>
        <v>5</v>
      </c>
      <c r="S749">
        <f t="shared" ca="1" si="117"/>
        <v>3</v>
      </c>
      <c r="T749" t="str">
        <f t="shared" ca="1" si="118"/>
        <v>153</v>
      </c>
      <c r="U749" t="str">
        <f t="shared" ca="1" si="119"/>
        <v>At Risk</v>
      </c>
    </row>
    <row r="750" spans="1:21">
      <c r="A750" s="13" t="str">
        <f>Cleaned_Data!A750</f>
        <v>MEM0749</v>
      </c>
      <c r="B750" s="14" t="str">
        <f ca="1">Cleaned_Data!D750</f>
        <v>BR05</v>
      </c>
      <c r="C750" s="14" t="str">
        <f ca="1">Cleaned_Data!E750</f>
        <v>Basic</v>
      </c>
      <c r="D750" s="15">
        <f>Cleaned_Data!F750</f>
        <v>45263</v>
      </c>
      <c r="E750" s="15">
        <f>Cleaned_Data!G750</f>
        <v>45353</v>
      </c>
      <c r="F750" s="14">
        <f>Cleaned_Data!H750</f>
        <v>1000</v>
      </c>
      <c r="G750" s="14">
        <f ca="1">Cleaned_Data!I750</f>
        <v>12000</v>
      </c>
      <c r="H750" s="14">
        <f>Cleaned_Data!J750</f>
        <v>1</v>
      </c>
      <c r="I750" s="14" t="str">
        <f>Cleaned_Data!M750</f>
        <v>Cancelled</v>
      </c>
      <c r="J750" s="16">
        <f>Cleaned_Data!N750</f>
        <v>45308</v>
      </c>
      <c r="K750" t="str">
        <f t="shared" si="110"/>
        <v>At Risk</v>
      </c>
      <c r="L750" s="5" t="str">
        <f>IF(COUNTIF($A$2:A750,A750)&gt;1,"Duplicate","Unique")</f>
        <v>Unique</v>
      </c>
      <c r="M750" t="str">
        <f t="shared" si="111"/>
        <v>2023-12</v>
      </c>
      <c r="N750" s="2">
        <f t="shared" ca="1" si="112"/>
        <v>45308</v>
      </c>
      <c r="O750" s="4">
        <f t="shared" ca="1" si="113"/>
        <v>1</v>
      </c>
      <c r="P750" s="4">
        <f t="shared" ca="1" si="114"/>
        <v>821</v>
      </c>
      <c r="Q750">
        <f t="shared" ca="1" si="115"/>
        <v>1</v>
      </c>
      <c r="R750">
        <f t="shared" si="116"/>
        <v>1</v>
      </c>
      <c r="S750">
        <f t="shared" ca="1" si="117"/>
        <v>4</v>
      </c>
      <c r="T750" t="str">
        <f t="shared" ca="1" si="118"/>
        <v>114</v>
      </c>
      <c r="U750" t="str">
        <f t="shared" ca="1" si="119"/>
        <v>At Risk</v>
      </c>
    </row>
    <row r="751" spans="1:21">
      <c r="A751" s="17" t="str">
        <f>Cleaned_Data!A751</f>
        <v>MEM0750</v>
      </c>
      <c r="B751" s="18" t="str">
        <f ca="1">Cleaned_Data!D751</f>
        <v>BR07</v>
      </c>
      <c r="C751" s="18" t="str">
        <f ca="1">Cleaned_Data!E751</f>
        <v>Basic</v>
      </c>
      <c r="D751" s="19">
        <f>Cleaned_Data!F751</f>
        <v>45214</v>
      </c>
      <c r="E751" s="19">
        <f>Cleaned_Data!G751</f>
        <v>45244</v>
      </c>
      <c r="F751" s="18">
        <f>Cleaned_Data!H751</f>
        <v>3500</v>
      </c>
      <c r="G751" s="18">
        <f ca="1">Cleaned_Data!I751</f>
        <v>31500</v>
      </c>
      <c r="H751" s="18">
        <f>Cleaned_Data!J751</f>
        <v>21</v>
      </c>
      <c r="I751" s="18" t="str">
        <f>Cleaned_Data!M751</f>
        <v>Active</v>
      </c>
      <c r="J751" s="20">
        <f>Cleaned_Data!N751</f>
        <v>45855</v>
      </c>
      <c r="K751" t="str">
        <f t="shared" si="110"/>
        <v>Highly Active</v>
      </c>
      <c r="L751" s="5" t="str">
        <f>IF(COUNTIF($A$2:A751,A751)&gt;1,"Duplicate","Unique")</f>
        <v>Unique</v>
      </c>
      <c r="M751" t="str">
        <f t="shared" si="111"/>
        <v>2023-10</v>
      </c>
      <c r="N751" s="2">
        <f t="shared" ca="1" si="112"/>
        <v>45855</v>
      </c>
      <c r="O751" s="4">
        <f t="shared" ca="1" si="113"/>
        <v>21</v>
      </c>
      <c r="P751" s="4">
        <f t="shared" ca="1" si="114"/>
        <v>274</v>
      </c>
      <c r="Q751">
        <f t="shared" ca="1" si="115"/>
        <v>2</v>
      </c>
      <c r="R751">
        <f t="shared" si="116"/>
        <v>5</v>
      </c>
      <c r="S751">
        <f t="shared" ca="1" si="117"/>
        <v>5</v>
      </c>
      <c r="T751" t="str">
        <f t="shared" ca="1" si="118"/>
        <v>255</v>
      </c>
      <c r="U751" t="str">
        <f t="shared" ca="1" si="119"/>
        <v>At Risk</v>
      </c>
    </row>
    <row r="752" spans="1:21">
      <c r="A752" s="13" t="str">
        <f>Cleaned_Data!A752</f>
        <v>MEM0751</v>
      </c>
      <c r="B752" s="14" t="str">
        <f ca="1">Cleaned_Data!D752</f>
        <v>BR02</v>
      </c>
      <c r="C752" s="14" t="str">
        <f ca="1">Cleaned_Data!E752</f>
        <v>Standard</v>
      </c>
      <c r="D752" s="15">
        <f>Cleaned_Data!F752</f>
        <v>45577</v>
      </c>
      <c r="E752" s="15">
        <f>Cleaned_Data!G752</f>
        <v>45667</v>
      </c>
      <c r="F752" s="14">
        <f>Cleaned_Data!H752</f>
        <v>1000</v>
      </c>
      <c r="G752" s="14">
        <f ca="1">Cleaned_Data!I752</f>
        <v>6000</v>
      </c>
      <c r="H752" s="14">
        <f>Cleaned_Data!J752</f>
        <v>10</v>
      </c>
      <c r="I752" s="14" t="str">
        <f>Cleaned_Data!M752</f>
        <v>Active</v>
      </c>
      <c r="J752" s="16">
        <f>Cleaned_Data!N752</f>
        <v>45745</v>
      </c>
      <c r="K752" t="str">
        <f t="shared" si="110"/>
        <v>Moderate</v>
      </c>
      <c r="L752" s="5" t="str">
        <f>IF(COUNTIF($A$2:A752,A752)&gt;1,"Duplicate","Unique")</f>
        <v>Unique</v>
      </c>
      <c r="M752" t="str">
        <f t="shared" si="111"/>
        <v>2024-10</v>
      </c>
      <c r="N752" s="2">
        <f t="shared" ca="1" si="112"/>
        <v>45745</v>
      </c>
      <c r="O752" s="4">
        <f t="shared" ca="1" si="113"/>
        <v>5</v>
      </c>
      <c r="P752" s="4">
        <f t="shared" ca="1" si="114"/>
        <v>384</v>
      </c>
      <c r="Q752">
        <f t="shared" ca="1" si="115"/>
        <v>1</v>
      </c>
      <c r="R752">
        <f t="shared" si="116"/>
        <v>3</v>
      </c>
      <c r="S752">
        <f t="shared" ca="1" si="117"/>
        <v>3</v>
      </c>
      <c r="T752" t="str">
        <f t="shared" ca="1" si="118"/>
        <v>133</v>
      </c>
      <c r="U752" t="str">
        <f t="shared" ca="1" si="119"/>
        <v>At Risk</v>
      </c>
    </row>
    <row r="753" spans="1:21">
      <c r="A753" s="17" t="str">
        <f>Cleaned_Data!A753</f>
        <v>MEM0752</v>
      </c>
      <c r="B753" s="18" t="str">
        <f ca="1">Cleaned_Data!D753</f>
        <v>BR04</v>
      </c>
      <c r="C753" s="18" t="str">
        <f ca="1">Cleaned_Data!E753</f>
        <v>Basic</v>
      </c>
      <c r="D753" s="19">
        <f>Cleaned_Data!F753</f>
        <v>45371</v>
      </c>
      <c r="E753" s="19">
        <f>Cleaned_Data!G753</f>
        <v>45401</v>
      </c>
      <c r="F753" s="18">
        <f>Cleaned_Data!H753</f>
        <v>1000</v>
      </c>
      <c r="G753" s="18">
        <f ca="1">Cleaned_Data!I753</f>
        <v>1000</v>
      </c>
      <c r="H753" s="18">
        <f>Cleaned_Data!J753</f>
        <v>16</v>
      </c>
      <c r="I753" s="18" t="str">
        <f>Cleaned_Data!M753</f>
        <v>Active</v>
      </c>
      <c r="J753" s="20">
        <f>Cleaned_Data!N753</f>
        <v>46070</v>
      </c>
      <c r="K753" t="str">
        <f t="shared" si="110"/>
        <v>Highly Active</v>
      </c>
      <c r="L753" s="5" t="str">
        <f>IF(COUNTIF($A$2:A753,A753)&gt;1,"Duplicate","Unique")</f>
        <v>Unique</v>
      </c>
      <c r="M753" t="str">
        <f t="shared" si="111"/>
        <v>2024-03</v>
      </c>
      <c r="N753" s="2">
        <f t="shared" ca="1" si="112"/>
        <v>46070</v>
      </c>
      <c r="O753" s="4">
        <f t="shared" ca="1" si="113"/>
        <v>22</v>
      </c>
      <c r="P753" s="4">
        <f t="shared" ca="1" si="114"/>
        <v>59</v>
      </c>
      <c r="Q753">
        <f t="shared" ca="1" si="115"/>
        <v>4</v>
      </c>
      <c r="R753">
        <f t="shared" si="116"/>
        <v>4</v>
      </c>
      <c r="S753">
        <f t="shared" ca="1" si="117"/>
        <v>1</v>
      </c>
      <c r="T753" t="str">
        <f t="shared" ca="1" si="118"/>
        <v>441</v>
      </c>
      <c r="U753" t="str">
        <f t="shared" ca="1" si="119"/>
        <v>Others</v>
      </c>
    </row>
    <row r="754" spans="1:21">
      <c r="A754" s="13" t="str">
        <f>Cleaned_Data!A754</f>
        <v>MEM0753</v>
      </c>
      <c r="B754" s="14" t="str">
        <f ca="1">Cleaned_Data!D754</f>
        <v>BR05</v>
      </c>
      <c r="C754" s="14" t="str">
        <f ca="1">Cleaned_Data!E754</f>
        <v>Premium</v>
      </c>
      <c r="D754" s="15">
        <f>Cleaned_Data!F754</f>
        <v>45986</v>
      </c>
      <c r="E754" s="15">
        <f>Cleaned_Data!G754</f>
        <v>46016</v>
      </c>
      <c r="F754" s="14">
        <f>Cleaned_Data!H754</f>
        <v>2000</v>
      </c>
      <c r="G754" s="14">
        <f ca="1">Cleaned_Data!I754</f>
        <v>18000</v>
      </c>
      <c r="H754" s="14">
        <f>Cleaned_Data!J754</f>
        <v>24</v>
      </c>
      <c r="I754" s="14" t="str">
        <f>Cleaned_Data!M754</f>
        <v>Active</v>
      </c>
      <c r="J754" s="16">
        <f>Cleaned_Data!N754</f>
        <v>46069</v>
      </c>
      <c r="K754" t="str">
        <f t="shared" si="110"/>
        <v>Highly Active</v>
      </c>
      <c r="L754" s="5" t="str">
        <f>IF(COUNTIF($A$2:A754,A754)&gt;1,"Duplicate","Unique")</f>
        <v>Unique</v>
      </c>
      <c r="M754" t="str">
        <f t="shared" si="111"/>
        <v>2025-11</v>
      </c>
      <c r="N754" s="2">
        <f t="shared" ca="1" si="112"/>
        <v>46069</v>
      </c>
      <c r="O754" s="4">
        <f t="shared" ca="1" si="113"/>
        <v>2</v>
      </c>
      <c r="P754" s="4">
        <f t="shared" ca="1" si="114"/>
        <v>60</v>
      </c>
      <c r="Q754">
        <f t="shared" ca="1" si="115"/>
        <v>4</v>
      </c>
      <c r="R754">
        <f t="shared" si="116"/>
        <v>5</v>
      </c>
      <c r="S754">
        <f t="shared" ca="1" si="117"/>
        <v>4</v>
      </c>
      <c r="T754" t="str">
        <f t="shared" ca="1" si="118"/>
        <v>454</v>
      </c>
      <c r="U754" t="str">
        <f t="shared" ca="1" si="119"/>
        <v>Champion</v>
      </c>
    </row>
    <row r="755" spans="1:21">
      <c r="A755" s="17" t="str">
        <f>Cleaned_Data!A755</f>
        <v>MEM0754</v>
      </c>
      <c r="B755" s="18" t="str">
        <f ca="1">Cleaned_Data!D755</f>
        <v>BR03</v>
      </c>
      <c r="C755" s="18" t="str">
        <f ca="1">Cleaned_Data!E755</f>
        <v>Premium</v>
      </c>
      <c r="D755" s="19">
        <f>Cleaned_Data!F755</f>
        <v>45722</v>
      </c>
      <c r="E755" s="19">
        <f>Cleaned_Data!G755</f>
        <v>45752</v>
      </c>
      <c r="F755" s="18">
        <f>Cleaned_Data!H755</f>
        <v>1000</v>
      </c>
      <c r="G755" s="18">
        <f ca="1">Cleaned_Data!I755</f>
        <v>8000</v>
      </c>
      <c r="H755" s="18">
        <f>Cleaned_Data!J755</f>
        <v>11</v>
      </c>
      <c r="I755" s="18" t="str">
        <f>Cleaned_Data!M755</f>
        <v>Active</v>
      </c>
      <c r="J755" s="20">
        <f>Cleaned_Data!N755</f>
        <v>45837</v>
      </c>
      <c r="K755" t="str">
        <f t="shared" si="110"/>
        <v>Moderate</v>
      </c>
      <c r="L755" s="5" t="str">
        <f>IF(COUNTIF($A$2:A755,A755)&gt;1,"Duplicate","Unique")</f>
        <v>Unique</v>
      </c>
      <c r="M755" t="str">
        <f t="shared" si="111"/>
        <v>2025-03</v>
      </c>
      <c r="N755" s="2">
        <f t="shared" ca="1" si="112"/>
        <v>45837</v>
      </c>
      <c r="O755" s="4">
        <f t="shared" ca="1" si="113"/>
        <v>3</v>
      </c>
      <c r="P755" s="4">
        <f t="shared" ca="1" si="114"/>
        <v>292</v>
      </c>
      <c r="Q755">
        <f t="shared" ca="1" si="115"/>
        <v>2</v>
      </c>
      <c r="R755">
        <f t="shared" si="116"/>
        <v>3</v>
      </c>
      <c r="S755">
        <f t="shared" ca="1" si="117"/>
        <v>3</v>
      </c>
      <c r="T755" t="str">
        <f t="shared" ca="1" si="118"/>
        <v>233</v>
      </c>
      <c r="U755" t="str">
        <f t="shared" ca="1" si="119"/>
        <v>At Risk</v>
      </c>
    </row>
    <row r="756" spans="1:21">
      <c r="A756" s="13" t="str">
        <f>Cleaned_Data!A756</f>
        <v>MEM0755</v>
      </c>
      <c r="B756" s="14" t="str">
        <f ca="1">Cleaned_Data!D756</f>
        <v>BR01</v>
      </c>
      <c r="C756" s="14" t="str">
        <f ca="1">Cleaned_Data!E756</f>
        <v>Premium</v>
      </c>
      <c r="D756" s="15">
        <f>Cleaned_Data!F756</f>
        <v>45466</v>
      </c>
      <c r="E756" s="15">
        <f>Cleaned_Data!G756</f>
        <v>45556</v>
      </c>
      <c r="F756" s="14">
        <f>Cleaned_Data!H756</f>
        <v>2000</v>
      </c>
      <c r="G756" s="14">
        <f ca="1">Cleaned_Data!I756</f>
        <v>18000</v>
      </c>
      <c r="H756" s="14">
        <f>Cleaned_Data!J756</f>
        <v>9</v>
      </c>
      <c r="I756" s="14" t="str">
        <f>Cleaned_Data!M756</f>
        <v>Active</v>
      </c>
      <c r="J756" s="16">
        <f>Cleaned_Data!N756</f>
        <v>45768</v>
      </c>
      <c r="K756" t="str">
        <f t="shared" si="110"/>
        <v>Moderate</v>
      </c>
      <c r="L756" s="5" t="str">
        <f>IF(COUNTIF($A$2:A756,A756)&gt;1,"Duplicate","Unique")</f>
        <v>Unique</v>
      </c>
      <c r="M756" t="str">
        <f t="shared" si="111"/>
        <v>2024-06</v>
      </c>
      <c r="N756" s="2">
        <f t="shared" ca="1" si="112"/>
        <v>45768</v>
      </c>
      <c r="O756" s="4">
        <f t="shared" ca="1" si="113"/>
        <v>9</v>
      </c>
      <c r="P756" s="4">
        <f t="shared" ca="1" si="114"/>
        <v>361</v>
      </c>
      <c r="Q756">
        <f t="shared" ca="1" si="115"/>
        <v>2</v>
      </c>
      <c r="R756">
        <f t="shared" si="116"/>
        <v>2</v>
      </c>
      <c r="S756">
        <f t="shared" ca="1" si="117"/>
        <v>4</v>
      </c>
      <c r="T756" t="str">
        <f t="shared" ca="1" si="118"/>
        <v>224</v>
      </c>
      <c r="U756" t="str">
        <f t="shared" ca="1" si="119"/>
        <v>At Risk</v>
      </c>
    </row>
    <row r="757" spans="1:21">
      <c r="A757" s="17" t="str">
        <f>Cleaned_Data!A757</f>
        <v>MEM0756</v>
      </c>
      <c r="B757" s="18" t="str">
        <f ca="1">Cleaned_Data!D757</f>
        <v>BR02</v>
      </c>
      <c r="C757" s="18" t="str">
        <f ca="1">Cleaned_Data!E757</f>
        <v>Basic</v>
      </c>
      <c r="D757" s="19">
        <f>Cleaned_Data!F757</f>
        <v>45117</v>
      </c>
      <c r="E757" s="19">
        <f>Cleaned_Data!G757</f>
        <v>45207</v>
      </c>
      <c r="F757" s="18">
        <f>Cleaned_Data!H757</f>
        <v>3500</v>
      </c>
      <c r="G757" s="18">
        <f ca="1">Cleaned_Data!I757</f>
        <v>3500</v>
      </c>
      <c r="H757" s="18">
        <f>Cleaned_Data!J757</f>
        <v>24</v>
      </c>
      <c r="I757" s="18" t="str">
        <f>Cleaned_Data!M757</f>
        <v>Active</v>
      </c>
      <c r="J757" s="20">
        <f>Cleaned_Data!N757</f>
        <v>45562</v>
      </c>
      <c r="K757" t="str">
        <f t="shared" si="110"/>
        <v>Highly Active</v>
      </c>
      <c r="L757" s="5" t="str">
        <f>IF(COUNTIF($A$2:A757,A757)&gt;1,"Duplicate","Unique")</f>
        <v>Unique</v>
      </c>
      <c r="M757" t="str">
        <f t="shared" si="111"/>
        <v>2023-07</v>
      </c>
      <c r="N757" s="2">
        <f t="shared" ca="1" si="112"/>
        <v>45562</v>
      </c>
      <c r="O757" s="4">
        <f t="shared" ca="1" si="113"/>
        <v>14</v>
      </c>
      <c r="P757" s="4">
        <f t="shared" ca="1" si="114"/>
        <v>567</v>
      </c>
      <c r="Q757">
        <f t="shared" ca="1" si="115"/>
        <v>1</v>
      </c>
      <c r="R757">
        <f t="shared" si="116"/>
        <v>5</v>
      </c>
      <c r="S757">
        <f t="shared" ca="1" si="117"/>
        <v>2</v>
      </c>
      <c r="T757" t="str">
        <f t="shared" ca="1" si="118"/>
        <v>152</v>
      </c>
      <c r="U757" t="str">
        <f t="shared" ca="1" si="119"/>
        <v>At Risk</v>
      </c>
    </row>
    <row r="758" spans="1:21">
      <c r="A758" s="13" t="str">
        <f>Cleaned_Data!A758</f>
        <v>MEM0757</v>
      </c>
      <c r="B758" s="14" t="str">
        <f ca="1">Cleaned_Data!D758</f>
        <v>BR04</v>
      </c>
      <c r="C758" s="14" t="str">
        <f ca="1">Cleaned_Data!E758</f>
        <v>Standard</v>
      </c>
      <c r="D758" s="15">
        <f>Cleaned_Data!F758</f>
        <v>45443</v>
      </c>
      <c r="E758" s="15">
        <f>Cleaned_Data!G758</f>
        <v>45808</v>
      </c>
      <c r="F758" s="14">
        <f>Cleaned_Data!H758</f>
        <v>3500</v>
      </c>
      <c r="G758" s="14">
        <f ca="1">Cleaned_Data!I758</f>
        <v>21000</v>
      </c>
      <c r="H758" s="14">
        <f>Cleaned_Data!J758</f>
        <v>9</v>
      </c>
      <c r="I758" s="14" t="str">
        <f>Cleaned_Data!M758</f>
        <v>Active</v>
      </c>
      <c r="J758" s="16">
        <f>Cleaned_Data!N758</f>
        <v>45607</v>
      </c>
      <c r="K758" t="str">
        <f t="shared" si="110"/>
        <v>Moderate</v>
      </c>
      <c r="L758" s="5" t="str">
        <f>IF(COUNTIF($A$2:A758,A758)&gt;1,"Duplicate","Unique")</f>
        <v>Unique</v>
      </c>
      <c r="M758" t="str">
        <f t="shared" si="111"/>
        <v>2024-05</v>
      </c>
      <c r="N758" s="2">
        <f t="shared" ca="1" si="112"/>
        <v>45607</v>
      </c>
      <c r="O758" s="4">
        <f t="shared" ca="1" si="113"/>
        <v>5</v>
      </c>
      <c r="P758" s="4">
        <f t="shared" ca="1" si="114"/>
        <v>522</v>
      </c>
      <c r="Q758">
        <f t="shared" ca="1" si="115"/>
        <v>1</v>
      </c>
      <c r="R758">
        <f t="shared" si="116"/>
        <v>2</v>
      </c>
      <c r="S758">
        <f t="shared" ca="1" si="117"/>
        <v>5</v>
      </c>
      <c r="T758" t="str">
        <f t="shared" ca="1" si="118"/>
        <v>125</v>
      </c>
      <c r="U758" t="str">
        <f t="shared" ca="1" si="119"/>
        <v>At Risk</v>
      </c>
    </row>
    <row r="759" spans="1:21">
      <c r="A759" s="17" t="str">
        <f>Cleaned_Data!A759</f>
        <v>MEM0758</v>
      </c>
      <c r="B759" s="18" t="str">
        <f ca="1">Cleaned_Data!D759</f>
        <v>BR01</v>
      </c>
      <c r="C759" s="18" t="str">
        <f ca="1">Cleaned_Data!E759</f>
        <v>Standard</v>
      </c>
      <c r="D759" s="19">
        <f>Cleaned_Data!F759</f>
        <v>45091</v>
      </c>
      <c r="E759" s="19">
        <f>Cleaned_Data!G759</f>
        <v>45181</v>
      </c>
      <c r="F759" s="18">
        <f>Cleaned_Data!H759</f>
        <v>3500</v>
      </c>
      <c r="G759" s="18">
        <f ca="1">Cleaned_Data!I759</f>
        <v>21000</v>
      </c>
      <c r="H759" s="18">
        <f>Cleaned_Data!J759</f>
        <v>6</v>
      </c>
      <c r="I759" s="18" t="str">
        <f>Cleaned_Data!M759</f>
        <v>Active</v>
      </c>
      <c r="J759" s="20">
        <f>Cleaned_Data!N759</f>
        <v>46042</v>
      </c>
      <c r="K759" t="str">
        <f t="shared" si="110"/>
        <v>Moderate</v>
      </c>
      <c r="L759" s="5" t="str">
        <f>IF(COUNTIF($A$2:A759,A759)&gt;1,"Duplicate","Unique")</f>
        <v>Unique</v>
      </c>
      <c r="M759" t="str">
        <f t="shared" si="111"/>
        <v>2023-06</v>
      </c>
      <c r="N759" s="2">
        <f t="shared" ca="1" si="112"/>
        <v>46042</v>
      </c>
      <c r="O759" s="4">
        <f t="shared" ca="1" si="113"/>
        <v>31</v>
      </c>
      <c r="P759" s="4">
        <f t="shared" ca="1" si="114"/>
        <v>87</v>
      </c>
      <c r="Q759">
        <f t="shared" ca="1" si="115"/>
        <v>4</v>
      </c>
      <c r="R759">
        <f t="shared" si="116"/>
        <v>2</v>
      </c>
      <c r="S759">
        <f t="shared" ca="1" si="117"/>
        <v>5</v>
      </c>
      <c r="T759" t="str">
        <f t="shared" ca="1" si="118"/>
        <v>425</v>
      </c>
      <c r="U759" t="str">
        <f t="shared" ca="1" si="119"/>
        <v>Others</v>
      </c>
    </row>
    <row r="760" spans="1:21">
      <c r="A760" s="13" t="str">
        <f>Cleaned_Data!A760</f>
        <v>MEM0759</v>
      </c>
      <c r="B760" s="14" t="str">
        <f ca="1">Cleaned_Data!D760</f>
        <v>BR03</v>
      </c>
      <c r="C760" s="14" t="str">
        <f ca="1">Cleaned_Data!E760</f>
        <v>Premium</v>
      </c>
      <c r="D760" s="15">
        <f>Cleaned_Data!F760</f>
        <v>45220</v>
      </c>
      <c r="E760" s="15">
        <f>Cleaned_Data!G760</f>
        <v>45585</v>
      </c>
      <c r="F760" s="14">
        <f>Cleaned_Data!H760</f>
        <v>3500</v>
      </c>
      <c r="G760" s="14">
        <f ca="1">Cleaned_Data!I760</f>
        <v>35000</v>
      </c>
      <c r="H760" s="14">
        <f>Cleaned_Data!J760</f>
        <v>11</v>
      </c>
      <c r="I760" s="14" t="str">
        <f>Cleaned_Data!M760</f>
        <v>Active</v>
      </c>
      <c r="J760" s="16">
        <f>Cleaned_Data!N760</f>
        <v>45525</v>
      </c>
      <c r="K760" t="str">
        <f t="shared" si="110"/>
        <v>Moderate</v>
      </c>
      <c r="L760" s="5" t="str">
        <f>IF(COUNTIF($A$2:A760,A760)&gt;1,"Duplicate","Unique")</f>
        <v>Unique</v>
      </c>
      <c r="M760" t="str">
        <f t="shared" si="111"/>
        <v>2023-10</v>
      </c>
      <c r="N760" s="2">
        <f t="shared" ca="1" si="112"/>
        <v>45525</v>
      </c>
      <c r="O760" s="4">
        <f t="shared" ca="1" si="113"/>
        <v>10</v>
      </c>
      <c r="P760" s="4">
        <f t="shared" ca="1" si="114"/>
        <v>604</v>
      </c>
      <c r="Q760">
        <f t="shared" ca="1" si="115"/>
        <v>1</v>
      </c>
      <c r="R760">
        <f t="shared" si="116"/>
        <v>3</v>
      </c>
      <c r="S760">
        <f t="shared" ca="1" si="117"/>
        <v>5</v>
      </c>
      <c r="T760" t="str">
        <f t="shared" ca="1" si="118"/>
        <v>135</v>
      </c>
      <c r="U760" t="str">
        <f t="shared" ca="1" si="119"/>
        <v>At Risk</v>
      </c>
    </row>
    <row r="761" spans="1:21">
      <c r="A761" s="17" t="str">
        <f>Cleaned_Data!A761</f>
        <v>MEM0760</v>
      </c>
      <c r="B761" s="18" t="str">
        <f ca="1">Cleaned_Data!D761</f>
        <v>BR05</v>
      </c>
      <c r="C761" s="18" t="str">
        <f ca="1">Cleaned_Data!E761</f>
        <v>Basic</v>
      </c>
      <c r="D761" s="19">
        <f>Cleaned_Data!F761</f>
        <v>45234</v>
      </c>
      <c r="E761" s="19">
        <f>Cleaned_Data!G761</f>
        <v>45264</v>
      </c>
      <c r="F761" s="18">
        <f>Cleaned_Data!H761</f>
        <v>3500</v>
      </c>
      <c r="G761" s="18">
        <f ca="1">Cleaned_Data!I761</f>
        <v>31500</v>
      </c>
      <c r="H761" s="18">
        <f>Cleaned_Data!J761</f>
        <v>18</v>
      </c>
      <c r="I761" s="18" t="str">
        <f>Cleaned_Data!M761</f>
        <v>Active</v>
      </c>
      <c r="J761" s="20">
        <f>Cleaned_Data!N761</f>
        <v>46050</v>
      </c>
      <c r="K761" t="str">
        <f t="shared" si="110"/>
        <v>Highly Active</v>
      </c>
      <c r="L761" s="5" t="str">
        <f>IF(COUNTIF($A$2:A761,A761)&gt;1,"Duplicate","Unique")</f>
        <v>Unique</v>
      </c>
      <c r="M761" t="str">
        <f t="shared" si="111"/>
        <v>2023-11</v>
      </c>
      <c r="N761" s="2">
        <f t="shared" ca="1" si="112"/>
        <v>46050</v>
      </c>
      <c r="O761" s="4">
        <f t="shared" ca="1" si="113"/>
        <v>26</v>
      </c>
      <c r="P761" s="4">
        <f t="shared" ca="1" si="114"/>
        <v>79</v>
      </c>
      <c r="Q761">
        <f t="shared" ca="1" si="115"/>
        <v>4</v>
      </c>
      <c r="R761">
        <f t="shared" si="116"/>
        <v>4</v>
      </c>
      <c r="S761">
        <f t="shared" ca="1" si="117"/>
        <v>5</v>
      </c>
      <c r="T761" t="str">
        <f t="shared" ca="1" si="118"/>
        <v>445</v>
      </c>
      <c r="U761" t="str">
        <f t="shared" ca="1" si="119"/>
        <v>Champion</v>
      </c>
    </row>
    <row r="762" spans="1:21">
      <c r="A762" s="13" t="str">
        <f>Cleaned_Data!A762</f>
        <v>MEM0761</v>
      </c>
      <c r="B762" s="14" t="str">
        <f ca="1">Cleaned_Data!D762</f>
        <v>BR01</v>
      </c>
      <c r="C762" s="14" t="str">
        <f ca="1">Cleaned_Data!E762</f>
        <v>Standard</v>
      </c>
      <c r="D762" s="15">
        <f>Cleaned_Data!F762</f>
        <v>45604</v>
      </c>
      <c r="E762" s="15">
        <f>Cleaned_Data!G762</f>
        <v>45694</v>
      </c>
      <c r="F762" s="14">
        <f>Cleaned_Data!H762</f>
        <v>1000</v>
      </c>
      <c r="G762" s="14">
        <f ca="1">Cleaned_Data!I762</f>
        <v>10000</v>
      </c>
      <c r="H762" s="14">
        <f>Cleaned_Data!J762</f>
        <v>11</v>
      </c>
      <c r="I762" s="14" t="str">
        <f>Cleaned_Data!M762</f>
        <v>Active</v>
      </c>
      <c r="J762" s="16">
        <f>Cleaned_Data!N762</f>
        <v>46110</v>
      </c>
      <c r="K762" t="str">
        <f t="shared" si="110"/>
        <v>Moderate</v>
      </c>
      <c r="L762" s="5" t="str">
        <f>IF(COUNTIF($A$2:A762,A762)&gt;1,"Duplicate","Unique")</f>
        <v>Unique</v>
      </c>
      <c r="M762" t="str">
        <f t="shared" si="111"/>
        <v>2024-11</v>
      </c>
      <c r="N762" s="2">
        <f t="shared" ca="1" si="112"/>
        <v>46110</v>
      </c>
      <c r="O762" s="4">
        <f t="shared" ca="1" si="113"/>
        <v>16</v>
      </c>
      <c r="P762" s="4">
        <f t="shared" ca="1" si="114"/>
        <v>19</v>
      </c>
      <c r="Q762">
        <f t="shared" ca="1" si="115"/>
        <v>5</v>
      </c>
      <c r="R762">
        <f t="shared" si="116"/>
        <v>3</v>
      </c>
      <c r="S762">
        <f t="shared" ca="1" si="117"/>
        <v>4</v>
      </c>
      <c r="T762" t="str">
        <f t="shared" ca="1" si="118"/>
        <v>534</v>
      </c>
      <c r="U762" t="str">
        <f t="shared" ca="1" si="119"/>
        <v>Loyal</v>
      </c>
    </row>
    <row r="763" spans="1:21">
      <c r="A763" s="17" t="str">
        <f>Cleaned_Data!A763</f>
        <v>MEM0762</v>
      </c>
      <c r="B763" s="18" t="str">
        <f ca="1">Cleaned_Data!D763</f>
        <v>BR06</v>
      </c>
      <c r="C763" s="18" t="str">
        <f ca="1">Cleaned_Data!E763</f>
        <v>Premium</v>
      </c>
      <c r="D763" s="19">
        <f>Cleaned_Data!F763</f>
        <v>45509</v>
      </c>
      <c r="E763" s="19">
        <f>Cleaned_Data!G763</f>
        <v>45874</v>
      </c>
      <c r="F763" s="18">
        <f>Cleaned_Data!H763</f>
        <v>1000</v>
      </c>
      <c r="G763" s="18">
        <f ca="1">Cleaned_Data!I763</f>
        <v>12000</v>
      </c>
      <c r="H763" s="18">
        <f>Cleaned_Data!J763</f>
        <v>3</v>
      </c>
      <c r="I763" s="18" t="str">
        <f>Cleaned_Data!M763</f>
        <v>Cancelled</v>
      </c>
      <c r="J763" s="20">
        <f>Cleaned_Data!N763</f>
        <v>45541</v>
      </c>
      <c r="K763" t="str">
        <f t="shared" si="110"/>
        <v>At Risk</v>
      </c>
      <c r="L763" s="5" t="str">
        <f>IF(COUNTIF($A$2:A763,A763)&gt;1,"Duplicate","Unique")</f>
        <v>Unique</v>
      </c>
      <c r="M763" t="str">
        <f t="shared" si="111"/>
        <v>2024-08</v>
      </c>
      <c r="N763" s="2">
        <f t="shared" ca="1" si="112"/>
        <v>45541</v>
      </c>
      <c r="O763" s="4">
        <f t="shared" ca="1" si="113"/>
        <v>1</v>
      </c>
      <c r="P763" s="4">
        <f t="shared" ca="1" si="114"/>
        <v>588</v>
      </c>
      <c r="Q763">
        <f t="shared" ca="1" si="115"/>
        <v>1</v>
      </c>
      <c r="R763">
        <f t="shared" si="116"/>
        <v>1</v>
      </c>
      <c r="S763">
        <f t="shared" ca="1" si="117"/>
        <v>4</v>
      </c>
      <c r="T763" t="str">
        <f t="shared" ca="1" si="118"/>
        <v>114</v>
      </c>
      <c r="U763" t="str">
        <f t="shared" ca="1" si="119"/>
        <v>At Risk</v>
      </c>
    </row>
    <row r="764" spans="1:21">
      <c r="A764" s="13" t="str">
        <f>Cleaned_Data!A764</f>
        <v>MEM0763</v>
      </c>
      <c r="B764" s="14" t="str">
        <f ca="1">Cleaned_Data!D764</f>
        <v>BR07</v>
      </c>
      <c r="C764" s="14" t="str">
        <f ca="1">Cleaned_Data!E764</f>
        <v>Standard</v>
      </c>
      <c r="D764" s="15">
        <f>Cleaned_Data!F764</f>
        <v>44953</v>
      </c>
      <c r="E764" s="15">
        <f>Cleaned_Data!G764</f>
        <v>45043</v>
      </c>
      <c r="F764" s="14">
        <f>Cleaned_Data!H764</f>
        <v>2000</v>
      </c>
      <c r="G764" s="14">
        <f ca="1">Cleaned_Data!I764</f>
        <v>12000</v>
      </c>
      <c r="H764" s="14">
        <f>Cleaned_Data!J764</f>
        <v>5</v>
      </c>
      <c r="I764" s="14" t="str">
        <f>Cleaned_Data!M764</f>
        <v>Cancelled</v>
      </c>
      <c r="J764" s="16">
        <f>Cleaned_Data!N764</f>
        <v>45030</v>
      </c>
      <c r="K764" t="str">
        <f t="shared" si="110"/>
        <v>Moderate</v>
      </c>
      <c r="L764" s="5" t="str">
        <f>IF(COUNTIF($A$2:A764,A764)&gt;1,"Duplicate","Unique")</f>
        <v>Unique</v>
      </c>
      <c r="M764" t="str">
        <f t="shared" si="111"/>
        <v>2023-01</v>
      </c>
      <c r="N764" s="2">
        <f t="shared" ca="1" si="112"/>
        <v>45030</v>
      </c>
      <c r="O764" s="4">
        <f t="shared" ca="1" si="113"/>
        <v>2</v>
      </c>
      <c r="P764" s="4">
        <f t="shared" ca="1" si="114"/>
        <v>1099</v>
      </c>
      <c r="Q764">
        <f t="shared" ca="1" si="115"/>
        <v>1</v>
      </c>
      <c r="R764">
        <f t="shared" si="116"/>
        <v>2</v>
      </c>
      <c r="S764">
        <f t="shared" ca="1" si="117"/>
        <v>4</v>
      </c>
      <c r="T764" t="str">
        <f t="shared" ca="1" si="118"/>
        <v>124</v>
      </c>
      <c r="U764" t="str">
        <f t="shared" ca="1" si="119"/>
        <v>At Risk</v>
      </c>
    </row>
    <row r="765" spans="1:21">
      <c r="A765" s="17" t="str">
        <f>Cleaned_Data!A765</f>
        <v>MEM0764</v>
      </c>
      <c r="B765" s="18" t="str">
        <f ca="1">Cleaned_Data!D765</f>
        <v>BR02</v>
      </c>
      <c r="C765" s="18" t="str">
        <f ca="1">Cleaned_Data!E765</f>
        <v>Basic</v>
      </c>
      <c r="D765" s="19">
        <f>Cleaned_Data!F765</f>
        <v>45127</v>
      </c>
      <c r="E765" s="19">
        <f>Cleaned_Data!G765</f>
        <v>45217</v>
      </c>
      <c r="F765" s="18">
        <f>Cleaned_Data!H765</f>
        <v>2000</v>
      </c>
      <c r="G765" s="18">
        <f ca="1">Cleaned_Data!I765</f>
        <v>10000</v>
      </c>
      <c r="H765" s="18">
        <f>Cleaned_Data!J765</f>
        <v>16</v>
      </c>
      <c r="I765" s="18" t="str">
        <f>Cleaned_Data!M765</f>
        <v>Active</v>
      </c>
      <c r="J765" s="20">
        <f>Cleaned_Data!N765</f>
        <v>45819</v>
      </c>
      <c r="K765" t="str">
        <f t="shared" si="110"/>
        <v>Highly Active</v>
      </c>
      <c r="L765" s="5" t="str">
        <f>IF(COUNTIF($A$2:A765,A765)&gt;1,"Duplicate","Unique")</f>
        <v>Unique</v>
      </c>
      <c r="M765" t="str">
        <f t="shared" si="111"/>
        <v>2023-07</v>
      </c>
      <c r="N765" s="2">
        <f t="shared" ca="1" si="112"/>
        <v>45819</v>
      </c>
      <c r="O765" s="4">
        <f t="shared" ca="1" si="113"/>
        <v>22</v>
      </c>
      <c r="P765" s="4">
        <f t="shared" ca="1" si="114"/>
        <v>310</v>
      </c>
      <c r="Q765">
        <f t="shared" ca="1" si="115"/>
        <v>2</v>
      </c>
      <c r="R765">
        <f t="shared" si="116"/>
        <v>4</v>
      </c>
      <c r="S765">
        <f t="shared" ca="1" si="117"/>
        <v>4</v>
      </c>
      <c r="T765" t="str">
        <f t="shared" ca="1" si="118"/>
        <v>244</v>
      </c>
      <c r="U765" t="str">
        <f t="shared" ca="1" si="119"/>
        <v>At Risk</v>
      </c>
    </row>
    <row r="766" spans="1:21">
      <c r="A766" s="13" t="str">
        <f>Cleaned_Data!A766</f>
        <v>MEM0765</v>
      </c>
      <c r="B766" s="14" t="str">
        <f ca="1">Cleaned_Data!D766</f>
        <v>BR03</v>
      </c>
      <c r="C766" s="14" t="str">
        <f ca="1">Cleaned_Data!E766</f>
        <v>Premium</v>
      </c>
      <c r="D766" s="15">
        <f>Cleaned_Data!F766</f>
        <v>45587</v>
      </c>
      <c r="E766" s="15">
        <f>Cleaned_Data!G766</f>
        <v>45952</v>
      </c>
      <c r="F766" s="14">
        <f>Cleaned_Data!H766</f>
        <v>3500</v>
      </c>
      <c r="G766" s="14">
        <f ca="1">Cleaned_Data!I766</f>
        <v>7000</v>
      </c>
      <c r="H766" s="14">
        <f>Cleaned_Data!J766</f>
        <v>13</v>
      </c>
      <c r="I766" s="14" t="str">
        <f>Cleaned_Data!M766</f>
        <v>Active</v>
      </c>
      <c r="J766" s="16">
        <f>Cleaned_Data!N766</f>
        <v>45705</v>
      </c>
      <c r="K766" t="str">
        <f t="shared" si="110"/>
        <v>Moderate</v>
      </c>
      <c r="L766" s="5" t="str">
        <f>IF(COUNTIF($A$2:A766,A766)&gt;1,"Duplicate","Unique")</f>
        <v>Unique</v>
      </c>
      <c r="M766" t="str">
        <f t="shared" si="111"/>
        <v>2024-10</v>
      </c>
      <c r="N766" s="2">
        <f t="shared" ca="1" si="112"/>
        <v>45705</v>
      </c>
      <c r="O766" s="4">
        <f t="shared" ca="1" si="113"/>
        <v>3</v>
      </c>
      <c r="P766" s="4">
        <f t="shared" ca="1" si="114"/>
        <v>424</v>
      </c>
      <c r="Q766">
        <f t="shared" ca="1" si="115"/>
        <v>1</v>
      </c>
      <c r="R766">
        <f t="shared" si="116"/>
        <v>3</v>
      </c>
      <c r="S766">
        <f t="shared" ca="1" si="117"/>
        <v>3</v>
      </c>
      <c r="T766" t="str">
        <f t="shared" ca="1" si="118"/>
        <v>133</v>
      </c>
      <c r="U766" t="str">
        <f t="shared" ca="1" si="119"/>
        <v>At Risk</v>
      </c>
    </row>
    <row r="767" spans="1:21">
      <c r="A767" s="17" t="str">
        <f>Cleaned_Data!A767</f>
        <v>MEM0766</v>
      </c>
      <c r="B767" s="18" t="str">
        <f ca="1">Cleaned_Data!D767</f>
        <v>BR02</v>
      </c>
      <c r="C767" s="18" t="str">
        <f ca="1">Cleaned_Data!E767</f>
        <v>Basic</v>
      </c>
      <c r="D767" s="19">
        <f>Cleaned_Data!F767</f>
        <v>45178</v>
      </c>
      <c r="E767" s="19">
        <f>Cleaned_Data!G767</f>
        <v>45208</v>
      </c>
      <c r="F767" s="18">
        <f>Cleaned_Data!H767</f>
        <v>1000</v>
      </c>
      <c r="G767" s="18">
        <f ca="1">Cleaned_Data!I767</f>
        <v>1000</v>
      </c>
      <c r="H767" s="18">
        <f>Cleaned_Data!J767</f>
        <v>9</v>
      </c>
      <c r="I767" s="18" t="str">
        <f>Cleaned_Data!M767</f>
        <v>Cancelled</v>
      </c>
      <c r="J767" s="20">
        <f>Cleaned_Data!N767</f>
        <v>45337</v>
      </c>
      <c r="K767" t="str">
        <f t="shared" si="110"/>
        <v>Moderate</v>
      </c>
      <c r="L767" s="5" t="str">
        <f>IF(COUNTIF($A$2:A767,A767)&gt;1,"Duplicate","Unique")</f>
        <v>Unique</v>
      </c>
      <c r="M767" t="str">
        <f t="shared" si="111"/>
        <v>2023-09</v>
      </c>
      <c r="N767" s="2">
        <f t="shared" ca="1" si="112"/>
        <v>45337</v>
      </c>
      <c r="O767" s="4">
        <f t="shared" ca="1" si="113"/>
        <v>5</v>
      </c>
      <c r="P767" s="4">
        <f t="shared" ca="1" si="114"/>
        <v>792</v>
      </c>
      <c r="Q767">
        <f t="shared" ca="1" si="115"/>
        <v>1</v>
      </c>
      <c r="R767">
        <f t="shared" si="116"/>
        <v>2</v>
      </c>
      <c r="S767">
        <f t="shared" ca="1" si="117"/>
        <v>1</v>
      </c>
      <c r="T767" t="str">
        <f t="shared" ca="1" si="118"/>
        <v>121</v>
      </c>
      <c r="U767" t="str">
        <f t="shared" ca="1" si="119"/>
        <v>At Risk</v>
      </c>
    </row>
    <row r="768" spans="1:21">
      <c r="A768" s="13" t="str">
        <f>Cleaned_Data!A768</f>
        <v>MEM0767</v>
      </c>
      <c r="B768" s="14" t="str">
        <f ca="1">Cleaned_Data!D768</f>
        <v>BR03</v>
      </c>
      <c r="C768" s="14" t="str">
        <f ca="1">Cleaned_Data!E768</f>
        <v>Standard</v>
      </c>
      <c r="D768" s="15">
        <f>Cleaned_Data!F768</f>
        <v>45022</v>
      </c>
      <c r="E768" s="15">
        <f>Cleaned_Data!G768</f>
        <v>45387</v>
      </c>
      <c r="F768" s="14">
        <f>Cleaned_Data!H768</f>
        <v>3500</v>
      </c>
      <c r="G768" s="14">
        <f ca="1">Cleaned_Data!I768</f>
        <v>14000</v>
      </c>
      <c r="H768" s="14">
        <f>Cleaned_Data!J768</f>
        <v>5</v>
      </c>
      <c r="I768" s="14" t="str">
        <f>Cleaned_Data!M768</f>
        <v>Active</v>
      </c>
      <c r="J768" s="16">
        <f>Cleaned_Data!N768</f>
        <v>45940</v>
      </c>
      <c r="K768" t="str">
        <f t="shared" si="110"/>
        <v>Moderate</v>
      </c>
      <c r="L768" s="5" t="str">
        <f>IF(COUNTIF($A$2:A768,A768)&gt;1,"Duplicate","Unique")</f>
        <v>Unique</v>
      </c>
      <c r="M768" t="str">
        <f t="shared" si="111"/>
        <v>2023-04</v>
      </c>
      <c r="N768" s="2">
        <f t="shared" ca="1" si="112"/>
        <v>45940</v>
      </c>
      <c r="O768" s="4">
        <f t="shared" ca="1" si="113"/>
        <v>30</v>
      </c>
      <c r="P768" s="4">
        <f t="shared" ca="1" si="114"/>
        <v>189</v>
      </c>
      <c r="Q768">
        <f t="shared" ca="1" si="115"/>
        <v>2</v>
      </c>
      <c r="R768">
        <f t="shared" si="116"/>
        <v>2</v>
      </c>
      <c r="S768">
        <f t="shared" ca="1" si="117"/>
        <v>4</v>
      </c>
      <c r="T768" t="str">
        <f t="shared" ca="1" si="118"/>
        <v>224</v>
      </c>
      <c r="U768" t="str">
        <f t="shared" ca="1" si="119"/>
        <v>At Risk</v>
      </c>
    </row>
    <row r="769" spans="1:21">
      <c r="A769" s="17" t="str">
        <f>Cleaned_Data!A769</f>
        <v>MEM0768</v>
      </c>
      <c r="B769" s="18" t="str">
        <f ca="1">Cleaned_Data!D769</f>
        <v>BR05</v>
      </c>
      <c r="C769" s="18" t="str">
        <f ca="1">Cleaned_Data!E769</f>
        <v>Basic</v>
      </c>
      <c r="D769" s="19">
        <f>Cleaned_Data!F769</f>
        <v>45211</v>
      </c>
      <c r="E769" s="19">
        <f>Cleaned_Data!G769</f>
        <v>45576</v>
      </c>
      <c r="F769" s="18">
        <f>Cleaned_Data!H769</f>
        <v>1000</v>
      </c>
      <c r="G769" s="18">
        <f ca="1">Cleaned_Data!I769</f>
        <v>10000</v>
      </c>
      <c r="H769" s="18">
        <f>Cleaned_Data!J769</f>
        <v>11</v>
      </c>
      <c r="I769" s="18" t="str">
        <f>Cleaned_Data!M769</f>
        <v>Active</v>
      </c>
      <c r="J769" s="20">
        <f>Cleaned_Data!N769</f>
        <v>45831</v>
      </c>
      <c r="K769" t="str">
        <f t="shared" si="110"/>
        <v>Moderate</v>
      </c>
      <c r="L769" s="5" t="str">
        <f>IF(COUNTIF($A$2:A769,A769)&gt;1,"Duplicate","Unique")</f>
        <v>Unique</v>
      </c>
      <c r="M769" t="str">
        <f t="shared" si="111"/>
        <v>2023-10</v>
      </c>
      <c r="N769" s="2">
        <f t="shared" ca="1" si="112"/>
        <v>45831</v>
      </c>
      <c r="O769" s="4">
        <f t="shared" ca="1" si="113"/>
        <v>20</v>
      </c>
      <c r="P769" s="4">
        <f t="shared" ca="1" si="114"/>
        <v>298</v>
      </c>
      <c r="Q769">
        <f t="shared" ca="1" si="115"/>
        <v>2</v>
      </c>
      <c r="R769">
        <f t="shared" si="116"/>
        <v>3</v>
      </c>
      <c r="S769">
        <f t="shared" ca="1" si="117"/>
        <v>4</v>
      </c>
      <c r="T769" t="str">
        <f t="shared" ca="1" si="118"/>
        <v>234</v>
      </c>
      <c r="U769" t="str">
        <f t="shared" ca="1" si="119"/>
        <v>At Risk</v>
      </c>
    </row>
    <row r="770" spans="1:21">
      <c r="A770" s="13" t="str">
        <f>Cleaned_Data!A770</f>
        <v>MEM0769</v>
      </c>
      <c r="B770" s="14" t="str">
        <f ca="1">Cleaned_Data!D770</f>
        <v>BR04</v>
      </c>
      <c r="C770" s="14" t="str">
        <f ca="1">Cleaned_Data!E770</f>
        <v>Standard</v>
      </c>
      <c r="D770" s="15">
        <f>Cleaned_Data!F770</f>
        <v>45107</v>
      </c>
      <c r="E770" s="15">
        <f>Cleaned_Data!G770</f>
        <v>45137</v>
      </c>
      <c r="F770" s="14">
        <f>Cleaned_Data!H770</f>
        <v>2000</v>
      </c>
      <c r="G770" s="14">
        <f ca="1">Cleaned_Data!I770</f>
        <v>18000</v>
      </c>
      <c r="H770" s="14">
        <f>Cleaned_Data!J770</f>
        <v>21</v>
      </c>
      <c r="I770" s="14" t="str">
        <f>Cleaned_Data!M770</f>
        <v>Active</v>
      </c>
      <c r="J770" s="16">
        <f>Cleaned_Data!N770</f>
        <v>45157</v>
      </c>
      <c r="K770" t="str">
        <f t="shared" si="110"/>
        <v>Highly Active</v>
      </c>
      <c r="L770" s="5" t="str">
        <f>IF(COUNTIF($A$2:A770,A770)&gt;1,"Duplicate","Unique")</f>
        <v>Unique</v>
      </c>
      <c r="M770" t="str">
        <f t="shared" si="111"/>
        <v>2023-06</v>
      </c>
      <c r="N770" s="2">
        <f t="shared" ca="1" si="112"/>
        <v>45157</v>
      </c>
      <c r="O770" s="4">
        <f t="shared" ca="1" si="113"/>
        <v>1</v>
      </c>
      <c r="P770" s="4">
        <f t="shared" ca="1" si="114"/>
        <v>972</v>
      </c>
      <c r="Q770">
        <f t="shared" ca="1" si="115"/>
        <v>1</v>
      </c>
      <c r="R770">
        <f t="shared" si="116"/>
        <v>5</v>
      </c>
      <c r="S770">
        <f t="shared" ca="1" si="117"/>
        <v>4</v>
      </c>
      <c r="T770" t="str">
        <f t="shared" ca="1" si="118"/>
        <v>154</v>
      </c>
      <c r="U770" t="str">
        <f t="shared" ca="1" si="119"/>
        <v>At Risk</v>
      </c>
    </row>
    <row r="771" spans="1:21">
      <c r="A771" s="17" t="str">
        <f>Cleaned_Data!A771</f>
        <v>MEM0770</v>
      </c>
      <c r="B771" s="18" t="str">
        <f ca="1">Cleaned_Data!D771</f>
        <v>BR01</v>
      </c>
      <c r="C771" s="18" t="str">
        <f ca="1">Cleaned_Data!E771</f>
        <v>Basic</v>
      </c>
      <c r="D771" s="19">
        <f>Cleaned_Data!F771</f>
        <v>45955</v>
      </c>
      <c r="E771" s="19">
        <f>Cleaned_Data!G771</f>
        <v>45985</v>
      </c>
      <c r="F771" s="18">
        <f>Cleaned_Data!H771</f>
        <v>3500</v>
      </c>
      <c r="G771" s="18">
        <f ca="1">Cleaned_Data!I771</f>
        <v>42000</v>
      </c>
      <c r="H771" s="18">
        <f>Cleaned_Data!J771</f>
        <v>12</v>
      </c>
      <c r="I771" s="18" t="str">
        <f>Cleaned_Data!M771</f>
        <v>Active</v>
      </c>
      <c r="J771" s="20">
        <f>Cleaned_Data!N771</f>
        <v>45970</v>
      </c>
      <c r="K771" t="str">
        <f t="shared" ref="K771:K819" si="120">IF(H771&lt;5,"At Risk",
 IF(H771&lt;15,"Moderate",
 "Highly Active"))</f>
        <v>Moderate</v>
      </c>
      <c r="L771" s="5" t="str">
        <f>IF(COUNTIF($A$2:A771,A771)&gt;1,"Duplicate","Unique")</f>
        <v>Unique</v>
      </c>
      <c r="M771" t="str">
        <f t="shared" ref="M771:M819" si="121">TEXT(D771,"YYYY-MM")</f>
        <v>2025-10</v>
      </c>
      <c r="N771" s="2">
        <f t="shared" ref="N771:N819" ca="1" si="122">IF(J771&lt;&gt;"",
    J771,
    IF(I771="Active", TODAY(), E771)
)</f>
        <v>45970</v>
      </c>
      <c r="O771" s="4">
        <f t="shared" ref="O771:O819" ca="1" si="123">IFERROR(
   IF(N771&gt;=D771,
      DATEDIF(D771, N771, "M"),
      0
   ),
   0
)</f>
        <v>0</v>
      </c>
      <c r="P771" s="4">
        <f t="shared" ref="P771:P819" ca="1" si="124">TODAY() - N771</f>
        <v>159</v>
      </c>
      <c r="Q771">
        <f t="shared" ref="Q771:Q819" ca="1" si="125">IF(P771&lt;=30,5,
 IF(P771&lt;=90,4,
 IF(P771&lt;=180,3,
 IF(P771&lt;=365,2,1))))</f>
        <v>3</v>
      </c>
      <c r="R771">
        <f t="shared" ref="R771:R819" si="126">IF(H771&gt;=20,5,
 IF(H771&gt;=15,4,
 IF(H771&gt;=10,3,
 IF(H771&gt;=5,2,1))))</f>
        <v>3</v>
      </c>
      <c r="S771">
        <f t="shared" ref="S771:S819" ca="1" si="127">IF(G771&gt;=20000,5,
 IF(G771&gt;=10000,4,
 IF(G771&gt;=5000,3,
 IF(G771&gt;=2000,2,1))))</f>
        <v>5</v>
      </c>
      <c r="T771" t="str">
        <f t="shared" ref="T771:T819" ca="1" si="128">Q771 &amp; R771 &amp; S771</f>
        <v>335</v>
      </c>
      <c r="U771" t="str">
        <f t="shared" ref="U771:U819" ca="1" si="129">IF(AND(Q771&gt;=4,R771&gt;=4,S771&gt;=4),"Champion",
 IF(AND(Q771&gt;=3,R771&gt;=3,S771&gt;=3),"Loyal",
 IF(Q771&lt;=2,"At Risk",
 "Others")))</f>
        <v>Loyal</v>
      </c>
    </row>
    <row r="772" spans="1:21">
      <c r="A772" s="13" t="str">
        <f>Cleaned_Data!A772</f>
        <v>MEM0771</v>
      </c>
      <c r="B772" s="14" t="str">
        <f ca="1">Cleaned_Data!D772</f>
        <v>BR05</v>
      </c>
      <c r="C772" s="14" t="str">
        <f ca="1">Cleaned_Data!E772</f>
        <v>Basic</v>
      </c>
      <c r="D772" s="15">
        <f>Cleaned_Data!F772</f>
        <v>45851</v>
      </c>
      <c r="E772" s="15">
        <f>Cleaned_Data!G772</f>
        <v>45881</v>
      </c>
      <c r="F772" s="14">
        <f>Cleaned_Data!H772</f>
        <v>1000</v>
      </c>
      <c r="G772" s="14">
        <f ca="1">Cleaned_Data!I772</f>
        <v>7000</v>
      </c>
      <c r="H772" s="14">
        <f>Cleaned_Data!J772</f>
        <v>18</v>
      </c>
      <c r="I772" s="14" t="str">
        <f>Cleaned_Data!M772</f>
        <v>Active</v>
      </c>
      <c r="J772" s="16">
        <f>Cleaned_Data!N772</f>
        <v>45918</v>
      </c>
      <c r="K772" t="str">
        <f t="shared" si="120"/>
        <v>Highly Active</v>
      </c>
      <c r="L772" s="5" t="str">
        <f>IF(COUNTIF($A$2:A772,A772)&gt;1,"Duplicate","Unique")</f>
        <v>Unique</v>
      </c>
      <c r="M772" t="str">
        <f t="shared" si="121"/>
        <v>2025-07</v>
      </c>
      <c r="N772" s="2">
        <f t="shared" ca="1" si="122"/>
        <v>45918</v>
      </c>
      <c r="O772" s="4">
        <f t="shared" ca="1" si="123"/>
        <v>2</v>
      </c>
      <c r="P772" s="4">
        <f t="shared" ca="1" si="124"/>
        <v>211</v>
      </c>
      <c r="Q772">
        <f t="shared" ca="1" si="125"/>
        <v>2</v>
      </c>
      <c r="R772">
        <f t="shared" si="126"/>
        <v>4</v>
      </c>
      <c r="S772">
        <f t="shared" ca="1" si="127"/>
        <v>3</v>
      </c>
      <c r="T772" t="str">
        <f t="shared" ca="1" si="128"/>
        <v>243</v>
      </c>
      <c r="U772" t="str">
        <f t="shared" ca="1" si="129"/>
        <v>At Risk</v>
      </c>
    </row>
    <row r="773" spans="1:21">
      <c r="A773" s="17" t="str">
        <f>Cleaned_Data!A773</f>
        <v>MEM0772</v>
      </c>
      <c r="B773" s="18" t="str">
        <f ca="1">Cleaned_Data!D773</f>
        <v>BR04</v>
      </c>
      <c r="C773" s="18" t="str">
        <f ca="1">Cleaned_Data!E773</f>
        <v>Standard</v>
      </c>
      <c r="D773" s="19">
        <f>Cleaned_Data!F773</f>
        <v>45146</v>
      </c>
      <c r="E773" s="19">
        <f>Cleaned_Data!G773</f>
        <v>45236</v>
      </c>
      <c r="F773" s="18">
        <f>Cleaned_Data!H773</f>
        <v>2000</v>
      </c>
      <c r="G773" s="18">
        <f ca="1">Cleaned_Data!I773</f>
        <v>10000</v>
      </c>
      <c r="H773" s="18">
        <f>Cleaned_Data!J773</f>
        <v>15</v>
      </c>
      <c r="I773" s="18" t="str">
        <f>Cleaned_Data!M773</f>
        <v>Cancelled</v>
      </c>
      <c r="J773" s="20">
        <f>Cleaned_Data!N773</f>
        <v>45535</v>
      </c>
      <c r="K773" t="str">
        <f t="shared" si="120"/>
        <v>Highly Active</v>
      </c>
      <c r="L773" s="5" t="str">
        <f>IF(COUNTIF($A$2:A773,A773)&gt;1,"Duplicate","Unique")</f>
        <v>Unique</v>
      </c>
      <c r="M773" t="str">
        <f t="shared" si="121"/>
        <v>2023-08</v>
      </c>
      <c r="N773" s="2">
        <f t="shared" ca="1" si="122"/>
        <v>45535</v>
      </c>
      <c r="O773" s="4">
        <f t="shared" ca="1" si="123"/>
        <v>12</v>
      </c>
      <c r="P773" s="4">
        <f t="shared" ca="1" si="124"/>
        <v>594</v>
      </c>
      <c r="Q773">
        <f t="shared" ca="1" si="125"/>
        <v>1</v>
      </c>
      <c r="R773">
        <f t="shared" si="126"/>
        <v>4</v>
      </c>
      <c r="S773">
        <f t="shared" ca="1" si="127"/>
        <v>4</v>
      </c>
      <c r="T773" t="str">
        <f t="shared" ca="1" si="128"/>
        <v>144</v>
      </c>
      <c r="U773" t="str">
        <f t="shared" ca="1" si="129"/>
        <v>At Risk</v>
      </c>
    </row>
    <row r="774" spans="1:21">
      <c r="A774" s="13" t="str">
        <f>Cleaned_Data!A774</f>
        <v>MEM0773</v>
      </c>
      <c r="B774" s="14" t="str">
        <f ca="1">Cleaned_Data!D774</f>
        <v>BR03</v>
      </c>
      <c r="C774" s="14" t="str">
        <f ca="1">Cleaned_Data!E774</f>
        <v>Standard</v>
      </c>
      <c r="D774" s="15">
        <f>Cleaned_Data!F774</f>
        <v>46053</v>
      </c>
      <c r="E774" s="15">
        <f>Cleaned_Data!G774</f>
        <v>46083</v>
      </c>
      <c r="F774" s="14">
        <f>Cleaned_Data!H774</f>
        <v>1000</v>
      </c>
      <c r="G774" s="14">
        <f ca="1">Cleaned_Data!I774</f>
        <v>4000</v>
      </c>
      <c r="H774" s="14">
        <f>Cleaned_Data!J774</f>
        <v>2</v>
      </c>
      <c r="I774" s="14" t="str">
        <f>Cleaned_Data!M774</f>
        <v>Cancelled</v>
      </c>
      <c r="J774" s="16">
        <f>Cleaned_Data!N774</f>
        <v>46081</v>
      </c>
      <c r="K774" t="str">
        <f t="shared" si="120"/>
        <v>At Risk</v>
      </c>
      <c r="L774" s="5" t="str">
        <f>IF(COUNTIF($A$2:A774,A774)&gt;1,"Duplicate","Unique")</f>
        <v>Unique</v>
      </c>
      <c r="M774" t="str">
        <f t="shared" si="121"/>
        <v>2026-01</v>
      </c>
      <c r="N774" s="2">
        <f t="shared" ca="1" si="122"/>
        <v>46081</v>
      </c>
      <c r="O774" s="4">
        <f t="shared" ca="1" si="123"/>
        <v>0</v>
      </c>
      <c r="P774" s="4">
        <f t="shared" ca="1" si="124"/>
        <v>48</v>
      </c>
      <c r="Q774">
        <f t="shared" ca="1" si="125"/>
        <v>4</v>
      </c>
      <c r="R774">
        <f t="shared" si="126"/>
        <v>1</v>
      </c>
      <c r="S774">
        <f t="shared" ca="1" si="127"/>
        <v>2</v>
      </c>
      <c r="T774" t="str">
        <f t="shared" ca="1" si="128"/>
        <v>412</v>
      </c>
      <c r="U774" t="str">
        <f t="shared" ca="1" si="129"/>
        <v>Others</v>
      </c>
    </row>
    <row r="775" spans="1:21">
      <c r="A775" s="17" t="str">
        <f>Cleaned_Data!A775</f>
        <v>MEM0774</v>
      </c>
      <c r="B775" s="18" t="str">
        <f ca="1">Cleaned_Data!D775</f>
        <v>BR04</v>
      </c>
      <c r="C775" s="18" t="str">
        <f ca="1">Cleaned_Data!E775</f>
        <v>Premium</v>
      </c>
      <c r="D775" s="19">
        <f>Cleaned_Data!F775</f>
        <v>45281</v>
      </c>
      <c r="E775" s="19">
        <f>Cleaned_Data!G775</f>
        <v>45311</v>
      </c>
      <c r="F775" s="18">
        <f>Cleaned_Data!H775</f>
        <v>2000</v>
      </c>
      <c r="G775" s="18">
        <f ca="1">Cleaned_Data!I775</f>
        <v>14000</v>
      </c>
      <c r="H775" s="18">
        <f>Cleaned_Data!J775</f>
        <v>21</v>
      </c>
      <c r="I775" s="18" t="str">
        <f>Cleaned_Data!M775</f>
        <v>Active</v>
      </c>
      <c r="J775" s="20">
        <f>Cleaned_Data!N775</f>
        <v>45424</v>
      </c>
      <c r="K775" t="str">
        <f t="shared" si="120"/>
        <v>Highly Active</v>
      </c>
      <c r="L775" s="5" t="str">
        <f>IF(COUNTIF($A$2:A775,A775)&gt;1,"Duplicate","Unique")</f>
        <v>Unique</v>
      </c>
      <c r="M775" t="str">
        <f t="shared" si="121"/>
        <v>2023-12</v>
      </c>
      <c r="N775" s="2">
        <f t="shared" ca="1" si="122"/>
        <v>45424</v>
      </c>
      <c r="O775" s="4">
        <f t="shared" ca="1" si="123"/>
        <v>4</v>
      </c>
      <c r="P775" s="4">
        <f t="shared" ca="1" si="124"/>
        <v>705</v>
      </c>
      <c r="Q775">
        <f t="shared" ca="1" si="125"/>
        <v>1</v>
      </c>
      <c r="R775">
        <f t="shared" si="126"/>
        <v>5</v>
      </c>
      <c r="S775">
        <f t="shared" ca="1" si="127"/>
        <v>4</v>
      </c>
      <c r="T775" t="str">
        <f t="shared" ca="1" si="128"/>
        <v>154</v>
      </c>
      <c r="U775" t="str">
        <f t="shared" ca="1" si="129"/>
        <v>At Risk</v>
      </c>
    </row>
    <row r="776" spans="1:21">
      <c r="A776" s="13" t="str">
        <f>Cleaned_Data!A776</f>
        <v>MEM0775</v>
      </c>
      <c r="B776" s="14" t="str">
        <f ca="1">Cleaned_Data!D776</f>
        <v>BR02</v>
      </c>
      <c r="C776" s="14" t="str">
        <f ca="1">Cleaned_Data!E776</f>
        <v>Premium</v>
      </c>
      <c r="D776" s="15">
        <f>Cleaned_Data!F776</f>
        <v>45667</v>
      </c>
      <c r="E776" s="15">
        <f>Cleaned_Data!G776</f>
        <v>45697</v>
      </c>
      <c r="F776" s="14">
        <f>Cleaned_Data!H776</f>
        <v>3500</v>
      </c>
      <c r="G776" s="14">
        <f ca="1">Cleaned_Data!I776</f>
        <v>7000</v>
      </c>
      <c r="H776" s="14">
        <f>Cleaned_Data!J776</f>
        <v>8</v>
      </c>
      <c r="I776" s="14" t="str">
        <f>Cleaned_Data!M776</f>
        <v>Active</v>
      </c>
      <c r="J776" s="16">
        <f>Cleaned_Data!N776</f>
        <v>45911</v>
      </c>
      <c r="K776" t="str">
        <f t="shared" si="120"/>
        <v>Moderate</v>
      </c>
      <c r="L776" s="5" t="str">
        <f>IF(COUNTIF($A$2:A776,A776)&gt;1,"Duplicate","Unique")</f>
        <v>Unique</v>
      </c>
      <c r="M776" t="str">
        <f t="shared" si="121"/>
        <v>2025-01</v>
      </c>
      <c r="N776" s="2">
        <f t="shared" ca="1" si="122"/>
        <v>45911</v>
      </c>
      <c r="O776" s="4">
        <f t="shared" ca="1" si="123"/>
        <v>8</v>
      </c>
      <c r="P776" s="4">
        <f t="shared" ca="1" si="124"/>
        <v>218</v>
      </c>
      <c r="Q776">
        <f t="shared" ca="1" si="125"/>
        <v>2</v>
      </c>
      <c r="R776">
        <f t="shared" si="126"/>
        <v>2</v>
      </c>
      <c r="S776">
        <f t="shared" ca="1" si="127"/>
        <v>3</v>
      </c>
      <c r="T776" t="str">
        <f t="shared" ca="1" si="128"/>
        <v>223</v>
      </c>
      <c r="U776" t="str">
        <f t="shared" ca="1" si="129"/>
        <v>At Risk</v>
      </c>
    </row>
    <row r="777" spans="1:21">
      <c r="A777" s="17" t="str">
        <f>Cleaned_Data!A777</f>
        <v>MEM0776</v>
      </c>
      <c r="B777" s="18" t="str">
        <f ca="1">Cleaned_Data!D777</f>
        <v>BR06</v>
      </c>
      <c r="C777" s="18" t="str">
        <f ca="1">Cleaned_Data!E777</f>
        <v>Basic</v>
      </c>
      <c r="D777" s="19">
        <f>Cleaned_Data!F777</f>
        <v>45042</v>
      </c>
      <c r="E777" s="19">
        <f>Cleaned_Data!G777</f>
        <v>45072</v>
      </c>
      <c r="F777" s="18">
        <f>Cleaned_Data!H777</f>
        <v>3500</v>
      </c>
      <c r="G777" s="18">
        <f ca="1">Cleaned_Data!I777</f>
        <v>31500</v>
      </c>
      <c r="H777" s="18">
        <f>Cleaned_Data!J777</f>
        <v>21</v>
      </c>
      <c r="I777" s="18" t="str">
        <f>Cleaned_Data!M777</f>
        <v>Active</v>
      </c>
      <c r="J777" s="20">
        <f>Cleaned_Data!N777</f>
        <v>45194</v>
      </c>
      <c r="K777" t="str">
        <f t="shared" si="120"/>
        <v>Highly Active</v>
      </c>
      <c r="L777" s="5" t="str">
        <f>IF(COUNTIF($A$2:A777,A777)&gt;1,"Duplicate","Unique")</f>
        <v>Unique</v>
      </c>
      <c r="M777" t="str">
        <f t="shared" si="121"/>
        <v>2023-04</v>
      </c>
      <c r="N777" s="2">
        <f t="shared" ca="1" si="122"/>
        <v>45194</v>
      </c>
      <c r="O777" s="4">
        <f t="shared" ca="1" si="123"/>
        <v>4</v>
      </c>
      <c r="P777" s="4">
        <f t="shared" ca="1" si="124"/>
        <v>935</v>
      </c>
      <c r="Q777">
        <f t="shared" ca="1" si="125"/>
        <v>1</v>
      </c>
      <c r="R777">
        <f t="shared" si="126"/>
        <v>5</v>
      </c>
      <c r="S777">
        <f t="shared" ca="1" si="127"/>
        <v>5</v>
      </c>
      <c r="T777" t="str">
        <f t="shared" ca="1" si="128"/>
        <v>155</v>
      </c>
      <c r="U777" t="str">
        <f t="shared" ca="1" si="129"/>
        <v>At Risk</v>
      </c>
    </row>
    <row r="778" spans="1:21">
      <c r="A778" s="13" t="str">
        <f>Cleaned_Data!A778</f>
        <v>MEM0777</v>
      </c>
      <c r="B778" s="14" t="str">
        <f ca="1">Cleaned_Data!D778</f>
        <v>BR04</v>
      </c>
      <c r="C778" s="14" t="str">
        <f ca="1">Cleaned_Data!E778</f>
        <v>Premium</v>
      </c>
      <c r="D778" s="15">
        <f>Cleaned_Data!F778</f>
        <v>44947</v>
      </c>
      <c r="E778" s="15">
        <f>Cleaned_Data!G778</f>
        <v>45037</v>
      </c>
      <c r="F778" s="14">
        <f>Cleaned_Data!H778</f>
        <v>2000</v>
      </c>
      <c r="G778" s="14">
        <f ca="1">Cleaned_Data!I778</f>
        <v>6000</v>
      </c>
      <c r="H778" s="14">
        <f>Cleaned_Data!J778</f>
        <v>15</v>
      </c>
      <c r="I778" s="14" t="str">
        <f>Cleaned_Data!M778</f>
        <v>Active</v>
      </c>
      <c r="J778" s="16">
        <f>Cleaned_Data!N778</f>
        <v>45235</v>
      </c>
      <c r="K778" t="str">
        <f t="shared" si="120"/>
        <v>Highly Active</v>
      </c>
      <c r="L778" s="5" t="str">
        <f>IF(COUNTIF($A$2:A778,A778)&gt;1,"Duplicate","Unique")</f>
        <v>Unique</v>
      </c>
      <c r="M778" t="str">
        <f t="shared" si="121"/>
        <v>2023-01</v>
      </c>
      <c r="N778" s="2">
        <f t="shared" ca="1" si="122"/>
        <v>45235</v>
      </c>
      <c r="O778" s="4">
        <f t="shared" ca="1" si="123"/>
        <v>9</v>
      </c>
      <c r="P778" s="4">
        <f t="shared" ca="1" si="124"/>
        <v>894</v>
      </c>
      <c r="Q778">
        <f t="shared" ca="1" si="125"/>
        <v>1</v>
      </c>
      <c r="R778">
        <f t="shared" si="126"/>
        <v>4</v>
      </c>
      <c r="S778">
        <f t="shared" ca="1" si="127"/>
        <v>3</v>
      </c>
      <c r="T778" t="str">
        <f t="shared" ca="1" si="128"/>
        <v>143</v>
      </c>
      <c r="U778" t="str">
        <f t="shared" ca="1" si="129"/>
        <v>At Risk</v>
      </c>
    </row>
    <row r="779" spans="1:21">
      <c r="A779" s="17" t="str">
        <f>Cleaned_Data!A779</f>
        <v>MEM0778</v>
      </c>
      <c r="B779" s="18" t="str">
        <f ca="1">Cleaned_Data!D779</f>
        <v>BR04</v>
      </c>
      <c r="C779" s="18" t="str">
        <f ca="1">Cleaned_Data!E779</f>
        <v>Standard</v>
      </c>
      <c r="D779" s="19">
        <f>Cleaned_Data!F779</f>
        <v>45166</v>
      </c>
      <c r="E779" s="19">
        <f>Cleaned_Data!G779</f>
        <v>45196</v>
      </c>
      <c r="F779" s="18">
        <f>Cleaned_Data!H779</f>
        <v>1000</v>
      </c>
      <c r="G779" s="18">
        <f ca="1">Cleaned_Data!I779</f>
        <v>4000</v>
      </c>
      <c r="H779" s="18">
        <f>Cleaned_Data!J779</f>
        <v>24</v>
      </c>
      <c r="I779" s="18" t="str">
        <f>Cleaned_Data!M779</f>
        <v>Active</v>
      </c>
      <c r="J779" s="20">
        <f>Cleaned_Data!N779</f>
        <v>46118</v>
      </c>
      <c r="K779" t="str">
        <f t="shared" si="120"/>
        <v>Highly Active</v>
      </c>
      <c r="L779" s="5" t="str">
        <f>IF(COUNTIF($A$2:A779,A779)&gt;1,"Duplicate","Unique")</f>
        <v>Unique</v>
      </c>
      <c r="M779" t="str">
        <f t="shared" si="121"/>
        <v>2023-08</v>
      </c>
      <c r="N779" s="2">
        <f t="shared" ca="1" si="122"/>
        <v>46118</v>
      </c>
      <c r="O779" s="4">
        <f t="shared" ca="1" si="123"/>
        <v>31</v>
      </c>
      <c r="P779" s="4">
        <f t="shared" ca="1" si="124"/>
        <v>11</v>
      </c>
      <c r="Q779">
        <f t="shared" ca="1" si="125"/>
        <v>5</v>
      </c>
      <c r="R779">
        <f t="shared" si="126"/>
        <v>5</v>
      </c>
      <c r="S779">
        <f t="shared" ca="1" si="127"/>
        <v>2</v>
      </c>
      <c r="T779" t="str">
        <f t="shared" ca="1" si="128"/>
        <v>552</v>
      </c>
      <c r="U779" t="str">
        <f t="shared" ca="1" si="129"/>
        <v>Others</v>
      </c>
    </row>
    <row r="780" spans="1:21">
      <c r="A780" s="13" t="str">
        <f>Cleaned_Data!A780</f>
        <v>MEM0779</v>
      </c>
      <c r="B780" s="14" t="str">
        <f ca="1">Cleaned_Data!D780</f>
        <v>BR02</v>
      </c>
      <c r="C780" s="14" t="str">
        <f ca="1">Cleaned_Data!E780</f>
        <v>Basic</v>
      </c>
      <c r="D780" s="15">
        <f>Cleaned_Data!F780</f>
        <v>45258</v>
      </c>
      <c r="E780" s="15">
        <f>Cleaned_Data!G780</f>
        <v>45348</v>
      </c>
      <c r="F780" s="14">
        <f>Cleaned_Data!H780</f>
        <v>3500</v>
      </c>
      <c r="G780" s="14">
        <f ca="1">Cleaned_Data!I780</f>
        <v>28000</v>
      </c>
      <c r="H780" s="14">
        <f>Cleaned_Data!J780</f>
        <v>18</v>
      </c>
      <c r="I780" s="14" t="str">
        <f>Cleaned_Data!M780</f>
        <v>Active</v>
      </c>
      <c r="J780" s="16">
        <f>Cleaned_Data!N780</f>
        <v>45898</v>
      </c>
      <c r="K780" t="str">
        <f t="shared" si="120"/>
        <v>Highly Active</v>
      </c>
      <c r="L780" s="5" t="str">
        <f>IF(COUNTIF($A$2:A780,A780)&gt;1,"Duplicate","Unique")</f>
        <v>Unique</v>
      </c>
      <c r="M780" t="str">
        <f t="shared" si="121"/>
        <v>2023-11</v>
      </c>
      <c r="N780" s="2">
        <f t="shared" ca="1" si="122"/>
        <v>45898</v>
      </c>
      <c r="O780" s="4">
        <f t="shared" ca="1" si="123"/>
        <v>21</v>
      </c>
      <c r="P780" s="4">
        <f t="shared" ca="1" si="124"/>
        <v>231</v>
      </c>
      <c r="Q780">
        <f t="shared" ca="1" si="125"/>
        <v>2</v>
      </c>
      <c r="R780">
        <f t="shared" si="126"/>
        <v>4</v>
      </c>
      <c r="S780">
        <f t="shared" ca="1" si="127"/>
        <v>5</v>
      </c>
      <c r="T780" t="str">
        <f t="shared" ca="1" si="128"/>
        <v>245</v>
      </c>
      <c r="U780" t="str">
        <f t="shared" ca="1" si="129"/>
        <v>At Risk</v>
      </c>
    </row>
    <row r="781" spans="1:21">
      <c r="A781" s="17" t="str">
        <f>Cleaned_Data!A781</f>
        <v>MEM0780</v>
      </c>
      <c r="B781" s="18" t="str">
        <f ca="1">Cleaned_Data!D781</f>
        <v>BR02</v>
      </c>
      <c r="C781" s="18" t="str">
        <f ca="1">Cleaned_Data!E781</f>
        <v>Basic</v>
      </c>
      <c r="D781" s="19">
        <f>Cleaned_Data!F781</f>
        <v>45117</v>
      </c>
      <c r="E781" s="19">
        <f>Cleaned_Data!G781</f>
        <v>45147</v>
      </c>
      <c r="F781" s="18">
        <f>Cleaned_Data!H781</f>
        <v>2000</v>
      </c>
      <c r="G781" s="18">
        <f ca="1">Cleaned_Data!I781</f>
        <v>2000</v>
      </c>
      <c r="H781" s="18">
        <f>Cleaned_Data!J781</f>
        <v>2</v>
      </c>
      <c r="I781" s="18" t="str">
        <f>Cleaned_Data!M781</f>
        <v>Cancelled</v>
      </c>
      <c r="J781" s="20">
        <f>Cleaned_Data!N781</f>
        <v>45309</v>
      </c>
      <c r="K781" t="str">
        <f t="shared" si="120"/>
        <v>At Risk</v>
      </c>
      <c r="L781" s="5" t="str">
        <f>IF(COUNTIF($A$2:A781,A781)&gt;1,"Duplicate","Unique")</f>
        <v>Unique</v>
      </c>
      <c r="M781" t="str">
        <f t="shared" si="121"/>
        <v>2023-07</v>
      </c>
      <c r="N781" s="2">
        <f t="shared" ca="1" si="122"/>
        <v>45309</v>
      </c>
      <c r="O781" s="4">
        <f t="shared" ca="1" si="123"/>
        <v>6</v>
      </c>
      <c r="P781" s="4">
        <f t="shared" ca="1" si="124"/>
        <v>820</v>
      </c>
      <c r="Q781">
        <f t="shared" ca="1" si="125"/>
        <v>1</v>
      </c>
      <c r="R781">
        <f t="shared" si="126"/>
        <v>1</v>
      </c>
      <c r="S781">
        <f t="shared" ca="1" si="127"/>
        <v>2</v>
      </c>
      <c r="T781" t="str">
        <f t="shared" ca="1" si="128"/>
        <v>112</v>
      </c>
      <c r="U781" t="str">
        <f t="shared" ca="1" si="129"/>
        <v>At Risk</v>
      </c>
    </row>
    <row r="782" spans="1:21">
      <c r="A782" s="13" t="str">
        <f>Cleaned_Data!A782</f>
        <v>MEM0781</v>
      </c>
      <c r="B782" s="14" t="str">
        <f ca="1">Cleaned_Data!D782</f>
        <v>BR06</v>
      </c>
      <c r="C782" s="14" t="str">
        <f ca="1">Cleaned_Data!E782</f>
        <v>Premium</v>
      </c>
      <c r="D782" s="15">
        <f>Cleaned_Data!F782</f>
        <v>44958</v>
      </c>
      <c r="E782" s="15">
        <f>Cleaned_Data!G782</f>
        <v>44988</v>
      </c>
      <c r="F782" s="14">
        <f>Cleaned_Data!H782</f>
        <v>3500</v>
      </c>
      <c r="G782" s="14">
        <f ca="1">Cleaned_Data!I782</f>
        <v>28000</v>
      </c>
      <c r="H782" s="14">
        <f>Cleaned_Data!J782</f>
        <v>7</v>
      </c>
      <c r="I782" s="14" t="str">
        <f>Cleaned_Data!M782</f>
        <v>Active</v>
      </c>
      <c r="J782" s="16">
        <f>Cleaned_Data!N782</f>
        <v>45056</v>
      </c>
      <c r="K782" t="str">
        <f t="shared" si="120"/>
        <v>Moderate</v>
      </c>
      <c r="L782" s="5" t="str">
        <f>IF(COUNTIF($A$2:A782,A782)&gt;1,"Duplicate","Unique")</f>
        <v>Unique</v>
      </c>
      <c r="M782" t="str">
        <f t="shared" si="121"/>
        <v>2023-02</v>
      </c>
      <c r="N782" s="2">
        <f t="shared" ca="1" si="122"/>
        <v>45056</v>
      </c>
      <c r="O782" s="4">
        <f t="shared" ca="1" si="123"/>
        <v>3</v>
      </c>
      <c r="P782" s="4">
        <f t="shared" ca="1" si="124"/>
        <v>1073</v>
      </c>
      <c r="Q782">
        <f t="shared" ca="1" si="125"/>
        <v>1</v>
      </c>
      <c r="R782">
        <f t="shared" si="126"/>
        <v>2</v>
      </c>
      <c r="S782">
        <f t="shared" ca="1" si="127"/>
        <v>5</v>
      </c>
      <c r="T782" t="str">
        <f t="shared" ca="1" si="128"/>
        <v>125</v>
      </c>
      <c r="U782" t="str">
        <f t="shared" ca="1" si="129"/>
        <v>At Risk</v>
      </c>
    </row>
    <row r="783" spans="1:21">
      <c r="A783" s="17" t="str">
        <f>Cleaned_Data!A783</f>
        <v>MEM0782</v>
      </c>
      <c r="B783" s="18" t="str">
        <f ca="1">Cleaned_Data!D783</f>
        <v>BR07</v>
      </c>
      <c r="C783" s="18" t="str">
        <f ca="1">Cleaned_Data!E783</f>
        <v>Premium</v>
      </c>
      <c r="D783" s="19">
        <f>Cleaned_Data!F783</f>
        <v>45144</v>
      </c>
      <c r="E783" s="19">
        <f>Cleaned_Data!G783</f>
        <v>45174</v>
      </c>
      <c r="F783" s="18">
        <f>Cleaned_Data!H783</f>
        <v>1000</v>
      </c>
      <c r="G783" s="18">
        <f ca="1">Cleaned_Data!I783</f>
        <v>1000</v>
      </c>
      <c r="H783" s="18">
        <f>Cleaned_Data!J783</f>
        <v>17</v>
      </c>
      <c r="I783" s="18" t="str">
        <f>Cleaned_Data!M783</f>
        <v>Active</v>
      </c>
      <c r="J783" s="20">
        <f>Cleaned_Data!N783</f>
        <v>45711</v>
      </c>
      <c r="K783" t="str">
        <f t="shared" si="120"/>
        <v>Highly Active</v>
      </c>
      <c r="L783" s="5" t="str">
        <f>IF(COUNTIF($A$2:A783,A783)&gt;1,"Duplicate","Unique")</f>
        <v>Unique</v>
      </c>
      <c r="M783" t="str">
        <f t="shared" si="121"/>
        <v>2023-08</v>
      </c>
      <c r="N783" s="2">
        <f t="shared" ca="1" si="122"/>
        <v>45711</v>
      </c>
      <c r="O783" s="4">
        <f t="shared" ca="1" si="123"/>
        <v>18</v>
      </c>
      <c r="P783" s="4">
        <f t="shared" ca="1" si="124"/>
        <v>418</v>
      </c>
      <c r="Q783">
        <f t="shared" ca="1" si="125"/>
        <v>1</v>
      </c>
      <c r="R783">
        <f t="shared" si="126"/>
        <v>4</v>
      </c>
      <c r="S783">
        <f t="shared" ca="1" si="127"/>
        <v>1</v>
      </c>
      <c r="T783" t="str">
        <f t="shared" ca="1" si="128"/>
        <v>141</v>
      </c>
      <c r="U783" t="str">
        <f t="shared" ca="1" si="129"/>
        <v>At Risk</v>
      </c>
    </row>
    <row r="784" spans="1:21">
      <c r="A784" s="13" t="str">
        <f>Cleaned_Data!A784</f>
        <v>MEM0783</v>
      </c>
      <c r="B784" s="14" t="str">
        <f ca="1">Cleaned_Data!D784</f>
        <v>BR02</v>
      </c>
      <c r="C784" s="14" t="str">
        <f ca="1">Cleaned_Data!E784</f>
        <v>Premium</v>
      </c>
      <c r="D784" s="15">
        <f>Cleaned_Data!F784</f>
        <v>45997</v>
      </c>
      <c r="E784" s="15">
        <f>Cleaned_Data!G784</f>
        <v>46362</v>
      </c>
      <c r="F784" s="14">
        <f>Cleaned_Data!H784</f>
        <v>2000</v>
      </c>
      <c r="G784" s="14">
        <f ca="1">Cleaned_Data!I784</f>
        <v>16000</v>
      </c>
      <c r="H784" s="14">
        <f>Cleaned_Data!J784</f>
        <v>9</v>
      </c>
      <c r="I784" s="14" t="str">
        <f>Cleaned_Data!M784</f>
        <v>Active</v>
      </c>
      <c r="J784" s="16">
        <f>Cleaned_Data!N784</f>
        <v>46016</v>
      </c>
      <c r="K784" t="str">
        <f t="shared" si="120"/>
        <v>Moderate</v>
      </c>
      <c r="L784" s="5" t="str">
        <f>IF(COUNTIF($A$2:A784,A784)&gt;1,"Duplicate","Unique")</f>
        <v>Unique</v>
      </c>
      <c r="M784" t="str">
        <f t="shared" si="121"/>
        <v>2025-12</v>
      </c>
      <c r="N784" s="2">
        <f t="shared" ca="1" si="122"/>
        <v>46016</v>
      </c>
      <c r="O784" s="4">
        <f t="shared" ca="1" si="123"/>
        <v>0</v>
      </c>
      <c r="P784" s="4">
        <f t="shared" ca="1" si="124"/>
        <v>113</v>
      </c>
      <c r="Q784">
        <f t="shared" ca="1" si="125"/>
        <v>3</v>
      </c>
      <c r="R784">
        <f t="shared" si="126"/>
        <v>2</v>
      </c>
      <c r="S784">
        <f t="shared" ca="1" si="127"/>
        <v>4</v>
      </c>
      <c r="T784" t="str">
        <f t="shared" ca="1" si="128"/>
        <v>324</v>
      </c>
      <c r="U784" t="str">
        <f t="shared" ca="1" si="129"/>
        <v>Others</v>
      </c>
    </row>
    <row r="785" spans="1:21">
      <c r="A785" s="17" t="str">
        <f>Cleaned_Data!A785</f>
        <v>MEM0784</v>
      </c>
      <c r="B785" s="18" t="str">
        <f ca="1">Cleaned_Data!D785</f>
        <v>BR06</v>
      </c>
      <c r="C785" s="18" t="str">
        <f ca="1">Cleaned_Data!E785</f>
        <v>Basic</v>
      </c>
      <c r="D785" s="19">
        <f>Cleaned_Data!F785</f>
        <v>45298</v>
      </c>
      <c r="E785" s="19">
        <f>Cleaned_Data!G785</f>
        <v>45663</v>
      </c>
      <c r="F785" s="18">
        <f>Cleaned_Data!H785</f>
        <v>2000</v>
      </c>
      <c r="G785" s="18">
        <f ca="1">Cleaned_Data!I785</f>
        <v>20000</v>
      </c>
      <c r="H785" s="18">
        <f>Cleaned_Data!J785</f>
        <v>4</v>
      </c>
      <c r="I785" s="18" t="str">
        <f>Cleaned_Data!M785</f>
        <v>Cancelled</v>
      </c>
      <c r="J785" s="20">
        <f>Cleaned_Data!N785</f>
        <v>45611</v>
      </c>
      <c r="K785" t="str">
        <f t="shared" si="120"/>
        <v>At Risk</v>
      </c>
      <c r="L785" s="5" t="str">
        <f>IF(COUNTIF($A$2:A785,A785)&gt;1,"Duplicate","Unique")</f>
        <v>Unique</v>
      </c>
      <c r="M785" t="str">
        <f t="shared" si="121"/>
        <v>2024-01</v>
      </c>
      <c r="N785" s="2">
        <f t="shared" ca="1" si="122"/>
        <v>45611</v>
      </c>
      <c r="O785" s="4">
        <f t="shared" ca="1" si="123"/>
        <v>10</v>
      </c>
      <c r="P785" s="4">
        <f t="shared" ca="1" si="124"/>
        <v>518</v>
      </c>
      <c r="Q785">
        <f t="shared" ca="1" si="125"/>
        <v>1</v>
      </c>
      <c r="R785">
        <f t="shared" si="126"/>
        <v>1</v>
      </c>
      <c r="S785">
        <f t="shared" ca="1" si="127"/>
        <v>5</v>
      </c>
      <c r="T785" t="str">
        <f t="shared" ca="1" si="128"/>
        <v>115</v>
      </c>
      <c r="U785" t="str">
        <f t="shared" ca="1" si="129"/>
        <v>At Risk</v>
      </c>
    </row>
    <row r="786" spans="1:21">
      <c r="A786" s="13" t="str">
        <f>Cleaned_Data!A786</f>
        <v>MEM0785</v>
      </c>
      <c r="B786" s="14" t="str">
        <f ca="1">Cleaned_Data!D786</f>
        <v>BR07</v>
      </c>
      <c r="C786" s="14" t="str">
        <f ca="1">Cleaned_Data!E786</f>
        <v>Standard</v>
      </c>
      <c r="D786" s="15">
        <f>Cleaned_Data!F786</f>
        <v>45563</v>
      </c>
      <c r="E786" s="15">
        <f>Cleaned_Data!G786</f>
        <v>45653</v>
      </c>
      <c r="F786" s="14">
        <f>Cleaned_Data!H786</f>
        <v>2000</v>
      </c>
      <c r="G786" s="14">
        <f ca="1">Cleaned_Data!I786</f>
        <v>6000</v>
      </c>
      <c r="H786" s="14">
        <f>Cleaned_Data!J786</f>
        <v>21</v>
      </c>
      <c r="I786" s="14" t="str">
        <f>Cleaned_Data!M786</f>
        <v>Active</v>
      </c>
      <c r="J786" s="16">
        <f>Cleaned_Data!N786</f>
        <v>46088</v>
      </c>
      <c r="K786" t="str">
        <f t="shared" si="120"/>
        <v>Highly Active</v>
      </c>
      <c r="L786" s="5" t="str">
        <f>IF(COUNTIF($A$2:A786,A786)&gt;1,"Duplicate","Unique")</f>
        <v>Unique</v>
      </c>
      <c r="M786" t="str">
        <f t="shared" si="121"/>
        <v>2024-09</v>
      </c>
      <c r="N786" s="2">
        <f t="shared" ca="1" si="122"/>
        <v>46088</v>
      </c>
      <c r="O786" s="4">
        <f t="shared" ca="1" si="123"/>
        <v>17</v>
      </c>
      <c r="P786" s="4">
        <f t="shared" ca="1" si="124"/>
        <v>41</v>
      </c>
      <c r="Q786">
        <f t="shared" ca="1" si="125"/>
        <v>4</v>
      </c>
      <c r="R786">
        <f t="shared" si="126"/>
        <v>5</v>
      </c>
      <c r="S786">
        <f t="shared" ca="1" si="127"/>
        <v>3</v>
      </c>
      <c r="T786" t="str">
        <f t="shared" ca="1" si="128"/>
        <v>453</v>
      </c>
      <c r="U786" t="str">
        <f t="shared" ca="1" si="129"/>
        <v>Loyal</v>
      </c>
    </row>
    <row r="787" spans="1:21">
      <c r="A787" s="17" t="str">
        <f>Cleaned_Data!A787</f>
        <v>MEM0786</v>
      </c>
      <c r="B787" s="18" t="str">
        <f ca="1">Cleaned_Data!D787</f>
        <v>BR05</v>
      </c>
      <c r="C787" s="18" t="str">
        <f ca="1">Cleaned_Data!E787</f>
        <v>Premium</v>
      </c>
      <c r="D787" s="19">
        <f>Cleaned_Data!F787</f>
        <v>46043</v>
      </c>
      <c r="E787" s="19">
        <f>Cleaned_Data!G787</f>
        <v>46073</v>
      </c>
      <c r="F787" s="18">
        <f>Cleaned_Data!H787</f>
        <v>1000</v>
      </c>
      <c r="G787" s="18">
        <f ca="1">Cleaned_Data!I787</f>
        <v>1000</v>
      </c>
      <c r="H787" s="18">
        <f>Cleaned_Data!J787</f>
        <v>5</v>
      </c>
      <c r="I787" s="18" t="str">
        <f>Cleaned_Data!M787</f>
        <v>Cancelled</v>
      </c>
      <c r="J787" s="20">
        <f>Cleaned_Data!N787</f>
        <v>46116</v>
      </c>
      <c r="K787" t="str">
        <f t="shared" si="120"/>
        <v>Moderate</v>
      </c>
      <c r="L787" s="5" t="str">
        <f>IF(COUNTIF($A$2:A787,A787)&gt;1,"Duplicate","Unique")</f>
        <v>Unique</v>
      </c>
      <c r="M787" t="str">
        <f t="shared" si="121"/>
        <v>2026-01</v>
      </c>
      <c r="N787" s="2">
        <f t="shared" ca="1" si="122"/>
        <v>46116</v>
      </c>
      <c r="O787" s="4">
        <f t="shared" ca="1" si="123"/>
        <v>2</v>
      </c>
      <c r="P787" s="4">
        <f t="shared" ca="1" si="124"/>
        <v>13</v>
      </c>
      <c r="Q787">
        <f t="shared" ca="1" si="125"/>
        <v>5</v>
      </c>
      <c r="R787">
        <f t="shared" si="126"/>
        <v>2</v>
      </c>
      <c r="S787">
        <f t="shared" ca="1" si="127"/>
        <v>1</v>
      </c>
      <c r="T787" t="str">
        <f t="shared" ca="1" si="128"/>
        <v>521</v>
      </c>
      <c r="U787" t="str">
        <f t="shared" ca="1" si="129"/>
        <v>Others</v>
      </c>
    </row>
    <row r="788" spans="1:21">
      <c r="A788" s="13" t="str">
        <f>Cleaned_Data!A788</f>
        <v>MEM0787</v>
      </c>
      <c r="B788" s="14" t="str">
        <f ca="1">Cleaned_Data!D788</f>
        <v>BR07</v>
      </c>
      <c r="C788" s="14" t="str">
        <f ca="1">Cleaned_Data!E788</f>
        <v>Standard</v>
      </c>
      <c r="D788" s="15">
        <f>Cleaned_Data!F788</f>
        <v>45957</v>
      </c>
      <c r="E788" s="15">
        <f>Cleaned_Data!G788</f>
        <v>46322</v>
      </c>
      <c r="F788" s="14">
        <f>Cleaned_Data!H788</f>
        <v>2000</v>
      </c>
      <c r="G788" s="14">
        <f ca="1">Cleaned_Data!I788</f>
        <v>14000</v>
      </c>
      <c r="H788" s="14">
        <f>Cleaned_Data!J788</f>
        <v>5</v>
      </c>
      <c r="I788" s="14" t="str">
        <f>Cleaned_Data!M788</f>
        <v>Active</v>
      </c>
      <c r="J788" s="16">
        <f>Cleaned_Data!N788</f>
        <v>46101</v>
      </c>
      <c r="K788" t="str">
        <f t="shared" si="120"/>
        <v>Moderate</v>
      </c>
      <c r="L788" s="5" t="str">
        <f>IF(COUNTIF($A$2:A788,A788)&gt;1,"Duplicate","Unique")</f>
        <v>Unique</v>
      </c>
      <c r="M788" t="str">
        <f t="shared" si="121"/>
        <v>2025-10</v>
      </c>
      <c r="N788" s="2">
        <f t="shared" ca="1" si="122"/>
        <v>46101</v>
      </c>
      <c r="O788" s="4">
        <f t="shared" ca="1" si="123"/>
        <v>4</v>
      </c>
      <c r="P788" s="4">
        <f t="shared" ca="1" si="124"/>
        <v>28</v>
      </c>
      <c r="Q788">
        <f t="shared" ca="1" si="125"/>
        <v>5</v>
      </c>
      <c r="R788">
        <f t="shared" si="126"/>
        <v>2</v>
      </c>
      <c r="S788">
        <f t="shared" ca="1" si="127"/>
        <v>4</v>
      </c>
      <c r="T788" t="str">
        <f t="shared" ca="1" si="128"/>
        <v>524</v>
      </c>
      <c r="U788" t="str">
        <f t="shared" ca="1" si="129"/>
        <v>Others</v>
      </c>
    </row>
    <row r="789" spans="1:21">
      <c r="A789" s="17" t="str">
        <f>Cleaned_Data!A789</f>
        <v>MEM0788</v>
      </c>
      <c r="B789" s="18" t="str">
        <f ca="1">Cleaned_Data!D789</f>
        <v>BR04</v>
      </c>
      <c r="C789" s="18" t="str">
        <f ca="1">Cleaned_Data!E789</f>
        <v>Standard</v>
      </c>
      <c r="D789" s="19">
        <f>Cleaned_Data!F789</f>
        <v>45614</v>
      </c>
      <c r="E789" s="19">
        <f>Cleaned_Data!G789</f>
        <v>45644</v>
      </c>
      <c r="F789" s="18">
        <f>Cleaned_Data!H789</f>
        <v>3500</v>
      </c>
      <c r="G789" s="18">
        <f ca="1">Cleaned_Data!I789</f>
        <v>21000</v>
      </c>
      <c r="H789" s="18">
        <f>Cleaned_Data!J789</f>
        <v>11</v>
      </c>
      <c r="I789" s="18" t="str">
        <f>Cleaned_Data!M789</f>
        <v>Active</v>
      </c>
      <c r="J789" s="20">
        <f>Cleaned_Data!N789</f>
        <v>45717</v>
      </c>
      <c r="K789" t="str">
        <f t="shared" si="120"/>
        <v>Moderate</v>
      </c>
      <c r="L789" s="5" t="str">
        <f>IF(COUNTIF($A$2:A789,A789)&gt;1,"Duplicate","Unique")</f>
        <v>Unique</v>
      </c>
      <c r="M789" t="str">
        <f t="shared" si="121"/>
        <v>2024-11</v>
      </c>
      <c r="N789" s="2">
        <f t="shared" ca="1" si="122"/>
        <v>45717</v>
      </c>
      <c r="O789" s="4">
        <f t="shared" ca="1" si="123"/>
        <v>3</v>
      </c>
      <c r="P789" s="4">
        <f t="shared" ca="1" si="124"/>
        <v>412</v>
      </c>
      <c r="Q789">
        <f t="shared" ca="1" si="125"/>
        <v>1</v>
      </c>
      <c r="R789">
        <f t="shared" si="126"/>
        <v>3</v>
      </c>
      <c r="S789">
        <f t="shared" ca="1" si="127"/>
        <v>5</v>
      </c>
      <c r="T789" t="str">
        <f t="shared" ca="1" si="128"/>
        <v>135</v>
      </c>
      <c r="U789" t="str">
        <f t="shared" ca="1" si="129"/>
        <v>At Risk</v>
      </c>
    </row>
    <row r="790" spans="1:21">
      <c r="A790" s="13" t="str">
        <f>Cleaned_Data!A790</f>
        <v>MEM0789</v>
      </c>
      <c r="B790" s="14" t="str">
        <f ca="1">Cleaned_Data!D790</f>
        <v>BR01</v>
      </c>
      <c r="C790" s="14" t="str">
        <f ca="1">Cleaned_Data!E790</f>
        <v>Standard</v>
      </c>
      <c r="D790" s="15">
        <f>Cleaned_Data!F790</f>
        <v>45175</v>
      </c>
      <c r="E790" s="15">
        <f>Cleaned_Data!G790</f>
        <v>45205</v>
      </c>
      <c r="F790" s="14">
        <f>Cleaned_Data!H790</f>
        <v>2000</v>
      </c>
      <c r="G790" s="14">
        <f ca="1">Cleaned_Data!I790</f>
        <v>10000</v>
      </c>
      <c r="H790" s="14">
        <f>Cleaned_Data!J790</f>
        <v>21</v>
      </c>
      <c r="I790" s="14" t="str">
        <f>Cleaned_Data!M790</f>
        <v>Active</v>
      </c>
      <c r="J790" s="16">
        <f>Cleaned_Data!N790</f>
        <v>45934</v>
      </c>
      <c r="K790" t="str">
        <f t="shared" si="120"/>
        <v>Highly Active</v>
      </c>
      <c r="L790" s="5" t="str">
        <f>IF(COUNTIF($A$2:A790,A790)&gt;1,"Duplicate","Unique")</f>
        <v>Unique</v>
      </c>
      <c r="M790" t="str">
        <f t="shared" si="121"/>
        <v>2023-09</v>
      </c>
      <c r="N790" s="2">
        <f t="shared" ca="1" si="122"/>
        <v>45934</v>
      </c>
      <c r="O790" s="4">
        <f t="shared" ca="1" si="123"/>
        <v>24</v>
      </c>
      <c r="P790" s="4">
        <f t="shared" ca="1" si="124"/>
        <v>195</v>
      </c>
      <c r="Q790">
        <f t="shared" ca="1" si="125"/>
        <v>2</v>
      </c>
      <c r="R790">
        <f t="shared" si="126"/>
        <v>5</v>
      </c>
      <c r="S790">
        <f t="shared" ca="1" si="127"/>
        <v>4</v>
      </c>
      <c r="T790" t="str">
        <f t="shared" ca="1" si="128"/>
        <v>254</v>
      </c>
      <c r="U790" t="str">
        <f t="shared" ca="1" si="129"/>
        <v>At Risk</v>
      </c>
    </row>
    <row r="791" spans="1:21">
      <c r="A791" s="17" t="str">
        <f>Cleaned_Data!A791</f>
        <v>MEM0790</v>
      </c>
      <c r="B791" s="18" t="str">
        <f ca="1">Cleaned_Data!D791</f>
        <v>BR06</v>
      </c>
      <c r="C791" s="18" t="str">
        <f ca="1">Cleaned_Data!E791</f>
        <v>Premium</v>
      </c>
      <c r="D791" s="19">
        <f>Cleaned_Data!F791</f>
        <v>45936</v>
      </c>
      <c r="E791" s="19">
        <f>Cleaned_Data!G791</f>
        <v>46301</v>
      </c>
      <c r="F791" s="18">
        <f>Cleaned_Data!H791</f>
        <v>1000</v>
      </c>
      <c r="G791" s="18">
        <f ca="1">Cleaned_Data!I791</f>
        <v>11000</v>
      </c>
      <c r="H791" s="18">
        <f>Cleaned_Data!J791</f>
        <v>1</v>
      </c>
      <c r="I791" s="18" t="str">
        <f>Cleaned_Data!M791</f>
        <v>Cancelled</v>
      </c>
      <c r="J791" s="20">
        <f>Cleaned_Data!N791</f>
        <v>46124</v>
      </c>
      <c r="K791" t="str">
        <f t="shared" si="120"/>
        <v>At Risk</v>
      </c>
      <c r="L791" s="5" t="str">
        <f>IF(COUNTIF($A$2:A791,A791)&gt;1,"Duplicate","Unique")</f>
        <v>Unique</v>
      </c>
      <c r="M791" t="str">
        <f t="shared" si="121"/>
        <v>2025-10</v>
      </c>
      <c r="N791" s="2">
        <f t="shared" ca="1" si="122"/>
        <v>46124</v>
      </c>
      <c r="O791" s="4">
        <f t="shared" ca="1" si="123"/>
        <v>6</v>
      </c>
      <c r="P791" s="4">
        <f t="shared" ca="1" si="124"/>
        <v>5</v>
      </c>
      <c r="Q791">
        <f t="shared" ca="1" si="125"/>
        <v>5</v>
      </c>
      <c r="R791">
        <f t="shared" si="126"/>
        <v>1</v>
      </c>
      <c r="S791">
        <f t="shared" ca="1" si="127"/>
        <v>4</v>
      </c>
      <c r="T791" t="str">
        <f t="shared" ca="1" si="128"/>
        <v>514</v>
      </c>
      <c r="U791" t="str">
        <f t="shared" ca="1" si="129"/>
        <v>Others</v>
      </c>
    </row>
    <row r="792" spans="1:21">
      <c r="A792" s="13" t="str">
        <f>Cleaned_Data!A792</f>
        <v>MEM0791</v>
      </c>
      <c r="B792" s="14" t="str">
        <f ca="1">Cleaned_Data!D792</f>
        <v>BR06</v>
      </c>
      <c r="C792" s="14" t="str">
        <f ca="1">Cleaned_Data!E792</f>
        <v>Standard</v>
      </c>
      <c r="D792" s="15">
        <f>Cleaned_Data!F792</f>
        <v>45364</v>
      </c>
      <c r="E792" s="15">
        <f>Cleaned_Data!G792</f>
        <v>45454</v>
      </c>
      <c r="F792" s="14">
        <f>Cleaned_Data!H792</f>
        <v>1000</v>
      </c>
      <c r="G792" s="14">
        <f ca="1">Cleaned_Data!I792</f>
        <v>2000</v>
      </c>
      <c r="H792" s="14">
        <f>Cleaned_Data!J792</f>
        <v>6</v>
      </c>
      <c r="I792" s="14" t="str">
        <f>Cleaned_Data!M792</f>
        <v>Active</v>
      </c>
      <c r="J792" s="16">
        <f>Cleaned_Data!N792</f>
        <v>45731</v>
      </c>
      <c r="K792" t="str">
        <f t="shared" si="120"/>
        <v>Moderate</v>
      </c>
      <c r="L792" s="5" t="str">
        <f>IF(COUNTIF($A$2:A792,A792)&gt;1,"Duplicate","Unique")</f>
        <v>Unique</v>
      </c>
      <c r="M792" t="str">
        <f t="shared" si="121"/>
        <v>2024-03</v>
      </c>
      <c r="N792" s="2">
        <f t="shared" ca="1" si="122"/>
        <v>45731</v>
      </c>
      <c r="O792" s="4">
        <f t="shared" ca="1" si="123"/>
        <v>12</v>
      </c>
      <c r="P792" s="4">
        <f t="shared" ca="1" si="124"/>
        <v>398</v>
      </c>
      <c r="Q792">
        <f t="shared" ca="1" si="125"/>
        <v>1</v>
      </c>
      <c r="R792">
        <f t="shared" si="126"/>
        <v>2</v>
      </c>
      <c r="S792">
        <f t="shared" ca="1" si="127"/>
        <v>2</v>
      </c>
      <c r="T792" t="str">
        <f t="shared" ca="1" si="128"/>
        <v>122</v>
      </c>
      <c r="U792" t="str">
        <f t="shared" ca="1" si="129"/>
        <v>At Risk</v>
      </c>
    </row>
    <row r="793" spans="1:21">
      <c r="A793" s="17" t="str">
        <f>Cleaned_Data!A793</f>
        <v>MEM0792</v>
      </c>
      <c r="B793" s="18" t="str">
        <f ca="1">Cleaned_Data!D793</f>
        <v>BR07</v>
      </c>
      <c r="C793" s="18" t="str">
        <f ca="1">Cleaned_Data!E793</f>
        <v>Standard</v>
      </c>
      <c r="D793" s="19">
        <f>Cleaned_Data!F793</f>
        <v>45132</v>
      </c>
      <c r="E793" s="19">
        <f>Cleaned_Data!G793</f>
        <v>45222</v>
      </c>
      <c r="F793" s="18">
        <f>Cleaned_Data!H793</f>
        <v>3500</v>
      </c>
      <c r="G793" s="18">
        <f ca="1">Cleaned_Data!I793</f>
        <v>28000</v>
      </c>
      <c r="H793" s="18">
        <f>Cleaned_Data!J793</f>
        <v>5</v>
      </c>
      <c r="I793" s="18" t="str">
        <f>Cleaned_Data!M793</f>
        <v>Cancelled</v>
      </c>
      <c r="J793" s="20">
        <f>Cleaned_Data!N793</f>
        <v>46083</v>
      </c>
      <c r="K793" t="str">
        <f t="shared" si="120"/>
        <v>Moderate</v>
      </c>
      <c r="L793" s="5" t="str">
        <f>IF(COUNTIF($A$2:A793,A793)&gt;1,"Duplicate","Unique")</f>
        <v>Unique</v>
      </c>
      <c r="M793" t="str">
        <f t="shared" si="121"/>
        <v>2023-07</v>
      </c>
      <c r="N793" s="2">
        <f t="shared" ca="1" si="122"/>
        <v>46083</v>
      </c>
      <c r="O793" s="4">
        <f t="shared" ca="1" si="123"/>
        <v>31</v>
      </c>
      <c r="P793" s="4">
        <f t="shared" ca="1" si="124"/>
        <v>46</v>
      </c>
      <c r="Q793">
        <f t="shared" ca="1" si="125"/>
        <v>4</v>
      </c>
      <c r="R793">
        <f t="shared" si="126"/>
        <v>2</v>
      </c>
      <c r="S793">
        <f t="shared" ca="1" si="127"/>
        <v>5</v>
      </c>
      <c r="T793" t="str">
        <f t="shared" ca="1" si="128"/>
        <v>425</v>
      </c>
      <c r="U793" t="str">
        <f t="shared" ca="1" si="129"/>
        <v>Others</v>
      </c>
    </row>
    <row r="794" spans="1:21">
      <c r="A794" s="13" t="str">
        <f>Cleaned_Data!A794</f>
        <v>MEM0793</v>
      </c>
      <c r="B794" s="14" t="str">
        <f ca="1">Cleaned_Data!D794</f>
        <v>BR04</v>
      </c>
      <c r="C794" s="14" t="str">
        <f ca="1">Cleaned_Data!E794</f>
        <v>Basic</v>
      </c>
      <c r="D794" s="15">
        <f>Cleaned_Data!F794</f>
        <v>45285</v>
      </c>
      <c r="E794" s="15">
        <f>Cleaned_Data!G794</f>
        <v>45650</v>
      </c>
      <c r="F794" s="14">
        <f>Cleaned_Data!H794</f>
        <v>2000</v>
      </c>
      <c r="G794" s="14">
        <f ca="1">Cleaned_Data!I794</f>
        <v>6000</v>
      </c>
      <c r="H794" s="14">
        <f>Cleaned_Data!J794</f>
        <v>2</v>
      </c>
      <c r="I794" s="14" t="str">
        <f>Cleaned_Data!M794</f>
        <v>Active</v>
      </c>
      <c r="J794" s="16">
        <f>Cleaned_Data!N794</f>
        <v>45316</v>
      </c>
      <c r="K794" t="str">
        <f t="shared" si="120"/>
        <v>At Risk</v>
      </c>
      <c r="L794" s="5" t="str">
        <f>IF(COUNTIF($A$2:A794,A794)&gt;1,"Duplicate","Unique")</f>
        <v>Unique</v>
      </c>
      <c r="M794" t="str">
        <f t="shared" si="121"/>
        <v>2023-12</v>
      </c>
      <c r="N794" s="2">
        <f t="shared" ca="1" si="122"/>
        <v>45316</v>
      </c>
      <c r="O794" s="4">
        <f t="shared" ca="1" si="123"/>
        <v>1</v>
      </c>
      <c r="P794" s="4">
        <f t="shared" ca="1" si="124"/>
        <v>813</v>
      </c>
      <c r="Q794">
        <f t="shared" ca="1" si="125"/>
        <v>1</v>
      </c>
      <c r="R794">
        <f t="shared" si="126"/>
        <v>1</v>
      </c>
      <c r="S794">
        <f t="shared" ca="1" si="127"/>
        <v>3</v>
      </c>
      <c r="T794" t="str">
        <f t="shared" ca="1" si="128"/>
        <v>113</v>
      </c>
      <c r="U794" t="str">
        <f t="shared" ca="1" si="129"/>
        <v>At Risk</v>
      </c>
    </row>
    <row r="795" spans="1:21">
      <c r="A795" s="17" t="str">
        <f>Cleaned_Data!A795</f>
        <v>MEM0794</v>
      </c>
      <c r="B795" s="18" t="str">
        <f ca="1">Cleaned_Data!D795</f>
        <v>BR07</v>
      </c>
      <c r="C795" s="18" t="str">
        <f ca="1">Cleaned_Data!E795</f>
        <v>Premium</v>
      </c>
      <c r="D795" s="19">
        <f>Cleaned_Data!F795</f>
        <v>45861</v>
      </c>
      <c r="E795" s="19">
        <f>Cleaned_Data!G795</f>
        <v>45951</v>
      </c>
      <c r="F795" s="18">
        <f>Cleaned_Data!H795</f>
        <v>3500</v>
      </c>
      <c r="G795" s="18">
        <f ca="1">Cleaned_Data!I795</f>
        <v>35000</v>
      </c>
      <c r="H795" s="18">
        <f>Cleaned_Data!J795</f>
        <v>9</v>
      </c>
      <c r="I795" s="18" t="str">
        <f>Cleaned_Data!M795</f>
        <v>Active</v>
      </c>
      <c r="J795" s="20">
        <f>Cleaned_Data!N795</f>
        <v>45949</v>
      </c>
      <c r="K795" t="str">
        <f t="shared" si="120"/>
        <v>Moderate</v>
      </c>
      <c r="L795" s="5" t="str">
        <f>IF(COUNTIF($A$2:A795,A795)&gt;1,"Duplicate","Unique")</f>
        <v>Unique</v>
      </c>
      <c r="M795" t="str">
        <f t="shared" si="121"/>
        <v>2025-07</v>
      </c>
      <c r="N795" s="2">
        <f t="shared" ca="1" si="122"/>
        <v>45949</v>
      </c>
      <c r="O795" s="4">
        <f t="shared" ca="1" si="123"/>
        <v>2</v>
      </c>
      <c r="P795" s="4">
        <f t="shared" ca="1" si="124"/>
        <v>180</v>
      </c>
      <c r="Q795">
        <f t="shared" ca="1" si="125"/>
        <v>3</v>
      </c>
      <c r="R795">
        <f t="shared" si="126"/>
        <v>2</v>
      </c>
      <c r="S795">
        <f t="shared" ca="1" si="127"/>
        <v>5</v>
      </c>
      <c r="T795" t="str">
        <f t="shared" ca="1" si="128"/>
        <v>325</v>
      </c>
      <c r="U795" t="str">
        <f t="shared" ca="1" si="129"/>
        <v>Others</v>
      </c>
    </row>
    <row r="796" spans="1:21">
      <c r="A796" s="13" t="str">
        <f>Cleaned_Data!A796</f>
        <v>MEM0795</v>
      </c>
      <c r="B796" s="14" t="str">
        <f ca="1">Cleaned_Data!D796</f>
        <v>BR05</v>
      </c>
      <c r="C796" s="14" t="str">
        <f ca="1">Cleaned_Data!E796</f>
        <v>Basic</v>
      </c>
      <c r="D796" s="15">
        <f>Cleaned_Data!F796</f>
        <v>45194</v>
      </c>
      <c r="E796" s="15">
        <f>Cleaned_Data!G796</f>
        <v>45224</v>
      </c>
      <c r="F796" s="14">
        <f>Cleaned_Data!H796</f>
        <v>3500</v>
      </c>
      <c r="G796" s="14">
        <f ca="1">Cleaned_Data!I796</f>
        <v>38500</v>
      </c>
      <c r="H796" s="14">
        <f>Cleaned_Data!J796</f>
        <v>3</v>
      </c>
      <c r="I796" s="14" t="str">
        <f>Cleaned_Data!M796</f>
        <v>Active</v>
      </c>
      <c r="J796" s="16">
        <f>Cleaned_Data!N796</f>
        <v>45710</v>
      </c>
      <c r="K796" t="str">
        <f t="shared" si="120"/>
        <v>At Risk</v>
      </c>
      <c r="L796" s="5" t="str">
        <f>IF(COUNTIF($A$2:A796,A796)&gt;1,"Duplicate","Unique")</f>
        <v>Unique</v>
      </c>
      <c r="M796" t="str">
        <f t="shared" si="121"/>
        <v>2023-09</v>
      </c>
      <c r="N796" s="2">
        <f t="shared" ca="1" si="122"/>
        <v>45710</v>
      </c>
      <c r="O796" s="4">
        <f t="shared" ca="1" si="123"/>
        <v>16</v>
      </c>
      <c r="P796" s="4">
        <f t="shared" ca="1" si="124"/>
        <v>419</v>
      </c>
      <c r="Q796">
        <f t="shared" ca="1" si="125"/>
        <v>1</v>
      </c>
      <c r="R796">
        <f t="shared" si="126"/>
        <v>1</v>
      </c>
      <c r="S796">
        <f t="shared" ca="1" si="127"/>
        <v>5</v>
      </c>
      <c r="T796" t="str">
        <f t="shared" ca="1" si="128"/>
        <v>115</v>
      </c>
      <c r="U796" t="str">
        <f t="shared" ca="1" si="129"/>
        <v>At Risk</v>
      </c>
    </row>
    <row r="797" spans="1:21">
      <c r="A797" s="17" t="str">
        <f>Cleaned_Data!A797</f>
        <v>MEM0796</v>
      </c>
      <c r="B797" s="18" t="str">
        <f ca="1">Cleaned_Data!D797</f>
        <v>BR02</v>
      </c>
      <c r="C797" s="18" t="str">
        <f ca="1">Cleaned_Data!E797</f>
        <v>Standard</v>
      </c>
      <c r="D797" s="19">
        <f>Cleaned_Data!F797</f>
        <v>45964</v>
      </c>
      <c r="E797" s="19">
        <f>Cleaned_Data!G797</f>
        <v>46329</v>
      </c>
      <c r="F797" s="18">
        <f>Cleaned_Data!H797</f>
        <v>2000</v>
      </c>
      <c r="G797" s="18">
        <f ca="1">Cleaned_Data!I797</f>
        <v>14000</v>
      </c>
      <c r="H797" s="18">
        <f>Cleaned_Data!J797</f>
        <v>23</v>
      </c>
      <c r="I797" s="18" t="str">
        <f>Cleaned_Data!M797</f>
        <v>Active</v>
      </c>
      <c r="J797" s="20">
        <f>Cleaned_Data!N797</f>
        <v>46108</v>
      </c>
      <c r="K797" t="str">
        <f t="shared" si="120"/>
        <v>Highly Active</v>
      </c>
      <c r="L797" s="5" t="str">
        <f>IF(COUNTIF($A$2:A797,A797)&gt;1,"Duplicate","Unique")</f>
        <v>Unique</v>
      </c>
      <c r="M797" t="str">
        <f t="shared" si="121"/>
        <v>2025-11</v>
      </c>
      <c r="N797" s="2">
        <f t="shared" ca="1" si="122"/>
        <v>46108</v>
      </c>
      <c r="O797" s="4">
        <f t="shared" ca="1" si="123"/>
        <v>4</v>
      </c>
      <c r="P797" s="4">
        <f t="shared" ca="1" si="124"/>
        <v>21</v>
      </c>
      <c r="Q797">
        <f t="shared" ca="1" si="125"/>
        <v>5</v>
      </c>
      <c r="R797">
        <f t="shared" si="126"/>
        <v>5</v>
      </c>
      <c r="S797">
        <f t="shared" ca="1" si="127"/>
        <v>4</v>
      </c>
      <c r="T797" t="str">
        <f t="shared" ca="1" si="128"/>
        <v>554</v>
      </c>
      <c r="U797" t="str">
        <f t="shared" ca="1" si="129"/>
        <v>Champion</v>
      </c>
    </row>
    <row r="798" spans="1:21">
      <c r="A798" s="13" t="str">
        <f>Cleaned_Data!A798</f>
        <v>MEM0797</v>
      </c>
      <c r="B798" s="14" t="str">
        <f ca="1">Cleaned_Data!D798</f>
        <v>BR07</v>
      </c>
      <c r="C798" s="14" t="str">
        <f ca="1">Cleaned_Data!E798</f>
        <v>Standard</v>
      </c>
      <c r="D798" s="15">
        <f>Cleaned_Data!F798</f>
        <v>45108</v>
      </c>
      <c r="E798" s="15">
        <f>Cleaned_Data!G798</f>
        <v>45473</v>
      </c>
      <c r="F798" s="14">
        <f>Cleaned_Data!H798</f>
        <v>2000</v>
      </c>
      <c r="G798" s="14">
        <f ca="1">Cleaned_Data!I798</f>
        <v>8000</v>
      </c>
      <c r="H798" s="14">
        <f>Cleaned_Data!J798</f>
        <v>16</v>
      </c>
      <c r="I798" s="14" t="str">
        <f>Cleaned_Data!M798</f>
        <v>Active</v>
      </c>
      <c r="J798" s="16">
        <f>Cleaned_Data!N798</f>
        <v>45559</v>
      </c>
      <c r="K798" t="str">
        <f t="shared" si="120"/>
        <v>Highly Active</v>
      </c>
      <c r="L798" s="5" t="str">
        <f>IF(COUNTIF($A$2:A798,A798)&gt;1,"Duplicate","Unique")</f>
        <v>Unique</v>
      </c>
      <c r="M798" t="str">
        <f t="shared" si="121"/>
        <v>2023-07</v>
      </c>
      <c r="N798" s="2">
        <f t="shared" ca="1" si="122"/>
        <v>45559</v>
      </c>
      <c r="O798" s="4">
        <f t="shared" ca="1" si="123"/>
        <v>14</v>
      </c>
      <c r="P798" s="4">
        <f t="shared" ca="1" si="124"/>
        <v>570</v>
      </c>
      <c r="Q798">
        <f t="shared" ca="1" si="125"/>
        <v>1</v>
      </c>
      <c r="R798">
        <f t="shared" si="126"/>
        <v>4</v>
      </c>
      <c r="S798">
        <f t="shared" ca="1" si="127"/>
        <v>3</v>
      </c>
      <c r="T798" t="str">
        <f t="shared" ca="1" si="128"/>
        <v>143</v>
      </c>
      <c r="U798" t="str">
        <f t="shared" ca="1" si="129"/>
        <v>At Risk</v>
      </c>
    </row>
    <row r="799" spans="1:21">
      <c r="A799" s="17" t="str">
        <f>Cleaned_Data!A799</f>
        <v>MEM0798</v>
      </c>
      <c r="B799" s="18" t="str">
        <f ca="1">Cleaned_Data!D799</f>
        <v>BR04</v>
      </c>
      <c r="C799" s="18" t="str">
        <f ca="1">Cleaned_Data!E799</f>
        <v>Standard</v>
      </c>
      <c r="D799" s="19">
        <f>Cleaned_Data!F799</f>
        <v>45627</v>
      </c>
      <c r="E799" s="19">
        <f>Cleaned_Data!G799</f>
        <v>45657</v>
      </c>
      <c r="F799" s="18">
        <f>Cleaned_Data!H799</f>
        <v>2000</v>
      </c>
      <c r="G799" s="18">
        <f ca="1">Cleaned_Data!I799</f>
        <v>20000</v>
      </c>
      <c r="H799" s="18">
        <f>Cleaned_Data!J799</f>
        <v>4</v>
      </c>
      <c r="I799" s="18" t="str">
        <f>Cleaned_Data!M799</f>
        <v>Active</v>
      </c>
      <c r="J799" s="20">
        <f>Cleaned_Data!N799</f>
        <v>45680</v>
      </c>
      <c r="K799" t="str">
        <f t="shared" si="120"/>
        <v>At Risk</v>
      </c>
      <c r="L799" s="5" t="str">
        <f>IF(COUNTIF($A$2:A799,A799)&gt;1,"Duplicate","Unique")</f>
        <v>Unique</v>
      </c>
      <c r="M799" t="str">
        <f t="shared" si="121"/>
        <v>2024-12</v>
      </c>
      <c r="N799" s="2">
        <f t="shared" ca="1" si="122"/>
        <v>45680</v>
      </c>
      <c r="O799" s="4">
        <f t="shared" ca="1" si="123"/>
        <v>1</v>
      </c>
      <c r="P799" s="4">
        <f t="shared" ca="1" si="124"/>
        <v>449</v>
      </c>
      <c r="Q799">
        <f t="shared" ca="1" si="125"/>
        <v>1</v>
      </c>
      <c r="R799">
        <f t="shared" si="126"/>
        <v>1</v>
      </c>
      <c r="S799">
        <f t="shared" ca="1" si="127"/>
        <v>5</v>
      </c>
      <c r="T799" t="str">
        <f t="shared" ca="1" si="128"/>
        <v>115</v>
      </c>
      <c r="U799" t="str">
        <f t="shared" ca="1" si="129"/>
        <v>At Risk</v>
      </c>
    </row>
    <row r="800" spans="1:21">
      <c r="A800" s="13" t="str">
        <f>Cleaned_Data!A800</f>
        <v>MEM0799</v>
      </c>
      <c r="B800" s="14" t="str">
        <f ca="1">Cleaned_Data!D800</f>
        <v>BR04</v>
      </c>
      <c r="C800" s="14" t="str">
        <f ca="1">Cleaned_Data!E800</f>
        <v>Basic</v>
      </c>
      <c r="D800" s="15">
        <f>Cleaned_Data!F800</f>
        <v>45192</v>
      </c>
      <c r="E800" s="15">
        <f>Cleaned_Data!G800</f>
        <v>45282</v>
      </c>
      <c r="F800" s="14">
        <f>Cleaned_Data!H800</f>
        <v>1000</v>
      </c>
      <c r="G800" s="14">
        <f ca="1">Cleaned_Data!I800</f>
        <v>6000</v>
      </c>
      <c r="H800" s="14">
        <f>Cleaned_Data!J800</f>
        <v>1</v>
      </c>
      <c r="I800" s="14" t="str">
        <f>Cleaned_Data!M800</f>
        <v>Cancelled</v>
      </c>
      <c r="J800" s="16">
        <f>Cleaned_Data!N800</f>
        <v>45826</v>
      </c>
      <c r="K800" t="str">
        <f t="shared" si="120"/>
        <v>At Risk</v>
      </c>
      <c r="L800" s="5" t="str">
        <f>IF(COUNTIF($A$2:A800,A800)&gt;1,"Duplicate","Unique")</f>
        <v>Unique</v>
      </c>
      <c r="M800" t="str">
        <f t="shared" si="121"/>
        <v>2023-09</v>
      </c>
      <c r="N800" s="2">
        <f t="shared" ca="1" si="122"/>
        <v>45826</v>
      </c>
      <c r="O800" s="4">
        <f t="shared" ca="1" si="123"/>
        <v>20</v>
      </c>
      <c r="P800" s="4">
        <f t="shared" ca="1" si="124"/>
        <v>303</v>
      </c>
      <c r="Q800">
        <f t="shared" ca="1" si="125"/>
        <v>2</v>
      </c>
      <c r="R800">
        <f t="shared" si="126"/>
        <v>1</v>
      </c>
      <c r="S800">
        <f t="shared" ca="1" si="127"/>
        <v>3</v>
      </c>
      <c r="T800" t="str">
        <f t="shared" ca="1" si="128"/>
        <v>213</v>
      </c>
      <c r="U800" t="str">
        <f t="shared" ca="1" si="129"/>
        <v>At Risk</v>
      </c>
    </row>
    <row r="801" spans="1:21">
      <c r="A801" s="17" t="str">
        <f>Cleaned_Data!A801</f>
        <v>MEM0800</v>
      </c>
      <c r="B801" s="18" t="str">
        <f ca="1">Cleaned_Data!D801</f>
        <v>BR01</v>
      </c>
      <c r="C801" s="18" t="str">
        <f ca="1">Cleaned_Data!E801</f>
        <v>Standard</v>
      </c>
      <c r="D801" s="19">
        <f>Cleaned_Data!F801</f>
        <v>45975</v>
      </c>
      <c r="E801" s="19">
        <f>Cleaned_Data!G801</f>
        <v>46065</v>
      </c>
      <c r="F801" s="18">
        <f>Cleaned_Data!H801</f>
        <v>3500</v>
      </c>
      <c r="G801" s="18">
        <f ca="1">Cleaned_Data!I801</f>
        <v>35000</v>
      </c>
      <c r="H801" s="18">
        <f>Cleaned_Data!J801</f>
        <v>4</v>
      </c>
      <c r="I801" s="18" t="str">
        <f>Cleaned_Data!M801</f>
        <v>Cancelled</v>
      </c>
      <c r="J801" s="20">
        <f>Cleaned_Data!N801</f>
        <v>46096</v>
      </c>
      <c r="K801" t="str">
        <f t="shared" si="120"/>
        <v>At Risk</v>
      </c>
      <c r="L801" s="5" t="str">
        <f>IF(COUNTIF($A$2:A801,A801)&gt;1,"Duplicate","Unique")</f>
        <v>Unique</v>
      </c>
      <c r="M801" t="str">
        <f t="shared" si="121"/>
        <v>2025-11</v>
      </c>
      <c r="N801" s="2">
        <f t="shared" ca="1" si="122"/>
        <v>46096</v>
      </c>
      <c r="O801" s="4">
        <f t="shared" ca="1" si="123"/>
        <v>4</v>
      </c>
      <c r="P801" s="4">
        <f t="shared" ca="1" si="124"/>
        <v>33</v>
      </c>
      <c r="Q801">
        <f t="shared" ca="1" si="125"/>
        <v>4</v>
      </c>
      <c r="R801">
        <f t="shared" si="126"/>
        <v>1</v>
      </c>
      <c r="S801">
        <f t="shared" ca="1" si="127"/>
        <v>5</v>
      </c>
      <c r="T801" t="str">
        <f t="shared" ca="1" si="128"/>
        <v>415</v>
      </c>
      <c r="U801" t="str">
        <f t="shared" ca="1" si="129"/>
        <v>Others</v>
      </c>
    </row>
    <row r="802" spans="1:21">
      <c r="A802" s="13" t="str">
        <f>Cleaned_Data!A802</f>
        <v>MEM0801</v>
      </c>
      <c r="B802" s="14" t="str">
        <f ca="1">Cleaned_Data!D802</f>
        <v>BR04</v>
      </c>
      <c r="C802" s="14" t="str">
        <f ca="1">Cleaned_Data!E802</f>
        <v>Premium</v>
      </c>
      <c r="D802" s="15">
        <f>Cleaned_Data!F802</f>
        <v>45630</v>
      </c>
      <c r="E802" s="15">
        <f>Cleaned_Data!G802</f>
        <v>45995</v>
      </c>
      <c r="F802" s="14">
        <f>Cleaned_Data!H802</f>
        <v>1000</v>
      </c>
      <c r="G802" s="14">
        <f ca="1">Cleaned_Data!I802</f>
        <v>5000</v>
      </c>
      <c r="H802" s="14" t="str">
        <f>Cleaned_Data!J802</f>
        <v/>
      </c>
      <c r="I802" s="14" t="str">
        <f ca="1">Cleaned_Data!M802</f>
        <v>Cancelled</v>
      </c>
      <c r="J802" s="16" t="str">
        <f>Cleaned_Data!N802</f>
        <v>46022</v>
      </c>
      <c r="K802" t="str">
        <f t="shared" si="120"/>
        <v>Highly Active</v>
      </c>
      <c r="L802" s="5" t="str">
        <f>IF(COUNTIF($A$2:A802,A802)&gt;1,"Duplicate","Unique")</f>
        <v>Unique</v>
      </c>
      <c r="M802" t="str">
        <f t="shared" si="121"/>
        <v>2024-12</v>
      </c>
      <c r="N802" s="2" t="str">
        <f t="shared" ca="1" si="122"/>
        <v>46022</v>
      </c>
      <c r="O802" s="4">
        <f t="shared" ca="1" si="123"/>
        <v>12</v>
      </c>
      <c r="P802" s="4">
        <f t="shared" ca="1" si="124"/>
        <v>107</v>
      </c>
      <c r="Q802">
        <f t="shared" ca="1" si="125"/>
        <v>3</v>
      </c>
      <c r="R802">
        <f t="shared" si="126"/>
        <v>5</v>
      </c>
      <c r="S802">
        <f t="shared" ca="1" si="127"/>
        <v>3</v>
      </c>
      <c r="T802" t="str">
        <f t="shared" ca="1" si="128"/>
        <v>353</v>
      </c>
      <c r="U802" t="str">
        <f t="shared" ca="1" si="129"/>
        <v>Loyal</v>
      </c>
    </row>
    <row r="803" spans="1:21">
      <c r="A803" s="17" t="str">
        <f>Cleaned_Data!A803</f>
        <v>MEM0802</v>
      </c>
      <c r="B803" s="18" t="str">
        <f ca="1">Cleaned_Data!D803</f>
        <v>BR03</v>
      </c>
      <c r="C803" s="18" t="str">
        <f ca="1">Cleaned_Data!E803</f>
        <v>Standard</v>
      </c>
      <c r="D803" s="19">
        <f>Cleaned_Data!F803</f>
        <v>45794</v>
      </c>
      <c r="E803" s="19">
        <f>Cleaned_Data!G803</f>
        <v>45824</v>
      </c>
      <c r="F803" s="18">
        <f>Cleaned_Data!H803</f>
        <v>3500</v>
      </c>
      <c r="G803" s="18">
        <f ca="1">Cleaned_Data!I803</f>
        <v>38500</v>
      </c>
      <c r="H803" s="18" t="str">
        <f>Cleaned_Data!J803</f>
        <v/>
      </c>
      <c r="I803" s="18" t="str">
        <f ca="1">Cleaned_Data!M803</f>
        <v>Cancelled</v>
      </c>
      <c r="J803" s="20" t="str">
        <f>Cleaned_Data!N803</f>
        <v>46050</v>
      </c>
      <c r="K803" t="str">
        <f t="shared" si="120"/>
        <v>Highly Active</v>
      </c>
      <c r="L803" s="5" t="str">
        <f>IF(COUNTIF($A$2:A803,A803)&gt;1,"Duplicate","Unique")</f>
        <v>Unique</v>
      </c>
      <c r="M803" t="str">
        <f t="shared" si="121"/>
        <v>2025-05</v>
      </c>
      <c r="N803" s="2" t="str">
        <f t="shared" ca="1" si="122"/>
        <v>46050</v>
      </c>
      <c r="O803" s="4">
        <f t="shared" ca="1" si="123"/>
        <v>8</v>
      </c>
      <c r="P803" s="4">
        <f t="shared" ca="1" si="124"/>
        <v>79</v>
      </c>
      <c r="Q803">
        <f t="shared" ca="1" si="125"/>
        <v>4</v>
      </c>
      <c r="R803">
        <f t="shared" si="126"/>
        <v>5</v>
      </c>
      <c r="S803">
        <f t="shared" ca="1" si="127"/>
        <v>5</v>
      </c>
      <c r="T803" t="str">
        <f t="shared" ca="1" si="128"/>
        <v>455</v>
      </c>
      <c r="U803" t="str">
        <f t="shared" ca="1" si="129"/>
        <v>Champion</v>
      </c>
    </row>
    <row r="804" spans="1:21">
      <c r="A804" s="13" t="str">
        <f>Cleaned_Data!A804</f>
        <v>MEM0803</v>
      </c>
      <c r="B804" s="14" t="str">
        <f ca="1">Cleaned_Data!D804</f>
        <v>BR02</v>
      </c>
      <c r="C804" s="14" t="str">
        <f ca="1">Cleaned_Data!E804</f>
        <v>Premium</v>
      </c>
      <c r="D804" s="15">
        <f>Cleaned_Data!F804</f>
        <v>45919</v>
      </c>
      <c r="E804" s="15">
        <f>Cleaned_Data!G804</f>
        <v>45949</v>
      </c>
      <c r="F804" s="14">
        <f>Cleaned_Data!H804</f>
        <v>3500</v>
      </c>
      <c r="G804" s="14">
        <f ca="1">Cleaned_Data!I804</f>
        <v>28000</v>
      </c>
      <c r="H804" s="14" t="str">
        <f>Cleaned_Data!J804</f>
        <v/>
      </c>
      <c r="I804" s="14" t="str">
        <f ca="1">Cleaned_Data!M804</f>
        <v>Cancelled</v>
      </c>
      <c r="J804" s="16" t="str">
        <f>Cleaned_Data!N804</f>
        <v>45257</v>
      </c>
      <c r="K804" t="str">
        <f t="shared" si="120"/>
        <v>Highly Active</v>
      </c>
      <c r="L804" s="5" t="str">
        <f>IF(COUNTIF($A$2:A804,A804)&gt;1,"Duplicate","Unique")</f>
        <v>Unique</v>
      </c>
      <c r="M804" t="str">
        <f t="shared" si="121"/>
        <v>2025-09</v>
      </c>
      <c r="N804" s="2" t="str">
        <f t="shared" ca="1" si="122"/>
        <v>45257</v>
      </c>
      <c r="O804" s="4">
        <f t="shared" ca="1" si="123"/>
        <v>0</v>
      </c>
      <c r="P804" s="4">
        <f t="shared" ca="1" si="124"/>
        <v>872</v>
      </c>
      <c r="Q804">
        <f t="shared" ca="1" si="125"/>
        <v>1</v>
      </c>
      <c r="R804">
        <f t="shared" si="126"/>
        <v>5</v>
      </c>
      <c r="S804">
        <f t="shared" ca="1" si="127"/>
        <v>5</v>
      </c>
      <c r="T804" t="str">
        <f t="shared" ca="1" si="128"/>
        <v>155</v>
      </c>
      <c r="U804" t="str">
        <f t="shared" ca="1" si="129"/>
        <v>At Risk</v>
      </c>
    </row>
    <row r="805" spans="1:21">
      <c r="A805" s="17" t="str">
        <f>Cleaned_Data!A805</f>
        <v>MEM0804</v>
      </c>
      <c r="B805" s="18" t="str">
        <f ca="1">Cleaned_Data!D805</f>
        <v>BR06</v>
      </c>
      <c r="C805" s="18" t="str">
        <f ca="1">Cleaned_Data!E805</f>
        <v>Premium</v>
      </c>
      <c r="D805" s="19">
        <f>Cleaned_Data!F805</f>
        <v>45439</v>
      </c>
      <c r="E805" s="19">
        <f>Cleaned_Data!G805</f>
        <v>45804</v>
      </c>
      <c r="F805" s="18">
        <f>Cleaned_Data!H805</f>
        <v>3500</v>
      </c>
      <c r="G805" s="18">
        <f ca="1">Cleaned_Data!I805</f>
        <v>10500</v>
      </c>
      <c r="H805" s="18" t="str">
        <f>Cleaned_Data!J805</f>
        <v/>
      </c>
      <c r="I805" s="18" t="str">
        <f ca="1">Cleaned_Data!M805</f>
        <v>Active</v>
      </c>
      <c r="J805" s="20" t="str">
        <f>Cleaned_Data!N805</f>
        <v>45937</v>
      </c>
      <c r="K805" t="str">
        <f t="shared" si="120"/>
        <v>Highly Active</v>
      </c>
      <c r="L805" s="5" t="str">
        <f>IF(COUNTIF($A$2:A805,A805)&gt;1,"Duplicate","Unique")</f>
        <v>Unique</v>
      </c>
      <c r="M805" t="str">
        <f t="shared" si="121"/>
        <v>2024-05</v>
      </c>
      <c r="N805" s="2" t="str">
        <f t="shared" ca="1" si="122"/>
        <v>45937</v>
      </c>
      <c r="O805" s="4">
        <f t="shared" ca="1" si="123"/>
        <v>16</v>
      </c>
      <c r="P805" s="4">
        <f t="shared" ca="1" si="124"/>
        <v>192</v>
      </c>
      <c r="Q805">
        <f t="shared" ca="1" si="125"/>
        <v>2</v>
      </c>
      <c r="R805">
        <f t="shared" si="126"/>
        <v>5</v>
      </c>
      <c r="S805">
        <f t="shared" ca="1" si="127"/>
        <v>4</v>
      </c>
      <c r="T805" t="str">
        <f t="shared" ca="1" si="128"/>
        <v>254</v>
      </c>
      <c r="U805" t="str">
        <f t="shared" ca="1" si="129"/>
        <v>At Risk</v>
      </c>
    </row>
    <row r="806" spans="1:21">
      <c r="A806" s="13" t="str">
        <f>Cleaned_Data!A806</f>
        <v>MEM0805</v>
      </c>
      <c r="B806" s="14" t="str">
        <f ca="1">Cleaned_Data!D806</f>
        <v>BR06</v>
      </c>
      <c r="C806" s="14" t="str">
        <f ca="1">Cleaned_Data!E806</f>
        <v>Premium</v>
      </c>
      <c r="D806" s="15">
        <f>Cleaned_Data!F806</f>
        <v>45635</v>
      </c>
      <c r="E806" s="15">
        <f>Cleaned_Data!G806</f>
        <v>45725</v>
      </c>
      <c r="F806" s="14">
        <f>Cleaned_Data!H806</f>
        <v>1000</v>
      </c>
      <c r="G806" s="14">
        <f ca="1">Cleaned_Data!I806</f>
        <v>4000</v>
      </c>
      <c r="H806" s="14" t="str">
        <f>Cleaned_Data!J806</f>
        <v/>
      </c>
      <c r="I806" s="14" t="str">
        <f ca="1">Cleaned_Data!M806</f>
        <v>Active</v>
      </c>
      <c r="J806" s="16" t="str">
        <f>Cleaned_Data!N806</f>
        <v>45960</v>
      </c>
      <c r="K806" t="str">
        <f t="shared" si="120"/>
        <v>Highly Active</v>
      </c>
      <c r="L806" s="5" t="str">
        <f>IF(COUNTIF($A$2:A806,A806)&gt;1,"Duplicate","Unique")</f>
        <v>Unique</v>
      </c>
      <c r="M806" t="str">
        <f t="shared" si="121"/>
        <v>2024-12</v>
      </c>
      <c r="N806" s="2" t="str">
        <f t="shared" ca="1" si="122"/>
        <v>45960</v>
      </c>
      <c r="O806" s="4">
        <f t="shared" ca="1" si="123"/>
        <v>10</v>
      </c>
      <c r="P806" s="4">
        <f t="shared" ca="1" si="124"/>
        <v>169</v>
      </c>
      <c r="Q806">
        <f t="shared" ca="1" si="125"/>
        <v>3</v>
      </c>
      <c r="R806">
        <f t="shared" si="126"/>
        <v>5</v>
      </c>
      <c r="S806">
        <f t="shared" ca="1" si="127"/>
        <v>2</v>
      </c>
      <c r="T806" t="str">
        <f t="shared" ca="1" si="128"/>
        <v>352</v>
      </c>
      <c r="U806" t="str">
        <f t="shared" ca="1" si="129"/>
        <v>Others</v>
      </c>
    </row>
    <row r="807" spans="1:21">
      <c r="A807" s="17" t="str">
        <f>Cleaned_Data!A807</f>
        <v>MEM0806</v>
      </c>
      <c r="B807" s="18" t="str">
        <f ca="1">Cleaned_Data!D807</f>
        <v>BR06</v>
      </c>
      <c r="C807" s="18" t="str">
        <f ca="1">Cleaned_Data!E807</f>
        <v>Premium</v>
      </c>
      <c r="D807" s="19">
        <f>Cleaned_Data!F807</f>
        <v>46018</v>
      </c>
      <c r="E807" s="19">
        <f>Cleaned_Data!G807</f>
        <v>46108</v>
      </c>
      <c r="F807" s="18">
        <f>Cleaned_Data!H807</f>
        <v>3500</v>
      </c>
      <c r="G807" s="18">
        <f ca="1">Cleaned_Data!I807</f>
        <v>17500</v>
      </c>
      <c r="H807" s="18" t="str">
        <f>Cleaned_Data!J807</f>
        <v/>
      </c>
      <c r="I807" s="18" t="str">
        <f ca="1">Cleaned_Data!M807</f>
        <v>Cancelled</v>
      </c>
      <c r="J807" s="20" t="str">
        <f>Cleaned_Data!N807</f>
        <v>46011</v>
      </c>
      <c r="K807" t="str">
        <f t="shared" si="120"/>
        <v>Highly Active</v>
      </c>
      <c r="L807" s="5" t="str">
        <f>IF(COUNTIF($A$2:A807,A807)&gt;1,"Duplicate","Unique")</f>
        <v>Unique</v>
      </c>
      <c r="M807" t="str">
        <f t="shared" si="121"/>
        <v>2025-12</v>
      </c>
      <c r="N807" s="2" t="str">
        <f t="shared" ca="1" si="122"/>
        <v>46011</v>
      </c>
      <c r="O807" s="4">
        <f t="shared" ca="1" si="123"/>
        <v>0</v>
      </c>
      <c r="P807" s="4">
        <f t="shared" ca="1" si="124"/>
        <v>118</v>
      </c>
      <c r="Q807">
        <f t="shared" ca="1" si="125"/>
        <v>3</v>
      </c>
      <c r="R807">
        <f t="shared" si="126"/>
        <v>5</v>
      </c>
      <c r="S807">
        <f t="shared" ca="1" si="127"/>
        <v>4</v>
      </c>
      <c r="T807" t="str">
        <f t="shared" ca="1" si="128"/>
        <v>354</v>
      </c>
      <c r="U807" t="str">
        <f t="shared" ca="1" si="129"/>
        <v>Loyal</v>
      </c>
    </row>
    <row r="808" spans="1:21">
      <c r="A808" s="13" t="str">
        <f>Cleaned_Data!A808</f>
        <v>MEM0807</v>
      </c>
      <c r="B808" s="14" t="str">
        <f ca="1">Cleaned_Data!D808</f>
        <v>BR03</v>
      </c>
      <c r="C808" s="14" t="str">
        <f ca="1">Cleaned_Data!E808</f>
        <v>Standard</v>
      </c>
      <c r="D808" s="15">
        <f>Cleaned_Data!F808</f>
        <v>45474</v>
      </c>
      <c r="E808" s="15">
        <f>Cleaned_Data!G808</f>
        <v>45504</v>
      </c>
      <c r="F808" s="14">
        <f>Cleaned_Data!H808</f>
        <v>3500</v>
      </c>
      <c r="G808" s="14">
        <f ca="1">Cleaned_Data!I808</f>
        <v>24500</v>
      </c>
      <c r="H808" s="14" t="str">
        <f>Cleaned_Data!J808</f>
        <v/>
      </c>
      <c r="I808" s="14" t="str">
        <f ca="1">Cleaned_Data!M808</f>
        <v>Active</v>
      </c>
      <c r="J808" s="16" t="str">
        <f>Cleaned_Data!N808</f>
        <v>45649</v>
      </c>
      <c r="K808" t="str">
        <f t="shared" si="120"/>
        <v>Highly Active</v>
      </c>
      <c r="L808" s="5" t="str">
        <f>IF(COUNTIF($A$2:A808,A808)&gt;1,"Duplicate","Unique")</f>
        <v>Unique</v>
      </c>
      <c r="M808" t="str">
        <f t="shared" si="121"/>
        <v>2024-07</v>
      </c>
      <c r="N808" s="2" t="str">
        <f t="shared" ca="1" si="122"/>
        <v>45649</v>
      </c>
      <c r="O808" s="4">
        <f t="shared" ca="1" si="123"/>
        <v>5</v>
      </c>
      <c r="P808" s="4">
        <f t="shared" ca="1" si="124"/>
        <v>480</v>
      </c>
      <c r="Q808">
        <f t="shared" ca="1" si="125"/>
        <v>1</v>
      </c>
      <c r="R808">
        <f t="shared" si="126"/>
        <v>5</v>
      </c>
      <c r="S808">
        <f t="shared" ca="1" si="127"/>
        <v>5</v>
      </c>
      <c r="T808" t="str">
        <f t="shared" ca="1" si="128"/>
        <v>155</v>
      </c>
      <c r="U808" t="str">
        <f t="shared" ca="1" si="129"/>
        <v>At Risk</v>
      </c>
    </row>
    <row r="809" spans="1:21">
      <c r="A809" s="17" t="str">
        <f>Cleaned_Data!A809</f>
        <v>MEM0808</v>
      </c>
      <c r="B809" s="18" t="str">
        <f ca="1">Cleaned_Data!D809</f>
        <v>BR04</v>
      </c>
      <c r="C809" s="18" t="str">
        <f ca="1">Cleaned_Data!E809</f>
        <v>Basic</v>
      </c>
      <c r="D809" s="19">
        <f>Cleaned_Data!F809</f>
        <v>45948</v>
      </c>
      <c r="E809" s="19">
        <f>Cleaned_Data!G809</f>
        <v>46313</v>
      </c>
      <c r="F809" s="18">
        <f>Cleaned_Data!H809</f>
        <v>1000</v>
      </c>
      <c r="G809" s="18">
        <f ca="1">Cleaned_Data!I809</f>
        <v>8000</v>
      </c>
      <c r="H809" s="18" t="str">
        <f>Cleaned_Data!J809</f>
        <v/>
      </c>
      <c r="I809" s="18" t="str">
        <f ca="1">Cleaned_Data!M809</f>
        <v>Active</v>
      </c>
      <c r="J809" s="20" t="str">
        <f>Cleaned_Data!N809</f>
        <v>46071</v>
      </c>
      <c r="K809" t="str">
        <f t="shared" si="120"/>
        <v>Highly Active</v>
      </c>
      <c r="L809" s="5" t="str">
        <f>IF(COUNTIF($A$2:A809,A809)&gt;1,"Duplicate","Unique")</f>
        <v>Unique</v>
      </c>
      <c r="M809" t="str">
        <f t="shared" si="121"/>
        <v>2025-10</v>
      </c>
      <c r="N809" s="2" t="str">
        <f t="shared" ca="1" si="122"/>
        <v>46071</v>
      </c>
      <c r="O809" s="4">
        <f t="shared" ca="1" si="123"/>
        <v>4</v>
      </c>
      <c r="P809" s="4">
        <f t="shared" ca="1" si="124"/>
        <v>58</v>
      </c>
      <c r="Q809">
        <f t="shared" ca="1" si="125"/>
        <v>4</v>
      </c>
      <c r="R809">
        <f t="shared" si="126"/>
        <v>5</v>
      </c>
      <c r="S809">
        <f t="shared" ca="1" si="127"/>
        <v>3</v>
      </c>
      <c r="T809" t="str">
        <f t="shared" ca="1" si="128"/>
        <v>453</v>
      </c>
      <c r="U809" t="str">
        <f t="shared" ca="1" si="129"/>
        <v>Loyal</v>
      </c>
    </row>
    <row r="810" spans="1:21">
      <c r="A810" s="13" t="str">
        <f>Cleaned_Data!A810</f>
        <v>MEM0809</v>
      </c>
      <c r="B810" s="14" t="str">
        <f ca="1">Cleaned_Data!D810</f>
        <v>BR04</v>
      </c>
      <c r="C810" s="14" t="str">
        <f ca="1">Cleaned_Data!E810</f>
        <v>Standard</v>
      </c>
      <c r="D810" s="15">
        <f>Cleaned_Data!F810</f>
        <v>45098</v>
      </c>
      <c r="E810" s="15">
        <f>Cleaned_Data!G810</f>
        <v>45463</v>
      </c>
      <c r="F810" s="14">
        <f>Cleaned_Data!H810</f>
        <v>2000</v>
      </c>
      <c r="G810" s="14">
        <f ca="1">Cleaned_Data!I810</f>
        <v>4000</v>
      </c>
      <c r="H810" s="14" t="str">
        <f>Cleaned_Data!J810</f>
        <v/>
      </c>
      <c r="I810" s="14" t="str">
        <f ca="1">Cleaned_Data!M810</f>
        <v>Active</v>
      </c>
      <c r="J810" s="16" t="str">
        <f>Cleaned_Data!N810</f>
        <v>45846</v>
      </c>
      <c r="K810" t="str">
        <f t="shared" si="120"/>
        <v>Highly Active</v>
      </c>
      <c r="L810" s="5" t="str">
        <f>IF(COUNTIF($A$2:A810,A810)&gt;1,"Duplicate","Unique")</f>
        <v>Unique</v>
      </c>
      <c r="M810" t="str">
        <f t="shared" si="121"/>
        <v>2023-06</v>
      </c>
      <c r="N810" s="2" t="str">
        <f t="shared" ca="1" si="122"/>
        <v>45846</v>
      </c>
      <c r="O810" s="4">
        <f t="shared" ca="1" si="123"/>
        <v>24</v>
      </c>
      <c r="P810" s="4">
        <f t="shared" ca="1" si="124"/>
        <v>283</v>
      </c>
      <c r="Q810">
        <f t="shared" ca="1" si="125"/>
        <v>2</v>
      </c>
      <c r="R810">
        <f t="shared" si="126"/>
        <v>5</v>
      </c>
      <c r="S810">
        <f t="shared" ca="1" si="127"/>
        <v>2</v>
      </c>
      <c r="T810" t="str">
        <f t="shared" ca="1" si="128"/>
        <v>252</v>
      </c>
      <c r="U810" t="str">
        <f t="shared" ca="1" si="129"/>
        <v>At Risk</v>
      </c>
    </row>
    <row r="811" spans="1:21">
      <c r="A811" s="17" t="str">
        <f>Cleaned_Data!A811</f>
        <v>MEM0810</v>
      </c>
      <c r="B811" s="18" t="str">
        <f ca="1">Cleaned_Data!D811</f>
        <v>BR05</v>
      </c>
      <c r="C811" s="18" t="str">
        <f ca="1">Cleaned_Data!E811</f>
        <v>Basic</v>
      </c>
      <c r="D811" s="19">
        <f>Cleaned_Data!F811</f>
        <v>45326</v>
      </c>
      <c r="E811" s="19">
        <f>Cleaned_Data!G811</f>
        <v>45416</v>
      </c>
      <c r="F811" s="18">
        <f>Cleaned_Data!H811</f>
        <v>3500</v>
      </c>
      <c r="G811" s="18">
        <f ca="1">Cleaned_Data!I811</f>
        <v>24500</v>
      </c>
      <c r="H811" s="18" t="str">
        <f>Cleaned_Data!J811</f>
        <v/>
      </c>
      <c r="I811" s="18" t="str">
        <f ca="1">Cleaned_Data!M811</f>
        <v>Active</v>
      </c>
      <c r="J811" s="20" t="str">
        <f>Cleaned_Data!N811</f>
        <v>45926</v>
      </c>
      <c r="K811" t="str">
        <f t="shared" si="120"/>
        <v>Highly Active</v>
      </c>
      <c r="L811" s="5" t="str">
        <f>IF(COUNTIF($A$2:A811,A811)&gt;1,"Duplicate","Unique")</f>
        <v>Unique</v>
      </c>
      <c r="M811" t="str">
        <f t="shared" si="121"/>
        <v>2024-02</v>
      </c>
      <c r="N811" s="2" t="str">
        <f t="shared" ca="1" si="122"/>
        <v>45926</v>
      </c>
      <c r="O811" s="4">
        <f t="shared" ca="1" si="123"/>
        <v>19</v>
      </c>
      <c r="P811" s="4">
        <f t="shared" ca="1" si="124"/>
        <v>203</v>
      </c>
      <c r="Q811">
        <f t="shared" ca="1" si="125"/>
        <v>2</v>
      </c>
      <c r="R811">
        <f t="shared" si="126"/>
        <v>5</v>
      </c>
      <c r="S811">
        <f t="shared" ca="1" si="127"/>
        <v>5</v>
      </c>
      <c r="T811" t="str">
        <f t="shared" ca="1" si="128"/>
        <v>255</v>
      </c>
      <c r="U811" t="str">
        <f t="shared" ca="1" si="129"/>
        <v>At Risk</v>
      </c>
    </row>
    <row r="812" spans="1:21">
      <c r="A812" s="13" t="str">
        <f>Cleaned_Data!A812</f>
        <v>MEM0811</v>
      </c>
      <c r="B812" s="14" t="str">
        <f ca="1">Cleaned_Data!D812</f>
        <v>BR02</v>
      </c>
      <c r="C812" s="14" t="str">
        <f ca="1">Cleaned_Data!E812</f>
        <v>Premium</v>
      </c>
      <c r="D812" s="15">
        <f>Cleaned_Data!F812</f>
        <v>45155</v>
      </c>
      <c r="E812" s="15">
        <f>Cleaned_Data!G812</f>
        <v>45245</v>
      </c>
      <c r="F812" s="14">
        <f>Cleaned_Data!H812</f>
        <v>2000</v>
      </c>
      <c r="G812" s="14">
        <f ca="1">Cleaned_Data!I812</f>
        <v>24000</v>
      </c>
      <c r="H812" s="14" t="str">
        <f>Cleaned_Data!J812</f>
        <v/>
      </c>
      <c r="I812" s="14" t="str">
        <f ca="1">Cleaned_Data!M812</f>
        <v>Cancelled</v>
      </c>
      <c r="J812" s="16" t="str">
        <f>Cleaned_Data!N812</f>
        <v>45535</v>
      </c>
      <c r="K812" t="str">
        <f t="shared" si="120"/>
        <v>Highly Active</v>
      </c>
      <c r="L812" s="5" t="str">
        <f>IF(COUNTIF($A$2:A812,A812)&gt;1,"Duplicate","Unique")</f>
        <v>Unique</v>
      </c>
      <c r="M812" t="str">
        <f t="shared" si="121"/>
        <v>2023-08</v>
      </c>
      <c r="N812" s="2" t="str">
        <f t="shared" ca="1" si="122"/>
        <v>45535</v>
      </c>
      <c r="O812" s="4">
        <f t="shared" ca="1" si="123"/>
        <v>12</v>
      </c>
      <c r="P812" s="4">
        <f t="shared" ca="1" si="124"/>
        <v>594</v>
      </c>
      <c r="Q812">
        <f t="shared" ca="1" si="125"/>
        <v>1</v>
      </c>
      <c r="R812">
        <f t="shared" si="126"/>
        <v>5</v>
      </c>
      <c r="S812">
        <f t="shared" ca="1" si="127"/>
        <v>5</v>
      </c>
      <c r="T812" t="str">
        <f t="shared" ca="1" si="128"/>
        <v>155</v>
      </c>
      <c r="U812" t="str">
        <f t="shared" ca="1" si="129"/>
        <v>At Risk</v>
      </c>
    </row>
    <row r="813" spans="1:21">
      <c r="A813" s="17" t="str">
        <f>Cleaned_Data!A813</f>
        <v>MEM0812</v>
      </c>
      <c r="B813" s="18" t="str">
        <f ca="1">Cleaned_Data!D813</f>
        <v>BR01</v>
      </c>
      <c r="C813" s="18" t="str">
        <f ca="1">Cleaned_Data!E813</f>
        <v>Premium</v>
      </c>
      <c r="D813" s="19">
        <f>Cleaned_Data!F813</f>
        <v>45951</v>
      </c>
      <c r="E813" s="19">
        <f>Cleaned_Data!G813</f>
        <v>45981</v>
      </c>
      <c r="F813" s="18">
        <f>Cleaned_Data!H813</f>
        <v>2000</v>
      </c>
      <c r="G813" s="18">
        <f ca="1">Cleaned_Data!I813</f>
        <v>10000</v>
      </c>
      <c r="H813" s="18" t="str">
        <f>Cleaned_Data!J813</f>
        <v/>
      </c>
      <c r="I813" s="18" t="str">
        <f ca="1">Cleaned_Data!M813</f>
        <v>Cancelled</v>
      </c>
      <c r="J813" s="20" t="str">
        <f>Cleaned_Data!N813</f>
        <v>46031</v>
      </c>
      <c r="K813" t="str">
        <f t="shared" si="120"/>
        <v>Highly Active</v>
      </c>
      <c r="L813" s="5" t="str">
        <f>IF(COUNTIF($A$2:A813,A813)&gt;1,"Duplicate","Unique")</f>
        <v>Unique</v>
      </c>
      <c r="M813" t="str">
        <f t="shared" si="121"/>
        <v>2025-10</v>
      </c>
      <c r="N813" s="2" t="str">
        <f t="shared" ca="1" si="122"/>
        <v>46031</v>
      </c>
      <c r="O813" s="4">
        <f t="shared" ca="1" si="123"/>
        <v>2</v>
      </c>
      <c r="P813" s="4">
        <f t="shared" ca="1" si="124"/>
        <v>98</v>
      </c>
      <c r="Q813">
        <f t="shared" ca="1" si="125"/>
        <v>3</v>
      </c>
      <c r="R813">
        <f t="shared" si="126"/>
        <v>5</v>
      </c>
      <c r="S813">
        <f t="shared" ca="1" si="127"/>
        <v>4</v>
      </c>
      <c r="T813" t="str">
        <f t="shared" ca="1" si="128"/>
        <v>354</v>
      </c>
      <c r="U813" t="str">
        <f t="shared" ca="1" si="129"/>
        <v>Loyal</v>
      </c>
    </row>
    <row r="814" spans="1:21">
      <c r="A814" s="13" t="str">
        <f>Cleaned_Data!A814</f>
        <v>MEM0813</v>
      </c>
      <c r="B814" s="14" t="str">
        <f ca="1">Cleaned_Data!D814</f>
        <v>BR02</v>
      </c>
      <c r="C814" s="14" t="str">
        <f ca="1">Cleaned_Data!E814</f>
        <v>Premium</v>
      </c>
      <c r="D814" s="15">
        <f>Cleaned_Data!F814</f>
        <v>45765</v>
      </c>
      <c r="E814" s="15">
        <f>Cleaned_Data!G814</f>
        <v>46130</v>
      </c>
      <c r="F814" s="14">
        <f>Cleaned_Data!H814</f>
        <v>1000</v>
      </c>
      <c r="G814" s="14">
        <f ca="1">Cleaned_Data!I814</f>
        <v>11000</v>
      </c>
      <c r="H814" s="14" t="str">
        <f>Cleaned_Data!J814</f>
        <v/>
      </c>
      <c r="I814" s="14" t="str">
        <f ca="1">Cleaned_Data!M814</f>
        <v>Cancelled</v>
      </c>
      <c r="J814" s="16" t="str">
        <f>Cleaned_Data!N814</f>
        <v>45895</v>
      </c>
      <c r="K814" t="str">
        <f t="shared" si="120"/>
        <v>Highly Active</v>
      </c>
      <c r="L814" s="5" t="str">
        <f>IF(COUNTIF($A$2:A814,A814)&gt;1,"Duplicate","Unique")</f>
        <v>Unique</v>
      </c>
      <c r="M814" t="str">
        <f t="shared" si="121"/>
        <v>2025-04</v>
      </c>
      <c r="N814" s="2" t="str">
        <f t="shared" ca="1" si="122"/>
        <v>45895</v>
      </c>
      <c r="O814" s="4">
        <f t="shared" ca="1" si="123"/>
        <v>4</v>
      </c>
      <c r="P814" s="4">
        <f t="shared" ca="1" si="124"/>
        <v>234</v>
      </c>
      <c r="Q814">
        <f t="shared" ca="1" si="125"/>
        <v>2</v>
      </c>
      <c r="R814">
        <f t="shared" si="126"/>
        <v>5</v>
      </c>
      <c r="S814">
        <f t="shared" ca="1" si="127"/>
        <v>4</v>
      </c>
      <c r="T814" t="str">
        <f t="shared" ca="1" si="128"/>
        <v>254</v>
      </c>
      <c r="U814" t="str">
        <f t="shared" ca="1" si="129"/>
        <v>At Risk</v>
      </c>
    </row>
    <row r="815" spans="1:21">
      <c r="A815" s="17" t="str">
        <f>Cleaned_Data!A815</f>
        <v>MEM0814</v>
      </c>
      <c r="B815" s="18" t="str">
        <f ca="1">Cleaned_Data!D815</f>
        <v>BR04</v>
      </c>
      <c r="C815" s="18" t="str">
        <f ca="1">Cleaned_Data!E815</f>
        <v>Basic</v>
      </c>
      <c r="D815" s="19">
        <f>Cleaned_Data!F815</f>
        <v>45193</v>
      </c>
      <c r="E815" s="19">
        <f>Cleaned_Data!G815</f>
        <v>45558</v>
      </c>
      <c r="F815" s="18">
        <f>Cleaned_Data!H815</f>
        <v>1000</v>
      </c>
      <c r="G815" s="18">
        <f ca="1">Cleaned_Data!I815</f>
        <v>2000</v>
      </c>
      <c r="H815" s="18" t="str">
        <f>Cleaned_Data!J815</f>
        <v/>
      </c>
      <c r="I815" s="18" t="str">
        <f ca="1">Cleaned_Data!M815</f>
        <v>Cancelled</v>
      </c>
      <c r="J815" s="20" t="str">
        <f>Cleaned_Data!N815</f>
        <v>45802</v>
      </c>
      <c r="K815" t="str">
        <f t="shared" si="120"/>
        <v>Highly Active</v>
      </c>
      <c r="L815" s="5" t="str">
        <f>IF(COUNTIF($A$2:A815,A815)&gt;1,"Duplicate","Unique")</f>
        <v>Unique</v>
      </c>
      <c r="M815" t="str">
        <f t="shared" si="121"/>
        <v>2023-09</v>
      </c>
      <c r="N815" s="2" t="str">
        <f t="shared" ca="1" si="122"/>
        <v>45802</v>
      </c>
      <c r="O815" s="4">
        <f t="shared" ca="1" si="123"/>
        <v>20</v>
      </c>
      <c r="P815" s="4">
        <f t="shared" ca="1" si="124"/>
        <v>327</v>
      </c>
      <c r="Q815">
        <f t="shared" ca="1" si="125"/>
        <v>2</v>
      </c>
      <c r="R815">
        <f t="shared" si="126"/>
        <v>5</v>
      </c>
      <c r="S815">
        <f t="shared" ca="1" si="127"/>
        <v>2</v>
      </c>
      <c r="T815" t="str">
        <f t="shared" ca="1" si="128"/>
        <v>252</v>
      </c>
      <c r="U815" t="str">
        <f t="shared" ca="1" si="129"/>
        <v>At Risk</v>
      </c>
    </row>
    <row r="816" spans="1:21">
      <c r="A816" s="13" t="str">
        <f>Cleaned_Data!A816</f>
        <v>MEM0815</v>
      </c>
      <c r="B816" s="14" t="str">
        <f ca="1">Cleaned_Data!D816</f>
        <v>BR02</v>
      </c>
      <c r="C816" s="14" t="str">
        <f ca="1">Cleaned_Data!E816</f>
        <v>Basic</v>
      </c>
      <c r="D816" s="15">
        <f>Cleaned_Data!F816</f>
        <v>45427</v>
      </c>
      <c r="E816" s="15">
        <f>Cleaned_Data!G816</f>
        <v>45792</v>
      </c>
      <c r="F816" s="14">
        <f>Cleaned_Data!H816</f>
        <v>1000</v>
      </c>
      <c r="G816" s="14">
        <f ca="1">Cleaned_Data!I816</f>
        <v>12000</v>
      </c>
      <c r="H816" s="14" t="str">
        <f>Cleaned_Data!J816</f>
        <v/>
      </c>
      <c r="I816" s="14" t="str">
        <f ca="1">Cleaned_Data!M816</f>
        <v>Active</v>
      </c>
      <c r="J816" s="16" t="str">
        <f>Cleaned_Data!N816</f>
        <v>46003</v>
      </c>
      <c r="K816" t="str">
        <f t="shared" si="120"/>
        <v>Highly Active</v>
      </c>
      <c r="L816" s="5" t="str">
        <f>IF(COUNTIF($A$2:A816,A816)&gt;1,"Duplicate","Unique")</f>
        <v>Unique</v>
      </c>
      <c r="M816" t="str">
        <f t="shared" si="121"/>
        <v>2024-05</v>
      </c>
      <c r="N816" s="2" t="str">
        <f t="shared" ca="1" si="122"/>
        <v>46003</v>
      </c>
      <c r="O816" s="4">
        <f t="shared" ca="1" si="123"/>
        <v>18</v>
      </c>
      <c r="P816" s="4">
        <f t="shared" ca="1" si="124"/>
        <v>126</v>
      </c>
      <c r="Q816">
        <f t="shared" ca="1" si="125"/>
        <v>3</v>
      </c>
      <c r="R816">
        <f t="shared" si="126"/>
        <v>5</v>
      </c>
      <c r="S816">
        <f t="shared" ca="1" si="127"/>
        <v>4</v>
      </c>
      <c r="T816" t="str">
        <f t="shared" ca="1" si="128"/>
        <v>354</v>
      </c>
      <c r="U816" t="str">
        <f t="shared" ca="1" si="129"/>
        <v>Loyal</v>
      </c>
    </row>
    <row r="817" spans="1:21">
      <c r="A817" s="17" t="str">
        <f>Cleaned_Data!A817</f>
        <v>MEM0816</v>
      </c>
      <c r="B817" s="18" t="str">
        <f ca="1">Cleaned_Data!D817</f>
        <v>BR06</v>
      </c>
      <c r="C817" s="18" t="str">
        <f ca="1">Cleaned_Data!E817</f>
        <v>Premium</v>
      </c>
      <c r="D817" s="19">
        <f>Cleaned_Data!F817</f>
        <v>46036</v>
      </c>
      <c r="E817" s="19">
        <f>Cleaned_Data!G817</f>
        <v>46066</v>
      </c>
      <c r="F817" s="18">
        <f>Cleaned_Data!H817</f>
        <v>3500</v>
      </c>
      <c r="G817" s="18">
        <f ca="1">Cleaned_Data!I817</f>
        <v>42000</v>
      </c>
      <c r="H817" s="18" t="str">
        <f>Cleaned_Data!J817</f>
        <v/>
      </c>
      <c r="I817" s="18" t="str">
        <f ca="1">Cleaned_Data!M817</f>
        <v>Cancelled</v>
      </c>
      <c r="J817" s="20" t="str">
        <f>Cleaned_Data!N817</f>
        <v>45758</v>
      </c>
      <c r="K817" t="str">
        <f t="shared" si="120"/>
        <v>Highly Active</v>
      </c>
      <c r="L817" s="5" t="str">
        <f>IF(COUNTIF($A$2:A817,A817)&gt;1,"Duplicate","Unique")</f>
        <v>Unique</v>
      </c>
      <c r="M817" t="str">
        <f t="shared" si="121"/>
        <v>2026-01</v>
      </c>
      <c r="N817" s="2" t="str">
        <f t="shared" ca="1" si="122"/>
        <v>45758</v>
      </c>
      <c r="O817" s="4">
        <f t="shared" ca="1" si="123"/>
        <v>0</v>
      </c>
      <c r="P817" s="4">
        <f t="shared" ca="1" si="124"/>
        <v>371</v>
      </c>
      <c r="Q817">
        <f t="shared" ca="1" si="125"/>
        <v>1</v>
      </c>
      <c r="R817">
        <f t="shared" si="126"/>
        <v>5</v>
      </c>
      <c r="S817">
        <f t="shared" ca="1" si="127"/>
        <v>5</v>
      </c>
      <c r="T817" t="str">
        <f t="shared" ca="1" si="128"/>
        <v>155</v>
      </c>
      <c r="U817" t="str">
        <f t="shared" ca="1" si="129"/>
        <v>At Risk</v>
      </c>
    </row>
    <row r="818" spans="1:21">
      <c r="A818" s="13" t="str">
        <f>Cleaned_Data!A818</f>
        <v>MEM0817</v>
      </c>
      <c r="B818" s="14" t="str">
        <f ca="1">Cleaned_Data!D818</f>
        <v>BR05</v>
      </c>
      <c r="C818" s="14" t="str">
        <f ca="1">Cleaned_Data!E818</f>
        <v>Premium</v>
      </c>
      <c r="D818" s="15">
        <f>Cleaned_Data!F818</f>
        <v>45631</v>
      </c>
      <c r="E818" s="15">
        <f>Cleaned_Data!G818</f>
        <v>45721</v>
      </c>
      <c r="F818" s="14">
        <f>Cleaned_Data!H818</f>
        <v>3500</v>
      </c>
      <c r="G818" s="14">
        <f ca="1">Cleaned_Data!I818</f>
        <v>28000</v>
      </c>
      <c r="H818" s="14" t="str">
        <f>Cleaned_Data!J818</f>
        <v/>
      </c>
      <c r="I818" s="14" t="str">
        <f ca="1">Cleaned_Data!M818</f>
        <v>Active</v>
      </c>
      <c r="J818" s="16" t="str">
        <f>Cleaned_Data!N818</f>
        <v>45412</v>
      </c>
      <c r="K818" t="str">
        <f t="shared" si="120"/>
        <v>Highly Active</v>
      </c>
      <c r="L818" s="5" t="str">
        <f>IF(COUNTIF($A$2:A818,A818)&gt;1,"Duplicate","Unique")</f>
        <v>Unique</v>
      </c>
      <c r="M818" t="str">
        <f t="shared" si="121"/>
        <v>2024-12</v>
      </c>
      <c r="N818" s="2" t="str">
        <f t="shared" ca="1" si="122"/>
        <v>45412</v>
      </c>
      <c r="O818" s="4">
        <f t="shared" ca="1" si="123"/>
        <v>0</v>
      </c>
      <c r="P818" s="4">
        <f t="shared" ca="1" si="124"/>
        <v>717</v>
      </c>
      <c r="Q818">
        <f t="shared" ca="1" si="125"/>
        <v>1</v>
      </c>
      <c r="R818">
        <f t="shared" si="126"/>
        <v>5</v>
      </c>
      <c r="S818">
        <f t="shared" ca="1" si="127"/>
        <v>5</v>
      </c>
      <c r="T818" t="str">
        <f t="shared" ca="1" si="128"/>
        <v>155</v>
      </c>
      <c r="U818" t="str">
        <f t="shared" ca="1" si="129"/>
        <v>At Risk</v>
      </c>
    </row>
    <row r="819" spans="1:21" ht="15" customHeight="1">
      <c r="A819" s="17" t="str">
        <f>Cleaned_Data!A819</f>
        <v>MEM0818</v>
      </c>
      <c r="B819" s="18" t="str">
        <f ca="1">Cleaned_Data!D819</f>
        <v>BR06</v>
      </c>
      <c r="C819" s="18" t="str">
        <f ca="1">Cleaned_Data!E819</f>
        <v>Premium</v>
      </c>
      <c r="D819" s="19">
        <f>Cleaned_Data!F819</f>
        <v>45592</v>
      </c>
      <c r="E819" s="19">
        <f>Cleaned_Data!G819</f>
        <v>45957</v>
      </c>
      <c r="F819" s="18">
        <f>Cleaned_Data!H819</f>
        <v>3500</v>
      </c>
      <c r="G819" s="18">
        <f ca="1">Cleaned_Data!I819</f>
        <v>10500</v>
      </c>
      <c r="H819" s="18" t="str">
        <f>Cleaned_Data!J819</f>
        <v/>
      </c>
      <c r="I819" s="18" t="str">
        <f ca="1">Cleaned_Data!M819</f>
        <v>Cancelled</v>
      </c>
      <c r="J819" s="20" t="str">
        <f>Cleaned_Data!N819</f>
        <v>46059</v>
      </c>
      <c r="K819" t="str">
        <f t="shared" si="120"/>
        <v>Highly Active</v>
      </c>
      <c r="L819" s="5" t="str">
        <f>IF(COUNTIF($A$2:A819,A819)&gt;1,"Duplicate","Unique")</f>
        <v>Unique</v>
      </c>
      <c r="M819" t="str">
        <f t="shared" si="121"/>
        <v>2024-10</v>
      </c>
      <c r="N819" s="2" t="str">
        <f t="shared" ca="1" si="122"/>
        <v>46059</v>
      </c>
      <c r="O819" s="4">
        <f t="shared" ca="1" si="123"/>
        <v>15</v>
      </c>
      <c r="P819" s="4">
        <f t="shared" ca="1" si="124"/>
        <v>70</v>
      </c>
      <c r="Q819">
        <f t="shared" ca="1" si="125"/>
        <v>4</v>
      </c>
      <c r="R819">
        <f t="shared" si="126"/>
        <v>5</v>
      </c>
      <c r="S819">
        <f t="shared" ca="1" si="127"/>
        <v>4</v>
      </c>
      <c r="T819" t="str">
        <f t="shared" ca="1" si="128"/>
        <v>454</v>
      </c>
      <c r="U819" t="str">
        <f t="shared" ca="1" si="129"/>
        <v>Champion</v>
      </c>
    </row>
  </sheetData>
  <conditionalFormatting sqref="M2:N819">
    <cfRule type="containsText" dxfId="3" priority="1" operator="containsText" text="Unique">
      <formula>NOT(ISERROR(SEARCH("Unique",M2)))</formula>
    </cfRule>
    <cfRule type="containsText" dxfId="2" priority="2" operator="containsText" text="Duplicate">
      <formula>NOT(ISERROR(SEARCH("Duplicate",M2)))</formula>
    </cfRule>
  </conditionalFormatting>
  <pageMargins left="0.7" right="0.7" top="0.75" bottom="0.75" header="0.3" footer="0.3"/>
  <rowBreaks count="1" manualBreakCount="1">
    <brk id="81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3DF5-33F9-4547-88CE-E16787F7AD82}">
  <dimension ref="A1:D821"/>
  <sheetViews>
    <sheetView workbookViewId="0">
      <selection activeCell="A2" sqref="A2"/>
    </sheetView>
  </sheetViews>
  <sheetFormatPr defaultRowHeight="14.45"/>
  <cols>
    <col min="1" max="1" width="13.28515625" bestFit="1" customWidth="1"/>
    <col min="2" max="2" width="18.85546875" bestFit="1" customWidth="1"/>
    <col min="3" max="3" width="11" bestFit="1" customWidth="1"/>
    <col min="4" max="4" width="15.7109375" bestFit="1" customWidth="1"/>
    <col min="18" max="18" width="13" bestFit="1" customWidth="1"/>
  </cols>
  <sheetData>
    <row r="1" spans="1:4" ht="15">
      <c r="A1" s="8" t="s">
        <v>86</v>
      </c>
      <c r="B1" s="8" t="s">
        <v>87</v>
      </c>
      <c r="C1" s="8" t="s">
        <v>88</v>
      </c>
      <c r="D1" s="8" t="s">
        <v>97</v>
      </c>
    </row>
    <row r="2" spans="1:4">
      <c r="A2" s="9" t="str" cm="1">
        <f t="array" ref="A2:A819">_xlfn.UNIQUE(_xlfn._xlws.FILTER(Cleaned_Data!A2:A999, Cleaned_Data!A2:A999&lt;&gt;""))</f>
        <v>MEM0001</v>
      </c>
      <c r="B2" s="9" t="str">
        <f ca="1">_xlfn.XLOOKUP(A2,Cleaned_Data!A:A,Cleaned_Data!B:B)</f>
        <v>Karthik Joshi</v>
      </c>
      <c r="C2" s="9" t="str">
        <f ca="1">_xlfn.XLOOKUP(A2,Cleaned_Data!A:A,Cleaned_Data!C:C)</f>
        <v>Calicut</v>
      </c>
      <c r="D2" s="9" t="str">
        <f ca="1">_xlfn.XLOOKUP(A2,Cleaned_Data!A:A,Cleaned_Data!L:L)</f>
        <v>Weight Loss</v>
      </c>
    </row>
    <row r="3" spans="1:4">
      <c r="A3" s="9" t="str">
        <v>MEM0002</v>
      </c>
      <c r="B3" s="9" t="str">
        <f ca="1">_xlfn.XLOOKUP(A3,Cleaned_Data!A:A,Cleaned_Data!B:B)</f>
        <v>Meera George</v>
      </c>
      <c r="C3" s="9" t="str">
        <f ca="1">_xlfn.XLOOKUP(A3,Cleaned_Data!A:A,Cleaned_Data!C:C)</f>
        <v>Kochi</v>
      </c>
      <c r="D3" s="9" t="str">
        <f ca="1">_xlfn.XLOOKUP(A3,Cleaned_Data!A:A,Cleaned_Data!L:L)</f>
        <v>Muscle Gain</v>
      </c>
    </row>
    <row r="4" spans="1:4">
      <c r="A4" s="9" t="str">
        <v>MEM0003</v>
      </c>
      <c r="B4" s="9" t="str">
        <f ca="1">_xlfn.XLOOKUP(A4,Cleaned_Data!A:A,Cleaned_Data!B:B)</f>
        <v>Fatima Das</v>
      </c>
      <c r="C4" s="9" t="str">
        <f ca="1">_xlfn.XLOOKUP(A4,Cleaned_Data!A:A,Cleaned_Data!C:C)</f>
        <v>Mumbai</v>
      </c>
      <c r="D4" s="9" t="str">
        <f ca="1">_xlfn.XLOOKUP(A4,Cleaned_Data!A:A,Cleaned_Data!L:L)</f>
        <v>Weight Loss</v>
      </c>
    </row>
    <row r="5" spans="1:4">
      <c r="A5" s="9" t="str">
        <v>MEM0004</v>
      </c>
      <c r="B5" s="9" t="str">
        <f ca="1">_xlfn.XLOOKUP(A5,Cleaned_Data!A:A,Cleaned_Data!B:B)</f>
        <v>Priya D’Souza</v>
      </c>
      <c r="C5" s="9" t="str">
        <f ca="1">_xlfn.XLOOKUP(A5,Cleaned_Data!A:A,Cleaned_Data!C:C)</f>
        <v>Hyderabad</v>
      </c>
      <c r="D5" s="9" t="str">
        <f ca="1">_xlfn.XLOOKUP(A5,Cleaned_Data!A:A,Cleaned_Data!L:L)</f>
        <v>Weight Loss</v>
      </c>
    </row>
    <row r="6" spans="1:4">
      <c r="A6" s="9" t="str">
        <v>MEM0005</v>
      </c>
      <c r="B6" s="9" t="str">
        <f ca="1">_xlfn.XLOOKUP(A6,Cleaned_Data!A:A,Cleaned_Data!B:B)</f>
        <v>Sanjay Patel</v>
      </c>
      <c r="C6" s="9" t="str">
        <f ca="1">_xlfn.XLOOKUP(A6,Cleaned_Data!A:A,Cleaned_Data!C:C)</f>
        <v>Hyderabad</v>
      </c>
      <c r="D6" s="9" t="str">
        <f ca="1">_xlfn.XLOOKUP(A6,Cleaned_Data!A:A,Cleaned_Data!L:L)</f>
        <v>Weight Loss</v>
      </c>
    </row>
    <row r="7" spans="1:4">
      <c r="A7" s="9" t="str">
        <v>MEM0006</v>
      </c>
      <c r="B7" s="9" t="str">
        <f ca="1">_xlfn.XLOOKUP(A7,Cleaned_Data!A:A,Cleaned_Data!B:B)</f>
        <v>Varun Yadav</v>
      </c>
      <c r="C7" s="9" t="str">
        <f ca="1">_xlfn.XLOOKUP(A7,Cleaned_Data!A:A,Cleaned_Data!C:C)</f>
        <v>Chennai</v>
      </c>
      <c r="D7" s="9" t="str">
        <f ca="1">_xlfn.XLOOKUP(A7,Cleaned_Data!A:A,Cleaned_Data!L:L)</f>
        <v>Weight Loss</v>
      </c>
    </row>
    <row r="8" spans="1:4">
      <c r="A8" s="9" t="str">
        <v>MEM0007</v>
      </c>
      <c r="B8" s="9" t="str">
        <f ca="1">_xlfn.XLOOKUP(A8,Cleaned_Data!A:A,Cleaned_Data!B:B)</f>
        <v>Zara Joshi</v>
      </c>
      <c r="C8" s="9" t="str">
        <f ca="1">_xlfn.XLOOKUP(A8,Cleaned_Data!A:A,Cleaned_Data!C:C)</f>
        <v>Kochi</v>
      </c>
      <c r="D8" s="9" t="str">
        <f ca="1">_xlfn.XLOOKUP(A8,Cleaned_Data!A:A,Cleaned_Data!L:L)</f>
        <v>Weight Loss</v>
      </c>
    </row>
    <row r="9" spans="1:4">
      <c r="A9" s="9" t="str">
        <v>MEM0008</v>
      </c>
      <c r="B9" s="9" t="str">
        <f ca="1">_xlfn.XLOOKUP(A9,Cleaned_Data!A:A,Cleaned_Data!B:B)</f>
        <v>Aditya Khan</v>
      </c>
      <c r="C9" s="9" t="str">
        <f ca="1">_xlfn.XLOOKUP(A9,Cleaned_Data!A:A,Cleaned_Data!C:C)</f>
        <v>Kochi</v>
      </c>
      <c r="D9" s="9" t="str">
        <f ca="1">_xlfn.XLOOKUP(A9,Cleaned_Data!A:A,Cleaned_Data!L:L)</f>
        <v>Muscle Gain</v>
      </c>
    </row>
    <row r="10" spans="1:4">
      <c r="A10" s="9" t="str">
        <v>MEM0009</v>
      </c>
      <c r="B10" s="9" t="str">
        <f ca="1">_xlfn.XLOOKUP(A10,Cleaned_Data!A:A,Cleaned_Data!B:B)</f>
        <v>Lakshmi Shetty</v>
      </c>
      <c r="C10" s="9" t="str">
        <f ca="1">_xlfn.XLOOKUP(A10,Cleaned_Data!A:A,Cleaned_Data!C:C)</f>
        <v>Trivandrum</v>
      </c>
      <c r="D10" s="9" t="str">
        <f ca="1">_xlfn.XLOOKUP(A10,Cleaned_Data!A:A,Cleaned_Data!L:L)</f>
        <v>General Fitness</v>
      </c>
    </row>
    <row r="11" spans="1:4">
      <c r="A11" s="9" t="str">
        <v>MEM0010</v>
      </c>
      <c r="B11" s="9" t="str">
        <f ca="1">_xlfn.XLOOKUP(A11,Cleaned_Data!A:A,Cleaned_Data!B:B)</f>
        <v>Pooja Iyer</v>
      </c>
      <c r="C11" s="9" t="str">
        <f ca="1">_xlfn.XLOOKUP(A11,Cleaned_Data!A:A,Cleaned_Data!C:C)</f>
        <v>Chennai</v>
      </c>
      <c r="D11" s="9" t="str">
        <f ca="1">_xlfn.XLOOKUP(A11,Cleaned_Data!A:A,Cleaned_Data!L:L)</f>
        <v>Muscle Gain</v>
      </c>
    </row>
    <row r="12" spans="1:4">
      <c r="A12" s="9" t="str">
        <v>MEM0011</v>
      </c>
      <c r="B12" s="9" t="str">
        <f ca="1">_xlfn.XLOOKUP(A12,Cleaned_Data!A:A,Cleaned_Data!B:B)</f>
        <v>Siddharth Shaikh</v>
      </c>
      <c r="C12" s="9" t="str">
        <f ca="1">_xlfn.XLOOKUP(A12,Cleaned_Data!A:A,Cleaned_Data!C:C)</f>
        <v>Kochi</v>
      </c>
      <c r="D12" s="9" t="str">
        <f ca="1">_xlfn.XLOOKUP(A12,Cleaned_Data!A:A,Cleaned_Data!L:L)</f>
        <v>General Fitness</v>
      </c>
    </row>
    <row r="13" spans="1:4">
      <c r="A13" s="9" t="str">
        <v>MEM0012</v>
      </c>
      <c r="B13" s="9" t="str">
        <f ca="1">_xlfn.XLOOKUP(A13,Cleaned_Data!A:A,Cleaned_Data!B:B)</f>
        <v>Ishita Nambiar</v>
      </c>
      <c r="C13" s="9" t="str">
        <f ca="1">_xlfn.XLOOKUP(A13,Cleaned_Data!A:A,Cleaned_Data!C:C)</f>
        <v>Trivandrum</v>
      </c>
      <c r="D13" s="9" t="str">
        <f ca="1">_xlfn.XLOOKUP(A13,Cleaned_Data!A:A,Cleaned_Data!L:L)</f>
        <v>Weight Loss</v>
      </c>
    </row>
    <row r="14" spans="1:4">
      <c r="A14" s="9" t="str">
        <v>MEM0013</v>
      </c>
      <c r="B14" s="9" t="str">
        <f ca="1">_xlfn.XLOOKUP(A14,Cleaned_Data!A:A,Cleaned_Data!B:B)</f>
        <v>Aditya Fernandes</v>
      </c>
      <c r="C14" s="9" t="str">
        <f ca="1">_xlfn.XLOOKUP(A14,Cleaned_Data!A:A,Cleaned_Data!C:C)</f>
        <v>Mumbai</v>
      </c>
      <c r="D14" s="9" t="str">
        <f ca="1">_xlfn.XLOOKUP(A14,Cleaned_Data!A:A,Cleaned_Data!L:L)</f>
        <v>General Fitness</v>
      </c>
    </row>
    <row r="15" spans="1:4">
      <c r="A15" s="9" t="str">
        <v>MEM0014</v>
      </c>
      <c r="B15" s="9" t="str">
        <f ca="1">_xlfn.XLOOKUP(A15,Cleaned_Data!A:A,Cleaned_Data!B:B)</f>
        <v>Pooja Agarwal</v>
      </c>
      <c r="C15" s="9" t="str">
        <f ca="1">_xlfn.XLOOKUP(A15,Cleaned_Data!A:A,Cleaned_Data!C:C)</f>
        <v>Chennai</v>
      </c>
      <c r="D15" s="9" t="str">
        <f ca="1">_xlfn.XLOOKUP(A15,Cleaned_Data!A:A,Cleaned_Data!L:L)</f>
        <v>General Fitness</v>
      </c>
    </row>
    <row r="16" spans="1:4">
      <c r="A16" s="9" t="str">
        <v>MEM0015</v>
      </c>
      <c r="B16" s="9" t="str">
        <f ca="1">_xlfn.XLOOKUP(A16,Cleaned_Data!A:A,Cleaned_Data!B:B)</f>
        <v>Nikhil Verma</v>
      </c>
      <c r="C16" s="9" t="str">
        <f ca="1">_xlfn.XLOOKUP(A16,Cleaned_Data!A:A,Cleaned_Data!C:C)</f>
        <v>Mumbai</v>
      </c>
      <c r="D16" s="9" t="str">
        <f ca="1">_xlfn.XLOOKUP(A16,Cleaned_Data!A:A,Cleaned_Data!L:L)</f>
        <v>Weight Loss</v>
      </c>
    </row>
    <row r="17" spans="1:4">
      <c r="A17" s="9" t="str">
        <v>MEM0016</v>
      </c>
      <c r="B17" s="9" t="str">
        <f ca="1">_xlfn.XLOOKUP(A17,Cleaned_Data!A:A,Cleaned_Data!B:B)</f>
        <v>Riya Kapoor</v>
      </c>
      <c r="C17" s="9" t="str">
        <f ca="1">_xlfn.XLOOKUP(A17,Cleaned_Data!A:A,Cleaned_Data!C:C)</f>
        <v>Kochi</v>
      </c>
      <c r="D17" s="9" t="str">
        <f ca="1">_xlfn.XLOOKUP(A17,Cleaned_Data!A:A,Cleaned_Data!L:L)</f>
        <v>Muscle Gain</v>
      </c>
    </row>
    <row r="18" spans="1:4">
      <c r="A18" s="9" t="str">
        <v>MEM0017</v>
      </c>
      <c r="B18" s="9" t="str">
        <f ca="1">_xlfn.XLOOKUP(A18,Cleaned_Data!A:A,Cleaned_Data!B:B)</f>
        <v>Deepak Agarwal</v>
      </c>
      <c r="C18" s="9" t="str">
        <f ca="1">_xlfn.XLOOKUP(A18,Cleaned_Data!A:A,Cleaned_Data!C:C)</f>
        <v>Hyderabad</v>
      </c>
      <c r="D18" s="9" t="str">
        <f ca="1">_xlfn.XLOOKUP(A18,Cleaned_Data!A:A,Cleaned_Data!L:L)</f>
        <v>General Fitness</v>
      </c>
    </row>
    <row r="19" spans="1:4">
      <c r="A19" s="9" t="str">
        <v>MEM0018</v>
      </c>
      <c r="B19" s="9" t="str">
        <f ca="1">_xlfn.XLOOKUP(A19,Cleaned_Data!A:A,Cleaned_Data!B:B)</f>
        <v>Ankit Naidu</v>
      </c>
      <c r="C19" s="9" t="str">
        <f ca="1">_xlfn.XLOOKUP(A19,Cleaned_Data!A:A,Cleaned_Data!C:C)</f>
        <v>Bangalore</v>
      </c>
      <c r="D19" s="9" t="str">
        <f ca="1">_xlfn.XLOOKUP(A19,Cleaned_Data!A:A,Cleaned_Data!L:L)</f>
        <v>Muscle Gain</v>
      </c>
    </row>
    <row r="20" spans="1:4">
      <c r="A20" s="9" t="str">
        <v>MEM0019</v>
      </c>
      <c r="B20" s="9" t="str">
        <f ca="1">_xlfn.XLOOKUP(A20,Cleaned_Data!A:A,Cleaned_Data!B:B)</f>
        <v>Fatima Gupta</v>
      </c>
      <c r="C20" s="9" t="str">
        <f ca="1">_xlfn.XLOOKUP(A20,Cleaned_Data!A:A,Cleaned_Data!C:C)</f>
        <v>Calicut</v>
      </c>
      <c r="D20" s="9" t="str">
        <f ca="1">_xlfn.XLOOKUP(A20,Cleaned_Data!A:A,Cleaned_Data!L:L)</f>
        <v>General Fitness</v>
      </c>
    </row>
    <row r="21" spans="1:4">
      <c r="A21" s="9" t="str">
        <v>MEM0020</v>
      </c>
      <c r="B21" s="9" t="str">
        <f ca="1">_xlfn.XLOOKUP(A21,Cleaned_Data!A:A,Cleaned_Data!B:B)</f>
        <v>Priya Gupta</v>
      </c>
      <c r="C21" s="9" t="str">
        <f ca="1">_xlfn.XLOOKUP(A21,Cleaned_Data!A:A,Cleaned_Data!C:C)</f>
        <v>Trivandrum</v>
      </c>
      <c r="D21" s="9" t="str">
        <f ca="1">_xlfn.XLOOKUP(A21,Cleaned_Data!A:A,Cleaned_Data!L:L)</f>
        <v>Weight Loss</v>
      </c>
    </row>
    <row r="22" spans="1:4">
      <c r="A22" s="9" t="str">
        <v>MEM0021</v>
      </c>
      <c r="B22" s="9" t="str">
        <f ca="1">_xlfn.XLOOKUP(A22,Cleaned_Data!A:A,Cleaned_Data!B:B)</f>
        <v>Rohit Singh</v>
      </c>
      <c r="C22" s="9" t="str">
        <f ca="1">_xlfn.XLOOKUP(A22,Cleaned_Data!A:A,Cleaned_Data!C:C)</f>
        <v>Calicut</v>
      </c>
      <c r="D22" s="9" t="str">
        <f ca="1">_xlfn.XLOOKUP(A22,Cleaned_Data!A:A,Cleaned_Data!L:L)</f>
        <v>Weight Loss</v>
      </c>
    </row>
    <row r="23" spans="1:4">
      <c r="A23" s="9" t="str">
        <v>MEM0022</v>
      </c>
      <c r="B23" s="9" t="str">
        <f ca="1">_xlfn.XLOOKUP(A23,Cleaned_Data!A:A,Cleaned_Data!B:B)</f>
        <v>Zara Menon</v>
      </c>
      <c r="C23" s="9" t="str">
        <f ca="1">_xlfn.XLOOKUP(A23,Cleaned_Data!A:A,Cleaned_Data!C:C)</f>
        <v>Hyderabad</v>
      </c>
      <c r="D23" s="9" t="str">
        <f ca="1">_xlfn.XLOOKUP(A23,Cleaned_Data!A:A,Cleaned_Data!L:L)</f>
        <v>General Fitness</v>
      </c>
    </row>
    <row r="24" spans="1:4">
      <c r="A24" s="9" t="str">
        <v>MEM0023</v>
      </c>
      <c r="B24" s="9" t="str">
        <f ca="1">_xlfn.XLOOKUP(A24,Cleaned_Data!A:A,Cleaned_Data!B:B)</f>
        <v>Harish Desai</v>
      </c>
      <c r="C24" s="9" t="str">
        <f ca="1">_xlfn.XLOOKUP(A24,Cleaned_Data!A:A,Cleaned_Data!C:C)</f>
        <v>Calicut</v>
      </c>
      <c r="D24" s="9" t="str">
        <f ca="1">_xlfn.XLOOKUP(A24,Cleaned_Data!A:A,Cleaned_Data!L:L)</f>
        <v>General Fitness</v>
      </c>
    </row>
    <row r="25" spans="1:4">
      <c r="A25" s="9" t="str">
        <v>MEM0024</v>
      </c>
      <c r="B25" s="9" t="str">
        <f ca="1">_xlfn.XLOOKUP(A25,Cleaned_Data!A:A,Cleaned_Data!B:B)</f>
        <v>Harish Desai</v>
      </c>
      <c r="C25" s="9" t="str">
        <f ca="1">_xlfn.XLOOKUP(A25,Cleaned_Data!A:A,Cleaned_Data!C:C)</f>
        <v>Chennai</v>
      </c>
      <c r="D25" s="9" t="str">
        <f ca="1">_xlfn.XLOOKUP(A25,Cleaned_Data!A:A,Cleaned_Data!L:L)</f>
        <v>Weight Loss</v>
      </c>
    </row>
    <row r="26" spans="1:4">
      <c r="A26" s="9" t="str">
        <v>MEM0025</v>
      </c>
      <c r="B26" s="9" t="str">
        <f ca="1">_xlfn.XLOOKUP(A26,Cleaned_Data!A:A,Cleaned_Data!B:B)</f>
        <v>Ayesha Nair</v>
      </c>
      <c r="C26" s="9" t="str">
        <f ca="1">_xlfn.XLOOKUP(A26,Cleaned_Data!A:A,Cleaned_Data!C:C)</f>
        <v>Calicut</v>
      </c>
      <c r="D26" s="9" t="str">
        <f ca="1">_xlfn.XLOOKUP(A26,Cleaned_Data!A:A,Cleaned_Data!L:L)</f>
        <v>General Fitness</v>
      </c>
    </row>
    <row r="27" spans="1:4">
      <c r="A27" s="9" t="str">
        <v>MEM0026</v>
      </c>
      <c r="B27" s="9" t="str">
        <f ca="1">_xlfn.XLOOKUP(A27,Cleaned_Data!A:A,Cleaned_Data!B:B)</f>
        <v>Shreya Lewis</v>
      </c>
      <c r="C27" s="9" t="str">
        <f ca="1">_xlfn.XLOOKUP(A27,Cleaned_Data!A:A,Cleaned_Data!C:C)</f>
        <v>Hyderabad</v>
      </c>
      <c r="D27" s="9" t="str">
        <f ca="1">_xlfn.XLOOKUP(A27,Cleaned_Data!A:A,Cleaned_Data!L:L)</f>
        <v>Muscle Gain</v>
      </c>
    </row>
    <row r="28" spans="1:4">
      <c r="A28" s="9" t="str">
        <v>MEM0027</v>
      </c>
      <c r="B28" s="9" t="str">
        <f ca="1">_xlfn.XLOOKUP(A28,Cleaned_Data!A:A,Cleaned_Data!B:B)</f>
        <v>Fatima Reddy</v>
      </c>
      <c r="C28" s="9" t="str">
        <f ca="1">_xlfn.XLOOKUP(A28,Cleaned_Data!A:A,Cleaned_Data!C:C)</f>
        <v>Mumbai</v>
      </c>
      <c r="D28" s="9" t="str">
        <f ca="1">_xlfn.XLOOKUP(A28,Cleaned_Data!A:A,Cleaned_Data!L:L)</f>
        <v>General Fitness</v>
      </c>
    </row>
    <row r="29" spans="1:4">
      <c r="A29" s="9" t="str">
        <v>MEM0028</v>
      </c>
      <c r="B29" s="9" t="str">
        <f ca="1">_xlfn.XLOOKUP(A29,Cleaned_Data!A:A,Cleaned_Data!B:B)</f>
        <v>Pooja Fernandes</v>
      </c>
      <c r="C29" s="9" t="str">
        <f ca="1">_xlfn.XLOOKUP(A29,Cleaned_Data!A:A,Cleaned_Data!C:C)</f>
        <v>Calicut</v>
      </c>
      <c r="D29" s="9" t="str">
        <f ca="1">_xlfn.XLOOKUP(A29,Cleaned_Data!A:A,Cleaned_Data!L:L)</f>
        <v>Muscle Gain</v>
      </c>
    </row>
    <row r="30" spans="1:4">
      <c r="A30" s="9" t="str">
        <v>MEM0029</v>
      </c>
      <c r="B30" s="9" t="str">
        <f ca="1">_xlfn.XLOOKUP(A30,Cleaned_Data!A:A,Cleaned_Data!B:B)</f>
        <v>Siddharth Shetty</v>
      </c>
      <c r="C30" s="9" t="str">
        <f ca="1">_xlfn.XLOOKUP(A30,Cleaned_Data!A:A,Cleaned_Data!C:C)</f>
        <v>Calicut</v>
      </c>
      <c r="D30" s="9" t="str">
        <f ca="1">_xlfn.XLOOKUP(A30,Cleaned_Data!A:A,Cleaned_Data!L:L)</f>
        <v>Muscle Gain</v>
      </c>
    </row>
    <row r="31" spans="1:4">
      <c r="A31" s="9" t="str">
        <v>MEM0030</v>
      </c>
      <c r="B31" s="9" t="str">
        <f ca="1">_xlfn.XLOOKUP(A31,Cleaned_Data!A:A,Cleaned_Data!B:B)</f>
        <v>Riya Gupta</v>
      </c>
      <c r="C31" s="9" t="str">
        <f ca="1">_xlfn.XLOOKUP(A31,Cleaned_Data!A:A,Cleaned_Data!C:C)</f>
        <v>Kochi</v>
      </c>
      <c r="D31" s="9" t="str">
        <f ca="1">_xlfn.XLOOKUP(A31,Cleaned_Data!A:A,Cleaned_Data!L:L)</f>
        <v>General Fitness</v>
      </c>
    </row>
    <row r="32" spans="1:4">
      <c r="A32" s="9" t="str">
        <v>MEM0031</v>
      </c>
      <c r="B32" s="9" t="str">
        <f ca="1">_xlfn.XLOOKUP(A32,Cleaned_Data!A:A,Cleaned_Data!B:B)</f>
        <v>Karthik George</v>
      </c>
      <c r="C32" s="9" t="str">
        <f ca="1">_xlfn.XLOOKUP(A32,Cleaned_Data!A:A,Cleaned_Data!C:C)</f>
        <v>Calicut</v>
      </c>
      <c r="D32" s="9" t="str">
        <f ca="1">_xlfn.XLOOKUP(A32,Cleaned_Data!A:A,Cleaned_Data!L:L)</f>
        <v>Muscle Gain</v>
      </c>
    </row>
    <row r="33" spans="1:4">
      <c r="A33" s="9" t="str">
        <v>MEM0032</v>
      </c>
      <c r="B33" s="9" t="str">
        <f ca="1">_xlfn.XLOOKUP(A33,Cleaned_Data!A:A,Cleaned_Data!B:B)</f>
        <v>Meera Reddy</v>
      </c>
      <c r="C33" s="9" t="str">
        <f ca="1">_xlfn.XLOOKUP(A33,Cleaned_Data!A:A,Cleaned_Data!C:C)</f>
        <v>Bangalore</v>
      </c>
      <c r="D33" s="9" t="str">
        <f ca="1">_xlfn.XLOOKUP(A33,Cleaned_Data!A:A,Cleaned_Data!L:L)</f>
        <v>Muscle Gain</v>
      </c>
    </row>
    <row r="34" spans="1:4">
      <c r="A34" s="9" t="str">
        <v>MEM0033</v>
      </c>
      <c r="B34" s="9" t="str">
        <f ca="1">_xlfn.XLOOKUP(A34,Cleaned_Data!A:A,Cleaned_Data!B:B)</f>
        <v>Varun George</v>
      </c>
      <c r="C34" s="9" t="str">
        <f ca="1">_xlfn.XLOOKUP(A34,Cleaned_Data!A:A,Cleaned_Data!C:C)</f>
        <v>Calicut</v>
      </c>
      <c r="D34" s="9" t="str">
        <f ca="1">_xlfn.XLOOKUP(A34,Cleaned_Data!A:A,Cleaned_Data!L:L)</f>
        <v>Muscle Gain</v>
      </c>
    </row>
    <row r="35" spans="1:4">
      <c r="A35" s="9" t="str">
        <v>MEM0034</v>
      </c>
      <c r="B35" s="9" t="str">
        <f ca="1">_xlfn.XLOOKUP(A35,Cleaned_Data!A:A,Cleaned_Data!B:B)</f>
        <v>Riya Singh</v>
      </c>
      <c r="C35" s="9" t="str">
        <f ca="1">_xlfn.XLOOKUP(A35,Cleaned_Data!A:A,Cleaned_Data!C:C)</f>
        <v>Kochi</v>
      </c>
      <c r="D35" s="9" t="str">
        <f ca="1">_xlfn.XLOOKUP(A35,Cleaned_Data!A:A,Cleaned_Data!L:L)</f>
        <v>Weight Loss</v>
      </c>
    </row>
    <row r="36" spans="1:4">
      <c r="A36" s="9" t="str">
        <v>MEM0035</v>
      </c>
      <c r="B36" s="9" t="str">
        <f ca="1">_xlfn.XLOOKUP(A36,Cleaned_Data!A:A,Cleaned_Data!B:B)</f>
        <v>Neha Gupta</v>
      </c>
      <c r="C36" s="9" t="str">
        <f ca="1">_xlfn.XLOOKUP(A36,Cleaned_Data!A:A,Cleaned_Data!C:C)</f>
        <v>Mumbai</v>
      </c>
      <c r="D36" s="9" t="str">
        <f ca="1">_xlfn.XLOOKUP(A36,Cleaned_Data!A:A,Cleaned_Data!L:L)</f>
        <v>Weight Loss</v>
      </c>
    </row>
    <row r="37" spans="1:4">
      <c r="A37" s="9" t="str">
        <v>MEM0036</v>
      </c>
      <c r="B37" s="9" t="str">
        <f ca="1">_xlfn.XLOOKUP(A37,Cleaned_Data!A:A,Cleaned_Data!B:B)</f>
        <v>Varun Joseph</v>
      </c>
      <c r="C37" s="9" t="str">
        <f ca="1">_xlfn.XLOOKUP(A37,Cleaned_Data!A:A,Cleaned_Data!C:C)</f>
        <v>Trivandrum</v>
      </c>
      <c r="D37" s="9" t="str">
        <f ca="1">_xlfn.XLOOKUP(A37,Cleaned_Data!A:A,Cleaned_Data!L:L)</f>
        <v>Weight Loss</v>
      </c>
    </row>
    <row r="38" spans="1:4">
      <c r="A38" s="9" t="str">
        <v>MEM0037</v>
      </c>
      <c r="B38" s="9" t="str">
        <f ca="1">_xlfn.XLOOKUP(A38,Cleaned_Data!A:A,Cleaned_Data!B:B)</f>
        <v>Ayesha Nair</v>
      </c>
      <c r="C38" s="9" t="str">
        <f ca="1">_xlfn.XLOOKUP(A38,Cleaned_Data!A:A,Cleaned_Data!C:C)</f>
        <v>Mumbai</v>
      </c>
      <c r="D38" s="9" t="str">
        <f ca="1">_xlfn.XLOOKUP(A38,Cleaned_Data!A:A,Cleaned_Data!L:L)</f>
        <v>Weight Loss</v>
      </c>
    </row>
    <row r="39" spans="1:4">
      <c r="A39" s="9" t="str">
        <v>MEM0038</v>
      </c>
      <c r="B39" s="9" t="str">
        <f ca="1">_xlfn.XLOOKUP(A39,Cleaned_Data!A:A,Cleaned_Data!B:B)</f>
        <v>Akash Mathew</v>
      </c>
      <c r="C39" s="9" t="str">
        <f ca="1">_xlfn.XLOOKUP(A39,Cleaned_Data!A:A,Cleaned_Data!C:C)</f>
        <v>Bangalore</v>
      </c>
      <c r="D39" s="9" t="str">
        <f ca="1">_xlfn.XLOOKUP(A39,Cleaned_Data!A:A,Cleaned_Data!L:L)</f>
        <v>Muscle Gain</v>
      </c>
    </row>
    <row r="40" spans="1:4">
      <c r="A40" s="9" t="str">
        <v>MEM0039</v>
      </c>
      <c r="B40" s="9" t="str">
        <f ca="1">_xlfn.XLOOKUP(A40,Cleaned_Data!A:A,Cleaned_Data!B:B)</f>
        <v>Neha Menon</v>
      </c>
      <c r="C40" s="9" t="str">
        <f ca="1">_xlfn.XLOOKUP(A40,Cleaned_Data!A:A,Cleaned_Data!C:C)</f>
        <v>Hyderabad</v>
      </c>
      <c r="D40" s="9" t="str">
        <f ca="1">_xlfn.XLOOKUP(A40,Cleaned_Data!A:A,Cleaned_Data!L:L)</f>
        <v>General Fitness</v>
      </c>
    </row>
    <row r="41" spans="1:4">
      <c r="A41" s="9" t="str">
        <v>MEM0040</v>
      </c>
      <c r="B41" s="9" t="str">
        <f ca="1">_xlfn.XLOOKUP(A41,Cleaned_Data!A:A,Cleaned_Data!B:B)</f>
        <v>Lakshmi Chatterjee</v>
      </c>
      <c r="C41" s="9" t="str">
        <f ca="1">_xlfn.XLOOKUP(A41,Cleaned_Data!A:A,Cleaned_Data!C:C)</f>
        <v>Chennai</v>
      </c>
      <c r="D41" s="9" t="str">
        <f ca="1">_xlfn.XLOOKUP(A41,Cleaned_Data!A:A,Cleaned_Data!L:L)</f>
        <v>General Fitness</v>
      </c>
    </row>
    <row r="42" spans="1:4">
      <c r="A42" s="9" t="str">
        <v>MEM0041</v>
      </c>
      <c r="B42" s="9" t="str">
        <f ca="1">_xlfn.XLOOKUP(A42,Cleaned_Data!A:A,Cleaned_Data!B:B)</f>
        <v>Aditya Bhat</v>
      </c>
      <c r="C42" s="9" t="str">
        <f ca="1">_xlfn.XLOOKUP(A42,Cleaned_Data!A:A,Cleaned_Data!C:C)</f>
        <v>Mumbai</v>
      </c>
      <c r="D42" s="9" t="str">
        <f ca="1">_xlfn.XLOOKUP(A42,Cleaned_Data!A:A,Cleaned_Data!L:L)</f>
        <v>General Fitness</v>
      </c>
    </row>
    <row r="43" spans="1:4">
      <c r="A43" s="9" t="str">
        <v>MEM0042</v>
      </c>
      <c r="B43" s="9" t="str">
        <f ca="1">_xlfn.XLOOKUP(A43,Cleaned_Data!A:A,Cleaned_Data!B:B)</f>
        <v>Zara Verma</v>
      </c>
      <c r="C43" s="9" t="str">
        <f ca="1">_xlfn.XLOOKUP(A43,Cleaned_Data!A:A,Cleaned_Data!C:C)</f>
        <v>Chennai</v>
      </c>
      <c r="D43" s="9" t="str">
        <f ca="1">_xlfn.XLOOKUP(A43,Cleaned_Data!A:A,Cleaned_Data!L:L)</f>
        <v>General Fitness</v>
      </c>
    </row>
    <row r="44" spans="1:4">
      <c r="A44" s="9" t="str">
        <v>MEM0043</v>
      </c>
      <c r="B44" s="9" t="str">
        <f ca="1">_xlfn.XLOOKUP(A44,Cleaned_Data!A:A,Cleaned_Data!B:B)</f>
        <v>Vivek Fernandes</v>
      </c>
      <c r="C44" s="9" t="str">
        <f ca="1">_xlfn.XLOOKUP(A44,Cleaned_Data!A:A,Cleaned_Data!C:C)</f>
        <v>Calicut</v>
      </c>
      <c r="D44" s="9" t="str">
        <f ca="1">_xlfn.XLOOKUP(A44,Cleaned_Data!A:A,Cleaned_Data!L:L)</f>
        <v>General Fitness</v>
      </c>
    </row>
    <row r="45" spans="1:4">
      <c r="A45" s="9" t="str">
        <v>MEM0044</v>
      </c>
      <c r="B45" s="9" t="str">
        <f ca="1">_xlfn.XLOOKUP(A45,Cleaned_Data!A:A,Cleaned_Data!B:B)</f>
        <v>Karthik Joshi</v>
      </c>
      <c r="C45" s="9" t="str">
        <f ca="1">_xlfn.XLOOKUP(A45,Cleaned_Data!A:A,Cleaned_Data!C:C)</f>
        <v>Bangalore</v>
      </c>
      <c r="D45" s="9" t="str">
        <f ca="1">_xlfn.XLOOKUP(A45,Cleaned_Data!A:A,Cleaned_Data!L:L)</f>
        <v>General Fitness</v>
      </c>
    </row>
    <row r="46" spans="1:4">
      <c r="A46" s="9" t="str">
        <v>MEM0045</v>
      </c>
      <c r="B46" s="9" t="str">
        <f ca="1">_xlfn.XLOOKUP(A46,Cleaned_Data!A:A,Cleaned_Data!B:B)</f>
        <v>Nisha Bhat</v>
      </c>
      <c r="C46" s="9" t="str">
        <f ca="1">_xlfn.XLOOKUP(A46,Cleaned_Data!A:A,Cleaned_Data!C:C)</f>
        <v>Mumbai</v>
      </c>
      <c r="D46" s="9" t="str">
        <f ca="1">_xlfn.XLOOKUP(A46,Cleaned_Data!A:A,Cleaned_Data!L:L)</f>
        <v>Muscle Gain</v>
      </c>
    </row>
    <row r="47" spans="1:4">
      <c r="A47" s="9" t="str">
        <v>MEM0046</v>
      </c>
      <c r="B47" s="9" t="str">
        <f ca="1">_xlfn.XLOOKUP(A47,Cleaned_Data!A:A,Cleaned_Data!B:B)</f>
        <v>Divya Das</v>
      </c>
      <c r="C47" s="9" t="str">
        <f ca="1">_xlfn.XLOOKUP(A47,Cleaned_Data!A:A,Cleaned_Data!C:C)</f>
        <v>Trivandrum</v>
      </c>
      <c r="D47" s="9" t="str">
        <f ca="1">_xlfn.XLOOKUP(A47,Cleaned_Data!A:A,Cleaned_Data!L:L)</f>
        <v>Muscle Gain</v>
      </c>
    </row>
    <row r="48" spans="1:4">
      <c r="A48" s="9" t="str">
        <v>MEM0047</v>
      </c>
      <c r="B48" s="9" t="str">
        <f ca="1">_xlfn.XLOOKUP(A48,Cleaned_Data!A:A,Cleaned_Data!B:B)</f>
        <v>Arjun D’Souza</v>
      </c>
      <c r="C48" s="9" t="str">
        <f ca="1">_xlfn.XLOOKUP(A48,Cleaned_Data!A:A,Cleaned_Data!C:C)</f>
        <v>Chennai</v>
      </c>
      <c r="D48" s="9" t="str">
        <f ca="1">_xlfn.XLOOKUP(A48,Cleaned_Data!A:A,Cleaned_Data!L:L)</f>
        <v>Weight Loss</v>
      </c>
    </row>
    <row r="49" spans="1:4">
      <c r="A49" s="9" t="str">
        <v>MEM0048</v>
      </c>
      <c r="B49" s="9" t="str">
        <f ca="1">_xlfn.XLOOKUP(A49,Cleaned_Data!A:A,Cleaned_Data!B:B)</f>
        <v>Shreya Shaikh</v>
      </c>
      <c r="C49" s="9" t="str">
        <f ca="1">_xlfn.XLOOKUP(A49,Cleaned_Data!A:A,Cleaned_Data!C:C)</f>
        <v>Hyderabad</v>
      </c>
      <c r="D49" s="9" t="str">
        <f ca="1">_xlfn.XLOOKUP(A49,Cleaned_Data!A:A,Cleaned_Data!L:L)</f>
        <v>Weight Loss</v>
      </c>
    </row>
    <row r="50" spans="1:4">
      <c r="A50" s="9" t="str">
        <v>MEM0049</v>
      </c>
      <c r="B50" s="9" t="str">
        <f ca="1">_xlfn.XLOOKUP(A50,Cleaned_Data!A:A,Cleaned_Data!B:B)</f>
        <v>Varun Gupta</v>
      </c>
      <c r="C50" s="9" t="str">
        <f ca="1">_xlfn.XLOOKUP(A50,Cleaned_Data!A:A,Cleaned_Data!C:C)</f>
        <v>Calicut</v>
      </c>
      <c r="D50" s="9" t="str">
        <f ca="1">_xlfn.XLOOKUP(A50,Cleaned_Data!A:A,Cleaned_Data!L:L)</f>
        <v>Muscle Gain</v>
      </c>
    </row>
    <row r="51" spans="1:4">
      <c r="A51" s="9" t="str">
        <v>MEM0050</v>
      </c>
      <c r="B51" s="9" t="str">
        <f ca="1">_xlfn.XLOOKUP(A51,Cleaned_Data!A:A,Cleaned_Data!B:B)</f>
        <v>Ayesha Reddy</v>
      </c>
      <c r="C51" s="9" t="str">
        <f ca="1">_xlfn.XLOOKUP(A51,Cleaned_Data!A:A,Cleaned_Data!C:C)</f>
        <v>Kochi</v>
      </c>
      <c r="D51" s="9" t="str">
        <f ca="1">_xlfn.XLOOKUP(A51,Cleaned_Data!A:A,Cleaned_Data!L:L)</f>
        <v>Weight Loss</v>
      </c>
    </row>
    <row r="52" spans="1:4">
      <c r="A52" s="9" t="str">
        <v>MEM0051</v>
      </c>
      <c r="B52" s="9" t="str">
        <f ca="1">_xlfn.XLOOKUP(A52,Cleaned_Data!A:A,Cleaned_Data!B:B)</f>
        <v>Rahul Reddy</v>
      </c>
      <c r="C52" s="9" t="str">
        <f ca="1">_xlfn.XLOOKUP(A52,Cleaned_Data!A:A,Cleaned_Data!C:C)</f>
        <v>Bangalore</v>
      </c>
      <c r="D52" s="9" t="str">
        <f ca="1">_xlfn.XLOOKUP(A52,Cleaned_Data!A:A,Cleaned_Data!L:L)</f>
        <v>General Fitness</v>
      </c>
    </row>
    <row r="53" spans="1:4">
      <c r="A53" s="9" t="str">
        <v>MEM0052</v>
      </c>
      <c r="B53" s="9" t="str">
        <f ca="1">_xlfn.XLOOKUP(A53,Cleaned_Data!A:A,Cleaned_Data!B:B)</f>
        <v>Anu Pillai</v>
      </c>
      <c r="C53" s="9" t="str">
        <f ca="1">_xlfn.XLOOKUP(A53,Cleaned_Data!A:A,Cleaned_Data!C:C)</f>
        <v>Mumbai</v>
      </c>
      <c r="D53" s="9" t="str">
        <f ca="1">_xlfn.XLOOKUP(A53,Cleaned_Data!A:A,Cleaned_Data!L:L)</f>
        <v>Muscle Gain</v>
      </c>
    </row>
    <row r="54" spans="1:4">
      <c r="A54" s="9" t="str">
        <v>MEM0053</v>
      </c>
      <c r="B54" s="9" t="str">
        <f ca="1">_xlfn.XLOOKUP(A54,Cleaned_Data!A:A,Cleaned_Data!B:B)</f>
        <v>Manoj Thomas</v>
      </c>
      <c r="C54" s="9" t="str">
        <f ca="1">_xlfn.XLOOKUP(A54,Cleaned_Data!A:A,Cleaned_Data!C:C)</f>
        <v>Kochi</v>
      </c>
      <c r="D54" s="9" t="str">
        <f ca="1">_xlfn.XLOOKUP(A54,Cleaned_Data!A:A,Cleaned_Data!L:L)</f>
        <v>General Fitness</v>
      </c>
    </row>
    <row r="55" spans="1:4">
      <c r="A55" s="9" t="str">
        <v>MEM0054</v>
      </c>
      <c r="B55" s="9" t="str">
        <f ca="1">_xlfn.XLOOKUP(A55,Cleaned_Data!A:A,Cleaned_Data!B:B)</f>
        <v>Zara Kapoor</v>
      </c>
      <c r="C55" s="9" t="str">
        <f ca="1">_xlfn.XLOOKUP(A55,Cleaned_Data!A:A,Cleaned_Data!C:C)</f>
        <v>Hyderabad</v>
      </c>
      <c r="D55" s="9" t="str">
        <f ca="1">_xlfn.XLOOKUP(A55,Cleaned_Data!A:A,Cleaned_Data!L:L)</f>
        <v>General Fitness</v>
      </c>
    </row>
    <row r="56" spans="1:4">
      <c r="A56" s="9" t="str">
        <v>MEM0055</v>
      </c>
      <c r="B56" s="9" t="str">
        <f ca="1">_xlfn.XLOOKUP(A56,Cleaned_Data!A:A,Cleaned_Data!B:B)</f>
        <v>Kavya George</v>
      </c>
      <c r="C56" s="9" t="str">
        <f ca="1">_xlfn.XLOOKUP(A56,Cleaned_Data!A:A,Cleaned_Data!C:C)</f>
        <v>Hyderabad</v>
      </c>
      <c r="D56" s="9" t="str">
        <f ca="1">_xlfn.XLOOKUP(A56,Cleaned_Data!A:A,Cleaned_Data!L:L)</f>
        <v>Weight Loss</v>
      </c>
    </row>
    <row r="57" spans="1:4">
      <c r="A57" s="9" t="str">
        <v>MEM0056</v>
      </c>
      <c r="B57" s="9" t="str">
        <f ca="1">_xlfn.XLOOKUP(A57,Cleaned_Data!A:A,Cleaned_Data!B:B)</f>
        <v>Lakshmi Shaikh</v>
      </c>
      <c r="C57" s="9" t="str">
        <f ca="1">_xlfn.XLOOKUP(A57,Cleaned_Data!A:A,Cleaned_Data!C:C)</f>
        <v>Mumbai</v>
      </c>
      <c r="D57" s="9" t="str">
        <f ca="1">_xlfn.XLOOKUP(A57,Cleaned_Data!A:A,Cleaned_Data!L:L)</f>
        <v>General Fitness</v>
      </c>
    </row>
    <row r="58" spans="1:4">
      <c r="A58" s="9" t="str">
        <v>MEM0057</v>
      </c>
      <c r="B58" s="9" t="str">
        <f ca="1">_xlfn.XLOOKUP(A58,Cleaned_Data!A:A,Cleaned_Data!B:B)</f>
        <v>Varun Reddy</v>
      </c>
      <c r="C58" s="9" t="str">
        <f ca="1">_xlfn.XLOOKUP(A58,Cleaned_Data!A:A,Cleaned_Data!C:C)</f>
        <v>Bangalore</v>
      </c>
      <c r="D58" s="9" t="str">
        <f ca="1">_xlfn.XLOOKUP(A58,Cleaned_Data!A:A,Cleaned_Data!L:L)</f>
        <v>Weight Loss</v>
      </c>
    </row>
    <row r="59" spans="1:4">
      <c r="A59" s="9" t="str">
        <v>MEM0058</v>
      </c>
      <c r="B59" s="9" t="str">
        <f ca="1">_xlfn.XLOOKUP(A59,Cleaned_Data!A:A,Cleaned_Data!B:B)</f>
        <v>Akash Menon</v>
      </c>
      <c r="C59" s="9" t="str">
        <f ca="1">_xlfn.XLOOKUP(A59,Cleaned_Data!A:A,Cleaned_Data!C:C)</f>
        <v>Trivandrum</v>
      </c>
      <c r="D59" s="9" t="str">
        <f ca="1">_xlfn.XLOOKUP(A59,Cleaned_Data!A:A,Cleaned_Data!L:L)</f>
        <v>Muscle Gain</v>
      </c>
    </row>
    <row r="60" spans="1:4">
      <c r="A60" s="9" t="str">
        <v>MEM0059</v>
      </c>
      <c r="B60" s="9" t="str">
        <f ca="1">_xlfn.XLOOKUP(A60,Cleaned_Data!A:A,Cleaned_Data!B:B)</f>
        <v>Kavya Reddy</v>
      </c>
      <c r="C60" s="9" t="str">
        <f ca="1">_xlfn.XLOOKUP(A60,Cleaned_Data!A:A,Cleaned_Data!C:C)</f>
        <v>Mumbai</v>
      </c>
      <c r="D60" s="9" t="str">
        <f ca="1">_xlfn.XLOOKUP(A60,Cleaned_Data!A:A,Cleaned_Data!L:L)</f>
        <v>Weight Loss</v>
      </c>
    </row>
    <row r="61" spans="1:4">
      <c r="A61" s="9" t="str">
        <v>MEM0060</v>
      </c>
      <c r="B61" s="9" t="str">
        <f ca="1">_xlfn.XLOOKUP(A61,Cleaned_Data!A:A,Cleaned_Data!B:B)</f>
        <v>Manoj Sharma</v>
      </c>
      <c r="C61" s="9" t="str">
        <f ca="1">_xlfn.XLOOKUP(A61,Cleaned_Data!A:A,Cleaned_Data!C:C)</f>
        <v>Kochi</v>
      </c>
      <c r="D61" s="9" t="str">
        <f ca="1">_xlfn.XLOOKUP(A61,Cleaned_Data!A:A,Cleaned_Data!L:L)</f>
        <v>General Fitness</v>
      </c>
    </row>
    <row r="62" spans="1:4">
      <c r="A62" s="9" t="str">
        <v>MEM0061</v>
      </c>
      <c r="B62" s="9" t="str">
        <f ca="1">_xlfn.XLOOKUP(A62,Cleaned_Data!A:A,Cleaned_Data!B:B)</f>
        <v>Pooja Banerjee</v>
      </c>
      <c r="C62" s="9" t="str">
        <f ca="1">_xlfn.XLOOKUP(A62,Cleaned_Data!A:A,Cleaned_Data!C:C)</f>
        <v>Mumbai</v>
      </c>
      <c r="D62" s="9" t="str">
        <f ca="1">_xlfn.XLOOKUP(A62,Cleaned_Data!A:A,Cleaned_Data!L:L)</f>
        <v>Muscle Gain</v>
      </c>
    </row>
    <row r="63" spans="1:4">
      <c r="A63" s="9" t="str">
        <v>MEM0062</v>
      </c>
      <c r="B63" s="9" t="str">
        <f ca="1">_xlfn.XLOOKUP(A63,Cleaned_Data!A:A,Cleaned_Data!B:B)</f>
        <v>Neha Lewis</v>
      </c>
      <c r="C63" s="9" t="str">
        <f ca="1">_xlfn.XLOOKUP(A63,Cleaned_Data!A:A,Cleaned_Data!C:C)</f>
        <v>Hyderabad</v>
      </c>
      <c r="D63" s="9" t="str">
        <f ca="1">_xlfn.XLOOKUP(A63,Cleaned_Data!A:A,Cleaned_Data!L:L)</f>
        <v>Weight Loss</v>
      </c>
    </row>
    <row r="64" spans="1:4">
      <c r="A64" s="9" t="str">
        <v>MEM0063</v>
      </c>
      <c r="B64" s="9" t="str">
        <f ca="1">_xlfn.XLOOKUP(A64,Cleaned_Data!A:A,Cleaned_Data!B:B)</f>
        <v>Rahul Malhotra</v>
      </c>
      <c r="C64" s="9" t="str">
        <f ca="1">_xlfn.XLOOKUP(A64,Cleaned_Data!A:A,Cleaned_Data!C:C)</f>
        <v>Bangalore</v>
      </c>
      <c r="D64" s="9" t="str">
        <f ca="1">_xlfn.XLOOKUP(A64,Cleaned_Data!A:A,Cleaned_Data!L:L)</f>
        <v>Muscle Gain</v>
      </c>
    </row>
    <row r="65" spans="1:4">
      <c r="A65" s="9" t="str">
        <v>MEM0064</v>
      </c>
      <c r="B65" s="9" t="str">
        <f ca="1">_xlfn.XLOOKUP(A65,Cleaned_Data!A:A,Cleaned_Data!B:B)</f>
        <v>Riya Nambiar</v>
      </c>
      <c r="C65" s="9" t="str">
        <f ca="1">_xlfn.XLOOKUP(A65,Cleaned_Data!A:A,Cleaned_Data!C:C)</f>
        <v>Chennai</v>
      </c>
      <c r="D65" s="9" t="str">
        <f ca="1">_xlfn.XLOOKUP(A65,Cleaned_Data!A:A,Cleaned_Data!L:L)</f>
        <v>Weight Loss</v>
      </c>
    </row>
    <row r="66" spans="1:4">
      <c r="A66" s="9" t="str">
        <v>MEM0065</v>
      </c>
      <c r="B66" s="9" t="str">
        <f ca="1">_xlfn.XLOOKUP(A66,Cleaned_Data!A:A,Cleaned_Data!B:B)</f>
        <v>Fatima Varghese</v>
      </c>
      <c r="C66" s="9" t="str">
        <f ca="1">_xlfn.XLOOKUP(A66,Cleaned_Data!A:A,Cleaned_Data!C:C)</f>
        <v>Kochi</v>
      </c>
      <c r="D66" s="9" t="str">
        <f ca="1">_xlfn.XLOOKUP(A66,Cleaned_Data!A:A,Cleaned_Data!L:L)</f>
        <v>Weight Loss</v>
      </c>
    </row>
    <row r="67" spans="1:4">
      <c r="A67" s="9" t="str">
        <v>MEM0066</v>
      </c>
      <c r="B67" s="9" t="str">
        <f ca="1">_xlfn.XLOOKUP(A67,Cleaned_Data!A:A,Cleaned_Data!B:B)</f>
        <v>Meera Joshi</v>
      </c>
      <c r="C67" s="9" t="str">
        <f ca="1">_xlfn.XLOOKUP(A67,Cleaned_Data!A:A,Cleaned_Data!C:C)</f>
        <v>Bangalore</v>
      </c>
      <c r="D67" s="9" t="str">
        <f ca="1">_xlfn.XLOOKUP(A67,Cleaned_Data!A:A,Cleaned_Data!L:L)</f>
        <v>General Fitness</v>
      </c>
    </row>
    <row r="68" spans="1:4">
      <c r="A68" s="9" t="str">
        <v>MEM0067</v>
      </c>
      <c r="B68" s="9" t="str">
        <f ca="1">_xlfn.XLOOKUP(A68,Cleaned_Data!A:A,Cleaned_Data!B:B)</f>
        <v>Karthik Yadav</v>
      </c>
      <c r="C68" s="9" t="str">
        <f ca="1">_xlfn.XLOOKUP(A68,Cleaned_Data!A:A,Cleaned_Data!C:C)</f>
        <v>Hyderabad</v>
      </c>
      <c r="D68" s="9" t="str">
        <f ca="1">_xlfn.XLOOKUP(A68,Cleaned_Data!A:A,Cleaned_Data!L:L)</f>
        <v>General Fitness</v>
      </c>
    </row>
    <row r="69" spans="1:4">
      <c r="A69" s="9" t="str">
        <v>MEM0068</v>
      </c>
      <c r="B69" s="9" t="str">
        <f ca="1">_xlfn.XLOOKUP(A69,Cleaned_Data!A:A,Cleaned_Data!B:B)</f>
        <v>Aditya Verma</v>
      </c>
      <c r="C69" s="9" t="str">
        <f ca="1">_xlfn.XLOOKUP(A69,Cleaned_Data!A:A,Cleaned_Data!C:C)</f>
        <v>Bangalore</v>
      </c>
      <c r="D69" s="9" t="str">
        <f ca="1">_xlfn.XLOOKUP(A69,Cleaned_Data!A:A,Cleaned_Data!L:L)</f>
        <v>General Fitness</v>
      </c>
    </row>
    <row r="70" spans="1:4">
      <c r="A70" s="9" t="str">
        <v>MEM0069</v>
      </c>
      <c r="B70" s="9" t="str">
        <f ca="1">_xlfn.XLOOKUP(A70,Cleaned_Data!A:A,Cleaned_Data!B:B)</f>
        <v>Varun Joseph</v>
      </c>
      <c r="C70" s="9" t="str">
        <f ca="1">_xlfn.XLOOKUP(A70,Cleaned_Data!A:A,Cleaned_Data!C:C)</f>
        <v>Kochi</v>
      </c>
      <c r="D70" s="9" t="str">
        <f ca="1">_xlfn.XLOOKUP(A70,Cleaned_Data!A:A,Cleaned_Data!L:L)</f>
        <v>General Fitness</v>
      </c>
    </row>
    <row r="71" spans="1:4">
      <c r="A71" s="9" t="str">
        <v>MEM0070</v>
      </c>
      <c r="B71" s="9" t="str">
        <f ca="1">_xlfn.XLOOKUP(A71,Cleaned_Data!A:A,Cleaned_Data!B:B)</f>
        <v>Nikhil Thomas</v>
      </c>
      <c r="C71" s="9" t="str">
        <f ca="1">_xlfn.XLOOKUP(A71,Cleaned_Data!A:A,Cleaned_Data!C:C)</f>
        <v>Kochi</v>
      </c>
      <c r="D71" s="9" t="str">
        <f ca="1">_xlfn.XLOOKUP(A71,Cleaned_Data!A:A,Cleaned_Data!L:L)</f>
        <v>Muscle Gain</v>
      </c>
    </row>
    <row r="72" spans="1:4">
      <c r="A72" s="9" t="str">
        <v>MEM0071</v>
      </c>
      <c r="B72" s="9" t="str">
        <f ca="1">_xlfn.XLOOKUP(A72,Cleaned_Data!A:A,Cleaned_Data!B:B)</f>
        <v>Tanvi George</v>
      </c>
      <c r="C72" s="9" t="str">
        <f ca="1">_xlfn.XLOOKUP(A72,Cleaned_Data!A:A,Cleaned_Data!C:C)</f>
        <v>Calicut</v>
      </c>
      <c r="D72" s="9" t="str">
        <f ca="1">_xlfn.XLOOKUP(A72,Cleaned_Data!A:A,Cleaned_Data!L:L)</f>
        <v>General Fitness</v>
      </c>
    </row>
    <row r="73" spans="1:4">
      <c r="A73" s="9" t="str">
        <v>MEM0072</v>
      </c>
      <c r="B73" s="9" t="str">
        <f ca="1">_xlfn.XLOOKUP(A73,Cleaned_Data!A:A,Cleaned_Data!B:B)</f>
        <v>Swathi Sharma</v>
      </c>
      <c r="C73" s="9" t="str">
        <f ca="1">_xlfn.XLOOKUP(A73,Cleaned_Data!A:A,Cleaned_Data!C:C)</f>
        <v>Bangalore</v>
      </c>
      <c r="D73" s="9" t="str">
        <f ca="1">_xlfn.XLOOKUP(A73,Cleaned_Data!A:A,Cleaned_Data!L:L)</f>
        <v>Weight Loss</v>
      </c>
    </row>
    <row r="74" spans="1:4">
      <c r="A74" s="9" t="str">
        <v>MEM0073</v>
      </c>
      <c r="B74" s="9" t="str">
        <f ca="1">_xlfn.XLOOKUP(A74,Cleaned_Data!A:A,Cleaned_Data!B:B)</f>
        <v>Deepak Gupta</v>
      </c>
      <c r="C74" s="9" t="str">
        <f ca="1">_xlfn.XLOOKUP(A74,Cleaned_Data!A:A,Cleaned_Data!C:C)</f>
        <v>Hyderabad</v>
      </c>
      <c r="D74" s="9" t="str">
        <f ca="1">_xlfn.XLOOKUP(A74,Cleaned_Data!A:A,Cleaned_Data!L:L)</f>
        <v>General Fitness</v>
      </c>
    </row>
    <row r="75" spans="1:4">
      <c r="A75" s="9" t="str">
        <v>MEM0074</v>
      </c>
      <c r="B75" s="9" t="str">
        <f ca="1">_xlfn.XLOOKUP(A75,Cleaned_Data!A:A,Cleaned_Data!B:B)</f>
        <v>Swathi Das</v>
      </c>
      <c r="C75" s="9" t="str">
        <f ca="1">_xlfn.XLOOKUP(A75,Cleaned_Data!A:A,Cleaned_Data!C:C)</f>
        <v>Calicut</v>
      </c>
      <c r="D75" s="9" t="str">
        <f ca="1">_xlfn.XLOOKUP(A75,Cleaned_Data!A:A,Cleaned_Data!L:L)</f>
        <v>Muscle Gain</v>
      </c>
    </row>
    <row r="76" spans="1:4">
      <c r="A76" s="9" t="str">
        <v>MEM0075</v>
      </c>
      <c r="B76" s="9" t="str">
        <f ca="1">_xlfn.XLOOKUP(A76,Cleaned_Data!A:A,Cleaned_Data!B:B)</f>
        <v>Divya Nambiar</v>
      </c>
      <c r="C76" s="9" t="str">
        <f ca="1">_xlfn.XLOOKUP(A76,Cleaned_Data!A:A,Cleaned_Data!C:C)</f>
        <v>Kochi</v>
      </c>
      <c r="D76" s="9" t="str">
        <f ca="1">_xlfn.XLOOKUP(A76,Cleaned_Data!A:A,Cleaned_Data!L:L)</f>
        <v>Weight Loss</v>
      </c>
    </row>
    <row r="77" spans="1:4">
      <c r="A77" s="9" t="str">
        <v>MEM0076</v>
      </c>
      <c r="B77" s="9" t="str">
        <f ca="1">_xlfn.XLOOKUP(A77,Cleaned_Data!A:A,Cleaned_Data!B:B)</f>
        <v>Priya Malhotra</v>
      </c>
      <c r="C77" s="9" t="str">
        <f ca="1">_xlfn.XLOOKUP(A77,Cleaned_Data!A:A,Cleaned_Data!C:C)</f>
        <v>Calicut</v>
      </c>
      <c r="D77" s="9" t="str">
        <f ca="1">_xlfn.XLOOKUP(A77,Cleaned_Data!A:A,Cleaned_Data!L:L)</f>
        <v>Muscle Gain</v>
      </c>
    </row>
    <row r="78" spans="1:4">
      <c r="A78" s="9" t="str">
        <v>MEM0077</v>
      </c>
      <c r="B78" s="9" t="str">
        <f ca="1">_xlfn.XLOOKUP(A78,Cleaned_Data!A:A,Cleaned_Data!B:B)</f>
        <v>Riya Pillai</v>
      </c>
      <c r="C78" s="9" t="str">
        <f ca="1">_xlfn.XLOOKUP(A78,Cleaned_Data!A:A,Cleaned_Data!C:C)</f>
        <v>Mumbai</v>
      </c>
      <c r="D78" s="9" t="str">
        <f ca="1">_xlfn.XLOOKUP(A78,Cleaned_Data!A:A,Cleaned_Data!L:L)</f>
        <v>Muscle Gain</v>
      </c>
    </row>
    <row r="79" spans="1:4">
      <c r="A79" s="9" t="str">
        <v>MEM0078</v>
      </c>
      <c r="B79" s="9" t="str">
        <f ca="1">_xlfn.XLOOKUP(A79,Cleaned_Data!A:A,Cleaned_Data!B:B)</f>
        <v>Anjali Desai</v>
      </c>
      <c r="C79" s="9" t="str">
        <f ca="1">_xlfn.XLOOKUP(A79,Cleaned_Data!A:A,Cleaned_Data!C:C)</f>
        <v>Mumbai</v>
      </c>
      <c r="D79" s="9" t="str">
        <f ca="1">_xlfn.XLOOKUP(A79,Cleaned_Data!A:A,Cleaned_Data!L:L)</f>
        <v>General Fitness</v>
      </c>
    </row>
    <row r="80" spans="1:4">
      <c r="A80" s="9" t="str">
        <v>MEM0079</v>
      </c>
      <c r="B80" s="9" t="str">
        <f ca="1">_xlfn.XLOOKUP(A80,Cleaned_Data!A:A,Cleaned_Data!B:B)</f>
        <v>Akash George</v>
      </c>
      <c r="C80" s="9" t="str">
        <f ca="1">_xlfn.XLOOKUP(A80,Cleaned_Data!A:A,Cleaned_Data!C:C)</f>
        <v>Bangalore</v>
      </c>
      <c r="D80" s="9" t="str">
        <f ca="1">_xlfn.XLOOKUP(A80,Cleaned_Data!A:A,Cleaned_Data!L:L)</f>
        <v>Weight Loss</v>
      </c>
    </row>
    <row r="81" spans="1:4">
      <c r="A81" s="9" t="str">
        <v>MEM0080</v>
      </c>
      <c r="B81" s="9" t="str">
        <f ca="1">_xlfn.XLOOKUP(A81,Cleaned_Data!A:A,Cleaned_Data!B:B)</f>
        <v>Sneha Patel</v>
      </c>
      <c r="C81" s="9" t="str">
        <f ca="1">_xlfn.XLOOKUP(A81,Cleaned_Data!A:A,Cleaned_Data!C:C)</f>
        <v>Mumbai</v>
      </c>
      <c r="D81" s="9" t="str">
        <f ca="1">_xlfn.XLOOKUP(A81,Cleaned_Data!A:A,Cleaned_Data!L:L)</f>
        <v>General Fitness</v>
      </c>
    </row>
    <row r="82" spans="1:4">
      <c r="A82" s="9" t="str">
        <v>MEM0081</v>
      </c>
      <c r="B82" s="9" t="str">
        <f ca="1">_xlfn.XLOOKUP(A82,Cleaned_Data!A:A,Cleaned_Data!B:B)</f>
        <v>Sanjay Patel</v>
      </c>
      <c r="C82" s="9" t="str">
        <f ca="1">_xlfn.XLOOKUP(A82,Cleaned_Data!A:A,Cleaned_Data!C:C)</f>
        <v>Chennai</v>
      </c>
      <c r="D82" s="9" t="str">
        <f ca="1">_xlfn.XLOOKUP(A82,Cleaned_Data!A:A,Cleaned_Data!L:L)</f>
        <v>General Fitness</v>
      </c>
    </row>
    <row r="83" spans="1:4">
      <c r="A83" s="9" t="str">
        <v>MEM0082</v>
      </c>
      <c r="B83" s="9" t="str">
        <f ca="1">_xlfn.XLOOKUP(A83,Cleaned_Data!A:A,Cleaned_Data!B:B)</f>
        <v>Aditya Singh</v>
      </c>
      <c r="C83" s="9" t="str">
        <f ca="1">_xlfn.XLOOKUP(A83,Cleaned_Data!A:A,Cleaned_Data!C:C)</f>
        <v>Chennai</v>
      </c>
      <c r="D83" s="9" t="str">
        <f ca="1">_xlfn.XLOOKUP(A83,Cleaned_Data!A:A,Cleaned_Data!L:L)</f>
        <v>Muscle Gain</v>
      </c>
    </row>
    <row r="84" spans="1:4">
      <c r="A84" s="9" t="str">
        <v>MEM0083</v>
      </c>
      <c r="B84" s="9" t="str">
        <f ca="1">_xlfn.XLOOKUP(A84,Cleaned_Data!A:A,Cleaned_Data!B:B)</f>
        <v>Aditya Malhotra</v>
      </c>
      <c r="C84" s="9" t="str">
        <f ca="1">_xlfn.XLOOKUP(A84,Cleaned_Data!A:A,Cleaned_Data!C:C)</f>
        <v>Trivandrum</v>
      </c>
      <c r="D84" s="9" t="str">
        <f ca="1">_xlfn.XLOOKUP(A84,Cleaned_Data!A:A,Cleaned_Data!L:L)</f>
        <v>General Fitness</v>
      </c>
    </row>
    <row r="85" spans="1:4">
      <c r="A85" s="9" t="str">
        <v>MEM0084</v>
      </c>
      <c r="B85" s="9" t="str">
        <f ca="1">_xlfn.XLOOKUP(A85,Cleaned_Data!A:A,Cleaned_Data!B:B)</f>
        <v>Sanjay George</v>
      </c>
      <c r="C85" s="9" t="str">
        <f ca="1">_xlfn.XLOOKUP(A85,Cleaned_Data!A:A,Cleaned_Data!C:C)</f>
        <v>Bangalore</v>
      </c>
      <c r="D85" s="9" t="str">
        <f ca="1">_xlfn.XLOOKUP(A85,Cleaned_Data!A:A,Cleaned_Data!L:L)</f>
        <v>Muscle Gain</v>
      </c>
    </row>
    <row r="86" spans="1:4">
      <c r="A86" s="9" t="str">
        <v>MEM0085</v>
      </c>
      <c r="B86" s="9" t="str">
        <f ca="1">_xlfn.XLOOKUP(A86,Cleaned_Data!A:A,Cleaned_Data!B:B)</f>
        <v>Shreya Banerjee</v>
      </c>
      <c r="C86" s="9" t="str">
        <f ca="1">_xlfn.XLOOKUP(A86,Cleaned_Data!A:A,Cleaned_Data!C:C)</f>
        <v>Calicut</v>
      </c>
      <c r="D86" s="9" t="str">
        <f ca="1">_xlfn.XLOOKUP(A86,Cleaned_Data!A:A,Cleaned_Data!L:L)</f>
        <v>Weight Loss</v>
      </c>
    </row>
    <row r="87" spans="1:4">
      <c r="A87" s="9" t="str">
        <v>MEM0086</v>
      </c>
      <c r="B87" s="9" t="str">
        <f ca="1">_xlfn.XLOOKUP(A87,Cleaned_Data!A:A,Cleaned_Data!B:B)</f>
        <v>Nisha Reddy</v>
      </c>
      <c r="C87" s="9" t="str">
        <f ca="1">_xlfn.XLOOKUP(A87,Cleaned_Data!A:A,Cleaned_Data!C:C)</f>
        <v>Kochi</v>
      </c>
      <c r="D87" s="9" t="str">
        <f ca="1">_xlfn.XLOOKUP(A87,Cleaned_Data!A:A,Cleaned_Data!L:L)</f>
        <v>Muscle Gain</v>
      </c>
    </row>
    <row r="88" spans="1:4">
      <c r="A88" s="9" t="str">
        <v>MEM0087</v>
      </c>
      <c r="B88" s="9" t="str">
        <f ca="1">_xlfn.XLOOKUP(A88,Cleaned_Data!A:A,Cleaned_Data!B:B)</f>
        <v>Kavya Iyer</v>
      </c>
      <c r="C88" s="9" t="str">
        <f ca="1">_xlfn.XLOOKUP(A88,Cleaned_Data!A:A,Cleaned_Data!C:C)</f>
        <v>Trivandrum</v>
      </c>
      <c r="D88" s="9" t="str">
        <f ca="1">_xlfn.XLOOKUP(A88,Cleaned_Data!A:A,Cleaned_Data!L:L)</f>
        <v>Weight Loss</v>
      </c>
    </row>
    <row r="89" spans="1:4">
      <c r="A89" s="9" t="str">
        <v>MEM0088</v>
      </c>
      <c r="B89" s="9" t="str">
        <f ca="1">_xlfn.XLOOKUP(A89,Cleaned_Data!A:A,Cleaned_Data!B:B)</f>
        <v>Anu Nambiar</v>
      </c>
      <c r="C89" s="9" t="str">
        <f ca="1">_xlfn.XLOOKUP(A89,Cleaned_Data!A:A,Cleaned_Data!C:C)</f>
        <v>Bangalore</v>
      </c>
      <c r="D89" s="9" t="str">
        <f ca="1">_xlfn.XLOOKUP(A89,Cleaned_Data!A:A,Cleaned_Data!L:L)</f>
        <v>Muscle Gain</v>
      </c>
    </row>
    <row r="90" spans="1:4">
      <c r="A90" s="9" t="str">
        <v>MEM0089</v>
      </c>
      <c r="B90" s="9" t="str">
        <f ca="1">_xlfn.XLOOKUP(A90,Cleaned_Data!A:A,Cleaned_Data!B:B)</f>
        <v>Ishita Nair</v>
      </c>
      <c r="C90" s="9" t="str">
        <f ca="1">_xlfn.XLOOKUP(A90,Cleaned_Data!A:A,Cleaned_Data!C:C)</f>
        <v>Chennai</v>
      </c>
      <c r="D90" s="9" t="str">
        <f ca="1">_xlfn.XLOOKUP(A90,Cleaned_Data!A:A,Cleaned_Data!L:L)</f>
        <v>Weight Loss</v>
      </c>
    </row>
    <row r="91" spans="1:4">
      <c r="A91" s="9" t="str">
        <v>MEM0090</v>
      </c>
      <c r="B91" s="9" t="str">
        <f ca="1">_xlfn.XLOOKUP(A91,Cleaned_Data!A:A,Cleaned_Data!B:B)</f>
        <v>Ankit Pillai</v>
      </c>
      <c r="C91" s="9" t="str">
        <f ca="1">_xlfn.XLOOKUP(A91,Cleaned_Data!A:A,Cleaned_Data!C:C)</f>
        <v>Kochi</v>
      </c>
      <c r="D91" s="9" t="str">
        <f ca="1">_xlfn.XLOOKUP(A91,Cleaned_Data!A:A,Cleaned_Data!L:L)</f>
        <v>Muscle Gain</v>
      </c>
    </row>
    <row r="92" spans="1:4">
      <c r="A92" s="9" t="str">
        <v>MEM0091</v>
      </c>
      <c r="B92" s="9" t="str">
        <f ca="1">_xlfn.XLOOKUP(A92,Cleaned_Data!A:A,Cleaned_Data!B:B)</f>
        <v>Tanvi Singh</v>
      </c>
      <c r="C92" s="9" t="str">
        <f ca="1">_xlfn.XLOOKUP(A92,Cleaned_Data!A:A,Cleaned_Data!C:C)</f>
        <v>Kochi</v>
      </c>
      <c r="D92" s="9" t="str">
        <f ca="1">_xlfn.XLOOKUP(A92,Cleaned_Data!A:A,Cleaned_Data!L:L)</f>
        <v>Weight Loss</v>
      </c>
    </row>
    <row r="93" spans="1:4">
      <c r="A93" s="9" t="str">
        <v>MEM0092</v>
      </c>
      <c r="B93" s="9" t="str">
        <f ca="1">_xlfn.XLOOKUP(A93,Cleaned_Data!A:A,Cleaned_Data!B:B)</f>
        <v>Ayesha Nambiar</v>
      </c>
      <c r="C93" s="9" t="str">
        <f ca="1">_xlfn.XLOOKUP(A93,Cleaned_Data!A:A,Cleaned_Data!C:C)</f>
        <v>Bangalore</v>
      </c>
      <c r="D93" s="9" t="str">
        <f ca="1">_xlfn.XLOOKUP(A93,Cleaned_Data!A:A,Cleaned_Data!L:L)</f>
        <v>Weight Loss</v>
      </c>
    </row>
    <row r="94" spans="1:4">
      <c r="A94" s="9" t="str">
        <v>MEM0093</v>
      </c>
      <c r="B94" s="9" t="str">
        <f ca="1">_xlfn.XLOOKUP(A94,Cleaned_Data!A:A,Cleaned_Data!B:B)</f>
        <v>Neha Shetty</v>
      </c>
      <c r="C94" s="9" t="str">
        <f ca="1">_xlfn.XLOOKUP(A94,Cleaned_Data!A:A,Cleaned_Data!C:C)</f>
        <v>Trivandrum</v>
      </c>
      <c r="D94" s="9" t="str">
        <f ca="1">_xlfn.XLOOKUP(A94,Cleaned_Data!A:A,Cleaned_Data!L:L)</f>
        <v>General Fitness</v>
      </c>
    </row>
    <row r="95" spans="1:4">
      <c r="A95" s="9" t="str">
        <v>MEM0094</v>
      </c>
      <c r="B95" s="9" t="str">
        <f ca="1">_xlfn.XLOOKUP(A95,Cleaned_Data!A:A,Cleaned_Data!B:B)</f>
        <v>Rohit Fernandes</v>
      </c>
      <c r="C95" s="9" t="str">
        <f ca="1">_xlfn.XLOOKUP(A95,Cleaned_Data!A:A,Cleaned_Data!C:C)</f>
        <v>Bangalore</v>
      </c>
      <c r="D95" s="9" t="str">
        <f ca="1">_xlfn.XLOOKUP(A95,Cleaned_Data!A:A,Cleaned_Data!L:L)</f>
        <v>Muscle Gain</v>
      </c>
    </row>
    <row r="96" spans="1:4">
      <c r="A96" s="9" t="str">
        <v>MEM0095</v>
      </c>
      <c r="B96" s="9" t="str">
        <f ca="1">_xlfn.XLOOKUP(A96,Cleaned_Data!A:A,Cleaned_Data!B:B)</f>
        <v>Meera Nambiar</v>
      </c>
      <c r="C96" s="9" t="str">
        <f ca="1">_xlfn.XLOOKUP(A96,Cleaned_Data!A:A,Cleaned_Data!C:C)</f>
        <v>Bangalore</v>
      </c>
      <c r="D96" s="9" t="str">
        <f ca="1">_xlfn.XLOOKUP(A96,Cleaned_Data!A:A,Cleaned_Data!L:L)</f>
        <v>Muscle Gain</v>
      </c>
    </row>
    <row r="97" spans="1:4">
      <c r="A97" s="9" t="str">
        <v>MEM0096</v>
      </c>
      <c r="B97" s="9" t="str">
        <f ca="1">_xlfn.XLOOKUP(A97,Cleaned_Data!A:A,Cleaned_Data!B:B)</f>
        <v>Nikhil Kulkarni</v>
      </c>
      <c r="C97" s="9" t="str">
        <f ca="1">_xlfn.XLOOKUP(A97,Cleaned_Data!A:A,Cleaned_Data!C:C)</f>
        <v>Bangalore</v>
      </c>
      <c r="D97" s="9" t="str">
        <f ca="1">_xlfn.XLOOKUP(A97,Cleaned_Data!A:A,Cleaned_Data!L:L)</f>
        <v>Weight Loss</v>
      </c>
    </row>
    <row r="98" spans="1:4">
      <c r="A98" s="9" t="str">
        <v>MEM0097</v>
      </c>
      <c r="B98" s="9" t="str">
        <f ca="1">_xlfn.XLOOKUP(A98,Cleaned_Data!A:A,Cleaned_Data!B:B)</f>
        <v>Neha Iyer</v>
      </c>
      <c r="C98" s="9" t="str">
        <f ca="1">_xlfn.XLOOKUP(A98,Cleaned_Data!A:A,Cleaned_Data!C:C)</f>
        <v>Calicut</v>
      </c>
      <c r="D98" s="9" t="str">
        <f ca="1">_xlfn.XLOOKUP(A98,Cleaned_Data!A:A,Cleaned_Data!L:L)</f>
        <v>General Fitness</v>
      </c>
    </row>
    <row r="99" spans="1:4">
      <c r="A99" s="9" t="str">
        <v>MEM0098</v>
      </c>
      <c r="B99" s="9" t="str">
        <f ca="1">_xlfn.XLOOKUP(A99,Cleaned_Data!A:A,Cleaned_Data!B:B)</f>
        <v>Sneha Kulkarni</v>
      </c>
      <c r="C99" s="9" t="str">
        <f ca="1">_xlfn.XLOOKUP(A99,Cleaned_Data!A:A,Cleaned_Data!C:C)</f>
        <v>Mumbai</v>
      </c>
      <c r="D99" s="9" t="str">
        <f ca="1">_xlfn.XLOOKUP(A99,Cleaned_Data!A:A,Cleaned_Data!L:L)</f>
        <v>Weight Loss</v>
      </c>
    </row>
    <row r="100" spans="1:4">
      <c r="A100" s="9" t="str">
        <v>MEM0099</v>
      </c>
      <c r="B100" s="9" t="str">
        <f ca="1">_xlfn.XLOOKUP(A100,Cleaned_Data!A:A,Cleaned_Data!B:B)</f>
        <v>Priya Khan</v>
      </c>
      <c r="C100" s="9" t="str">
        <f ca="1">_xlfn.XLOOKUP(A100,Cleaned_Data!A:A,Cleaned_Data!C:C)</f>
        <v>Trivandrum</v>
      </c>
      <c r="D100" s="9" t="str">
        <f ca="1">_xlfn.XLOOKUP(A100,Cleaned_Data!A:A,Cleaned_Data!L:L)</f>
        <v>Muscle Gain</v>
      </c>
    </row>
    <row r="101" spans="1:4">
      <c r="A101" s="9" t="str">
        <v>MEM0100</v>
      </c>
      <c r="B101" s="9" t="str">
        <f ca="1">_xlfn.XLOOKUP(A101,Cleaned_Data!A:A,Cleaned_Data!B:B)</f>
        <v>Deepak Das</v>
      </c>
      <c r="C101" s="9" t="str">
        <f ca="1">_xlfn.XLOOKUP(A101,Cleaned_Data!A:A,Cleaned_Data!C:C)</f>
        <v>Kochi</v>
      </c>
      <c r="D101" s="9" t="str">
        <f ca="1">_xlfn.XLOOKUP(A101,Cleaned_Data!A:A,Cleaned_Data!L:L)</f>
        <v>General Fitness</v>
      </c>
    </row>
    <row r="102" spans="1:4">
      <c r="A102" s="9" t="str">
        <v>MEM0101</v>
      </c>
      <c r="B102" s="9" t="str">
        <f ca="1">_xlfn.XLOOKUP(A102,Cleaned_Data!A:A,Cleaned_Data!B:B)</f>
        <v>Zara Sharma</v>
      </c>
      <c r="C102" s="9" t="str">
        <f ca="1">_xlfn.XLOOKUP(A102,Cleaned_Data!A:A,Cleaned_Data!C:C)</f>
        <v>Bangalore</v>
      </c>
      <c r="D102" s="9" t="str">
        <f ca="1">_xlfn.XLOOKUP(A102,Cleaned_Data!A:A,Cleaned_Data!L:L)</f>
        <v>Muscle Gain</v>
      </c>
    </row>
    <row r="103" spans="1:4">
      <c r="A103" s="9" t="str">
        <v>MEM0102</v>
      </c>
      <c r="B103" s="9" t="str">
        <f ca="1">_xlfn.XLOOKUP(A103,Cleaned_Data!A:A,Cleaned_Data!B:B)</f>
        <v>Lakshmi Iyer</v>
      </c>
      <c r="C103" s="9" t="str">
        <f ca="1">_xlfn.XLOOKUP(A103,Cleaned_Data!A:A,Cleaned_Data!C:C)</f>
        <v>Kochi</v>
      </c>
      <c r="D103" s="9" t="str">
        <f ca="1">_xlfn.XLOOKUP(A103,Cleaned_Data!A:A,Cleaned_Data!L:L)</f>
        <v>Weight Loss</v>
      </c>
    </row>
    <row r="104" spans="1:4">
      <c r="A104" s="9" t="str">
        <v>MEM0103</v>
      </c>
      <c r="B104" s="9" t="str">
        <f ca="1">_xlfn.XLOOKUP(A104,Cleaned_Data!A:A,Cleaned_Data!B:B)</f>
        <v>Karthik Malhotra</v>
      </c>
      <c r="C104" s="9" t="str">
        <f ca="1">_xlfn.XLOOKUP(A104,Cleaned_Data!A:A,Cleaned_Data!C:C)</f>
        <v>Kochi</v>
      </c>
      <c r="D104" s="9" t="str">
        <f ca="1">_xlfn.XLOOKUP(A104,Cleaned_Data!A:A,Cleaned_Data!L:L)</f>
        <v>Muscle Gain</v>
      </c>
    </row>
    <row r="105" spans="1:4">
      <c r="A105" s="9" t="str">
        <v>MEM0104</v>
      </c>
      <c r="B105" s="9" t="str">
        <f ca="1">_xlfn.XLOOKUP(A105,Cleaned_Data!A:A,Cleaned_Data!B:B)</f>
        <v>Fatima Varghese</v>
      </c>
      <c r="C105" s="9" t="str">
        <f ca="1">_xlfn.XLOOKUP(A105,Cleaned_Data!A:A,Cleaned_Data!C:C)</f>
        <v>Bangalore</v>
      </c>
      <c r="D105" s="9" t="str">
        <f ca="1">_xlfn.XLOOKUP(A105,Cleaned_Data!A:A,Cleaned_Data!L:L)</f>
        <v>General Fitness</v>
      </c>
    </row>
    <row r="106" spans="1:4">
      <c r="A106" s="9" t="str">
        <v>MEM0105</v>
      </c>
      <c r="B106" s="9" t="str">
        <f ca="1">_xlfn.XLOOKUP(A106,Cleaned_Data!A:A,Cleaned_Data!B:B)</f>
        <v>Arjun Gupta</v>
      </c>
      <c r="C106" s="9" t="str">
        <f ca="1">_xlfn.XLOOKUP(A106,Cleaned_Data!A:A,Cleaned_Data!C:C)</f>
        <v>Bangalore</v>
      </c>
      <c r="D106" s="9" t="str">
        <f ca="1">_xlfn.XLOOKUP(A106,Cleaned_Data!A:A,Cleaned_Data!L:L)</f>
        <v>General Fitness</v>
      </c>
    </row>
    <row r="107" spans="1:4">
      <c r="A107" s="9" t="str">
        <v>MEM0106</v>
      </c>
      <c r="B107" s="9" t="str">
        <f ca="1">_xlfn.XLOOKUP(A107,Cleaned_Data!A:A,Cleaned_Data!B:B)</f>
        <v>Anjali Patel</v>
      </c>
      <c r="C107" s="9" t="str">
        <f ca="1">_xlfn.XLOOKUP(A107,Cleaned_Data!A:A,Cleaned_Data!C:C)</f>
        <v>Bangalore</v>
      </c>
      <c r="D107" s="9" t="str">
        <f ca="1">_xlfn.XLOOKUP(A107,Cleaned_Data!A:A,Cleaned_Data!L:L)</f>
        <v>Muscle Gain</v>
      </c>
    </row>
    <row r="108" spans="1:4">
      <c r="A108" s="9" t="str">
        <v>MEM0107</v>
      </c>
      <c r="B108" s="9" t="str">
        <f ca="1">_xlfn.XLOOKUP(A108,Cleaned_Data!A:A,Cleaned_Data!B:B)</f>
        <v>Aditya Sharma</v>
      </c>
      <c r="C108" s="9" t="str">
        <f ca="1">_xlfn.XLOOKUP(A108,Cleaned_Data!A:A,Cleaned_Data!C:C)</f>
        <v>Kochi</v>
      </c>
      <c r="D108" s="9" t="str">
        <f ca="1">_xlfn.XLOOKUP(A108,Cleaned_Data!A:A,Cleaned_Data!L:L)</f>
        <v>Muscle Gain</v>
      </c>
    </row>
    <row r="109" spans="1:4">
      <c r="A109" s="9" t="str">
        <v>MEM0108</v>
      </c>
      <c r="B109" s="9" t="str">
        <f ca="1">_xlfn.XLOOKUP(A109,Cleaned_Data!A:A,Cleaned_Data!B:B)</f>
        <v>Arjun Bhat</v>
      </c>
      <c r="C109" s="9" t="str">
        <f ca="1">_xlfn.XLOOKUP(A109,Cleaned_Data!A:A,Cleaned_Data!C:C)</f>
        <v>Calicut</v>
      </c>
      <c r="D109" s="9" t="str">
        <f ca="1">_xlfn.XLOOKUP(A109,Cleaned_Data!A:A,Cleaned_Data!L:L)</f>
        <v>Muscle Gain</v>
      </c>
    </row>
    <row r="110" spans="1:4">
      <c r="A110" s="9" t="str">
        <v>MEM0109</v>
      </c>
      <c r="B110" s="9" t="str">
        <f ca="1">_xlfn.XLOOKUP(A110,Cleaned_Data!A:A,Cleaned_Data!B:B)</f>
        <v>Harish Joshi</v>
      </c>
      <c r="C110" s="9" t="str">
        <f ca="1">_xlfn.XLOOKUP(A110,Cleaned_Data!A:A,Cleaned_Data!C:C)</f>
        <v>Kochi</v>
      </c>
      <c r="D110" s="9" t="str">
        <f ca="1">_xlfn.XLOOKUP(A110,Cleaned_Data!A:A,Cleaned_Data!L:L)</f>
        <v>General Fitness</v>
      </c>
    </row>
    <row r="111" spans="1:4">
      <c r="A111" s="9" t="str">
        <v>MEM0110</v>
      </c>
      <c r="B111" s="9" t="str">
        <f ca="1">_xlfn.XLOOKUP(A111,Cleaned_Data!A:A,Cleaned_Data!B:B)</f>
        <v>Arjun Joshi</v>
      </c>
      <c r="C111" s="9" t="str">
        <f ca="1">_xlfn.XLOOKUP(A111,Cleaned_Data!A:A,Cleaned_Data!C:C)</f>
        <v>Trivandrum</v>
      </c>
      <c r="D111" s="9" t="str">
        <f ca="1">_xlfn.XLOOKUP(A111,Cleaned_Data!A:A,Cleaned_Data!L:L)</f>
        <v>Muscle Gain</v>
      </c>
    </row>
    <row r="112" spans="1:4">
      <c r="A112" s="9" t="str">
        <v>MEM0111</v>
      </c>
      <c r="B112" s="9" t="str">
        <f ca="1">_xlfn.XLOOKUP(A112,Cleaned_Data!A:A,Cleaned_Data!B:B)</f>
        <v>Zara Nair</v>
      </c>
      <c r="C112" s="9" t="str">
        <f ca="1">_xlfn.XLOOKUP(A112,Cleaned_Data!A:A,Cleaned_Data!C:C)</f>
        <v>Kochi</v>
      </c>
      <c r="D112" s="9" t="str">
        <f ca="1">_xlfn.XLOOKUP(A112,Cleaned_Data!A:A,Cleaned_Data!L:L)</f>
        <v>General Fitness</v>
      </c>
    </row>
    <row r="113" spans="1:4">
      <c r="A113" s="9" t="str">
        <v>MEM0112</v>
      </c>
      <c r="B113" s="9" t="str">
        <f ca="1">_xlfn.XLOOKUP(A113,Cleaned_Data!A:A,Cleaned_Data!B:B)</f>
        <v>Anu Iyer</v>
      </c>
      <c r="C113" s="9" t="str">
        <f ca="1">_xlfn.XLOOKUP(A113,Cleaned_Data!A:A,Cleaned_Data!C:C)</f>
        <v>Hyderabad</v>
      </c>
      <c r="D113" s="9" t="str">
        <f ca="1">_xlfn.XLOOKUP(A113,Cleaned_Data!A:A,Cleaned_Data!L:L)</f>
        <v>Muscle Gain</v>
      </c>
    </row>
    <row r="114" spans="1:4">
      <c r="A114" s="9" t="str">
        <v>MEM0113</v>
      </c>
      <c r="B114" s="9" t="str">
        <f ca="1">_xlfn.XLOOKUP(A114,Cleaned_Data!A:A,Cleaned_Data!B:B)</f>
        <v>Karthik Banerjee</v>
      </c>
      <c r="C114" s="9" t="str">
        <f ca="1">_xlfn.XLOOKUP(A114,Cleaned_Data!A:A,Cleaned_Data!C:C)</f>
        <v>Bangalore</v>
      </c>
      <c r="D114" s="9" t="str">
        <f ca="1">_xlfn.XLOOKUP(A114,Cleaned_Data!A:A,Cleaned_Data!L:L)</f>
        <v>General Fitness</v>
      </c>
    </row>
    <row r="115" spans="1:4">
      <c r="A115" s="9" t="str">
        <v>MEM0114</v>
      </c>
      <c r="B115" s="9" t="str">
        <f ca="1">_xlfn.XLOOKUP(A115,Cleaned_Data!A:A,Cleaned_Data!B:B)</f>
        <v>Swathi Shaikh</v>
      </c>
      <c r="C115" s="9" t="str">
        <f ca="1">_xlfn.XLOOKUP(A115,Cleaned_Data!A:A,Cleaned_Data!C:C)</f>
        <v>Trivandrum</v>
      </c>
      <c r="D115" s="9" t="str">
        <f ca="1">_xlfn.XLOOKUP(A115,Cleaned_Data!A:A,Cleaned_Data!L:L)</f>
        <v>Muscle Gain</v>
      </c>
    </row>
    <row r="116" spans="1:4">
      <c r="A116" s="9" t="str">
        <v>MEM0115</v>
      </c>
      <c r="B116" s="9" t="str">
        <f ca="1">_xlfn.XLOOKUP(A116,Cleaned_Data!A:A,Cleaned_Data!B:B)</f>
        <v>Anu Agarwal</v>
      </c>
      <c r="C116" s="9" t="str">
        <f ca="1">_xlfn.XLOOKUP(A116,Cleaned_Data!A:A,Cleaned_Data!C:C)</f>
        <v>Calicut</v>
      </c>
      <c r="D116" s="9" t="str">
        <f ca="1">_xlfn.XLOOKUP(A116,Cleaned_Data!A:A,Cleaned_Data!L:L)</f>
        <v>Weight Loss</v>
      </c>
    </row>
    <row r="117" spans="1:4">
      <c r="A117" s="9" t="str">
        <v>MEM0116</v>
      </c>
      <c r="B117" s="9" t="str">
        <f ca="1">_xlfn.XLOOKUP(A117,Cleaned_Data!A:A,Cleaned_Data!B:B)</f>
        <v>Sneha Chatterjee</v>
      </c>
      <c r="C117" s="9" t="str">
        <f ca="1">_xlfn.XLOOKUP(A117,Cleaned_Data!A:A,Cleaned_Data!C:C)</f>
        <v>Mumbai</v>
      </c>
      <c r="D117" s="9" t="str">
        <f ca="1">_xlfn.XLOOKUP(A117,Cleaned_Data!A:A,Cleaned_Data!L:L)</f>
        <v>General Fitness</v>
      </c>
    </row>
    <row r="118" spans="1:4">
      <c r="A118" s="9" t="str">
        <v>MEM0117</v>
      </c>
      <c r="B118" s="9" t="str">
        <f ca="1">_xlfn.XLOOKUP(A118,Cleaned_Data!A:A,Cleaned_Data!B:B)</f>
        <v>Zara Verma</v>
      </c>
      <c r="C118" s="9" t="str">
        <f ca="1">_xlfn.XLOOKUP(A118,Cleaned_Data!A:A,Cleaned_Data!C:C)</f>
        <v>Kochi</v>
      </c>
      <c r="D118" s="9" t="str">
        <f ca="1">_xlfn.XLOOKUP(A118,Cleaned_Data!A:A,Cleaned_Data!L:L)</f>
        <v>Weight Loss</v>
      </c>
    </row>
    <row r="119" spans="1:4">
      <c r="A119" s="9" t="str">
        <v>MEM0118</v>
      </c>
      <c r="B119" s="9" t="str">
        <f ca="1">_xlfn.XLOOKUP(A119,Cleaned_Data!A:A,Cleaned_Data!B:B)</f>
        <v>Anu Shaikh</v>
      </c>
      <c r="C119" s="9" t="str">
        <f ca="1">_xlfn.XLOOKUP(A119,Cleaned_Data!A:A,Cleaned_Data!C:C)</f>
        <v>Bangalore</v>
      </c>
      <c r="D119" s="9" t="str">
        <f ca="1">_xlfn.XLOOKUP(A119,Cleaned_Data!A:A,Cleaned_Data!L:L)</f>
        <v>Muscle Gain</v>
      </c>
    </row>
    <row r="120" spans="1:4">
      <c r="A120" s="9" t="str">
        <v>MEM0119</v>
      </c>
      <c r="B120" s="9" t="str">
        <f ca="1">_xlfn.XLOOKUP(A120,Cleaned_Data!A:A,Cleaned_Data!B:B)</f>
        <v>Rohit Bhat</v>
      </c>
      <c r="C120" s="9" t="str">
        <f ca="1">_xlfn.XLOOKUP(A120,Cleaned_Data!A:A,Cleaned_Data!C:C)</f>
        <v>Hyderabad</v>
      </c>
      <c r="D120" s="9" t="str">
        <f ca="1">_xlfn.XLOOKUP(A120,Cleaned_Data!A:A,Cleaned_Data!L:L)</f>
        <v>General Fitness</v>
      </c>
    </row>
    <row r="121" spans="1:4">
      <c r="A121" s="9" t="str">
        <v>MEM0120</v>
      </c>
      <c r="B121" s="9" t="str">
        <f ca="1">_xlfn.XLOOKUP(A121,Cleaned_Data!A:A,Cleaned_Data!B:B)</f>
        <v>Fatima Agarwal</v>
      </c>
      <c r="C121" s="9" t="str">
        <f ca="1">_xlfn.XLOOKUP(A121,Cleaned_Data!A:A,Cleaned_Data!C:C)</f>
        <v>Hyderabad</v>
      </c>
      <c r="D121" s="9" t="str">
        <f ca="1">_xlfn.XLOOKUP(A121,Cleaned_Data!A:A,Cleaned_Data!L:L)</f>
        <v>General Fitness</v>
      </c>
    </row>
    <row r="122" spans="1:4">
      <c r="A122" s="9" t="str">
        <v>MEM0121</v>
      </c>
      <c r="B122" s="9" t="str">
        <f ca="1">_xlfn.XLOOKUP(A122,Cleaned_Data!A:A,Cleaned_Data!B:B)</f>
        <v>Karthik Banerjee</v>
      </c>
      <c r="C122" s="9" t="str">
        <f ca="1">_xlfn.XLOOKUP(A122,Cleaned_Data!A:A,Cleaned_Data!C:C)</f>
        <v>Hyderabad</v>
      </c>
      <c r="D122" s="9" t="str">
        <f ca="1">_xlfn.XLOOKUP(A122,Cleaned_Data!A:A,Cleaned_Data!L:L)</f>
        <v>General Fitness</v>
      </c>
    </row>
    <row r="123" spans="1:4">
      <c r="A123" s="9" t="str">
        <v>MEM0122</v>
      </c>
      <c r="B123" s="9" t="str">
        <f ca="1">_xlfn.XLOOKUP(A123,Cleaned_Data!A:A,Cleaned_Data!B:B)</f>
        <v>Nisha Chatterjee</v>
      </c>
      <c r="C123" s="9" t="str">
        <f ca="1">_xlfn.XLOOKUP(A123,Cleaned_Data!A:A,Cleaned_Data!C:C)</f>
        <v>Calicut</v>
      </c>
      <c r="D123" s="9" t="str">
        <f ca="1">_xlfn.XLOOKUP(A123,Cleaned_Data!A:A,Cleaned_Data!L:L)</f>
        <v>Weight Loss</v>
      </c>
    </row>
    <row r="124" spans="1:4">
      <c r="A124" s="9" t="str">
        <v>MEM0123</v>
      </c>
      <c r="B124" s="9" t="str">
        <f ca="1">_xlfn.XLOOKUP(A124,Cleaned_Data!A:A,Cleaned_Data!B:B)</f>
        <v>Anjali Shaikh</v>
      </c>
      <c r="C124" s="9" t="str">
        <f ca="1">_xlfn.XLOOKUP(A124,Cleaned_Data!A:A,Cleaned_Data!C:C)</f>
        <v>Trivandrum</v>
      </c>
      <c r="D124" s="9" t="str">
        <f ca="1">_xlfn.XLOOKUP(A124,Cleaned_Data!A:A,Cleaned_Data!L:L)</f>
        <v>Muscle Gain</v>
      </c>
    </row>
    <row r="125" spans="1:4">
      <c r="A125" s="9" t="str">
        <v>MEM0124</v>
      </c>
      <c r="B125" s="9" t="str">
        <f ca="1">_xlfn.XLOOKUP(A125,Cleaned_Data!A:A,Cleaned_Data!B:B)</f>
        <v>Kavya Nair</v>
      </c>
      <c r="C125" s="9" t="str">
        <f ca="1">_xlfn.XLOOKUP(A125,Cleaned_Data!A:A,Cleaned_Data!C:C)</f>
        <v>Trivandrum</v>
      </c>
      <c r="D125" s="9" t="str">
        <f ca="1">_xlfn.XLOOKUP(A125,Cleaned_Data!A:A,Cleaned_Data!L:L)</f>
        <v>Muscle Gain</v>
      </c>
    </row>
    <row r="126" spans="1:4">
      <c r="A126" s="9" t="str">
        <v>MEM0125</v>
      </c>
      <c r="B126" s="9" t="str">
        <f ca="1">_xlfn.XLOOKUP(A126,Cleaned_Data!A:A,Cleaned_Data!B:B)</f>
        <v>Rohit Kapoor</v>
      </c>
      <c r="C126" s="9" t="str">
        <f ca="1">_xlfn.XLOOKUP(A126,Cleaned_Data!A:A,Cleaned_Data!C:C)</f>
        <v>Bangalore</v>
      </c>
      <c r="D126" s="9" t="str">
        <f ca="1">_xlfn.XLOOKUP(A126,Cleaned_Data!A:A,Cleaned_Data!L:L)</f>
        <v>Muscle Gain</v>
      </c>
    </row>
    <row r="127" spans="1:4">
      <c r="A127" s="9" t="str">
        <v>MEM0126</v>
      </c>
      <c r="B127" s="9" t="str">
        <f ca="1">_xlfn.XLOOKUP(A127,Cleaned_Data!A:A,Cleaned_Data!B:B)</f>
        <v>Pooja Das</v>
      </c>
      <c r="C127" s="9" t="str">
        <f ca="1">_xlfn.XLOOKUP(A127,Cleaned_Data!A:A,Cleaned_Data!C:C)</f>
        <v>Hyderabad</v>
      </c>
      <c r="D127" s="9" t="str">
        <f ca="1">_xlfn.XLOOKUP(A127,Cleaned_Data!A:A,Cleaned_Data!L:L)</f>
        <v>General Fitness</v>
      </c>
    </row>
    <row r="128" spans="1:4">
      <c r="A128" s="9" t="str">
        <v>MEM0127</v>
      </c>
      <c r="B128" s="9" t="str">
        <f ca="1">_xlfn.XLOOKUP(A128,Cleaned_Data!A:A,Cleaned_Data!B:B)</f>
        <v>Lakshmi Shaikh</v>
      </c>
      <c r="C128" s="9" t="str">
        <f ca="1">_xlfn.XLOOKUP(A128,Cleaned_Data!A:A,Cleaned_Data!C:C)</f>
        <v>Kochi</v>
      </c>
      <c r="D128" s="9" t="str">
        <f ca="1">_xlfn.XLOOKUP(A128,Cleaned_Data!A:A,Cleaned_Data!L:L)</f>
        <v>Muscle Gain</v>
      </c>
    </row>
    <row r="129" spans="1:4">
      <c r="A129" s="9" t="str">
        <v>MEM0128</v>
      </c>
      <c r="B129" s="9" t="str">
        <f ca="1">_xlfn.XLOOKUP(A129,Cleaned_Data!A:A,Cleaned_Data!B:B)</f>
        <v>Kavya Yadav</v>
      </c>
      <c r="C129" s="9" t="str">
        <f ca="1">_xlfn.XLOOKUP(A129,Cleaned_Data!A:A,Cleaned_Data!C:C)</f>
        <v>Chennai</v>
      </c>
      <c r="D129" s="9" t="str">
        <f ca="1">_xlfn.XLOOKUP(A129,Cleaned_Data!A:A,Cleaned_Data!L:L)</f>
        <v>Weight Loss</v>
      </c>
    </row>
    <row r="130" spans="1:4">
      <c r="A130" s="9" t="str">
        <v>MEM0129</v>
      </c>
      <c r="B130" s="9" t="str">
        <f ca="1">_xlfn.XLOOKUP(A130,Cleaned_Data!A:A,Cleaned_Data!B:B)</f>
        <v>Vivek Kapoor</v>
      </c>
      <c r="C130" s="9" t="str">
        <f ca="1">_xlfn.XLOOKUP(A130,Cleaned_Data!A:A,Cleaned_Data!C:C)</f>
        <v>Calicut</v>
      </c>
      <c r="D130" s="9" t="str">
        <f ca="1">_xlfn.XLOOKUP(A130,Cleaned_Data!A:A,Cleaned_Data!L:L)</f>
        <v>Muscle Gain</v>
      </c>
    </row>
    <row r="131" spans="1:4">
      <c r="A131" s="9" t="str">
        <v>MEM0130</v>
      </c>
      <c r="B131" s="9" t="str">
        <f ca="1">_xlfn.XLOOKUP(A131,Cleaned_Data!A:A,Cleaned_Data!B:B)</f>
        <v>Vivek Naidu</v>
      </c>
      <c r="C131" s="9" t="str">
        <f ca="1">_xlfn.XLOOKUP(A131,Cleaned_Data!A:A,Cleaned_Data!C:C)</f>
        <v>Bangalore</v>
      </c>
      <c r="D131" s="9" t="str">
        <f ca="1">_xlfn.XLOOKUP(A131,Cleaned_Data!A:A,Cleaned_Data!L:L)</f>
        <v>Muscle Gain</v>
      </c>
    </row>
    <row r="132" spans="1:4">
      <c r="A132" s="9" t="str">
        <v>MEM0131</v>
      </c>
      <c r="B132" s="9" t="str">
        <f ca="1">_xlfn.XLOOKUP(A132,Cleaned_Data!A:A,Cleaned_Data!B:B)</f>
        <v>Rohit Joseph</v>
      </c>
      <c r="C132" s="9" t="str">
        <f ca="1">_xlfn.XLOOKUP(A132,Cleaned_Data!A:A,Cleaned_Data!C:C)</f>
        <v>Bangalore</v>
      </c>
      <c r="D132" s="9" t="str">
        <f ca="1">_xlfn.XLOOKUP(A132,Cleaned_Data!A:A,Cleaned_Data!L:L)</f>
        <v>Muscle Gain</v>
      </c>
    </row>
    <row r="133" spans="1:4">
      <c r="A133" s="9" t="str">
        <v>MEM0132</v>
      </c>
      <c r="B133" s="9" t="str">
        <f ca="1">_xlfn.XLOOKUP(A133,Cleaned_Data!A:A,Cleaned_Data!B:B)</f>
        <v>Vivek Sharma</v>
      </c>
      <c r="C133" s="9" t="str">
        <f ca="1">_xlfn.XLOOKUP(A133,Cleaned_Data!A:A,Cleaned_Data!C:C)</f>
        <v>Bangalore</v>
      </c>
      <c r="D133" s="9" t="str">
        <f ca="1">_xlfn.XLOOKUP(A133,Cleaned_Data!A:A,Cleaned_Data!L:L)</f>
        <v>Weight Loss</v>
      </c>
    </row>
    <row r="134" spans="1:4">
      <c r="A134" s="9" t="str">
        <v>MEM0133</v>
      </c>
      <c r="B134" s="9" t="str">
        <f ca="1">_xlfn.XLOOKUP(A134,Cleaned_Data!A:A,Cleaned_Data!B:B)</f>
        <v>Nikhil Verma</v>
      </c>
      <c r="C134" s="9" t="str">
        <f ca="1">_xlfn.XLOOKUP(A134,Cleaned_Data!A:A,Cleaned_Data!C:C)</f>
        <v>Mumbai</v>
      </c>
      <c r="D134" s="9" t="str">
        <f ca="1">_xlfn.XLOOKUP(A134,Cleaned_Data!A:A,Cleaned_Data!L:L)</f>
        <v>Muscle Gain</v>
      </c>
    </row>
    <row r="135" spans="1:4">
      <c r="A135" s="9" t="str">
        <v>MEM0134</v>
      </c>
      <c r="B135" s="9" t="str">
        <f ca="1">_xlfn.XLOOKUP(A135,Cleaned_Data!A:A,Cleaned_Data!B:B)</f>
        <v>Neha Das</v>
      </c>
      <c r="C135" s="9" t="str">
        <f ca="1">_xlfn.XLOOKUP(A135,Cleaned_Data!A:A,Cleaned_Data!C:C)</f>
        <v>Calicut</v>
      </c>
      <c r="D135" s="9" t="str">
        <f ca="1">_xlfn.XLOOKUP(A135,Cleaned_Data!A:A,Cleaned_Data!L:L)</f>
        <v>General Fitness</v>
      </c>
    </row>
    <row r="136" spans="1:4">
      <c r="A136" s="9" t="str">
        <v>MEM0135</v>
      </c>
      <c r="B136" s="9" t="str">
        <f ca="1">_xlfn.XLOOKUP(A136,Cleaned_Data!A:A,Cleaned_Data!B:B)</f>
        <v>Zara Lewis</v>
      </c>
      <c r="C136" s="9" t="str">
        <f ca="1">_xlfn.XLOOKUP(A136,Cleaned_Data!A:A,Cleaned_Data!C:C)</f>
        <v>Trivandrum</v>
      </c>
      <c r="D136" s="9" t="str">
        <f ca="1">_xlfn.XLOOKUP(A136,Cleaned_Data!A:A,Cleaned_Data!L:L)</f>
        <v>Weight Loss</v>
      </c>
    </row>
    <row r="137" spans="1:4">
      <c r="A137" s="9" t="str">
        <v>MEM0136</v>
      </c>
      <c r="B137" s="9" t="str">
        <f ca="1">_xlfn.XLOOKUP(A137,Cleaned_Data!A:A,Cleaned_Data!B:B)</f>
        <v>Ayesha George</v>
      </c>
      <c r="C137" s="9" t="str">
        <f ca="1">_xlfn.XLOOKUP(A137,Cleaned_Data!A:A,Cleaned_Data!C:C)</f>
        <v>Mumbai</v>
      </c>
      <c r="D137" s="9" t="str">
        <f ca="1">_xlfn.XLOOKUP(A137,Cleaned_Data!A:A,Cleaned_Data!L:L)</f>
        <v>Weight Loss</v>
      </c>
    </row>
    <row r="138" spans="1:4">
      <c r="A138" s="9" t="str">
        <v>MEM0137</v>
      </c>
      <c r="B138" s="9" t="str">
        <f ca="1">_xlfn.XLOOKUP(A138,Cleaned_Data!A:A,Cleaned_Data!B:B)</f>
        <v>Sanjay Malhotra</v>
      </c>
      <c r="C138" s="9" t="str">
        <f ca="1">_xlfn.XLOOKUP(A138,Cleaned_Data!A:A,Cleaned_Data!C:C)</f>
        <v>Chennai</v>
      </c>
      <c r="D138" s="9" t="str">
        <f ca="1">_xlfn.XLOOKUP(A138,Cleaned_Data!A:A,Cleaned_Data!L:L)</f>
        <v>General Fitness</v>
      </c>
    </row>
    <row r="139" spans="1:4">
      <c r="A139" s="9" t="str">
        <v>MEM0138</v>
      </c>
      <c r="B139" s="9" t="str">
        <f ca="1">_xlfn.XLOOKUP(A139,Cleaned_Data!A:A,Cleaned_Data!B:B)</f>
        <v>Rohit Verma</v>
      </c>
      <c r="C139" s="9" t="str">
        <f ca="1">_xlfn.XLOOKUP(A139,Cleaned_Data!A:A,Cleaned_Data!C:C)</f>
        <v>Hyderabad</v>
      </c>
      <c r="D139" s="9" t="str">
        <f ca="1">_xlfn.XLOOKUP(A139,Cleaned_Data!A:A,Cleaned_Data!L:L)</f>
        <v>Muscle Gain</v>
      </c>
    </row>
    <row r="140" spans="1:4">
      <c r="A140" s="9" t="str">
        <v>MEM0139</v>
      </c>
      <c r="B140" s="9" t="str">
        <f ca="1">_xlfn.XLOOKUP(A140,Cleaned_Data!A:A,Cleaned_Data!B:B)</f>
        <v>Priya D’Souza</v>
      </c>
      <c r="C140" s="9" t="str">
        <f ca="1">_xlfn.XLOOKUP(A140,Cleaned_Data!A:A,Cleaned_Data!C:C)</f>
        <v>Bangalore</v>
      </c>
      <c r="D140" s="9" t="str">
        <f ca="1">_xlfn.XLOOKUP(A140,Cleaned_Data!A:A,Cleaned_Data!L:L)</f>
        <v>Muscle Gain</v>
      </c>
    </row>
    <row r="141" spans="1:4">
      <c r="A141" s="9" t="str">
        <v>MEM0140</v>
      </c>
      <c r="B141" s="9" t="str">
        <f ca="1">_xlfn.XLOOKUP(A141,Cleaned_Data!A:A,Cleaned_Data!B:B)</f>
        <v>Sneha Das</v>
      </c>
      <c r="C141" s="9" t="str">
        <f ca="1">_xlfn.XLOOKUP(A141,Cleaned_Data!A:A,Cleaned_Data!C:C)</f>
        <v>Hyderabad</v>
      </c>
      <c r="D141" s="9" t="str">
        <f ca="1">_xlfn.XLOOKUP(A141,Cleaned_Data!A:A,Cleaned_Data!L:L)</f>
        <v>Weight Loss</v>
      </c>
    </row>
    <row r="142" spans="1:4">
      <c r="A142" s="9" t="str">
        <v>MEM0141</v>
      </c>
      <c r="B142" s="9" t="str">
        <f ca="1">_xlfn.XLOOKUP(A142,Cleaned_Data!A:A,Cleaned_Data!B:B)</f>
        <v>Anjali Bhat</v>
      </c>
      <c r="C142" s="9" t="str">
        <f ca="1">_xlfn.XLOOKUP(A142,Cleaned_Data!A:A,Cleaned_Data!C:C)</f>
        <v>Trivandrum</v>
      </c>
      <c r="D142" s="9" t="str">
        <f ca="1">_xlfn.XLOOKUP(A142,Cleaned_Data!A:A,Cleaned_Data!L:L)</f>
        <v>Muscle Gain</v>
      </c>
    </row>
    <row r="143" spans="1:4">
      <c r="A143" s="9" t="str">
        <v>MEM0142</v>
      </c>
      <c r="B143" s="9" t="str">
        <f ca="1">_xlfn.XLOOKUP(A143,Cleaned_Data!A:A,Cleaned_Data!B:B)</f>
        <v>Nikhil Shaikh</v>
      </c>
      <c r="C143" s="9" t="str">
        <f ca="1">_xlfn.XLOOKUP(A143,Cleaned_Data!A:A,Cleaned_Data!C:C)</f>
        <v>Bangalore</v>
      </c>
      <c r="D143" s="9" t="str">
        <f ca="1">_xlfn.XLOOKUP(A143,Cleaned_Data!A:A,Cleaned_Data!L:L)</f>
        <v>Muscle Gain</v>
      </c>
    </row>
    <row r="144" spans="1:4">
      <c r="A144" s="9" t="str">
        <v>MEM0143</v>
      </c>
      <c r="B144" s="9" t="str">
        <f ca="1">_xlfn.XLOOKUP(A144,Cleaned_Data!A:A,Cleaned_Data!B:B)</f>
        <v>Aditya Joshi</v>
      </c>
      <c r="C144" s="9" t="str">
        <f ca="1">_xlfn.XLOOKUP(A144,Cleaned_Data!A:A,Cleaned_Data!C:C)</f>
        <v>Mumbai</v>
      </c>
      <c r="D144" s="9" t="str">
        <f ca="1">_xlfn.XLOOKUP(A144,Cleaned_Data!A:A,Cleaned_Data!L:L)</f>
        <v>Weight Loss</v>
      </c>
    </row>
    <row r="145" spans="1:4">
      <c r="A145" s="9" t="str">
        <v>MEM0144</v>
      </c>
      <c r="B145" s="9" t="str">
        <f ca="1">_xlfn.XLOOKUP(A145,Cleaned_Data!A:A,Cleaned_Data!B:B)</f>
        <v>Varun Naidu</v>
      </c>
      <c r="C145" s="9" t="str">
        <f ca="1">_xlfn.XLOOKUP(A145,Cleaned_Data!A:A,Cleaned_Data!C:C)</f>
        <v>Chennai</v>
      </c>
      <c r="D145" s="9" t="str">
        <f ca="1">_xlfn.XLOOKUP(A145,Cleaned_Data!A:A,Cleaned_Data!L:L)</f>
        <v>Muscle Gain</v>
      </c>
    </row>
    <row r="146" spans="1:4">
      <c r="A146" s="9" t="str">
        <v>MEM0145</v>
      </c>
      <c r="B146" s="9" t="str">
        <f ca="1">_xlfn.XLOOKUP(A146,Cleaned_Data!A:A,Cleaned_Data!B:B)</f>
        <v>Ishita Pillai</v>
      </c>
      <c r="C146" s="9" t="str">
        <f ca="1">_xlfn.XLOOKUP(A146,Cleaned_Data!A:A,Cleaned_Data!C:C)</f>
        <v>Kochi</v>
      </c>
      <c r="D146" s="9" t="str">
        <f ca="1">_xlfn.XLOOKUP(A146,Cleaned_Data!A:A,Cleaned_Data!L:L)</f>
        <v>Weight Loss</v>
      </c>
    </row>
    <row r="147" spans="1:4">
      <c r="A147" s="9" t="str">
        <v>MEM0146</v>
      </c>
      <c r="B147" s="9" t="str">
        <f ca="1">_xlfn.XLOOKUP(A147,Cleaned_Data!A:A,Cleaned_Data!B:B)</f>
        <v>Rahul Agarwal</v>
      </c>
      <c r="C147" s="9" t="str">
        <f ca="1">_xlfn.XLOOKUP(A147,Cleaned_Data!A:A,Cleaned_Data!C:C)</f>
        <v>Calicut</v>
      </c>
      <c r="D147" s="9" t="str">
        <f ca="1">_xlfn.XLOOKUP(A147,Cleaned_Data!A:A,Cleaned_Data!L:L)</f>
        <v>General Fitness</v>
      </c>
    </row>
    <row r="148" spans="1:4">
      <c r="A148" s="9" t="str">
        <v>MEM0147</v>
      </c>
      <c r="B148" s="9" t="str">
        <f ca="1">_xlfn.XLOOKUP(A148,Cleaned_Data!A:A,Cleaned_Data!B:B)</f>
        <v>Anjali Das</v>
      </c>
      <c r="C148" s="9" t="str">
        <f ca="1">_xlfn.XLOOKUP(A148,Cleaned_Data!A:A,Cleaned_Data!C:C)</f>
        <v>Trivandrum</v>
      </c>
      <c r="D148" s="9" t="str">
        <f ca="1">_xlfn.XLOOKUP(A148,Cleaned_Data!A:A,Cleaned_Data!L:L)</f>
        <v>Weight Loss</v>
      </c>
    </row>
    <row r="149" spans="1:4">
      <c r="A149" s="9" t="str">
        <v>MEM0148</v>
      </c>
      <c r="B149" s="9" t="str">
        <f ca="1">_xlfn.XLOOKUP(A149,Cleaned_Data!A:A,Cleaned_Data!B:B)</f>
        <v>Divya Patel</v>
      </c>
      <c r="C149" s="9" t="str">
        <f ca="1">_xlfn.XLOOKUP(A149,Cleaned_Data!A:A,Cleaned_Data!C:C)</f>
        <v>Calicut</v>
      </c>
      <c r="D149" s="9" t="str">
        <f ca="1">_xlfn.XLOOKUP(A149,Cleaned_Data!A:A,Cleaned_Data!L:L)</f>
        <v>Weight Loss</v>
      </c>
    </row>
    <row r="150" spans="1:4">
      <c r="A150" s="9" t="str">
        <v>MEM0149</v>
      </c>
      <c r="B150" s="9" t="str">
        <f ca="1">_xlfn.XLOOKUP(A150,Cleaned_Data!A:A,Cleaned_Data!B:B)</f>
        <v>Divya Reddy</v>
      </c>
      <c r="C150" s="9" t="str">
        <f ca="1">_xlfn.XLOOKUP(A150,Cleaned_Data!A:A,Cleaned_Data!C:C)</f>
        <v>Mumbai</v>
      </c>
      <c r="D150" s="9" t="str">
        <f ca="1">_xlfn.XLOOKUP(A150,Cleaned_Data!A:A,Cleaned_Data!L:L)</f>
        <v>Weight Loss</v>
      </c>
    </row>
    <row r="151" spans="1:4">
      <c r="A151" s="9" t="str">
        <v>MEM0150</v>
      </c>
      <c r="B151" s="9" t="str">
        <f ca="1">_xlfn.XLOOKUP(A151,Cleaned_Data!A:A,Cleaned_Data!B:B)</f>
        <v>Priya Chatterjee</v>
      </c>
      <c r="C151" s="9" t="str">
        <f ca="1">_xlfn.XLOOKUP(A151,Cleaned_Data!A:A,Cleaned_Data!C:C)</f>
        <v>Hyderabad</v>
      </c>
      <c r="D151" s="9" t="str">
        <f ca="1">_xlfn.XLOOKUP(A151,Cleaned_Data!A:A,Cleaned_Data!L:L)</f>
        <v>Muscle Gain</v>
      </c>
    </row>
    <row r="152" spans="1:4">
      <c r="A152" s="9" t="str">
        <v>MEM0151</v>
      </c>
      <c r="B152" s="9" t="str">
        <f ca="1">_xlfn.XLOOKUP(A152,Cleaned_Data!A:A,Cleaned_Data!B:B)</f>
        <v>Sneha Chatterjee</v>
      </c>
      <c r="C152" s="9" t="str">
        <f ca="1">_xlfn.XLOOKUP(A152,Cleaned_Data!A:A,Cleaned_Data!C:C)</f>
        <v>Calicut</v>
      </c>
      <c r="D152" s="9" t="str">
        <f ca="1">_xlfn.XLOOKUP(A152,Cleaned_Data!A:A,Cleaned_Data!L:L)</f>
        <v>General Fitness</v>
      </c>
    </row>
    <row r="153" spans="1:4">
      <c r="A153" s="9" t="str">
        <v>MEM0152</v>
      </c>
      <c r="B153" s="9" t="str">
        <f ca="1">_xlfn.XLOOKUP(A153,Cleaned_Data!A:A,Cleaned_Data!B:B)</f>
        <v>Nisha Menon</v>
      </c>
      <c r="C153" s="9" t="str">
        <f ca="1">_xlfn.XLOOKUP(A153,Cleaned_Data!A:A,Cleaned_Data!C:C)</f>
        <v>Bangalore</v>
      </c>
      <c r="D153" s="9" t="str">
        <f ca="1">_xlfn.XLOOKUP(A153,Cleaned_Data!A:A,Cleaned_Data!L:L)</f>
        <v>Weight Loss</v>
      </c>
    </row>
    <row r="154" spans="1:4">
      <c r="A154" s="9" t="str">
        <v>MEM0153</v>
      </c>
      <c r="B154" s="9" t="str">
        <f ca="1">_xlfn.XLOOKUP(A154,Cleaned_Data!A:A,Cleaned_Data!B:B)</f>
        <v>Neha Naidu</v>
      </c>
      <c r="C154" s="9" t="str">
        <f ca="1">_xlfn.XLOOKUP(A154,Cleaned_Data!A:A,Cleaned_Data!C:C)</f>
        <v>Chennai</v>
      </c>
      <c r="D154" s="9" t="str">
        <f ca="1">_xlfn.XLOOKUP(A154,Cleaned_Data!A:A,Cleaned_Data!L:L)</f>
        <v>Muscle Gain</v>
      </c>
    </row>
    <row r="155" spans="1:4">
      <c r="A155" s="9" t="str">
        <v>MEM0154</v>
      </c>
      <c r="B155" s="9" t="str">
        <f ca="1">_xlfn.XLOOKUP(A155,Cleaned_Data!A:A,Cleaned_Data!B:B)</f>
        <v>Shreya Agarwal</v>
      </c>
      <c r="C155" s="9" t="str">
        <f ca="1">_xlfn.XLOOKUP(A155,Cleaned_Data!A:A,Cleaned_Data!C:C)</f>
        <v>Kochi</v>
      </c>
      <c r="D155" s="9" t="str">
        <f ca="1">_xlfn.XLOOKUP(A155,Cleaned_Data!A:A,Cleaned_Data!L:L)</f>
        <v>General Fitness</v>
      </c>
    </row>
    <row r="156" spans="1:4">
      <c r="A156" s="9" t="str">
        <v>MEM0155</v>
      </c>
      <c r="B156" s="9" t="str">
        <f ca="1">_xlfn.XLOOKUP(A156,Cleaned_Data!A:A,Cleaned_Data!B:B)</f>
        <v>Akash Sharma</v>
      </c>
      <c r="C156" s="9" t="str">
        <f ca="1">_xlfn.XLOOKUP(A156,Cleaned_Data!A:A,Cleaned_Data!C:C)</f>
        <v>Mumbai</v>
      </c>
      <c r="D156" s="9" t="str">
        <f ca="1">_xlfn.XLOOKUP(A156,Cleaned_Data!A:A,Cleaned_Data!L:L)</f>
        <v>Weight Loss</v>
      </c>
    </row>
    <row r="157" spans="1:4">
      <c r="A157" s="9" t="str">
        <v>MEM0156</v>
      </c>
      <c r="B157" s="9" t="str">
        <f ca="1">_xlfn.XLOOKUP(A157,Cleaned_Data!A:A,Cleaned_Data!B:B)</f>
        <v>Swathi Kulkarni</v>
      </c>
      <c r="C157" s="9" t="str">
        <f ca="1">_xlfn.XLOOKUP(A157,Cleaned_Data!A:A,Cleaned_Data!C:C)</f>
        <v>Kochi</v>
      </c>
      <c r="D157" s="9" t="str">
        <f ca="1">_xlfn.XLOOKUP(A157,Cleaned_Data!A:A,Cleaned_Data!L:L)</f>
        <v>Muscle Gain</v>
      </c>
    </row>
    <row r="158" spans="1:4">
      <c r="A158" s="9" t="str">
        <v>MEM0157</v>
      </c>
      <c r="B158" s="9" t="str">
        <f ca="1">_xlfn.XLOOKUP(A158,Cleaned_Data!A:A,Cleaned_Data!B:B)</f>
        <v>Divya Fernandes</v>
      </c>
      <c r="C158" s="9" t="str">
        <f ca="1">_xlfn.XLOOKUP(A158,Cleaned_Data!A:A,Cleaned_Data!C:C)</f>
        <v>Chennai</v>
      </c>
      <c r="D158" s="9" t="str">
        <f ca="1">_xlfn.XLOOKUP(A158,Cleaned_Data!A:A,Cleaned_Data!L:L)</f>
        <v>Muscle Gain</v>
      </c>
    </row>
    <row r="159" spans="1:4">
      <c r="A159" s="9" t="str">
        <v>MEM0158</v>
      </c>
      <c r="B159" s="9" t="str">
        <f ca="1">_xlfn.XLOOKUP(A159,Cleaned_Data!A:A,Cleaned_Data!B:B)</f>
        <v>Zara Reddy</v>
      </c>
      <c r="C159" s="9" t="str">
        <f ca="1">_xlfn.XLOOKUP(A159,Cleaned_Data!A:A,Cleaned_Data!C:C)</f>
        <v>Hyderabad</v>
      </c>
      <c r="D159" s="9" t="str">
        <f ca="1">_xlfn.XLOOKUP(A159,Cleaned_Data!A:A,Cleaned_Data!L:L)</f>
        <v>Weight Loss</v>
      </c>
    </row>
    <row r="160" spans="1:4">
      <c r="A160" s="9" t="str">
        <v>MEM0159</v>
      </c>
      <c r="B160" s="9" t="str">
        <f ca="1">_xlfn.XLOOKUP(A160,Cleaned_Data!A:A,Cleaned_Data!B:B)</f>
        <v>Aditya Nair</v>
      </c>
      <c r="C160" s="9" t="str">
        <f ca="1">_xlfn.XLOOKUP(A160,Cleaned_Data!A:A,Cleaned_Data!C:C)</f>
        <v>Calicut</v>
      </c>
      <c r="D160" s="9" t="str">
        <f ca="1">_xlfn.XLOOKUP(A160,Cleaned_Data!A:A,Cleaned_Data!L:L)</f>
        <v>Muscle Gain</v>
      </c>
    </row>
    <row r="161" spans="1:4">
      <c r="A161" s="9" t="str">
        <v>MEM0160</v>
      </c>
      <c r="B161" s="9" t="str">
        <f ca="1">_xlfn.XLOOKUP(A161,Cleaned_Data!A:A,Cleaned_Data!B:B)</f>
        <v>Varun Kulkarni</v>
      </c>
      <c r="C161" s="9" t="str">
        <f ca="1">_xlfn.XLOOKUP(A161,Cleaned_Data!A:A,Cleaned_Data!C:C)</f>
        <v>Mumbai</v>
      </c>
      <c r="D161" s="9" t="str">
        <f ca="1">_xlfn.XLOOKUP(A161,Cleaned_Data!A:A,Cleaned_Data!L:L)</f>
        <v>General Fitness</v>
      </c>
    </row>
    <row r="162" spans="1:4">
      <c r="A162" s="9" t="str">
        <v>MEM0161</v>
      </c>
      <c r="B162" s="9" t="str">
        <f ca="1">_xlfn.XLOOKUP(A162,Cleaned_Data!A:A,Cleaned_Data!B:B)</f>
        <v>Akash Nair</v>
      </c>
      <c r="C162" s="9" t="str">
        <f ca="1">_xlfn.XLOOKUP(A162,Cleaned_Data!A:A,Cleaned_Data!C:C)</f>
        <v>Chennai</v>
      </c>
      <c r="D162" s="9" t="str">
        <f ca="1">_xlfn.XLOOKUP(A162,Cleaned_Data!A:A,Cleaned_Data!L:L)</f>
        <v>General Fitness</v>
      </c>
    </row>
    <row r="163" spans="1:4">
      <c r="A163" s="9" t="str">
        <v>MEM0162</v>
      </c>
      <c r="B163" s="9" t="str">
        <f ca="1">_xlfn.XLOOKUP(A163,Cleaned_Data!A:A,Cleaned_Data!B:B)</f>
        <v>Anjali Nambiar</v>
      </c>
      <c r="C163" s="9" t="str">
        <f ca="1">_xlfn.XLOOKUP(A163,Cleaned_Data!A:A,Cleaned_Data!C:C)</f>
        <v>Chennai</v>
      </c>
      <c r="D163" s="9" t="str">
        <f ca="1">_xlfn.XLOOKUP(A163,Cleaned_Data!A:A,Cleaned_Data!L:L)</f>
        <v>Muscle Gain</v>
      </c>
    </row>
    <row r="164" spans="1:4">
      <c r="A164" s="9" t="str">
        <v>MEM0163</v>
      </c>
      <c r="B164" s="9" t="str">
        <f ca="1">_xlfn.XLOOKUP(A164,Cleaned_Data!A:A,Cleaned_Data!B:B)</f>
        <v>Arjun Reddy</v>
      </c>
      <c r="C164" s="9" t="str">
        <f ca="1">_xlfn.XLOOKUP(A164,Cleaned_Data!A:A,Cleaned_Data!C:C)</f>
        <v>Mumbai</v>
      </c>
      <c r="D164" s="9" t="str">
        <f ca="1">_xlfn.XLOOKUP(A164,Cleaned_Data!A:A,Cleaned_Data!L:L)</f>
        <v>Weight Loss</v>
      </c>
    </row>
    <row r="165" spans="1:4">
      <c r="A165" s="9" t="str">
        <v>MEM0164</v>
      </c>
      <c r="B165" s="9" t="str">
        <f ca="1">_xlfn.XLOOKUP(A165,Cleaned_Data!A:A,Cleaned_Data!B:B)</f>
        <v>Swathi Naidu</v>
      </c>
      <c r="C165" s="9" t="str">
        <f ca="1">_xlfn.XLOOKUP(A165,Cleaned_Data!A:A,Cleaned_Data!C:C)</f>
        <v>Calicut</v>
      </c>
      <c r="D165" s="9" t="str">
        <f ca="1">_xlfn.XLOOKUP(A165,Cleaned_Data!A:A,Cleaned_Data!L:L)</f>
        <v>Weight Loss</v>
      </c>
    </row>
    <row r="166" spans="1:4">
      <c r="A166" s="9" t="str">
        <v>MEM0165</v>
      </c>
      <c r="B166" s="9" t="str">
        <f ca="1">_xlfn.XLOOKUP(A166,Cleaned_Data!A:A,Cleaned_Data!B:B)</f>
        <v>Aditya Joseph</v>
      </c>
      <c r="C166" s="9" t="str">
        <f ca="1">_xlfn.XLOOKUP(A166,Cleaned_Data!A:A,Cleaned_Data!C:C)</f>
        <v>Mumbai</v>
      </c>
      <c r="D166" s="9" t="str">
        <f ca="1">_xlfn.XLOOKUP(A166,Cleaned_Data!A:A,Cleaned_Data!L:L)</f>
        <v>General Fitness</v>
      </c>
    </row>
    <row r="167" spans="1:4">
      <c r="A167" s="9" t="str">
        <v>MEM0166</v>
      </c>
      <c r="B167" s="9" t="str">
        <f ca="1">_xlfn.XLOOKUP(A167,Cleaned_Data!A:A,Cleaned_Data!B:B)</f>
        <v>Rohit Fernandes</v>
      </c>
      <c r="C167" s="9" t="str">
        <f ca="1">_xlfn.XLOOKUP(A167,Cleaned_Data!A:A,Cleaned_Data!C:C)</f>
        <v>Hyderabad</v>
      </c>
      <c r="D167" s="9" t="str">
        <f ca="1">_xlfn.XLOOKUP(A167,Cleaned_Data!A:A,Cleaned_Data!L:L)</f>
        <v>Muscle Gain</v>
      </c>
    </row>
    <row r="168" spans="1:4">
      <c r="A168" s="9" t="str">
        <v>MEM0167</v>
      </c>
      <c r="B168" s="9" t="str">
        <f ca="1">_xlfn.XLOOKUP(A168,Cleaned_Data!A:A,Cleaned_Data!B:B)</f>
        <v>Ishita Thomas</v>
      </c>
      <c r="C168" s="9" t="str">
        <f ca="1">_xlfn.XLOOKUP(A168,Cleaned_Data!A:A,Cleaned_Data!C:C)</f>
        <v>Kochi</v>
      </c>
      <c r="D168" s="9" t="str">
        <f ca="1">_xlfn.XLOOKUP(A168,Cleaned_Data!A:A,Cleaned_Data!L:L)</f>
        <v>Muscle Gain</v>
      </c>
    </row>
    <row r="169" spans="1:4">
      <c r="A169" s="9" t="str">
        <v>MEM0168</v>
      </c>
      <c r="B169" s="9" t="str">
        <f ca="1">_xlfn.XLOOKUP(A169,Cleaned_Data!A:A,Cleaned_Data!B:B)</f>
        <v>Swathi D’Souza</v>
      </c>
      <c r="C169" s="9" t="str">
        <f ca="1">_xlfn.XLOOKUP(A169,Cleaned_Data!A:A,Cleaned_Data!C:C)</f>
        <v>Mumbai</v>
      </c>
      <c r="D169" s="9" t="str">
        <f ca="1">_xlfn.XLOOKUP(A169,Cleaned_Data!A:A,Cleaned_Data!L:L)</f>
        <v>General Fitness</v>
      </c>
    </row>
    <row r="170" spans="1:4">
      <c r="A170" s="9" t="str">
        <v>MEM0169</v>
      </c>
      <c r="B170" s="9" t="str">
        <f ca="1">_xlfn.XLOOKUP(A170,Cleaned_Data!A:A,Cleaned_Data!B:B)</f>
        <v>Riya Pillai</v>
      </c>
      <c r="C170" s="9" t="str">
        <f ca="1">_xlfn.XLOOKUP(A170,Cleaned_Data!A:A,Cleaned_Data!C:C)</f>
        <v>Hyderabad</v>
      </c>
      <c r="D170" s="9" t="str">
        <f ca="1">_xlfn.XLOOKUP(A170,Cleaned_Data!A:A,Cleaned_Data!L:L)</f>
        <v>General Fitness</v>
      </c>
    </row>
    <row r="171" spans="1:4">
      <c r="A171" s="9" t="str">
        <v>MEM0170</v>
      </c>
      <c r="B171" s="9" t="str">
        <f ca="1">_xlfn.XLOOKUP(A171,Cleaned_Data!A:A,Cleaned_Data!B:B)</f>
        <v>Lakshmi Nair</v>
      </c>
      <c r="C171" s="9" t="str">
        <f ca="1">_xlfn.XLOOKUP(A171,Cleaned_Data!A:A,Cleaned_Data!C:C)</f>
        <v>Chennai</v>
      </c>
      <c r="D171" s="9" t="str">
        <f ca="1">_xlfn.XLOOKUP(A171,Cleaned_Data!A:A,Cleaned_Data!L:L)</f>
        <v>General Fitness</v>
      </c>
    </row>
    <row r="172" spans="1:4">
      <c r="A172" s="9" t="str">
        <v>MEM0171</v>
      </c>
      <c r="B172" s="9" t="str">
        <f ca="1">_xlfn.XLOOKUP(A172,Cleaned_Data!A:A,Cleaned_Data!B:B)</f>
        <v>Karthik Shaikh</v>
      </c>
      <c r="C172" s="9" t="str">
        <f ca="1">_xlfn.XLOOKUP(A172,Cleaned_Data!A:A,Cleaned_Data!C:C)</f>
        <v>Trivandrum</v>
      </c>
      <c r="D172" s="9" t="str">
        <f ca="1">_xlfn.XLOOKUP(A172,Cleaned_Data!A:A,Cleaned_Data!L:L)</f>
        <v>General Fitness</v>
      </c>
    </row>
    <row r="173" spans="1:4">
      <c r="A173" s="9" t="str">
        <v>MEM0172</v>
      </c>
      <c r="B173" s="9" t="str">
        <f ca="1">_xlfn.XLOOKUP(A173,Cleaned_Data!A:A,Cleaned_Data!B:B)</f>
        <v>Nisha Reddy</v>
      </c>
      <c r="C173" s="9" t="str">
        <f ca="1">_xlfn.XLOOKUP(A173,Cleaned_Data!A:A,Cleaned_Data!C:C)</f>
        <v>Chennai</v>
      </c>
      <c r="D173" s="9" t="str">
        <f ca="1">_xlfn.XLOOKUP(A173,Cleaned_Data!A:A,Cleaned_Data!L:L)</f>
        <v>Weight Loss</v>
      </c>
    </row>
    <row r="174" spans="1:4">
      <c r="A174" s="9" t="str">
        <v>MEM0173</v>
      </c>
      <c r="B174" s="9" t="str">
        <f ca="1">_xlfn.XLOOKUP(A174,Cleaned_Data!A:A,Cleaned_Data!B:B)</f>
        <v>Shreya Khan</v>
      </c>
      <c r="C174" s="9" t="str">
        <f ca="1">_xlfn.XLOOKUP(A174,Cleaned_Data!A:A,Cleaned_Data!C:C)</f>
        <v>Kochi</v>
      </c>
      <c r="D174" s="9" t="str">
        <f ca="1">_xlfn.XLOOKUP(A174,Cleaned_Data!A:A,Cleaned_Data!L:L)</f>
        <v>General Fitness</v>
      </c>
    </row>
    <row r="175" spans="1:4">
      <c r="A175" s="9" t="str">
        <v>MEM0174</v>
      </c>
      <c r="B175" s="9" t="str">
        <f ca="1">_xlfn.XLOOKUP(A175,Cleaned_Data!A:A,Cleaned_Data!B:B)</f>
        <v>Neha Nambiar</v>
      </c>
      <c r="C175" s="9" t="str">
        <f ca="1">_xlfn.XLOOKUP(A175,Cleaned_Data!A:A,Cleaned_Data!C:C)</f>
        <v>Calicut</v>
      </c>
      <c r="D175" s="9" t="str">
        <f ca="1">_xlfn.XLOOKUP(A175,Cleaned_Data!A:A,Cleaned_Data!L:L)</f>
        <v>Muscle Gain</v>
      </c>
    </row>
    <row r="176" spans="1:4">
      <c r="A176" s="9" t="str">
        <v>MEM0175</v>
      </c>
      <c r="B176" s="9" t="str">
        <f ca="1">_xlfn.XLOOKUP(A176,Cleaned_Data!A:A,Cleaned_Data!B:B)</f>
        <v>Zara D’Souza</v>
      </c>
      <c r="C176" s="9" t="str">
        <f ca="1">_xlfn.XLOOKUP(A176,Cleaned_Data!A:A,Cleaned_Data!C:C)</f>
        <v>Calicut</v>
      </c>
      <c r="D176" s="9" t="str">
        <f ca="1">_xlfn.XLOOKUP(A176,Cleaned_Data!A:A,Cleaned_Data!L:L)</f>
        <v>Weight Loss</v>
      </c>
    </row>
    <row r="177" spans="1:4">
      <c r="A177" s="9" t="str">
        <v>MEM0176</v>
      </c>
      <c r="B177" s="9" t="str">
        <f ca="1">_xlfn.XLOOKUP(A177,Cleaned_Data!A:A,Cleaned_Data!B:B)</f>
        <v>Pooja Chatterjee</v>
      </c>
      <c r="C177" s="9" t="str">
        <f ca="1">_xlfn.XLOOKUP(A177,Cleaned_Data!A:A,Cleaned_Data!C:C)</f>
        <v>Mumbai</v>
      </c>
      <c r="D177" s="9" t="str">
        <f ca="1">_xlfn.XLOOKUP(A177,Cleaned_Data!A:A,Cleaned_Data!L:L)</f>
        <v>Weight Loss</v>
      </c>
    </row>
    <row r="178" spans="1:4">
      <c r="A178" s="9" t="str">
        <v>MEM0177</v>
      </c>
      <c r="B178" s="9" t="str">
        <f ca="1">_xlfn.XLOOKUP(A178,Cleaned_Data!A:A,Cleaned_Data!B:B)</f>
        <v>Tanvi Patel</v>
      </c>
      <c r="C178" s="9" t="str">
        <f ca="1">_xlfn.XLOOKUP(A178,Cleaned_Data!A:A,Cleaned_Data!C:C)</f>
        <v>Calicut</v>
      </c>
      <c r="D178" s="9" t="str">
        <f ca="1">_xlfn.XLOOKUP(A178,Cleaned_Data!A:A,Cleaned_Data!L:L)</f>
        <v>Muscle Gain</v>
      </c>
    </row>
    <row r="179" spans="1:4">
      <c r="A179" s="9" t="str">
        <v>MEM0178</v>
      </c>
      <c r="B179" s="9" t="str">
        <f ca="1">_xlfn.XLOOKUP(A179,Cleaned_Data!A:A,Cleaned_Data!B:B)</f>
        <v>Siddharth Mathew</v>
      </c>
      <c r="C179" s="9" t="str">
        <f ca="1">_xlfn.XLOOKUP(A179,Cleaned_Data!A:A,Cleaned_Data!C:C)</f>
        <v>Kochi</v>
      </c>
      <c r="D179" s="9" t="str">
        <f ca="1">_xlfn.XLOOKUP(A179,Cleaned_Data!A:A,Cleaned_Data!L:L)</f>
        <v>Weight Loss</v>
      </c>
    </row>
    <row r="180" spans="1:4">
      <c r="A180" s="9" t="str">
        <v>MEM0179</v>
      </c>
      <c r="B180" s="9" t="str">
        <f ca="1">_xlfn.XLOOKUP(A180,Cleaned_Data!A:A,Cleaned_Data!B:B)</f>
        <v>Divya Fernandes</v>
      </c>
      <c r="C180" s="9" t="str">
        <f ca="1">_xlfn.XLOOKUP(A180,Cleaned_Data!A:A,Cleaned_Data!C:C)</f>
        <v>Kochi</v>
      </c>
      <c r="D180" s="9" t="str">
        <f ca="1">_xlfn.XLOOKUP(A180,Cleaned_Data!A:A,Cleaned_Data!L:L)</f>
        <v>Weight Loss</v>
      </c>
    </row>
    <row r="181" spans="1:4">
      <c r="A181" s="9" t="str">
        <v>MEM0180</v>
      </c>
      <c r="B181" s="9" t="str">
        <f ca="1">_xlfn.XLOOKUP(A181,Cleaned_Data!A:A,Cleaned_Data!B:B)</f>
        <v>Riya Kapoor</v>
      </c>
      <c r="C181" s="9" t="str">
        <f ca="1">_xlfn.XLOOKUP(A181,Cleaned_Data!A:A,Cleaned_Data!C:C)</f>
        <v>Calicut</v>
      </c>
      <c r="D181" s="9" t="str">
        <f ca="1">_xlfn.XLOOKUP(A181,Cleaned_Data!A:A,Cleaned_Data!L:L)</f>
        <v>Muscle Gain</v>
      </c>
    </row>
    <row r="182" spans="1:4">
      <c r="A182" s="9" t="str">
        <v>MEM0181</v>
      </c>
      <c r="B182" s="9" t="str">
        <f ca="1">_xlfn.XLOOKUP(A182,Cleaned_Data!A:A,Cleaned_Data!B:B)</f>
        <v>Rahul Shaikh</v>
      </c>
      <c r="C182" s="9" t="str">
        <f ca="1">_xlfn.XLOOKUP(A182,Cleaned_Data!A:A,Cleaned_Data!C:C)</f>
        <v>Mumbai</v>
      </c>
      <c r="D182" s="9" t="str">
        <f ca="1">_xlfn.XLOOKUP(A182,Cleaned_Data!A:A,Cleaned_Data!L:L)</f>
        <v>Weight Loss</v>
      </c>
    </row>
    <row r="183" spans="1:4">
      <c r="A183" s="9" t="str">
        <v>MEM0182</v>
      </c>
      <c r="B183" s="9" t="str">
        <f ca="1">_xlfn.XLOOKUP(A183,Cleaned_Data!A:A,Cleaned_Data!B:B)</f>
        <v>Neha D’Souza</v>
      </c>
      <c r="C183" s="9" t="str">
        <f ca="1">_xlfn.XLOOKUP(A183,Cleaned_Data!A:A,Cleaned_Data!C:C)</f>
        <v>Hyderabad</v>
      </c>
      <c r="D183" s="9" t="str">
        <f ca="1">_xlfn.XLOOKUP(A183,Cleaned_Data!A:A,Cleaned_Data!L:L)</f>
        <v>Weight Loss</v>
      </c>
    </row>
    <row r="184" spans="1:4">
      <c r="A184" s="9" t="str">
        <v>MEM0183</v>
      </c>
      <c r="B184" s="9" t="str">
        <f ca="1">_xlfn.XLOOKUP(A184,Cleaned_Data!A:A,Cleaned_Data!B:B)</f>
        <v>Divya Khan</v>
      </c>
      <c r="C184" s="9" t="str">
        <f ca="1">_xlfn.XLOOKUP(A184,Cleaned_Data!A:A,Cleaned_Data!C:C)</f>
        <v>Calicut</v>
      </c>
      <c r="D184" s="9" t="str">
        <f ca="1">_xlfn.XLOOKUP(A184,Cleaned_Data!A:A,Cleaned_Data!L:L)</f>
        <v>General Fitness</v>
      </c>
    </row>
    <row r="185" spans="1:4">
      <c r="A185" s="9" t="str">
        <v>MEM0184</v>
      </c>
      <c r="B185" s="9" t="str">
        <f ca="1">_xlfn.XLOOKUP(A185,Cleaned_Data!A:A,Cleaned_Data!B:B)</f>
        <v>Ishita Menon</v>
      </c>
      <c r="C185" s="9" t="str">
        <f ca="1">_xlfn.XLOOKUP(A185,Cleaned_Data!A:A,Cleaned_Data!C:C)</f>
        <v>Bangalore</v>
      </c>
      <c r="D185" s="9" t="str">
        <f ca="1">_xlfn.XLOOKUP(A185,Cleaned_Data!A:A,Cleaned_Data!L:L)</f>
        <v>General Fitness</v>
      </c>
    </row>
    <row r="186" spans="1:4">
      <c r="A186" s="9" t="str">
        <v>MEM0185</v>
      </c>
      <c r="B186" s="9" t="str">
        <f ca="1">_xlfn.XLOOKUP(A186,Cleaned_Data!A:A,Cleaned_Data!B:B)</f>
        <v>Lakshmi Reddy</v>
      </c>
      <c r="C186" s="9" t="str">
        <f ca="1">_xlfn.XLOOKUP(A186,Cleaned_Data!A:A,Cleaned_Data!C:C)</f>
        <v>Mumbai</v>
      </c>
      <c r="D186" s="9" t="str">
        <f ca="1">_xlfn.XLOOKUP(A186,Cleaned_Data!A:A,Cleaned_Data!L:L)</f>
        <v>General Fitness</v>
      </c>
    </row>
    <row r="187" spans="1:4">
      <c r="A187" s="9" t="str">
        <v>MEM0186</v>
      </c>
      <c r="B187" s="9" t="str">
        <f ca="1">_xlfn.XLOOKUP(A187,Cleaned_Data!A:A,Cleaned_Data!B:B)</f>
        <v>Varun Shetty</v>
      </c>
      <c r="C187" s="9" t="str">
        <f ca="1">_xlfn.XLOOKUP(A187,Cleaned_Data!A:A,Cleaned_Data!C:C)</f>
        <v>Mumbai</v>
      </c>
      <c r="D187" s="9" t="str">
        <f ca="1">_xlfn.XLOOKUP(A187,Cleaned_Data!A:A,Cleaned_Data!L:L)</f>
        <v>Weight Loss</v>
      </c>
    </row>
    <row r="188" spans="1:4">
      <c r="A188" s="9" t="str">
        <v>MEM0187</v>
      </c>
      <c r="B188" s="9" t="str">
        <f ca="1">_xlfn.XLOOKUP(A188,Cleaned_Data!A:A,Cleaned_Data!B:B)</f>
        <v>Ishita Thomas</v>
      </c>
      <c r="C188" s="9" t="str">
        <f ca="1">_xlfn.XLOOKUP(A188,Cleaned_Data!A:A,Cleaned_Data!C:C)</f>
        <v>Trivandrum</v>
      </c>
      <c r="D188" s="9" t="str">
        <f ca="1">_xlfn.XLOOKUP(A188,Cleaned_Data!A:A,Cleaned_Data!L:L)</f>
        <v>General Fitness</v>
      </c>
    </row>
    <row r="189" spans="1:4">
      <c r="A189" s="9" t="str">
        <v>MEM0188</v>
      </c>
      <c r="B189" s="9" t="str">
        <f ca="1">_xlfn.XLOOKUP(A189,Cleaned_Data!A:A,Cleaned_Data!B:B)</f>
        <v>Kavya Yadav</v>
      </c>
      <c r="C189" s="9" t="str">
        <f ca="1">_xlfn.XLOOKUP(A189,Cleaned_Data!A:A,Cleaned_Data!C:C)</f>
        <v>Chennai</v>
      </c>
      <c r="D189" s="9" t="str">
        <f ca="1">_xlfn.XLOOKUP(A189,Cleaned_Data!A:A,Cleaned_Data!L:L)</f>
        <v>General Fitness</v>
      </c>
    </row>
    <row r="190" spans="1:4">
      <c r="A190" s="9" t="str">
        <v>MEM0189</v>
      </c>
      <c r="B190" s="9" t="str">
        <f ca="1">_xlfn.XLOOKUP(A190,Cleaned_Data!A:A,Cleaned_Data!B:B)</f>
        <v>Ishita Joseph</v>
      </c>
      <c r="C190" s="9" t="str">
        <f ca="1">_xlfn.XLOOKUP(A190,Cleaned_Data!A:A,Cleaned_Data!C:C)</f>
        <v>Calicut</v>
      </c>
      <c r="D190" s="9" t="str">
        <f ca="1">_xlfn.XLOOKUP(A190,Cleaned_Data!A:A,Cleaned_Data!L:L)</f>
        <v>Muscle Gain</v>
      </c>
    </row>
    <row r="191" spans="1:4">
      <c r="A191" s="9" t="str">
        <v>MEM0190</v>
      </c>
      <c r="B191" s="9" t="str">
        <f ca="1">_xlfn.XLOOKUP(A191,Cleaned_Data!A:A,Cleaned_Data!B:B)</f>
        <v>Tanvi Shetty</v>
      </c>
      <c r="C191" s="9" t="str">
        <f ca="1">_xlfn.XLOOKUP(A191,Cleaned_Data!A:A,Cleaned_Data!C:C)</f>
        <v>Calicut</v>
      </c>
      <c r="D191" s="9" t="str">
        <f ca="1">_xlfn.XLOOKUP(A191,Cleaned_Data!A:A,Cleaned_Data!L:L)</f>
        <v>Weight Loss</v>
      </c>
    </row>
    <row r="192" spans="1:4">
      <c r="A192" s="9" t="str">
        <v>MEM0191</v>
      </c>
      <c r="B192" s="9" t="str">
        <f ca="1">_xlfn.XLOOKUP(A192,Cleaned_Data!A:A,Cleaned_Data!B:B)</f>
        <v>Priya Khan</v>
      </c>
      <c r="C192" s="9" t="str">
        <f ca="1">_xlfn.XLOOKUP(A192,Cleaned_Data!A:A,Cleaned_Data!C:C)</f>
        <v>Kochi</v>
      </c>
      <c r="D192" s="9" t="str">
        <f ca="1">_xlfn.XLOOKUP(A192,Cleaned_Data!A:A,Cleaned_Data!L:L)</f>
        <v>Muscle Gain</v>
      </c>
    </row>
    <row r="193" spans="1:4">
      <c r="A193" s="9" t="str">
        <v>MEM0192</v>
      </c>
      <c r="B193" s="9" t="str">
        <f ca="1">_xlfn.XLOOKUP(A193,Cleaned_Data!A:A,Cleaned_Data!B:B)</f>
        <v>Ankit Das</v>
      </c>
      <c r="C193" s="9" t="str">
        <f ca="1">_xlfn.XLOOKUP(A193,Cleaned_Data!A:A,Cleaned_Data!C:C)</f>
        <v>Hyderabad</v>
      </c>
      <c r="D193" s="9" t="str">
        <f ca="1">_xlfn.XLOOKUP(A193,Cleaned_Data!A:A,Cleaned_Data!L:L)</f>
        <v>General Fitness</v>
      </c>
    </row>
    <row r="194" spans="1:4">
      <c r="A194" s="9" t="str">
        <v>MEM0193</v>
      </c>
      <c r="B194" s="9" t="str">
        <f ca="1">_xlfn.XLOOKUP(A194,Cleaned_Data!A:A,Cleaned_Data!B:B)</f>
        <v>Fatima Mathew</v>
      </c>
      <c r="C194" s="9" t="str">
        <f ca="1">_xlfn.XLOOKUP(A194,Cleaned_Data!A:A,Cleaned_Data!C:C)</f>
        <v>Chennai</v>
      </c>
      <c r="D194" s="9" t="str">
        <f ca="1">_xlfn.XLOOKUP(A194,Cleaned_Data!A:A,Cleaned_Data!L:L)</f>
        <v>General Fitness</v>
      </c>
    </row>
    <row r="195" spans="1:4">
      <c r="A195" s="9" t="str">
        <v>MEM0194</v>
      </c>
      <c r="B195" s="9" t="str">
        <f ca="1">_xlfn.XLOOKUP(A195,Cleaned_Data!A:A,Cleaned_Data!B:B)</f>
        <v>Vivek Shetty</v>
      </c>
      <c r="C195" s="9" t="str">
        <f ca="1">_xlfn.XLOOKUP(A195,Cleaned_Data!A:A,Cleaned_Data!C:C)</f>
        <v>Chennai</v>
      </c>
      <c r="D195" s="9" t="str">
        <f ca="1">_xlfn.XLOOKUP(A195,Cleaned_Data!A:A,Cleaned_Data!L:L)</f>
        <v>Weight Loss</v>
      </c>
    </row>
    <row r="196" spans="1:4">
      <c r="A196" s="9" t="str">
        <v>MEM0195</v>
      </c>
      <c r="B196" s="9" t="str">
        <f ca="1">_xlfn.XLOOKUP(A196,Cleaned_Data!A:A,Cleaned_Data!B:B)</f>
        <v>Lakshmi Banerjee</v>
      </c>
      <c r="C196" s="9" t="str">
        <f ca="1">_xlfn.XLOOKUP(A196,Cleaned_Data!A:A,Cleaned_Data!C:C)</f>
        <v>Chennai</v>
      </c>
      <c r="D196" s="9" t="str">
        <f ca="1">_xlfn.XLOOKUP(A196,Cleaned_Data!A:A,Cleaned_Data!L:L)</f>
        <v>Weight Loss</v>
      </c>
    </row>
    <row r="197" spans="1:4">
      <c r="A197" s="9" t="str">
        <v>MEM0196</v>
      </c>
      <c r="B197" s="9" t="str">
        <f ca="1">_xlfn.XLOOKUP(A197,Cleaned_Data!A:A,Cleaned_Data!B:B)</f>
        <v>Ankit Thomas</v>
      </c>
      <c r="C197" s="9" t="str">
        <f ca="1">_xlfn.XLOOKUP(A197,Cleaned_Data!A:A,Cleaned_Data!C:C)</f>
        <v>Mumbai</v>
      </c>
      <c r="D197" s="9" t="str">
        <f ca="1">_xlfn.XLOOKUP(A197,Cleaned_Data!A:A,Cleaned_Data!L:L)</f>
        <v>Weight Loss</v>
      </c>
    </row>
    <row r="198" spans="1:4">
      <c r="A198" s="9" t="str">
        <v>MEM0197</v>
      </c>
      <c r="B198" s="9" t="str">
        <f ca="1">_xlfn.XLOOKUP(A198,Cleaned_Data!A:A,Cleaned_Data!B:B)</f>
        <v>Siddharth Desai</v>
      </c>
      <c r="C198" s="9" t="str">
        <f ca="1">_xlfn.XLOOKUP(A198,Cleaned_Data!A:A,Cleaned_Data!C:C)</f>
        <v>Chennai</v>
      </c>
      <c r="D198" s="9" t="str">
        <f ca="1">_xlfn.XLOOKUP(A198,Cleaned_Data!A:A,Cleaned_Data!L:L)</f>
        <v>General Fitness</v>
      </c>
    </row>
    <row r="199" spans="1:4">
      <c r="A199" s="9" t="str">
        <v>MEM0198</v>
      </c>
      <c r="B199" s="9" t="str">
        <f ca="1">_xlfn.XLOOKUP(A199,Cleaned_Data!A:A,Cleaned_Data!B:B)</f>
        <v>Arjun D’Souza</v>
      </c>
      <c r="C199" s="9" t="str">
        <f ca="1">_xlfn.XLOOKUP(A199,Cleaned_Data!A:A,Cleaned_Data!C:C)</f>
        <v>Hyderabad</v>
      </c>
      <c r="D199" s="9" t="str">
        <f ca="1">_xlfn.XLOOKUP(A199,Cleaned_Data!A:A,Cleaned_Data!L:L)</f>
        <v>Muscle Gain</v>
      </c>
    </row>
    <row r="200" spans="1:4">
      <c r="A200" s="9" t="str">
        <v>MEM0199</v>
      </c>
      <c r="B200" s="9" t="str">
        <f ca="1">_xlfn.XLOOKUP(A200,Cleaned_Data!A:A,Cleaned_Data!B:B)</f>
        <v>Sanjay Fernandes</v>
      </c>
      <c r="C200" s="9" t="str">
        <f ca="1">_xlfn.XLOOKUP(A200,Cleaned_Data!A:A,Cleaned_Data!C:C)</f>
        <v>Calicut</v>
      </c>
      <c r="D200" s="9" t="str">
        <f ca="1">_xlfn.XLOOKUP(A200,Cleaned_Data!A:A,Cleaned_Data!L:L)</f>
        <v>Muscle Gain</v>
      </c>
    </row>
    <row r="201" spans="1:4">
      <c r="A201" s="9" t="str">
        <v>MEM0200</v>
      </c>
      <c r="B201" s="9" t="str">
        <f ca="1">_xlfn.XLOOKUP(A201,Cleaned_Data!A:A,Cleaned_Data!B:B)</f>
        <v>Arjun Nambiar</v>
      </c>
      <c r="C201" s="9" t="str">
        <f ca="1">_xlfn.XLOOKUP(A201,Cleaned_Data!A:A,Cleaned_Data!C:C)</f>
        <v>Calicut</v>
      </c>
      <c r="D201" s="9" t="str">
        <f ca="1">_xlfn.XLOOKUP(A201,Cleaned_Data!A:A,Cleaned_Data!L:L)</f>
        <v>Muscle Gain</v>
      </c>
    </row>
    <row r="202" spans="1:4">
      <c r="A202" s="9" t="str">
        <v>MEM0201</v>
      </c>
      <c r="B202" s="9" t="str">
        <f ca="1">_xlfn.XLOOKUP(A202,Cleaned_Data!A:A,Cleaned_Data!B:B)</f>
        <v>Priya George</v>
      </c>
      <c r="C202" s="9" t="str">
        <f ca="1">_xlfn.XLOOKUP(A202,Cleaned_Data!A:A,Cleaned_Data!C:C)</f>
        <v>Calicut</v>
      </c>
      <c r="D202" s="9" t="str">
        <f ca="1">_xlfn.XLOOKUP(A202,Cleaned_Data!A:A,Cleaned_Data!L:L)</f>
        <v>Muscle Gain</v>
      </c>
    </row>
    <row r="203" spans="1:4">
      <c r="A203" s="9" t="str">
        <v>MEM0202</v>
      </c>
      <c r="B203" s="9" t="str">
        <f ca="1">_xlfn.XLOOKUP(A203,Cleaned_Data!A:A,Cleaned_Data!B:B)</f>
        <v>Neha Varghese</v>
      </c>
      <c r="C203" s="9" t="str">
        <f ca="1">_xlfn.XLOOKUP(A203,Cleaned_Data!A:A,Cleaned_Data!C:C)</f>
        <v>Trivandrum</v>
      </c>
      <c r="D203" s="9" t="str">
        <f ca="1">_xlfn.XLOOKUP(A203,Cleaned_Data!A:A,Cleaned_Data!L:L)</f>
        <v>Muscle Gain</v>
      </c>
    </row>
    <row r="204" spans="1:4">
      <c r="A204" s="9" t="str">
        <v>MEM0203</v>
      </c>
      <c r="B204" s="9" t="str">
        <f ca="1">_xlfn.XLOOKUP(A204,Cleaned_Data!A:A,Cleaned_Data!B:B)</f>
        <v>Meera D’Souza</v>
      </c>
      <c r="C204" s="9" t="str">
        <f ca="1">_xlfn.XLOOKUP(A204,Cleaned_Data!A:A,Cleaned_Data!C:C)</f>
        <v>Hyderabad</v>
      </c>
      <c r="D204" s="9" t="str">
        <f ca="1">_xlfn.XLOOKUP(A204,Cleaned_Data!A:A,Cleaned_Data!L:L)</f>
        <v>Weight Loss</v>
      </c>
    </row>
    <row r="205" spans="1:4">
      <c r="A205" s="9" t="str">
        <v>MEM0204</v>
      </c>
      <c r="B205" s="9" t="str">
        <f ca="1">_xlfn.XLOOKUP(A205,Cleaned_Data!A:A,Cleaned_Data!B:B)</f>
        <v>Siddharth Menon</v>
      </c>
      <c r="C205" s="9" t="str">
        <f ca="1">_xlfn.XLOOKUP(A205,Cleaned_Data!A:A,Cleaned_Data!C:C)</f>
        <v>Chennai</v>
      </c>
      <c r="D205" s="9" t="str">
        <f ca="1">_xlfn.XLOOKUP(A205,Cleaned_Data!A:A,Cleaned_Data!L:L)</f>
        <v>Muscle Gain</v>
      </c>
    </row>
    <row r="206" spans="1:4">
      <c r="A206" s="9" t="str">
        <v>MEM0205</v>
      </c>
      <c r="B206" s="9" t="str">
        <f ca="1">_xlfn.XLOOKUP(A206,Cleaned_Data!A:A,Cleaned_Data!B:B)</f>
        <v>Nisha Kulkarni</v>
      </c>
      <c r="C206" s="9" t="str">
        <f ca="1">_xlfn.XLOOKUP(A206,Cleaned_Data!A:A,Cleaned_Data!C:C)</f>
        <v>Calicut</v>
      </c>
      <c r="D206" s="9" t="str">
        <f ca="1">_xlfn.XLOOKUP(A206,Cleaned_Data!A:A,Cleaned_Data!L:L)</f>
        <v>Muscle Gain</v>
      </c>
    </row>
    <row r="207" spans="1:4">
      <c r="A207" s="9" t="str">
        <v>MEM0206</v>
      </c>
      <c r="B207" s="9" t="str">
        <f ca="1">_xlfn.XLOOKUP(A207,Cleaned_Data!A:A,Cleaned_Data!B:B)</f>
        <v>Neha Gupta</v>
      </c>
      <c r="C207" s="9" t="str">
        <f ca="1">_xlfn.XLOOKUP(A207,Cleaned_Data!A:A,Cleaned_Data!C:C)</f>
        <v>Hyderabad</v>
      </c>
      <c r="D207" s="9" t="str">
        <f ca="1">_xlfn.XLOOKUP(A207,Cleaned_Data!A:A,Cleaned_Data!L:L)</f>
        <v>Muscle Gain</v>
      </c>
    </row>
    <row r="208" spans="1:4">
      <c r="A208" s="9" t="str">
        <v>MEM0207</v>
      </c>
      <c r="B208" s="9" t="str">
        <f ca="1">_xlfn.XLOOKUP(A208,Cleaned_Data!A:A,Cleaned_Data!B:B)</f>
        <v>Manoj Shaikh</v>
      </c>
      <c r="C208" s="9" t="str">
        <f ca="1">_xlfn.XLOOKUP(A208,Cleaned_Data!A:A,Cleaned_Data!C:C)</f>
        <v>Kochi</v>
      </c>
      <c r="D208" s="9" t="str">
        <f ca="1">_xlfn.XLOOKUP(A208,Cleaned_Data!A:A,Cleaned_Data!L:L)</f>
        <v>Weight Loss</v>
      </c>
    </row>
    <row r="209" spans="1:4">
      <c r="A209" s="9" t="str">
        <v>MEM0208</v>
      </c>
      <c r="B209" s="9" t="str">
        <f ca="1">_xlfn.XLOOKUP(A209,Cleaned_Data!A:A,Cleaned_Data!B:B)</f>
        <v>Neha Reddy</v>
      </c>
      <c r="C209" s="9" t="str">
        <f ca="1">_xlfn.XLOOKUP(A209,Cleaned_Data!A:A,Cleaned_Data!C:C)</f>
        <v>Mumbai</v>
      </c>
      <c r="D209" s="9" t="str">
        <f ca="1">_xlfn.XLOOKUP(A209,Cleaned_Data!A:A,Cleaned_Data!L:L)</f>
        <v>General Fitness</v>
      </c>
    </row>
    <row r="210" spans="1:4">
      <c r="A210" s="9" t="str">
        <v>MEM0209</v>
      </c>
      <c r="B210" s="9" t="str">
        <f ca="1">_xlfn.XLOOKUP(A210,Cleaned_Data!A:A,Cleaned_Data!B:B)</f>
        <v>Aditya Varghese</v>
      </c>
      <c r="C210" s="9" t="str">
        <f ca="1">_xlfn.XLOOKUP(A210,Cleaned_Data!A:A,Cleaned_Data!C:C)</f>
        <v>Mumbai</v>
      </c>
      <c r="D210" s="9" t="str">
        <f ca="1">_xlfn.XLOOKUP(A210,Cleaned_Data!A:A,Cleaned_Data!L:L)</f>
        <v>Weight Loss</v>
      </c>
    </row>
    <row r="211" spans="1:4">
      <c r="A211" s="9" t="str">
        <v>MEM0210</v>
      </c>
      <c r="B211" s="9" t="str">
        <f ca="1">_xlfn.XLOOKUP(A211,Cleaned_Data!A:A,Cleaned_Data!B:B)</f>
        <v>Akash Kulkarni</v>
      </c>
      <c r="C211" s="9" t="str">
        <f ca="1">_xlfn.XLOOKUP(A211,Cleaned_Data!A:A,Cleaned_Data!C:C)</f>
        <v>Trivandrum</v>
      </c>
      <c r="D211" s="9" t="str">
        <f ca="1">_xlfn.XLOOKUP(A211,Cleaned_Data!A:A,Cleaned_Data!L:L)</f>
        <v>General Fitness</v>
      </c>
    </row>
    <row r="212" spans="1:4">
      <c r="A212" s="9" t="str">
        <v>MEM0211</v>
      </c>
      <c r="B212" s="9" t="str">
        <f ca="1">_xlfn.XLOOKUP(A212,Cleaned_Data!A:A,Cleaned_Data!B:B)</f>
        <v>Siddharth Shetty</v>
      </c>
      <c r="C212" s="9" t="str">
        <f ca="1">_xlfn.XLOOKUP(A212,Cleaned_Data!A:A,Cleaned_Data!C:C)</f>
        <v>Chennai</v>
      </c>
      <c r="D212" s="9" t="str">
        <f ca="1">_xlfn.XLOOKUP(A212,Cleaned_Data!A:A,Cleaned_Data!L:L)</f>
        <v>General Fitness</v>
      </c>
    </row>
    <row r="213" spans="1:4">
      <c r="A213" s="9" t="str">
        <v>MEM0212</v>
      </c>
      <c r="B213" s="9" t="str">
        <f ca="1">_xlfn.XLOOKUP(A213,Cleaned_Data!A:A,Cleaned_Data!B:B)</f>
        <v>Manoj D’Souza</v>
      </c>
      <c r="C213" s="9" t="str">
        <f ca="1">_xlfn.XLOOKUP(A213,Cleaned_Data!A:A,Cleaned_Data!C:C)</f>
        <v>Mumbai</v>
      </c>
      <c r="D213" s="9" t="str">
        <f ca="1">_xlfn.XLOOKUP(A213,Cleaned_Data!A:A,Cleaned_Data!L:L)</f>
        <v>General Fitness</v>
      </c>
    </row>
    <row r="214" spans="1:4">
      <c r="A214" s="9" t="str">
        <v>MEM0213</v>
      </c>
      <c r="B214" s="9" t="str">
        <f ca="1">_xlfn.XLOOKUP(A214,Cleaned_Data!A:A,Cleaned_Data!B:B)</f>
        <v>Meera Agarwal</v>
      </c>
      <c r="C214" s="9" t="str">
        <f ca="1">_xlfn.XLOOKUP(A214,Cleaned_Data!A:A,Cleaned_Data!C:C)</f>
        <v>Calicut</v>
      </c>
      <c r="D214" s="9" t="str">
        <f ca="1">_xlfn.XLOOKUP(A214,Cleaned_Data!A:A,Cleaned_Data!L:L)</f>
        <v>Muscle Gain</v>
      </c>
    </row>
    <row r="215" spans="1:4">
      <c r="A215" s="9" t="str">
        <v>MEM0214</v>
      </c>
      <c r="B215" s="9" t="str">
        <f ca="1">_xlfn.XLOOKUP(A215,Cleaned_Data!A:A,Cleaned_Data!B:B)</f>
        <v>Zara Iyer</v>
      </c>
      <c r="C215" s="9" t="str">
        <f ca="1">_xlfn.XLOOKUP(A215,Cleaned_Data!A:A,Cleaned_Data!C:C)</f>
        <v>Hyderabad</v>
      </c>
      <c r="D215" s="9" t="str">
        <f ca="1">_xlfn.XLOOKUP(A215,Cleaned_Data!A:A,Cleaned_Data!L:L)</f>
        <v>General Fitness</v>
      </c>
    </row>
    <row r="216" spans="1:4">
      <c r="A216" s="9" t="str">
        <v>MEM0215</v>
      </c>
      <c r="B216" s="9" t="str">
        <f ca="1">_xlfn.XLOOKUP(A216,Cleaned_Data!A:A,Cleaned_Data!B:B)</f>
        <v>Rohit Shetty</v>
      </c>
      <c r="C216" s="9" t="str">
        <f ca="1">_xlfn.XLOOKUP(A216,Cleaned_Data!A:A,Cleaned_Data!C:C)</f>
        <v>Bangalore</v>
      </c>
      <c r="D216" s="9" t="str">
        <f ca="1">_xlfn.XLOOKUP(A216,Cleaned_Data!A:A,Cleaned_Data!L:L)</f>
        <v>Muscle Gain</v>
      </c>
    </row>
    <row r="217" spans="1:4">
      <c r="A217" s="9" t="str">
        <v>MEM0216</v>
      </c>
      <c r="B217" s="9" t="str">
        <f ca="1">_xlfn.XLOOKUP(A217,Cleaned_Data!A:A,Cleaned_Data!B:B)</f>
        <v>Ishita Banerjee</v>
      </c>
      <c r="C217" s="9" t="str">
        <f ca="1">_xlfn.XLOOKUP(A217,Cleaned_Data!A:A,Cleaned_Data!C:C)</f>
        <v>Kochi</v>
      </c>
      <c r="D217" s="9" t="str">
        <f ca="1">_xlfn.XLOOKUP(A217,Cleaned_Data!A:A,Cleaned_Data!L:L)</f>
        <v>Weight Loss</v>
      </c>
    </row>
    <row r="218" spans="1:4">
      <c r="A218" s="9" t="str">
        <v>MEM0217</v>
      </c>
      <c r="B218" s="9" t="str">
        <f ca="1">_xlfn.XLOOKUP(A218,Cleaned_Data!A:A,Cleaned_Data!B:B)</f>
        <v>Aditya Joshi</v>
      </c>
      <c r="C218" s="9" t="str">
        <f ca="1">_xlfn.XLOOKUP(A218,Cleaned_Data!A:A,Cleaned_Data!C:C)</f>
        <v>Calicut</v>
      </c>
      <c r="D218" s="9" t="str">
        <f ca="1">_xlfn.XLOOKUP(A218,Cleaned_Data!A:A,Cleaned_Data!L:L)</f>
        <v>General Fitness</v>
      </c>
    </row>
    <row r="219" spans="1:4">
      <c r="A219" s="9" t="str">
        <v>MEM0218</v>
      </c>
      <c r="B219" s="9" t="str">
        <f ca="1">_xlfn.XLOOKUP(A219,Cleaned_Data!A:A,Cleaned_Data!B:B)</f>
        <v>Riya Joshi</v>
      </c>
      <c r="C219" s="9" t="str">
        <f ca="1">_xlfn.XLOOKUP(A219,Cleaned_Data!A:A,Cleaned_Data!C:C)</f>
        <v>Calicut</v>
      </c>
      <c r="D219" s="9" t="str">
        <f ca="1">_xlfn.XLOOKUP(A219,Cleaned_Data!A:A,Cleaned_Data!L:L)</f>
        <v>Weight Loss</v>
      </c>
    </row>
    <row r="220" spans="1:4">
      <c r="A220" s="9" t="str">
        <v>MEM0219</v>
      </c>
      <c r="B220" s="9" t="str">
        <f ca="1">_xlfn.XLOOKUP(A220,Cleaned_Data!A:A,Cleaned_Data!B:B)</f>
        <v>Manoj Mathew</v>
      </c>
      <c r="C220" s="9" t="str">
        <f ca="1">_xlfn.XLOOKUP(A220,Cleaned_Data!A:A,Cleaned_Data!C:C)</f>
        <v>Trivandrum</v>
      </c>
      <c r="D220" s="9" t="str">
        <f ca="1">_xlfn.XLOOKUP(A220,Cleaned_Data!A:A,Cleaned_Data!L:L)</f>
        <v>Muscle Gain</v>
      </c>
    </row>
    <row r="221" spans="1:4">
      <c r="A221" s="9" t="str">
        <v>MEM0220</v>
      </c>
      <c r="B221" s="9" t="str">
        <f ca="1">_xlfn.XLOOKUP(A221,Cleaned_Data!A:A,Cleaned_Data!B:B)</f>
        <v>Shreya Yadav</v>
      </c>
      <c r="C221" s="9" t="str">
        <f ca="1">_xlfn.XLOOKUP(A221,Cleaned_Data!A:A,Cleaned_Data!C:C)</f>
        <v>Mumbai</v>
      </c>
      <c r="D221" s="9" t="str">
        <f ca="1">_xlfn.XLOOKUP(A221,Cleaned_Data!A:A,Cleaned_Data!L:L)</f>
        <v>Muscle Gain</v>
      </c>
    </row>
    <row r="222" spans="1:4">
      <c r="A222" s="9" t="str">
        <v>MEM0221</v>
      </c>
      <c r="B222" s="9" t="str">
        <f ca="1">_xlfn.XLOOKUP(A222,Cleaned_Data!A:A,Cleaned_Data!B:B)</f>
        <v>Zara Joshi</v>
      </c>
      <c r="C222" s="9" t="str">
        <f ca="1">_xlfn.XLOOKUP(A222,Cleaned_Data!A:A,Cleaned_Data!C:C)</f>
        <v>Bangalore</v>
      </c>
      <c r="D222" s="9" t="str">
        <f ca="1">_xlfn.XLOOKUP(A222,Cleaned_Data!A:A,Cleaned_Data!L:L)</f>
        <v>Muscle Gain</v>
      </c>
    </row>
    <row r="223" spans="1:4">
      <c r="A223" s="9" t="str">
        <v>MEM0222</v>
      </c>
      <c r="B223" s="9" t="str">
        <f ca="1">_xlfn.XLOOKUP(A223,Cleaned_Data!A:A,Cleaned_Data!B:B)</f>
        <v>Meera Desai</v>
      </c>
      <c r="C223" s="9" t="str">
        <f ca="1">_xlfn.XLOOKUP(A223,Cleaned_Data!A:A,Cleaned_Data!C:C)</f>
        <v>Kochi</v>
      </c>
      <c r="D223" s="9" t="str">
        <f ca="1">_xlfn.XLOOKUP(A223,Cleaned_Data!A:A,Cleaned_Data!L:L)</f>
        <v>Weight Loss</v>
      </c>
    </row>
    <row r="224" spans="1:4">
      <c r="A224" s="9" t="str">
        <v>MEM0223</v>
      </c>
      <c r="B224" s="9" t="str">
        <f ca="1">_xlfn.XLOOKUP(A224,Cleaned_Data!A:A,Cleaned_Data!B:B)</f>
        <v>Sneha Joseph</v>
      </c>
      <c r="C224" s="9" t="str">
        <f ca="1">_xlfn.XLOOKUP(A224,Cleaned_Data!A:A,Cleaned_Data!C:C)</f>
        <v>Chennai</v>
      </c>
      <c r="D224" s="9" t="str">
        <f ca="1">_xlfn.XLOOKUP(A224,Cleaned_Data!A:A,Cleaned_Data!L:L)</f>
        <v>General Fitness</v>
      </c>
    </row>
    <row r="225" spans="1:4">
      <c r="A225" s="9" t="str">
        <v>MEM0224</v>
      </c>
      <c r="B225" s="9" t="str">
        <f ca="1">_xlfn.XLOOKUP(A225,Cleaned_Data!A:A,Cleaned_Data!B:B)</f>
        <v>Nikhil Joshi</v>
      </c>
      <c r="C225" s="9" t="str">
        <f ca="1">_xlfn.XLOOKUP(A225,Cleaned_Data!A:A,Cleaned_Data!C:C)</f>
        <v>Bangalore</v>
      </c>
      <c r="D225" s="9" t="str">
        <f ca="1">_xlfn.XLOOKUP(A225,Cleaned_Data!A:A,Cleaned_Data!L:L)</f>
        <v>General Fitness</v>
      </c>
    </row>
    <row r="226" spans="1:4">
      <c r="A226" s="9" t="str">
        <v>MEM0225</v>
      </c>
      <c r="B226" s="9" t="str">
        <f ca="1">_xlfn.XLOOKUP(A226,Cleaned_Data!A:A,Cleaned_Data!B:B)</f>
        <v>Shreya Mathew</v>
      </c>
      <c r="C226" s="9" t="str">
        <f ca="1">_xlfn.XLOOKUP(A226,Cleaned_Data!A:A,Cleaned_Data!C:C)</f>
        <v>Chennai</v>
      </c>
      <c r="D226" s="9" t="str">
        <f ca="1">_xlfn.XLOOKUP(A226,Cleaned_Data!A:A,Cleaned_Data!L:L)</f>
        <v>Weight Loss</v>
      </c>
    </row>
    <row r="227" spans="1:4">
      <c r="A227" s="9" t="str">
        <v>MEM0226</v>
      </c>
      <c r="B227" s="9" t="str">
        <f ca="1">_xlfn.XLOOKUP(A227,Cleaned_Data!A:A,Cleaned_Data!B:B)</f>
        <v>Nisha Patel</v>
      </c>
      <c r="C227" s="9" t="str">
        <f ca="1">_xlfn.XLOOKUP(A227,Cleaned_Data!A:A,Cleaned_Data!C:C)</f>
        <v>Bangalore</v>
      </c>
      <c r="D227" s="9" t="str">
        <f ca="1">_xlfn.XLOOKUP(A227,Cleaned_Data!A:A,Cleaned_Data!L:L)</f>
        <v>Weight Loss</v>
      </c>
    </row>
    <row r="228" spans="1:4">
      <c r="A228" s="9" t="str">
        <v>MEM0227</v>
      </c>
      <c r="B228" s="9" t="str">
        <f ca="1">_xlfn.XLOOKUP(A228,Cleaned_Data!A:A,Cleaned_Data!B:B)</f>
        <v>Ankit Varghese</v>
      </c>
      <c r="C228" s="9" t="str">
        <f ca="1">_xlfn.XLOOKUP(A228,Cleaned_Data!A:A,Cleaned_Data!C:C)</f>
        <v>Chennai</v>
      </c>
      <c r="D228" s="9" t="str">
        <f ca="1">_xlfn.XLOOKUP(A228,Cleaned_Data!A:A,Cleaned_Data!L:L)</f>
        <v>General Fitness</v>
      </c>
    </row>
    <row r="229" spans="1:4">
      <c r="A229" s="9" t="str">
        <v>MEM0228</v>
      </c>
      <c r="B229" s="9" t="str">
        <f ca="1">_xlfn.XLOOKUP(A229,Cleaned_Data!A:A,Cleaned_Data!B:B)</f>
        <v>Ayesha Patel</v>
      </c>
      <c r="C229" s="9" t="str">
        <f ca="1">_xlfn.XLOOKUP(A229,Cleaned_Data!A:A,Cleaned_Data!C:C)</f>
        <v>Hyderabad</v>
      </c>
      <c r="D229" s="9" t="str">
        <f ca="1">_xlfn.XLOOKUP(A229,Cleaned_Data!A:A,Cleaned_Data!L:L)</f>
        <v>Muscle Gain</v>
      </c>
    </row>
    <row r="230" spans="1:4">
      <c r="A230" s="9" t="str">
        <v>MEM0229</v>
      </c>
      <c r="B230" s="9" t="str">
        <f ca="1">_xlfn.XLOOKUP(A230,Cleaned_Data!A:A,Cleaned_Data!B:B)</f>
        <v>Swathi Kapoor</v>
      </c>
      <c r="C230" s="9" t="str">
        <f ca="1">_xlfn.XLOOKUP(A230,Cleaned_Data!A:A,Cleaned_Data!C:C)</f>
        <v>Trivandrum</v>
      </c>
      <c r="D230" s="9" t="str">
        <f ca="1">_xlfn.XLOOKUP(A230,Cleaned_Data!A:A,Cleaned_Data!L:L)</f>
        <v>General Fitness</v>
      </c>
    </row>
    <row r="231" spans="1:4">
      <c r="A231" s="9" t="str">
        <v>MEM0230</v>
      </c>
      <c r="B231" s="9" t="str">
        <f ca="1">_xlfn.XLOOKUP(A231,Cleaned_Data!A:A,Cleaned_Data!B:B)</f>
        <v>Rahul Das</v>
      </c>
      <c r="C231" s="9" t="str">
        <f ca="1">_xlfn.XLOOKUP(A231,Cleaned_Data!A:A,Cleaned_Data!C:C)</f>
        <v>Bangalore</v>
      </c>
      <c r="D231" s="9" t="str">
        <f ca="1">_xlfn.XLOOKUP(A231,Cleaned_Data!A:A,Cleaned_Data!L:L)</f>
        <v>Weight Loss</v>
      </c>
    </row>
    <row r="232" spans="1:4">
      <c r="A232" s="9" t="str">
        <v>MEM0231</v>
      </c>
      <c r="B232" s="9" t="str">
        <f ca="1">_xlfn.XLOOKUP(A232,Cleaned_Data!A:A,Cleaned_Data!B:B)</f>
        <v>Anjali Shetty</v>
      </c>
      <c r="C232" s="9" t="str">
        <f ca="1">_xlfn.XLOOKUP(A232,Cleaned_Data!A:A,Cleaned_Data!C:C)</f>
        <v>Bangalore</v>
      </c>
      <c r="D232" s="9" t="str">
        <f ca="1">_xlfn.XLOOKUP(A232,Cleaned_Data!A:A,Cleaned_Data!L:L)</f>
        <v>Weight Loss</v>
      </c>
    </row>
    <row r="233" spans="1:4">
      <c r="A233" s="9" t="str">
        <v>MEM0232</v>
      </c>
      <c r="B233" s="9" t="str">
        <f ca="1">_xlfn.XLOOKUP(A233,Cleaned_Data!A:A,Cleaned_Data!B:B)</f>
        <v>Arjun Shetty</v>
      </c>
      <c r="C233" s="9" t="str">
        <f ca="1">_xlfn.XLOOKUP(A233,Cleaned_Data!A:A,Cleaned_Data!C:C)</f>
        <v>Mumbai</v>
      </c>
      <c r="D233" s="9" t="str">
        <f ca="1">_xlfn.XLOOKUP(A233,Cleaned_Data!A:A,Cleaned_Data!L:L)</f>
        <v>Muscle Gain</v>
      </c>
    </row>
    <row r="234" spans="1:4">
      <c r="A234" s="9" t="str">
        <v>MEM0233</v>
      </c>
      <c r="B234" s="9" t="str">
        <f ca="1">_xlfn.XLOOKUP(A234,Cleaned_Data!A:A,Cleaned_Data!B:B)</f>
        <v>Harish Bhat</v>
      </c>
      <c r="C234" s="9" t="str">
        <f ca="1">_xlfn.XLOOKUP(A234,Cleaned_Data!A:A,Cleaned_Data!C:C)</f>
        <v>Chennai</v>
      </c>
      <c r="D234" s="9" t="str">
        <f ca="1">_xlfn.XLOOKUP(A234,Cleaned_Data!A:A,Cleaned_Data!L:L)</f>
        <v>General Fitness</v>
      </c>
    </row>
    <row r="235" spans="1:4">
      <c r="A235" s="9" t="str">
        <v>MEM0234</v>
      </c>
      <c r="B235" s="9" t="str">
        <f ca="1">_xlfn.XLOOKUP(A235,Cleaned_Data!A:A,Cleaned_Data!B:B)</f>
        <v>Aditya Kulkarni</v>
      </c>
      <c r="C235" s="9" t="str">
        <f ca="1">_xlfn.XLOOKUP(A235,Cleaned_Data!A:A,Cleaned_Data!C:C)</f>
        <v>Mumbai</v>
      </c>
      <c r="D235" s="9" t="str">
        <f ca="1">_xlfn.XLOOKUP(A235,Cleaned_Data!A:A,Cleaned_Data!L:L)</f>
        <v>Weight Loss</v>
      </c>
    </row>
    <row r="236" spans="1:4">
      <c r="A236" s="9" t="str">
        <v>MEM0235</v>
      </c>
      <c r="B236" s="9" t="str">
        <f ca="1">_xlfn.XLOOKUP(A236,Cleaned_Data!A:A,Cleaned_Data!B:B)</f>
        <v>Zara Verma</v>
      </c>
      <c r="C236" s="9" t="str">
        <f ca="1">_xlfn.XLOOKUP(A236,Cleaned_Data!A:A,Cleaned_Data!C:C)</f>
        <v>Calicut</v>
      </c>
      <c r="D236" s="9" t="str">
        <f ca="1">_xlfn.XLOOKUP(A236,Cleaned_Data!A:A,Cleaned_Data!L:L)</f>
        <v>Muscle Gain</v>
      </c>
    </row>
    <row r="237" spans="1:4">
      <c r="A237" s="9" t="str">
        <v>MEM0236</v>
      </c>
      <c r="B237" s="9" t="str">
        <f ca="1">_xlfn.XLOOKUP(A237,Cleaned_Data!A:A,Cleaned_Data!B:B)</f>
        <v>Kavya Naidu</v>
      </c>
      <c r="C237" s="9" t="str">
        <f ca="1">_xlfn.XLOOKUP(A237,Cleaned_Data!A:A,Cleaned_Data!C:C)</f>
        <v>Trivandrum</v>
      </c>
      <c r="D237" s="9" t="str">
        <f ca="1">_xlfn.XLOOKUP(A237,Cleaned_Data!A:A,Cleaned_Data!L:L)</f>
        <v>Weight Loss</v>
      </c>
    </row>
    <row r="238" spans="1:4">
      <c r="A238" s="9" t="str">
        <v>MEM0237</v>
      </c>
      <c r="B238" s="9" t="str">
        <f ca="1">_xlfn.XLOOKUP(A238,Cleaned_Data!A:A,Cleaned_Data!B:B)</f>
        <v>Aditya Joshi</v>
      </c>
      <c r="C238" s="9" t="str">
        <f ca="1">_xlfn.XLOOKUP(A238,Cleaned_Data!A:A,Cleaned_Data!C:C)</f>
        <v>Trivandrum</v>
      </c>
      <c r="D238" s="9" t="str">
        <f ca="1">_xlfn.XLOOKUP(A238,Cleaned_Data!A:A,Cleaned_Data!L:L)</f>
        <v>Weight Loss</v>
      </c>
    </row>
    <row r="239" spans="1:4">
      <c r="A239" s="9" t="str">
        <v>MEM0238</v>
      </c>
      <c r="B239" s="9" t="str">
        <f ca="1">_xlfn.XLOOKUP(A239,Cleaned_Data!A:A,Cleaned_Data!B:B)</f>
        <v>Zara Gupta</v>
      </c>
      <c r="C239" s="9" t="str">
        <f ca="1">_xlfn.XLOOKUP(A239,Cleaned_Data!A:A,Cleaned_Data!C:C)</f>
        <v>Mumbai</v>
      </c>
      <c r="D239" s="9" t="str">
        <f ca="1">_xlfn.XLOOKUP(A239,Cleaned_Data!A:A,Cleaned_Data!L:L)</f>
        <v>Weight Loss</v>
      </c>
    </row>
    <row r="240" spans="1:4">
      <c r="A240" s="9" t="str">
        <v>MEM0239</v>
      </c>
      <c r="B240" s="9" t="str">
        <f ca="1">_xlfn.XLOOKUP(A240,Cleaned_Data!A:A,Cleaned_Data!B:B)</f>
        <v>Ankit Joshi</v>
      </c>
      <c r="C240" s="9" t="str">
        <f ca="1">_xlfn.XLOOKUP(A240,Cleaned_Data!A:A,Cleaned_Data!C:C)</f>
        <v>Chennai</v>
      </c>
      <c r="D240" s="9" t="str">
        <f ca="1">_xlfn.XLOOKUP(A240,Cleaned_Data!A:A,Cleaned_Data!L:L)</f>
        <v>Muscle Gain</v>
      </c>
    </row>
    <row r="241" spans="1:4">
      <c r="A241" s="9" t="str">
        <v>MEM0240</v>
      </c>
      <c r="B241" s="9" t="str">
        <f ca="1">_xlfn.XLOOKUP(A241,Cleaned_Data!A:A,Cleaned_Data!B:B)</f>
        <v>Karthik Thomas</v>
      </c>
      <c r="C241" s="9" t="str">
        <f ca="1">_xlfn.XLOOKUP(A241,Cleaned_Data!A:A,Cleaned_Data!C:C)</f>
        <v>Bangalore</v>
      </c>
      <c r="D241" s="9" t="str">
        <f ca="1">_xlfn.XLOOKUP(A241,Cleaned_Data!A:A,Cleaned_Data!L:L)</f>
        <v>Weight Loss</v>
      </c>
    </row>
    <row r="242" spans="1:4">
      <c r="A242" s="9" t="str">
        <v>MEM0241</v>
      </c>
      <c r="B242" s="9" t="str">
        <f ca="1">_xlfn.XLOOKUP(A242,Cleaned_Data!A:A,Cleaned_Data!B:B)</f>
        <v>Arjun Thomas</v>
      </c>
      <c r="C242" s="9" t="str">
        <f ca="1">_xlfn.XLOOKUP(A242,Cleaned_Data!A:A,Cleaned_Data!C:C)</f>
        <v>Calicut</v>
      </c>
      <c r="D242" s="9" t="str">
        <f ca="1">_xlfn.XLOOKUP(A242,Cleaned_Data!A:A,Cleaned_Data!L:L)</f>
        <v>General Fitness</v>
      </c>
    </row>
    <row r="243" spans="1:4">
      <c r="A243" s="9" t="str">
        <v>MEM0242</v>
      </c>
      <c r="B243" s="9" t="str">
        <f ca="1">_xlfn.XLOOKUP(A243,Cleaned_Data!A:A,Cleaned_Data!B:B)</f>
        <v>Lakshmi Malhotra</v>
      </c>
      <c r="C243" s="9" t="str">
        <f ca="1">_xlfn.XLOOKUP(A243,Cleaned_Data!A:A,Cleaned_Data!C:C)</f>
        <v>Trivandrum</v>
      </c>
      <c r="D243" s="9" t="str">
        <f ca="1">_xlfn.XLOOKUP(A243,Cleaned_Data!A:A,Cleaned_Data!L:L)</f>
        <v>General Fitness</v>
      </c>
    </row>
    <row r="244" spans="1:4">
      <c r="A244" s="9" t="str">
        <v>MEM0243</v>
      </c>
      <c r="B244" s="9" t="str">
        <f ca="1">_xlfn.XLOOKUP(A244,Cleaned_Data!A:A,Cleaned_Data!B:B)</f>
        <v>Karthik Shetty</v>
      </c>
      <c r="C244" s="9" t="str">
        <f ca="1">_xlfn.XLOOKUP(A244,Cleaned_Data!A:A,Cleaned_Data!C:C)</f>
        <v>Calicut</v>
      </c>
      <c r="D244" s="9" t="str">
        <f ca="1">_xlfn.XLOOKUP(A244,Cleaned_Data!A:A,Cleaned_Data!L:L)</f>
        <v>Muscle Gain</v>
      </c>
    </row>
    <row r="245" spans="1:4">
      <c r="A245" s="9" t="str">
        <v>MEM0244</v>
      </c>
      <c r="B245" s="9" t="str">
        <f ca="1">_xlfn.XLOOKUP(A245,Cleaned_Data!A:A,Cleaned_Data!B:B)</f>
        <v>Anjali Nair</v>
      </c>
      <c r="C245" s="9" t="str">
        <f ca="1">_xlfn.XLOOKUP(A245,Cleaned_Data!A:A,Cleaned_Data!C:C)</f>
        <v>Kochi</v>
      </c>
      <c r="D245" s="9" t="str">
        <f ca="1">_xlfn.XLOOKUP(A245,Cleaned_Data!A:A,Cleaned_Data!L:L)</f>
        <v>General Fitness</v>
      </c>
    </row>
    <row r="246" spans="1:4">
      <c r="A246" s="9" t="str">
        <v>MEM0245</v>
      </c>
      <c r="B246" s="9" t="str">
        <f ca="1">_xlfn.XLOOKUP(A246,Cleaned_Data!A:A,Cleaned_Data!B:B)</f>
        <v>Sneha Verma</v>
      </c>
      <c r="C246" s="9" t="str">
        <f ca="1">_xlfn.XLOOKUP(A246,Cleaned_Data!A:A,Cleaned_Data!C:C)</f>
        <v>Bangalore</v>
      </c>
      <c r="D246" s="9" t="str">
        <f ca="1">_xlfn.XLOOKUP(A246,Cleaned_Data!A:A,Cleaned_Data!L:L)</f>
        <v>General Fitness</v>
      </c>
    </row>
    <row r="247" spans="1:4">
      <c r="A247" s="9" t="str">
        <v>MEM0246</v>
      </c>
      <c r="B247" s="9" t="str">
        <f ca="1">_xlfn.XLOOKUP(A247,Cleaned_Data!A:A,Cleaned_Data!B:B)</f>
        <v>Rahul Varghese</v>
      </c>
      <c r="C247" s="9" t="str">
        <f ca="1">_xlfn.XLOOKUP(A247,Cleaned_Data!A:A,Cleaned_Data!C:C)</f>
        <v>Trivandrum</v>
      </c>
      <c r="D247" s="9" t="str">
        <f ca="1">_xlfn.XLOOKUP(A247,Cleaned_Data!A:A,Cleaned_Data!L:L)</f>
        <v>Weight Loss</v>
      </c>
    </row>
    <row r="248" spans="1:4">
      <c r="A248" s="9" t="str">
        <v>MEM0247</v>
      </c>
      <c r="B248" s="9" t="str">
        <f ca="1">_xlfn.XLOOKUP(A248,Cleaned_Data!A:A,Cleaned_Data!B:B)</f>
        <v>Priya Reddy</v>
      </c>
      <c r="C248" s="9" t="str">
        <f ca="1">_xlfn.XLOOKUP(A248,Cleaned_Data!A:A,Cleaned_Data!C:C)</f>
        <v>Hyderabad</v>
      </c>
      <c r="D248" s="9" t="str">
        <f ca="1">_xlfn.XLOOKUP(A248,Cleaned_Data!A:A,Cleaned_Data!L:L)</f>
        <v>Weight Loss</v>
      </c>
    </row>
    <row r="249" spans="1:4">
      <c r="A249" s="9" t="str">
        <v>MEM0248</v>
      </c>
      <c r="B249" s="9" t="str">
        <f ca="1">_xlfn.XLOOKUP(A249,Cleaned_Data!A:A,Cleaned_Data!B:B)</f>
        <v>Nikhil Nair</v>
      </c>
      <c r="C249" s="9" t="str">
        <f ca="1">_xlfn.XLOOKUP(A249,Cleaned_Data!A:A,Cleaned_Data!C:C)</f>
        <v>Bangalore</v>
      </c>
      <c r="D249" s="9" t="str">
        <f ca="1">_xlfn.XLOOKUP(A249,Cleaned_Data!A:A,Cleaned_Data!L:L)</f>
        <v>Weight Loss</v>
      </c>
    </row>
    <row r="250" spans="1:4">
      <c r="A250" s="9" t="str">
        <v>MEM0249</v>
      </c>
      <c r="B250" s="9" t="str">
        <f ca="1">_xlfn.XLOOKUP(A250,Cleaned_Data!A:A,Cleaned_Data!B:B)</f>
        <v>Neha Joshi</v>
      </c>
      <c r="C250" s="9" t="str">
        <f ca="1">_xlfn.XLOOKUP(A250,Cleaned_Data!A:A,Cleaned_Data!C:C)</f>
        <v>Trivandrum</v>
      </c>
      <c r="D250" s="9" t="str">
        <f ca="1">_xlfn.XLOOKUP(A250,Cleaned_Data!A:A,Cleaned_Data!L:L)</f>
        <v>Muscle Gain</v>
      </c>
    </row>
    <row r="251" spans="1:4">
      <c r="A251" s="9" t="str">
        <v>MEM0250</v>
      </c>
      <c r="B251" s="9" t="str">
        <f ca="1">_xlfn.XLOOKUP(A251,Cleaned_Data!A:A,Cleaned_Data!B:B)</f>
        <v>Rohit Agarwal</v>
      </c>
      <c r="C251" s="9" t="str">
        <f ca="1">_xlfn.XLOOKUP(A251,Cleaned_Data!A:A,Cleaned_Data!C:C)</f>
        <v>Chennai</v>
      </c>
      <c r="D251" s="9" t="str">
        <f ca="1">_xlfn.XLOOKUP(A251,Cleaned_Data!A:A,Cleaned_Data!L:L)</f>
        <v>Muscle Gain</v>
      </c>
    </row>
    <row r="252" spans="1:4">
      <c r="A252" s="9" t="str">
        <v>MEM0251</v>
      </c>
      <c r="B252" s="9" t="str">
        <f ca="1">_xlfn.XLOOKUP(A252,Cleaned_Data!A:A,Cleaned_Data!B:B)</f>
        <v>Arjun Yadav</v>
      </c>
      <c r="C252" s="9" t="str">
        <f ca="1">_xlfn.XLOOKUP(A252,Cleaned_Data!A:A,Cleaned_Data!C:C)</f>
        <v>Mumbai</v>
      </c>
      <c r="D252" s="9" t="str">
        <f ca="1">_xlfn.XLOOKUP(A252,Cleaned_Data!A:A,Cleaned_Data!L:L)</f>
        <v>Muscle Gain</v>
      </c>
    </row>
    <row r="253" spans="1:4">
      <c r="A253" s="9" t="str">
        <v>MEM0252</v>
      </c>
      <c r="B253" s="9" t="str">
        <f ca="1">_xlfn.XLOOKUP(A253,Cleaned_Data!A:A,Cleaned_Data!B:B)</f>
        <v>Manoj Naidu</v>
      </c>
      <c r="C253" s="9" t="str">
        <f ca="1">_xlfn.XLOOKUP(A253,Cleaned_Data!A:A,Cleaned_Data!C:C)</f>
        <v>Bangalore</v>
      </c>
      <c r="D253" s="9" t="str">
        <f ca="1">_xlfn.XLOOKUP(A253,Cleaned_Data!A:A,Cleaned_Data!L:L)</f>
        <v>General Fitness</v>
      </c>
    </row>
    <row r="254" spans="1:4">
      <c r="A254" s="9" t="str">
        <v>MEM0253</v>
      </c>
      <c r="B254" s="9" t="str">
        <f ca="1">_xlfn.XLOOKUP(A254,Cleaned_Data!A:A,Cleaned_Data!B:B)</f>
        <v>Zara Kulkarni</v>
      </c>
      <c r="C254" s="9" t="str">
        <f ca="1">_xlfn.XLOOKUP(A254,Cleaned_Data!A:A,Cleaned_Data!C:C)</f>
        <v>Trivandrum</v>
      </c>
      <c r="D254" s="9" t="str">
        <f ca="1">_xlfn.XLOOKUP(A254,Cleaned_Data!A:A,Cleaned_Data!L:L)</f>
        <v>General Fitness</v>
      </c>
    </row>
    <row r="255" spans="1:4">
      <c r="A255" s="9" t="str">
        <v>MEM0254</v>
      </c>
      <c r="B255" s="9" t="str">
        <f ca="1">_xlfn.XLOOKUP(A255,Cleaned_Data!A:A,Cleaned_Data!B:B)</f>
        <v>Harish Varghese</v>
      </c>
      <c r="C255" s="9" t="str">
        <f ca="1">_xlfn.XLOOKUP(A255,Cleaned_Data!A:A,Cleaned_Data!C:C)</f>
        <v>Mumbai</v>
      </c>
      <c r="D255" s="9" t="str">
        <f ca="1">_xlfn.XLOOKUP(A255,Cleaned_Data!A:A,Cleaned_Data!L:L)</f>
        <v>Weight Loss</v>
      </c>
    </row>
    <row r="256" spans="1:4">
      <c r="A256" s="9" t="str">
        <v>MEM0255</v>
      </c>
      <c r="B256" s="9" t="str">
        <f ca="1">_xlfn.XLOOKUP(A256,Cleaned_Data!A:A,Cleaned_Data!B:B)</f>
        <v>Anu Lewis</v>
      </c>
      <c r="C256" s="9" t="str">
        <f ca="1">_xlfn.XLOOKUP(A256,Cleaned_Data!A:A,Cleaned_Data!C:C)</f>
        <v>Chennai</v>
      </c>
      <c r="D256" s="9" t="str">
        <f ca="1">_xlfn.XLOOKUP(A256,Cleaned_Data!A:A,Cleaned_Data!L:L)</f>
        <v>General Fitness</v>
      </c>
    </row>
    <row r="257" spans="1:4">
      <c r="A257" s="9" t="str">
        <v>MEM0256</v>
      </c>
      <c r="B257" s="9" t="str">
        <f ca="1">_xlfn.XLOOKUP(A257,Cleaned_Data!A:A,Cleaned_Data!B:B)</f>
        <v>Sneha Verma</v>
      </c>
      <c r="C257" s="9" t="str">
        <f ca="1">_xlfn.XLOOKUP(A257,Cleaned_Data!A:A,Cleaned_Data!C:C)</f>
        <v>Calicut</v>
      </c>
      <c r="D257" s="9" t="str">
        <f ca="1">_xlfn.XLOOKUP(A257,Cleaned_Data!A:A,Cleaned_Data!L:L)</f>
        <v>General Fitness</v>
      </c>
    </row>
    <row r="258" spans="1:4">
      <c r="A258" s="9" t="str">
        <v>MEM0257</v>
      </c>
      <c r="B258" s="9" t="str">
        <f ca="1">_xlfn.XLOOKUP(A258,Cleaned_Data!A:A,Cleaned_Data!B:B)</f>
        <v>Kavya Thomas</v>
      </c>
      <c r="C258" s="9" t="str">
        <f ca="1">_xlfn.XLOOKUP(A258,Cleaned_Data!A:A,Cleaned_Data!C:C)</f>
        <v>Chennai</v>
      </c>
      <c r="D258" s="9" t="str">
        <f ca="1">_xlfn.XLOOKUP(A258,Cleaned_Data!A:A,Cleaned_Data!L:L)</f>
        <v>Weight Loss</v>
      </c>
    </row>
    <row r="259" spans="1:4">
      <c r="A259" s="9" t="str">
        <v>MEM0258</v>
      </c>
      <c r="B259" s="9" t="str">
        <f ca="1">_xlfn.XLOOKUP(A259,Cleaned_Data!A:A,Cleaned_Data!B:B)</f>
        <v>Tanvi Khan</v>
      </c>
      <c r="C259" s="9" t="str">
        <f ca="1">_xlfn.XLOOKUP(A259,Cleaned_Data!A:A,Cleaned_Data!C:C)</f>
        <v>Calicut</v>
      </c>
      <c r="D259" s="9" t="str">
        <f ca="1">_xlfn.XLOOKUP(A259,Cleaned_Data!A:A,Cleaned_Data!L:L)</f>
        <v>Muscle Gain</v>
      </c>
    </row>
    <row r="260" spans="1:4">
      <c r="A260" s="9" t="str">
        <v>MEM0259</v>
      </c>
      <c r="B260" s="9" t="str">
        <f ca="1">_xlfn.XLOOKUP(A260,Cleaned_Data!A:A,Cleaned_Data!B:B)</f>
        <v>Zara Malhotra</v>
      </c>
      <c r="C260" s="9" t="str">
        <f ca="1">_xlfn.XLOOKUP(A260,Cleaned_Data!A:A,Cleaned_Data!C:C)</f>
        <v>Trivandrum</v>
      </c>
      <c r="D260" s="9" t="str">
        <f ca="1">_xlfn.XLOOKUP(A260,Cleaned_Data!A:A,Cleaned_Data!L:L)</f>
        <v>Muscle Gain</v>
      </c>
    </row>
    <row r="261" spans="1:4">
      <c r="A261" s="9" t="str">
        <v>MEM0260</v>
      </c>
      <c r="B261" s="9" t="str">
        <f ca="1">_xlfn.XLOOKUP(A261,Cleaned_Data!A:A,Cleaned_Data!B:B)</f>
        <v>Priya Mathew</v>
      </c>
      <c r="C261" s="9" t="str">
        <f ca="1">_xlfn.XLOOKUP(A261,Cleaned_Data!A:A,Cleaned_Data!C:C)</f>
        <v>Trivandrum</v>
      </c>
      <c r="D261" s="9" t="str">
        <f ca="1">_xlfn.XLOOKUP(A261,Cleaned_Data!A:A,Cleaned_Data!L:L)</f>
        <v>General Fitness</v>
      </c>
    </row>
    <row r="262" spans="1:4">
      <c r="A262" s="9" t="str">
        <v>MEM0261</v>
      </c>
      <c r="B262" s="9" t="str">
        <f ca="1">_xlfn.XLOOKUP(A262,Cleaned_Data!A:A,Cleaned_Data!B:B)</f>
        <v>Karthik George</v>
      </c>
      <c r="C262" s="9" t="str">
        <f ca="1">_xlfn.XLOOKUP(A262,Cleaned_Data!A:A,Cleaned_Data!C:C)</f>
        <v>Chennai</v>
      </c>
      <c r="D262" s="9" t="str">
        <f ca="1">_xlfn.XLOOKUP(A262,Cleaned_Data!A:A,Cleaned_Data!L:L)</f>
        <v>General Fitness</v>
      </c>
    </row>
    <row r="263" spans="1:4">
      <c r="A263" s="9" t="str">
        <v>MEM0262</v>
      </c>
      <c r="B263" s="9" t="str">
        <f ca="1">_xlfn.XLOOKUP(A263,Cleaned_Data!A:A,Cleaned_Data!B:B)</f>
        <v>Manoj Chatterjee</v>
      </c>
      <c r="C263" s="9" t="str">
        <f ca="1">_xlfn.XLOOKUP(A263,Cleaned_Data!A:A,Cleaned_Data!C:C)</f>
        <v>Hyderabad</v>
      </c>
      <c r="D263" s="9" t="str">
        <f ca="1">_xlfn.XLOOKUP(A263,Cleaned_Data!A:A,Cleaned_Data!L:L)</f>
        <v>Muscle Gain</v>
      </c>
    </row>
    <row r="264" spans="1:4">
      <c r="A264" s="9" t="str">
        <v>MEM0263</v>
      </c>
      <c r="B264" s="9" t="str">
        <f ca="1">_xlfn.XLOOKUP(A264,Cleaned_Data!A:A,Cleaned_Data!B:B)</f>
        <v>Harish Shaikh</v>
      </c>
      <c r="C264" s="9" t="str">
        <f ca="1">_xlfn.XLOOKUP(A264,Cleaned_Data!A:A,Cleaned_Data!C:C)</f>
        <v>Mumbai</v>
      </c>
      <c r="D264" s="9" t="str">
        <f ca="1">_xlfn.XLOOKUP(A264,Cleaned_Data!A:A,Cleaned_Data!L:L)</f>
        <v>Muscle Gain</v>
      </c>
    </row>
    <row r="265" spans="1:4">
      <c r="A265" s="9" t="str">
        <v>MEM0264</v>
      </c>
      <c r="B265" s="9" t="str">
        <f ca="1">_xlfn.XLOOKUP(A265,Cleaned_Data!A:A,Cleaned_Data!B:B)</f>
        <v>Tanvi Joshi</v>
      </c>
      <c r="C265" s="9" t="str">
        <f ca="1">_xlfn.XLOOKUP(A265,Cleaned_Data!A:A,Cleaned_Data!C:C)</f>
        <v>Hyderabad</v>
      </c>
      <c r="D265" s="9" t="str">
        <f ca="1">_xlfn.XLOOKUP(A265,Cleaned_Data!A:A,Cleaned_Data!L:L)</f>
        <v>Weight Loss</v>
      </c>
    </row>
    <row r="266" spans="1:4">
      <c r="A266" s="9" t="str">
        <v>MEM0265</v>
      </c>
      <c r="B266" s="9" t="str">
        <f ca="1">_xlfn.XLOOKUP(A266,Cleaned_Data!A:A,Cleaned_Data!B:B)</f>
        <v>Harish Desai</v>
      </c>
      <c r="C266" s="9" t="str">
        <f ca="1">_xlfn.XLOOKUP(A266,Cleaned_Data!A:A,Cleaned_Data!C:C)</f>
        <v>Chennai</v>
      </c>
      <c r="D266" s="9" t="str">
        <f ca="1">_xlfn.XLOOKUP(A266,Cleaned_Data!A:A,Cleaned_Data!L:L)</f>
        <v>Weight Loss</v>
      </c>
    </row>
    <row r="267" spans="1:4">
      <c r="A267" s="9" t="str">
        <v>MEM0266</v>
      </c>
      <c r="B267" s="9" t="str">
        <f ca="1">_xlfn.XLOOKUP(A267,Cleaned_Data!A:A,Cleaned_Data!B:B)</f>
        <v>Lakshmi George</v>
      </c>
      <c r="C267" s="9" t="str">
        <f ca="1">_xlfn.XLOOKUP(A267,Cleaned_Data!A:A,Cleaned_Data!C:C)</f>
        <v>Chennai</v>
      </c>
      <c r="D267" s="9" t="str">
        <f ca="1">_xlfn.XLOOKUP(A267,Cleaned_Data!A:A,Cleaned_Data!L:L)</f>
        <v>Muscle Gain</v>
      </c>
    </row>
    <row r="268" spans="1:4">
      <c r="A268" s="9" t="str">
        <v>MEM0267</v>
      </c>
      <c r="B268" s="9" t="str">
        <f ca="1">_xlfn.XLOOKUP(A268,Cleaned_Data!A:A,Cleaned_Data!B:B)</f>
        <v>Akash Iyer</v>
      </c>
      <c r="C268" s="9" t="str">
        <f ca="1">_xlfn.XLOOKUP(A268,Cleaned_Data!A:A,Cleaned_Data!C:C)</f>
        <v>Hyderabad</v>
      </c>
      <c r="D268" s="9" t="str">
        <f ca="1">_xlfn.XLOOKUP(A268,Cleaned_Data!A:A,Cleaned_Data!L:L)</f>
        <v>Muscle Gain</v>
      </c>
    </row>
    <row r="269" spans="1:4">
      <c r="A269" s="9" t="str">
        <v>MEM0268</v>
      </c>
      <c r="B269" s="9" t="str">
        <f ca="1">_xlfn.XLOOKUP(A269,Cleaned_Data!A:A,Cleaned_Data!B:B)</f>
        <v>Riya Joshi</v>
      </c>
      <c r="C269" s="9" t="str">
        <f ca="1">_xlfn.XLOOKUP(A269,Cleaned_Data!A:A,Cleaned_Data!C:C)</f>
        <v>Bangalore</v>
      </c>
      <c r="D269" s="9" t="str">
        <f ca="1">_xlfn.XLOOKUP(A269,Cleaned_Data!A:A,Cleaned_Data!L:L)</f>
        <v>Weight Loss</v>
      </c>
    </row>
    <row r="270" spans="1:4">
      <c r="A270" s="9" t="str">
        <v>MEM0269</v>
      </c>
      <c r="B270" s="9" t="str">
        <f ca="1">_xlfn.XLOOKUP(A270,Cleaned_Data!A:A,Cleaned_Data!B:B)</f>
        <v>Zara Joseph</v>
      </c>
      <c r="C270" s="9" t="str">
        <f ca="1">_xlfn.XLOOKUP(A270,Cleaned_Data!A:A,Cleaned_Data!C:C)</f>
        <v>Trivandrum</v>
      </c>
      <c r="D270" s="9" t="str">
        <f ca="1">_xlfn.XLOOKUP(A270,Cleaned_Data!A:A,Cleaned_Data!L:L)</f>
        <v>General Fitness</v>
      </c>
    </row>
    <row r="271" spans="1:4">
      <c r="A271" s="9" t="str">
        <v>MEM0270</v>
      </c>
      <c r="B271" s="9" t="str">
        <f ca="1">_xlfn.XLOOKUP(A271,Cleaned_Data!A:A,Cleaned_Data!B:B)</f>
        <v>Akash Thomas</v>
      </c>
      <c r="C271" s="9" t="str">
        <f ca="1">_xlfn.XLOOKUP(A271,Cleaned_Data!A:A,Cleaned_Data!C:C)</f>
        <v>Mumbai</v>
      </c>
      <c r="D271" s="9" t="str">
        <f ca="1">_xlfn.XLOOKUP(A271,Cleaned_Data!A:A,Cleaned_Data!L:L)</f>
        <v>Weight Loss</v>
      </c>
    </row>
    <row r="272" spans="1:4">
      <c r="A272" s="9" t="str">
        <v>MEM0271</v>
      </c>
      <c r="B272" s="9" t="str">
        <f ca="1">_xlfn.XLOOKUP(A272,Cleaned_Data!A:A,Cleaned_Data!B:B)</f>
        <v>Divya George</v>
      </c>
      <c r="C272" s="9" t="str">
        <f ca="1">_xlfn.XLOOKUP(A272,Cleaned_Data!A:A,Cleaned_Data!C:C)</f>
        <v>Chennai</v>
      </c>
      <c r="D272" s="9" t="str">
        <f ca="1">_xlfn.XLOOKUP(A272,Cleaned_Data!A:A,Cleaned_Data!L:L)</f>
        <v>Muscle Gain</v>
      </c>
    </row>
    <row r="273" spans="1:4">
      <c r="A273" s="9" t="str">
        <v>MEM0272</v>
      </c>
      <c r="B273" s="9" t="str">
        <f ca="1">_xlfn.XLOOKUP(A273,Cleaned_Data!A:A,Cleaned_Data!B:B)</f>
        <v>Akash Malhotra</v>
      </c>
      <c r="C273" s="9" t="str">
        <f ca="1">_xlfn.XLOOKUP(A273,Cleaned_Data!A:A,Cleaned_Data!C:C)</f>
        <v>Bangalore</v>
      </c>
      <c r="D273" s="9" t="str">
        <f ca="1">_xlfn.XLOOKUP(A273,Cleaned_Data!A:A,Cleaned_Data!L:L)</f>
        <v>General Fitness</v>
      </c>
    </row>
    <row r="274" spans="1:4">
      <c r="A274" s="9" t="str">
        <v>MEM0273</v>
      </c>
      <c r="B274" s="9" t="str">
        <f ca="1">_xlfn.XLOOKUP(A274,Cleaned_Data!A:A,Cleaned_Data!B:B)</f>
        <v>Aditya Fernandes</v>
      </c>
      <c r="C274" s="9" t="str">
        <f ca="1">_xlfn.XLOOKUP(A274,Cleaned_Data!A:A,Cleaned_Data!C:C)</f>
        <v>Calicut</v>
      </c>
      <c r="D274" s="9" t="str">
        <f ca="1">_xlfn.XLOOKUP(A274,Cleaned_Data!A:A,Cleaned_Data!L:L)</f>
        <v>Muscle Gain</v>
      </c>
    </row>
    <row r="275" spans="1:4">
      <c r="A275" s="9" t="str">
        <v>MEM0274</v>
      </c>
      <c r="B275" s="9" t="str">
        <f ca="1">_xlfn.XLOOKUP(A275,Cleaned_Data!A:A,Cleaned_Data!B:B)</f>
        <v>Deepak Singh</v>
      </c>
      <c r="C275" s="9" t="str">
        <f ca="1">_xlfn.XLOOKUP(A275,Cleaned_Data!A:A,Cleaned_Data!C:C)</f>
        <v>Trivandrum</v>
      </c>
      <c r="D275" s="9" t="str">
        <f ca="1">_xlfn.XLOOKUP(A275,Cleaned_Data!A:A,Cleaned_Data!L:L)</f>
        <v>Weight Loss</v>
      </c>
    </row>
    <row r="276" spans="1:4">
      <c r="A276" s="9" t="str">
        <v>MEM0275</v>
      </c>
      <c r="B276" s="9" t="str">
        <f ca="1">_xlfn.XLOOKUP(A276,Cleaned_Data!A:A,Cleaned_Data!B:B)</f>
        <v>Swathi Iyer</v>
      </c>
      <c r="C276" s="9" t="str">
        <f ca="1">_xlfn.XLOOKUP(A276,Cleaned_Data!A:A,Cleaned_Data!C:C)</f>
        <v>Mumbai</v>
      </c>
      <c r="D276" s="9" t="str">
        <f ca="1">_xlfn.XLOOKUP(A276,Cleaned_Data!A:A,Cleaned_Data!L:L)</f>
        <v>Weight Loss</v>
      </c>
    </row>
    <row r="277" spans="1:4">
      <c r="A277" s="9" t="str">
        <v>MEM0276</v>
      </c>
      <c r="B277" s="9" t="str">
        <f ca="1">_xlfn.XLOOKUP(A277,Cleaned_Data!A:A,Cleaned_Data!B:B)</f>
        <v>Meera Das</v>
      </c>
      <c r="C277" s="9" t="str">
        <f ca="1">_xlfn.XLOOKUP(A277,Cleaned_Data!A:A,Cleaned_Data!C:C)</f>
        <v>Bangalore</v>
      </c>
      <c r="D277" s="9" t="str">
        <f ca="1">_xlfn.XLOOKUP(A277,Cleaned_Data!A:A,Cleaned_Data!L:L)</f>
        <v>General Fitness</v>
      </c>
    </row>
    <row r="278" spans="1:4">
      <c r="A278" s="9" t="str">
        <v>MEM0277</v>
      </c>
      <c r="B278" s="9" t="str">
        <f ca="1">_xlfn.XLOOKUP(A278,Cleaned_Data!A:A,Cleaned_Data!B:B)</f>
        <v>Swathi Nambiar</v>
      </c>
      <c r="C278" s="9" t="str">
        <f ca="1">_xlfn.XLOOKUP(A278,Cleaned_Data!A:A,Cleaned_Data!C:C)</f>
        <v>Mumbai</v>
      </c>
      <c r="D278" s="9" t="str">
        <f ca="1">_xlfn.XLOOKUP(A278,Cleaned_Data!A:A,Cleaned_Data!L:L)</f>
        <v>General Fitness</v>
      </c>
    </row>
    <row r="279" spans="1:4">
      <c r="A279" s="9" t="str">
        <v>MEM0278</v>
      </c>
      <c r="B279" s="9" t="str">
        <f ca="1">_xlfn.XLOOKUP(A279,Cleaned_Data!A:A,Cleaned_Data!B:B)</f>
        <v>Vivek Bhat</v>
      </c>
      <c r="C279" s="9" t="str">
        <f ca="1">_xlfn.XLOOKUP(A279,Cleaned_Data!A:A,Cleaned_Data!C:C)</f>
        <v>Mumbai</v>
      </c>
      <c r="D279" s="9" t="str">
        <f ca="1">_xlfn.XLOOKUP(A279,Cleaned_Data!A:A,Cleaned_Data!L:L)</f>
        <v>Muscle Gain</v>
      </c>
    </row>
    <row r="280" spans="1:4">
      <c r="A280" s="9" t="str">
        <v>MEM0279</v>
      </c>
      <c r="B280" s="9" t="str">
        <f ca="1">_xlfn.XLOOKUP(A280,Cleaned_Data!A:A,Cleaned_Data!B:B)</f>
        <v>Arjun Gupta</v>
      </c>
      <c r="C280" s="9" t="str">
        <f ca="1">_xlfn.XLOOKUP(A280,Cleaned_Data!A:A,Cleaned_Data!C:C)</f>
        <v>Trivandrum</v>
      </c>
      <c r="D280" s="9" t="str">
        <f ca="1">_xlfn.XLOOKUP(A280,Cleaned_Data!A:A,Cleaned_Data!L:L)</f>
        <v>General Fitness</v>
      </c>
    </row>
    <row r="281" spans="1:4">
      <c r="A281" s="9" t="str">
        <v>MEM0280</v>
      </c>
      <c r="B281" s="9" t="str">
        <f ca="1">_xlfn.XLOOKUP(A281,Cleaned_Data!A:A,Cleaned_Data!B:B)</f>
        <v>Harish Verma</v>
      </c>
      <c r="C281" s="9" t="str">
        <f ca="1">_xlfn.XLOOKUP(A281,Cleaned_Data!A:A,Cleaned_Data!C:C)</f>
        <v>Trivandrum</v>
      </c>
      <c r="D281" s="9" t="str">
        <f ca="1">_xlfn.XLOOKUP(A281,Cleaned_Data!A:A,Cleaned_Data!L:L)</f>
        <v>General Fitness</v>
      </c>
    </row>
    <row r="282" spans="1:4">
      <c r="A282" s="9" t="str">
        <v>MEM0281</v>
      </c>
      <c r="B282" s="9" t="str">
        <f ca="1">_xlfn.XLOOKUP(A282,Cleaned_Data!A:A,Cleaned_Data!B:B)</f>
        <v>Riya Shetty</v>
      </c>
      <c r="C282" s="9" t="str">
        <f ca="1">_xlfn.XLOOKUP(A282,Cleaned_Data!A:A,Cleaned_Data!C:C)</f>
        <v>Calicut</v>
      </c>
      <c r="D282" s="9" t="str">
        <f ca="1">_xlfn.XLOOKUP(A282,Cleaned_Data!A:A,Cleaned_Data!L:L)</f>
        <v>General Fitness</v>
      </c>
    </row>
    <row r="283" spans="1:4">
      <c r="A283" s="9" t="str">
        <v>MEM0282</v>
      </c>
      <c r="B283" s="9" t="str">
        <f ca="1">_xlfn.XLOOKUP(A283,Cleaned_Data!A:A,Cleaned_Data!B:B)</f>
        <v>Ayesha Joshi</v>
      </c>
      <c r="C283" s="9" t="str">
        <f ca="1">_xlfn.XLOOKUP(A283,Cleaned_Data!A:A,Cleaned_Data!C:C)</f>
        <v>Bangalore</v>
      </c>
      <c r="D283" s="9" t="str">
        <f ca="1">_xlfn.XLOOKUP(A283,Cleaned_Data!A:A,Cleaned_Data!L:L)</f>
        <v>Weight Loss</v>
      </c>
    </row>
    <row r="284" spans="1:4">
      <c r="A284" s="9" t="str">
        <v>MEM0283</v>
      </c>
      <c r="B284" s="9" t="str">
        <f ca="1">_xlfn.XLOOKUP(A284,Cleaned_Data!A:A,Cleaned_Data!B:B)</f>
        <v>Lakshmi Shaikh</v>
      </c>
      <c r="C284" s="9" t="str">
        <f ca="1">_xlfn.XLOOKUP(A284,Cleaned_Data!A:A,Cleaned_Data!C:C)</f>
        <v>Hyderabad</v>
      </c>
      <c r="D284" s="9" t="str">
        <f ca="1">_xlfn.XLOOKUP(A284,Cleaned_Data!A:A,Cleaned_Data!L:L)</f>
        <v>Muscle Gain</v>
      </c>
    </row>
    <row r="285" spans="1:4">
      <c r="A285" s="9" t="str">
        <v>MEM0284</v>
      </c>
      <c r="B285" s="9" t="str">
        <f ca="1">_xlfn.XLOOKUP(A285,Cleaned_Data!A:A,Cleaned_Data!B:B)</f>
        <v>Lakshmi Reddy</v>
      </c>
      <c r="C285" s="9" t="str">
        <f ca="1">_xlfn.XLOOKUP(A285,Cleaned_Data!A:A,Cleaned_Data!C:C)</f>
        <v>Bangalore</v>
      </c>
      <c r="D285" s="9" t="str">
        <f ca="1">_xlfn.XLOOKUP(A285,Cleaned_Data!A:A,Cleaned_Data!L:L)</f>
        <v>General Fitness</v>
      </c>
    </row>
    <row r="286" spans="1:4">
      <c r="A286" s="9" t="str">
        <v>MEM0285</v>
      </c>
      <c r="B286" s="9" t="str">
        <f ca="1">_xlfn.XLOOKUP(A286,Cleaned_Data!A:A,Cleaned_Data!B:B)</f>
        <v>Riya Kapoor</v>
      </c>
      <c r="C286" s="9" t="str">
        <f ca="1">_xlfn.XLOOKUP(A286,Cleaned_Data!A:A,Cleaned_Data!C:C)</f>
        <v>Chennai</v>
      </c>
      <c r="D286" s="9" t="str">
        <f ca="1">_xlfn.XLOOKUP(A286,Cleaned_Data!A:A,Cleaned_Data!L:L)</f>
        <v>Muscle Gain</v>
      </c>
    </row>
    <row r="287" spans="1:4">
      <c r="A287" s="9" t="str">
        <v>MEM0286</v>
      </c>
      <c r="B287" s="9" t="str">
        <f ca="1">_xlfn.XLOOKUP(A287,Cleaned_Data!A:A,Cleaned_Data!B:B)</f>
        <v>Akash Reddy</v>
      </c>
      <c r="C287" s="9" t="str">
        <f ca="1">_xlfn.XLOOKUP(A287,Cleaned_Data!A:A,Cleaned_Data!C:C)</f>
        <v>Trivandrum</v>
      </c>
      <c r="D287" s="9" t="str">
        <f ca="1">_xlfn.XLOOKUP(A287,Cleaned_Data!A:A,Cleaned_Data!L:L)</f>
        <v>Muscle Gain</v>
      </c>
    </row>
    <row r="288" spans="1:4">
      <c r="A288" s="9" t="str">
        <v>MEM0287</v>
      </c>
      <c r="B288" s="9" t="str">
        <f ca="1">_xlfn.XLOOKUP(A288,Cleaned_Data!A:A,Cleaned_Data!B:B)</f>
        <v>Fatima Varghese</v>
      </c>
      <c r="C288" s="9" t="str">
        <f ca="1">_xlfn.XLOOKUP(A288,Cleaned_Data!A:A,Cleaned_Data!C:C)</f>
        <v>Calicut</v>
      </c>
      <c r="D288" s="9" t="str">
        <f ca="1">_xlfn.XLOOKUP(A288,Cleaned_Data!A:A,Cleaned_Data!L:L)</f>
        <v>General Fitness</v>
      </c>
    </row>
    <row r="289" spans="1:4">
      <c r="A289" s="9" t="str">
        <v>MEM0288</v>
      </c>
      <c r="B289" s="9" t="str">
        <f ca="1">_xlfn.XLOOKUP(A289,Cleaned_Data!A:A,Cleaned_Data!B:B)</f>
        <v>Swathi Nair</v>
      </c>
      <c r="C289" s="9" t="str">
        <f ca="1">_xlfn.XLOOKUP(A289,Cleaned_Data!A:A,Cleaned_Data!C:C)</f>
        <v>Bangalore</v>
      </c>
      <c r="D289" s="9" t="str">
        <f ca="1">_xlfn.XLOOKUP(A289,Cleaned_Data!A:A,Cleaned_Data!L:L)</f>
        <v>Muscle Gain</v>
      </c>
    </row>
    <row r="290" spans="1:4">
      <c r="A290" s="9" t="str">
        <v>MEM0289</v>
      </c>
      <c r="B290" s="9" t="str">
        <f ca="1">_xlfn.XLOOKUP(A290,Cleaned_Data!A:A,Cleaned_Data!B:B)</f>
        <v>Priya Chatterjee</v>
      </c>
      <c r="C290" s="9" t="str">
        <f ca="1">_xlfn.XLOOKUP(A290,Cleaned_Data!A:A,Cleaned_Data!C:C)</f>
        <v>Kochi</v>
      </c>
      <c r="D290" s="9" t="str">
        <f ca="1">_xlfn.XLOOKUP(A290,Cleaned_Data!A:A,Cleaned_Data!L:L)</f>
        <v>Weight Loss</v>
      </c>
    </row>
    <row r="291" spans="1:4">
      <c r="A291" s="9" t="str">
        <v>MEM0290</v>
      </c>
      <c r="B291" s="9" t="str">
        <f ca="1">_xlfn.XLOOKUP(A291,Cleaned_Data!A:A,Cleaned_Data!B:B)</f>
        <v>Rohit Nair</v>
      </c>
      <c r="C291" s="9" t="str">
        <f ca="1">_xlfn.XLOOKUP(A291,Cleaned_Data!A:A,Cleaned_Data!C:C)</f>
        <v>Hyderabad</v>
      </c>
      <c r="D291" s="9" t="str">
        <f ca="1">_xlfn.XLOOKUP(A291,Cleaned_Data!A:A,Cleaned_Data!L:L)</f>
        <v>Muscle Gain</v>
      </c>
    </row>
    <row r="292" spans="1:4">
      <c r="A292" s="9" t="str">
        <v>MEM0291</v>
      </c>
      <c r="B292" s="9" t="str">
        <f ca="1">_xlfn.XLOOKUP(A292,Cleaned_Data!A:A,Cleaned_Data!B:B)</f>
        <v>Kavya Yadav</v>
      </c>
      <c r="C292" s="9" t="str">
        <f ca="1">_xlfn.XLOOKUP(A292,Cleaned_Data!A:A,Cleaned_Data!C:C)</f>
        <v>Trivandrum</v>
      </c>
      <c r="D292" s="9" t="str">
        <f ca="1">_xlfn.XLOOKUP(A292,Cleaned_Data!A:A,Cleaned_Data!L:L)</f>
        <v>Muscle Gain</v>
      </c>
    </row>
    <row r="293" spans="1:4">
      <c r="A293" s="9" t="str">
        <v>MEM0292</v>
      </c>
      <c r="B293" s="9" t="str">
        <f ca="1">_xlfn.XLOOKUP(A293,Cleaned_Data!A:A,Cleaned_Data!B:B)</f>
        <v>Nikhil Malhotra</v>
      </c>
      <c r="C293" s="9" t="str">
        <f ca="1">_xlfn.XLOOKUP(A293,Cleaned_Data!A:A,Cleaned_Data!C:C)</f>
        <v>Calicut</v>
      </c>
      <c r="D293" s="9" t="str">
        <f ca="1">_xlfn.XLOOKUP(A293,Cleaned_Data!A:A,Cleaned_Data!L:L)</f>
        <v>Weight Loss</v>
      </c>
    </row>
    <row r="294" spans="1:4">
      <c r="A294" s="9" t="str">
        <v>MEM0293</v>
      </c>
      <c r="B294" s="9" t="str">
        <f ca="1">_xlfn.XLOOKUP(A294,Cleaned_Data!A:A,Cleaned_Data!B:B)</f>
        <v>Riya Lewis</v>
      </c>
      <c r="C294" s="9" t="str">
        <f ca="1">_xlfn.XLOOKUP(A294,Cleaned_Data!A:A,Cleaned_Data!C:C)</f>
        <v>Trivandrum</v>
      </c>
      <c r="D294" s="9" t="str">
        <f ca="1">_xlfn.XLOOKUP(A294,Cleaned_Data!A:A,Cleaned_Data!L:L)</f>
        <v>General Fitness</v>
      </c>
    </row>
    <row r="295" spans="1:4">
      <c r="A295" s="9" t="str">
        <v>MEM0294</v>
      </c>
      <c r="B295" s="9" t="str">
        <f ca="1">_xlfn.XLOOKUP(A295,Cleaned_Data!A:A,Cleaned_Data!B:B)</f>
        <v>Manoj Joseph</v>
      </c>
      <c r="C295" s="9" t="str">
        <f ca="1">_xlfn.XLOOKUP(A295,Cleaned_Data!A:A,Cleaned_Data!C:C)</f>
        <v>Bangalore</v>
      </c>
      <c r="D295" s="9" t="str">
        <f ca="1">_xlfn.XLOOKUP(A295,Cleaned_Data!A:A,Cleaned_Data!L:L)</f>
        <v>Weight Loss</v>
      </c>
    </row>
    <row r="296" spans="1:4">
      <c r="A296" s="9" t="str">
        <v>MEM0295</v>
      </c>
      <c r="B296" s="9" t="str">
        <f ca="1">_xlfn.XLOOKUP(A296,Cleaned_Data!A:A,Cleaned_Data!B:B)</f>
        <v>Arjun Chatterjee</v>
      </c>
      <c r="C296" s="9" t="str">
        <f ca="1">_xlfn.XLOOKUP(A296,Cleaned_Data!A:A,Cleaned_Data!C:C)</f>
        <v>Calicut</v>
      </c>
      <c r="D296" s="9" t="str">
        <f ca="1">_xlfn.XLOOKUP(A296,Cleaned_Data!A:A,Cleaned_Data!L:L)</f>
        <v>Muscle Gain</v>
      </c>
    </row>
    <row r="297" spans="1:4">
      <c r="A297" s="9" t="str">
        <v>MEM0296</v>
      </c>
      <c r="B297" s="9" t="str">
        <f ca="1">_xlfn.XLOOKUP(A297,Cleaned_Data!A:A,Cleaned_Data!B:B)</f>
        <v>Vivek Desai</v>
      </c>
      <c r="C297" s="9" t="str">
        <f ca="1">_xlfn.XLOOKUP(A297,Cleaned_Data!A:A,Cleaned_Data!C:C)</f>
        <v>Kochi</v>
      </c>
      <c r="D297" s="9" t="str">
        <f ca="1">_xlfn.XLOOKUP(A297,Cleaned_Data!A:A,Cleaned_Data!L:L)</f>
        <v>General Fitness</v>
      </c>
    </row>
    <row r="298" spans="1:4">
      <c r="A298" s="9" t="str">
        <v>MEM0297</v>
      </c>
      <c r="B298" s="9" t="str">
        <f ca="1">_xlfn.XLOOKUP(A298,Cleaned_Data!A:A,Cleaned_Data!B:B)</f>
        <v>Rohit Patel</v>
      </c>
      <c r="C298" s="9" t="str">
        <f ca="1">_xlfn.XLOOKUP(A298,Cleaned_Data!A:A,Cleaned_Data!C:C)</f>
        <v>Bangalore</v>
      </c>
      <c r="D298" s="9" t="str">
        <f ca="1">_xlfn.XLOOKUP(A298,Cleaned_Data!A:A,Cleaned_Data!L:L)</f>
        <v>Muscle Gain</v>
      </c>
    </row>
    <row r="299" spans="1:4">
      <c r="A299" s="9" t="str">
        <v>MEM0298</v>
      </c>
      <c r="B299" s="9" t="str">
        <f ca="1">_xlfn.XLOOKUP(A299,Cleaned_Data!A:A,Cleaned_Data!B:B)</f>
        <v>Manoj Pillai</v>
      </c>
      <c r="C299" s="9" t="str">
        <f ca="1">_xlfn.XLOOKUP(A299,Cleaned_Data!A:A,Cleaned_Data!C:C)</f>
        <v>Bangalore</v>
      </c>
      <c r="D299" s="9" t="str">
        <f ca="1">_xlfn.XLOOKUP(A299,Cleaned_Data!A:A,Cleaned_Data!L:L)</f>
        <v>Weight Loss</v>
      </c>
    </row>
    <row r="300" spans="1:4">
      <c r="A300" s="9" t="str">
        <v>MEM0299</v>
      </c>
      <c r="B300" s="9" t="str">
        <f ca="1">_xlfn.XLOOKUP(A300,Cleaned_Data!A:A,Cleaned_Data!B:B)</f>
        <v>Karthik Reddy</v>
      </c>
      <c r="C300" s="9" t="str">
        <f ca="1">_xlfn.XLOOKUP(A300,Cleaned_Data!A:A,Cleaned_Data!C:C)</f>
        <v>Calicut</v>
      </c>
      <c r="D300" s="9" t="str">
        <f ca="1">_xlfn.XLOOKUP(A300,Cleaned_Data!A:A,Cleaned_Data!L:L)</f>
        <v>Weight Loss</v>
      </c>
    </row>
    <row r="301" spans="1:4">
      <c r="A301" s="9" t="str">
        <v>MEM0300</v>
      </c>
      <c r="B301" s="9" t="str">
        <f ca="1">_xlfn.XLOOKUP(A301,Cleaned_Data!A:A,Cleaned_Data!B:B)</f>
        <v>Ankit Banerjee</v>
      </c>
      <c r="C301" s="9" t="str">
        <f ca="1">_xlfn.XLOOKUP(A301,Cleaned_Data!A:A,Cleaned_Data!C:C)</f>
        <v>Mumbai</v>
      </c>
      <c r="D301" s="9" t="str">
        <f ca="1">_xlfn.XLOOKUP(A301,Cleaned_Data!A:A,Cleaned_Data!L:L)</f>
        <v>General Fitness</v>
      </c>
    </row>
    <row r="302" spans="1:4">
      <c r="A302" s="9" t="str">
        <v>MEM0301</v>
      </c>
      <c r="B302" s="9" t="str">
        <f ca="1">_xlfn.XLOOKUP(A302,Cleaned_Data!A:A,Cleaned_Data!B:B)</f>
        <v>Akash Naidu</v>
      </c>
      <c r="C302" s="9" t="str">
        <f ca="1">_xlfn.XLOOKUP(A302,Cleaned_Data!A:A,Cleaned_Data!C:C)</f>
        <v>Trivandrum</v>
      </c>
      <c r="D302" s="9" t="str">
        <f ca="1">_xlfn.XLOOKUP(A302,Cleaned_Data!A:A,Cleaned_Data!L:L)</f>
        <v>Weight Loss</v>
      </c>
    </row>
    <row r="303" spans="1:4">
      <c r="A303" s="9" t="str">
        <v>MEM0302</v>
      </c>
      <c r="B303" s="9" t="str">
        <f ca="1">_xlfn.XLOOKUP(A303,Cleaned_Data!A:A,Cleaned_Data!B:B)</f>
        <v>Harish Patel</v>
      </c>
      <c r="C303" s="9" t="str">
        <f ca="1">_xlfn.XLOOKUP(A303,Cleaned_Data!A:A,Cleaned_Data!C:C)</f>
        <v>Calicut</v>
      </c>
      <c r="D303" s="9" t="str">
        <f ca="1">_xlfn.XLOOKUP(A303,Cleaned_Data!A:A,Cleaned_Data!L:L)</f>
        <v>Weight Loss</v>
      </c>
    </row>
    <row r="304" spans="1:4">
      <c r="A304" s="9" t="str">
        <v>MEM0303</v>
      </c>
      <c r="B304" s="9" t="str">
        <f ca="1">_xlfn.XLOOKUP(A304,Cleaned_Data!A:A,Cleaned_Data!B:B)</f>
        <v>Shreya Kulkarni</v>
      </c>
      <c r="C304" s="9" t="str">
        <f ca="1">_xlfn.XLOOKUP(A304,Cleaned_Data!A:A,Cleaned_Data!C:C)</f>
        <v>Bangalore</v>
      </c>
      <c r="D304" s="9" t="str">
        <f ca="1">_xlfn.XLOOKUP(A304,Cleaned_Data!A:A,Cleaned_Data!L:L)</f>
        <v>General Fitness</v>
      </c>
    </row>
    <row r="305" spans="1:4">
      <c r="A305" s="9" t="str">
        <v>MEM0304</v>
      </c>
      <c r="B305" s="9" t="str">
        <f ca="1">_xlfn.XLOOKUP(A305,Cleaned_Data!A:A,Cleaned_Data!B:B)</f>
        <v>Varun Khan</v>
      </c>
      <c r="C305" s="9" t="str">
        <f ca="1">_xlfn.XLOOKUP(A305,Cleaned_Data!A:A,Cleaned_Data!C:C)</f>
        <v>Calicut</v>
      </c>
      <c r="D305" s="9" t="str">
        <f ca="1">_xlfn.XLOOKUP(A305,Cleaned_Data!A:A,Cleaned_Data!L:L)</f>
        <v>Weight Loss</v>
      </c>
    </row>
    <row r="306" spans="1:4">
      <c r="A306" s="9" t="str">
        <v>MEM0305</v>
      </c>
      <c r="B306" s="9" t="str">
        <f ca="1">_xlfn.XLOOKUP(A306,Cleaned_Data!A:A,Cleaned_Data!B:B)</f>
        <v>Akash Fernandes</v>
      </c>
      <c r="C306" s="9" t="str">
        <f ca="1">_xlfn.XLOOKUP(A306,Cleaned_Data!A:A,Cleaned_Data!C:C)</f>
        <v>Bangalore</v>
      </c>
      <c r="D306" s="9" t="str">
        <f ca="1">_xlfn.XLOOKUP(A306,Cleaned_Data!A:A,Cleaned_Data!L:L)</f>
        <v>Weight Loss</v>
      </c>
    </row>
    <row r="307" spans="1:4">
      <c r="A307" s="9" t="str">
        <v>MEM0306</v>
      </c>
      <c r="B307" s="9" t="str">
        <f ca="1">_xlfn.XLOOKUP(A307,Cleaned_Data!A:A,Cleaned_Data!B:B)</f>
        <v>Karthik Nambiar</v>
      </c>
      <c r="C307" s="9" t="str">
        <f ca="1">_xlfn.XLOOKUP(A307,Cleaned_Data!A:A,Cleaned_Data!C:C)</f>
        <v>Chennai</v>
      </c>
      <c r="D307" s="9" t="str">
        <f ca="1">_xlfn.XLOOKUP(A307,Cleaned_Data!A:A,Cleaned_Data!L:L)</f>
        <v>General Fitness</v>
      </c>
    </row>
    <row r="308" spans="1:4">
      <c r="A308" s="9" t="str">
        <v>MEM0307</v>
      </c>
      <c r="B308" s="9" t="str">
        <f ca="1">_xlfn.XLOOKUP(A308,Cleaned_Data!A:A,Cleaned_Data!B:B)</f>
        <v>Neha Patel</v>
      </c>
      <c r="C308" s="9" t="str">
        <f ca="1">_xlfn.XLOOKUP(A308,Cleaned_Data!A:A,Cleaned_Data!C:C)</f>
        <v>Mumbai</v>
      </c>
      <c r="D308" s="9" t="str">
        <f ca="1">_xlfn.XLOOKUP(A308,Cleaned_Data!A:A,Cleaned_Data!L:L)</f>
        <v>Weight Loss</v>
      </c>
    </row>
    <row r="309" spans="1:4">
      <c r="A309" s="9" t="str">
        <v>MEM0308</v>
      </c>
      <c r="B309" s="9" t="str">
        <f ca="1">_xlfn.XLOOKUP(A309,Cleaned_Data!A:A,Cleaned_Data!B:B)</f>
        <v>Akash Banerjee</v>
      </c>
      <c r="C309" s="9" t="str">
        <f ca="1">_xlfn.XLOOKUP(A309,Cleaned_Data!A:A,Cleaned_Data!C:C)</f>
        <v>Kochi</v>
      </c>
      <c r="D309" s="9" t="str">
        <f ca="1">_xlfn.XLOOKUP(A309,Cleaned_Data!A:A,Cleaned_Data!L:L)</f>
        <v>Muscle Gain</v>
      </c>
    </row>
    <row r="310" spans="1:4">
      <c r="A310" s="9" t="str">
        <v>MEM0309</v>
      </c>
      <c r="B310" s="9" t="str">
        <f ca="1">_xlfn.XLOOKUP(A310,Cleaned_Data!A:A,Cleaned_Data!B:B)</f>
        <v>Neha Kapoor</v>
      </c>
      <c r="C310" s="9" t="str">
        <f ca="1">_xlfn.XLOOKUP(A310,Cleaned_Data!A:A,Cleaned_Data!C:C)</f>
        <v>Hyderabad</v>
      </c>
      <c r="D310" s="9" t="str">
        <f ca="1">_xlfn.XLOOKUP(A310,Cleaned_Data!A:A,Cleaned_Data!L:L)</f>
        <v>General Fitness</v>
      </c>
    </row>
    <row r="311" spans="1:4">
      <c r="A311" s="9" t="str">
        <v>MEM0310</v>
      </c>
      <c r="B311" s="9" t="str">
        <f ca="1">_xlfn.XLOOKUP(A311,Cleaned_Data!A:A,Cleaned_Data!B:B)</f>
        <v>Deepak Pillai</v>
      </c>
      <c r="C311" s="9" t="str">
        <f ca="1">_xlfn.XLOOKUP(A311,Cleaned_Data!A:A,Cleaned_Data!C:C)</f>
        <v>Trivandrum</v>
      </c>
      <c r="D311" s="9" t="str">
        <f ca="1">_xlfn.XLOOKUP(A311,Cleaned_Data!A:A,Cleaned_Data!L:L)</f>
        <v>General Fitness</v>
      </c>
    </row>
    <row r="312" spans="1:4">
      <c r="A312" s="9" t="str">
        <v>MEM0311</v>
      </c>
      <c r="B312" s="9" t="str">
        <f ca="1">_xlfn.XLOOKUP(A312,Cleaned_Data!A:A,Cleaned_Data!B:B)</f>
        <v>Kavya D’Souza</v>
      </c>
      <c r="C312" s="9" t="str">
        <f ca="1">_xlfn.XLOOKUP(A312,Cleaned_Data!A:A,Cleaned_Data!C:C)</f>
        <v>Calicut</v>
      </c>
      <c r="D312" s="9" t="str">
        <f ca="1">_xlfn.XLOOKUP(A312,Cleaned_Data!A:A,Cleaned_Data!L:L)</f>
        <v>General Fitness</v>
      </c>
    </row>
    <row r="313" spans="1:4">
      <c r="A313" s="9" t="str">
        <v>MEM0312</v>
      </c>
      <c r="B313" s="9" t="str">
        <f ca="1">_xlfn.XLOOKUP(A313,Cleaned_Data!A:A,Cleaned_Data!B:B)</f>
        <v>Nikhil Desai</v>
      </c>
      <c r="C313" s="9" t="str">
        <f ca="1">_xlfn.XLOOKUP(A313,Cleaned_Data!A:A,Cleaned_Data!C:C)</f>
        <v>Mumbai</v>
      </c>
      <c r="D313" s="9" t="str">
        <f ca="1">_xlfn.XLOOKUP(A313,Cleaned_Data!A:A,Cleaned_Data!L:L)</f>
        <v>General Fitness</v>
      </c>
    </row>
    <row r="314" spans="1:4">
      <c r="A314" s="9" t="str">
        <v>MEM0313</v>
      </c>
      <c r="B314" s="9" t="str">
        <f ca="1">_xlfn.XLOOKUP(A314,Cleaned_Data!A:A,Cleaned_Data!B:B)</f>
        <v>Kavya Thomas</v>
      </c>
      <c r="C314" s="9" t="str">
        <f ca="1">_xlfn.XLOOKUP(A314,Cleaned_Data!A:A,Cleaned_Data!C:C)</f>
        <v>Kochi</v>
      </c>
      <c r="D314" s="9" t="str">
        <f ca="1">_xlfn.XLOOKUP(A314,Cleaned_Data!A:A,Cleaned_Data!L:L)</f>
        <v>General Fitness</v>
      </c>
    </row>
    <row r="315" spans="1:4">
      <c r="A315" s="9" t="str">
        <v>MEM0314</v>
      </c>
      <c r="B315" s="9" t="str">
        <f ca="1">_xlfn.XLOOKUP(A315,Cleaned_Data!A:A,Cleaned_Data!B:B)</f>
        <v>Meera Joseph</v>
      </c>
      <c r="C315" s="9" t="str">
        <f ca="1">_xlfn.XLOOKUP(A315,Cleaned_Data!A:A,Cleaned_Data!C:C)</f>
        <v>Mumbai</v>
      </c>
      <c r="D315" s="9" t="str">
        <f ca="1">_xlfn.XLOOKUP(A315,Cleaned_Data!A:A,Cleaned_Data!L:L)</f>
        <v>Weight Loss</v>
      </c>
    </row>
    <row r="316" spans="1:4">
      <c r="A316" s="9" t="str">
        <v>MEM0315</v>
      </c>
      <c r="B316" s="9" t="str">
        <f ca="1">_xlfn.XLOOKUP(A316,Cleaned_Data!A:A,Cleaned_Data!B:B)</f>
        <v>Sanjay Desai</v>
      </c>
      <c r="C316" s="9" t="str">
        <f ca="1">_xlfn.XLOOKUP(A316,Cleaned_Data!A:A,Cleaned_Data!C:C)</f>
        <v>Kochi</v>
      </c>
      <c r="D316" s="9" t="str">
        <f ca="1">_xlfn.XLOOKUP(A316,Cleaned_Data!A:A,Cleaned_Data!L:L)</f>
        <v>Weight Loss</v>
      </c>
    </row>
    <row r="317" spans="1:4">
      <c r="A317" s="9" t="str">
        <v>MEM0316</v>
      </c>
      <c r="B317" s="9" t="str">
        <f ca="1">_xlfn.XLOOKUP(A317,Cleaned_Data!A:A,Cleaned_Data!B:B)</f>
        <v>Lakshmi Nambiar</v>
      </c>
      <c r="C317" s="9" t="str">
        <f ca="1">_xlfn.XLOOKUP(A317,Cleaned_Data!A:A,Cleaned_Data!C:C)</f>
        <v>Trivandrum</v>
      </c>
      <c r="D317" s="9" t="str">
        <f ca="1">_xlfn.XLOOKUP(A317,Cleaned_Data!A:A,Cleaned_Data!L:L)</f>
        <v>Muscle Gain</v>
      </c>
    </row>
    <row r="318" spans="1:4">
      <c r="A318" s="9" t="str">
        <v>MEM0317</v>
      </c>
      <c r="B318" s="9" t="str">
        <f ca="1">_xlfn.XLOOKUP(A318,Cleaned_Data!A:A,Cleaned_Data!B:B)</f>
        <v>Riya Das</v>
      </c>
      <c r="C318" s="9" t="str">
        <f ca="1">_xlfn.XLOOKUP(A318,Cleaned_Data!A:A,Cleaned_Data!C:C)</f>
        <v>Bangalore</v>
      </c>
      <c r="D318" s="9" t="str">
        <f ca="1">_xlfn.XLOOKUP(A318,Cleaned_Data!A:A,Cleaned_Data!L:L)</f>
        <v>General Fitness</v>
      </c>
    </row>
    <row r="319" spans="1:4">
      <c r="A319" s="9" t="str">
        <v>MEM0318</v>
      </c>
      <c r="B319" s="9" t="str">
        <f ca="1">_xlfn.XLOOKUP(A319,Cleaned_Data!A:A,Cleaned_Data!B:B)</f>
        <v>Manoj Singh</v>
      </c>
      <c r="C319" s="9" t="str">
        <f ca="1">_xlfn.XLOOKUP(A319,Cleaned_Data!A:A,Cleaned_Data!C:C)</f>
        <v>Hyderabad</v>
      </c>
      <c r="D319" s="9" t="str">
        <f ca="1">_xlfn.XLOOKUP(A319,Cleaned_Data!A:A,Cleaned_Data!L:L)</f>
        <v>General Fitness</v>
      </c>
    </row>
    <row r="320" spans="1:4">
      <c r="A320" s="9" t="str">
        <v>MEM0319</v>
      </c>
      <c r="B320" s="9" t="str">
        <f ca="1">_xlfn.XLOOKUP(A320,Cleaned_Data!A:A,Cleaned_Data!B:B)</f>
        <v>Aditya Thomas</v>
      </c>
      <c r="C320" s="9" t="str">
        <f ca="1">_xlfn.XLOOKUP(A320,Cleaned_Data!A:A,Cleaned_Data!C:C)</f>
        <v>Bangalore</v>
      </c>
      <c r="D320" s="9" t="str">
        <f ca="1">_xlfn.XLOOKUP(A320,Cleaned_Data!A:A,Cleaned_Data!L:L)</f>
        <v>Weight Loss</v>
      </c>
    </row>
    <row r="321" spans="1:4">
      <c r="A321" s="9" t="str">
        <v>MEM0320</v>
      </c>
      <c r="B321" s="9" t="str">
        <f ca="1">_xlfn.XLOOKUP(A321,Cleaned_Data!A:A,Cleaned_Data!B:B)</f>
        <v>Nikhil Bhat</v>
      </c>
      <c r="C321" s="9" t="str">
        <f ca="1">_xlfn.XLOOKUP(A321,Cleaned_Data!A:A,Cleaned_Data!C:C)</f>
        <v>Bangalore</v>
      </c>
      <c r="D321" s="9" t="str">
        <f ca="1">_xlfn.XLOOKUP(A321,Cleaned_Data!A:A,Cleaned_Data!L:L)</f>
        <v>General Fitness</v>
      </c>
    </row>
    <row r="322" spans="1:4">
      <c r="A322" s="9" t="str">
        <v>MEM0321</v>
      </c>
      <c r="B322" s="9" t="str">
        <f ca="1">_xlfn.XLOOKUP(A322,Cleaned_Data!A:A,Cleaned_Data!B:B)</f>
        <v>Nisha Agarwal</v>
      </c>
      <c r="C322" s="9" t="str">
        <f ca="1">_xlfn.XLOOKUP(A322,Cleaned_Data!A:A,Cleaned_Data!C:C)</f>
        <v>Calicut</v>
      </c>
      <c r="D322" s="9" t="str">
        <f ca="1">_xlfn.XLOOKUP(A322,Cleaned_Data!A:A,Cleaned_Data!L:L)</f>
        <v>Muscle Gain</v>
      </c>
    </row>
    <row r="323" spans="1:4">
      <c r="A323" s="9" t="str">
        <v>MEM0322</v>
      </c>
      <c r="B323" s="9" t="str">
        <f ca="1">_xlfn.XLOOKUP(A323,Cleaned_Data!A:A,Cleaned_Data!B:B)</f>
        <v>Rohit Nambiar</v>
      </c>
      <c r="C323" s="9" t="str">
        <f ca="1">_xlfn.XLOOKUP(A323,Cleaned_Data!A:A,Cleaned_Data!C:C)</f>
        <v>Bangalore</v>
      </c>
      <c r="D323" s="9" t="str">
        <f ca="1">_xlfn.XLOOKUP(A323,Cleaned_Data!A:A,Cleaned_Data!L:L)</f>
        <v>Muscle Gain</v>
      </c>
    </row>
    <row r="324" spans="1:4">
      <c r="A324" s="9" t="str">
        <v>MEM0323</v>
      </c>
      <c r="B324" s="9" t="str">
        <f ca="1">_xlfn.XLOOKUP(A324,Cleaned_Data!A:A,Cleaned_Data!B:B)</f>
        <v>Karthik Shaikh</v>
      </c>
      <c r="C324" s="9" t="str">
        <f ca="1">_xlfn.XLOOKUP(A324,Cleaned_Data!A:A,Cleaned_Data!C:C)</f>
        <v>Calicut</v>
      </c>
      <c r="D324" s="9" t="str">
        <f ca="1">_xlfn.XLOOKUP(A324,Cleaned_Data!A:A,Cleaned_Data!L:L)</f>
        <v>Muscle Gain</v>
      </c>
    </row>
    <row r="325" spans="1:4">
      <c r="A325" s="9" t="str">
        <v>MEM0324</v>
      </c>
      <c r="B325" s="9" t="str">
        <f ca="1">_xlfn.XLOOKUP(A325,Cleaned_Data!A:A,Cleaned_Data!B:B)</f>
        <v>Ishita Verma</v>
      </c>
      <c r="C325" s="9" t="str">
        <f ca="1">_xlfn.XLOOKUP(A325,Cleaned_Data!A:A,Cleaned_Data!C:C)</f>
        <v>Calicut</v>
      </c>
      <c r="D325" s="9" t="str">
        <f ca="1">_xlfn.XLOOKUP(A325,Cleaned_Data!A:A,Cleaned_Data!L:L)</f>
        <v>Muscle Gain</v>
      </c>
    </row>
    <row r="326" spans="1:4">
      <c r="A326" s="9" t="str">
        <v>MEM0325</v>
      </c>
      <c r="B326" s="9" t="str">
        <f ca="1">_xlfn.XLOOKUP(A326,Cleaned_Data!A:A,Cleaned_Data!B:B)</f>
        <v>Nikhil Kapoor</v>
      </c>
      <c r="C326" s="9" t="str">
        <f ca="1">_xlfn.XLOOKUP(A326,Cleaned_Data!A:A,Cleaned_Data!C:C)</f>
        <v>Mumbai</v>
      </c>
      <c r="D326" s="9" t="str">
        <f ca="1">_xlfn.XLOOKUP(A326,Cleaned_Data!A:A,Cleaned_Data!L:L)</f>
        <v>General Fitness</v>
      </c>
    </row>
    <row r="327" spans="1:4">
      <c r="A327" s="9" t="str">
        <v>MEM0326</v>
      </c>
      <c r="B327" s="9" t="str">
        <f ca="1">_xlfn.XLOOKUP(A327,Cleaned_Data!A:A,Cleaned_Data!B:B)</f>
        <v>Neha Iyer</v>
      </c>
      <c r="C327" s="9" t="str">
        <f ca="1">_xlfn.XLOOKUP(A327,Cleaned_Data!A:A,Cleaned_Data!C:C)</f>
        <v>Bangalore</v>
      </c>
      <c r="D327" s="9" t="str">
        <f ca="1">_xlfn.XLOOKUP(A327,Cleaned_Data!A:A,Cleaned_Data!L:L)</f>
        <v>Weight Loss</v>
      </c>
    </row>
    <row r="328" spans="1:4">
      <c r="A328" s="9" t="str">
        <v>MEM0327</v>
      </c>
      <c r="B328" s="9" t="str">
        <f ca="1">_xlfn.XLOOKUP(A328,Cleaned_Data!A:A,Cleaned_Data!B:B)</f>
        <v>Anu Mathew</v>
      </c>
      <c r="C328" s="9" t="str">
        <f ca="1">_xlfn.XLOOKUP(A328,Cleaned_Data!A:A,Cleaned_Data!C:C)</f>
        <v>Mumbai</v>
      </c>
      <c r="D328" s="9" t="str">
        <f ca="1">_xlfn.XLOOKUP(A328,Cleaned_Data!A:A,Cleaned_Data!L:L)</f>
        <v>Weight Loss</v>
      </c>
    </row>
    <row r="329" spans="1:4">
      <c r="A329" s="9" t="str">
        <v>MEM0328</v>
      </c>
      <c r="B329" s="9" t="str">
        <f ca="1">_xlfn.XLOOKUP(A329,Cleaned_Data!A:A,Cleaned_Data!B:B)</f>
        <v>Ishita Mathew</v>
      </c>
      <c r="C329" s="9" t="str">
        <f ca="1">_xlfn.XLOOKUP(A329,Cleaned_Data!A:A,Cleaned_Data!C:C)</f>
        <v>Kochi</v>
      </c>
      <c r="D329" s="9" t="str">
        <f ca="1">_xlfn.XLOOKUP(A329,Cleaned_Data!A:A,Cleaned_Data!L:L)</f>
        <v>Weight Loss</v>
      </c>
    </row>
    <row r="330" spans="1:4">
      <c r="A330" s="9" t="str">
        <v>MEM0329</v>
      </c>
      <c r="B330" s="9" t="str">
        <f ca="1">_xlfn.XLOOKUP(A330,Cleaned_Data!A:A,Cleaned_Data!B:B)</f>
        <v>Meera Khan</v>
      </c>
      <c r="C330" s="9" t="str">
        <f ca="1">_xlfn.XLOOKUP(A330,Cleaned_Data!A:A,Cleaned_Data!C:C)</f>
        <v>Mumbai</v>
      </c>
      <c r="D330" s="9" t="str">
        <f ca="1">_xlfn.XLOOKUP(A330,Cleaned_Data!A:A,Cleaned_Data!L:L)</f>
        <v>General Fitness</v>
      </c>
    </row>
    <row r="331" spans="1:4">
      <c r="A331" s="9" t="str">
        <v>MEM0330</v>
      </c>
      <c r="B331" s="9" t="str">
        <f ca="1">_xlfn.XLOOKUP(A331,Cleaned_Data!A:A,Cleaned_Data!B:B)</f>
        <v>Karthik Reddy</v>
      </c>
      <c r="C331" s="9" t="str">
        <f ca="1">_xlfn.XLOOKUP(A331,Cleaned_Data!A:A,Cleaned_Data!C:C)</f>
        <v>Hyderabad</v>
      </c>
      <c r="D331" s="9" t="str">
        <f ca="1">_xlfn.XLOOKUP(A331,Cleaned_Data!A:A,Cleaned_Data!L:L)</f>
        <v>General Fitness</v>
      </c>
    </row>
    <row r="332" spans="1:4">
      <c r="A332" s="9" t="str">
        <v>MEM0331</v>
      </c>
      <c r="B332" s="9" t="str">
        <f ca="1">_xlfn.XLOOKUP(A332,Cleaned_Data!A:A,Cleaned_Data!B:B)</f>
        <v>Priya Das</v>
      </c>
      <c r="C332" s="9" t="str">
        <f ca="1">_xlfn.XLOOKUP(A332,Cleaned_Data!A:A,Cleaned_Data!C:C)</f>
        <v>Chennai</v>
      </c>
      <c r="D332" s="9" t="str">
        <f ca="1">_xlfn.XLOOKUP(A332,Cleaned_Data!A:A,Cleaned_Data!L:L)</f>
        <v>Weight Loss</v>
      </c>
    </row>
    <row r="333" spans="1:4">
      <c r="A333" s="9" t="str">
        <v>MEM0332</v>
      </c>
      <c r="B333" s="9" t="str">
        <f ca="1">_xlfn.XLOOKUP(A333,Cleaned_Data!A:A,Cleaned_Data!B:B)</f>
        <v>Divya Agarwal</v>
      </c>
      <c r="C333" s="9" t="str">
        <f ca="1">_xlfn.XLOOKUP(A333,Cleaned_Data!A:A,Cleaned_Data!C:C)</f>
        <v>Trivandrum</v>
      </c>
      <c r="D333" s="9" t="str">
        <f ca="1">_xlfn.XLOOKUP(A333,Cleaned_Data!A:A,Cleaned_Data!L:L)</f>
        <v>Muscle Gain</v>
      </c>
    </row>
    <row r="334" spans="1:4">
      <c r="A334" s="9" t="str">
        <v>MEM0333</v>
      </c>
      <c r="B334" s="9" t="str">
        <f ca="1">_xlfn.XLOOKUP(A334,Cleaned_Data!A:A,Cleaned_Data!B:B)</f>
        <v>Karthik Sharma</v>
      </c>
      <c r="C334" s="9" t="str">
        <f ca="1">_xlfn.XLOOKUP(A334,Cleaned_Data!A:A,Cleaned_Data!C:C)</f>
        <v>Hyderabad</v>
      </c>
      <c r="D334" s="9" t="str">
        <f ca="1">_xlfn.XLOOKUP(A334,Cleaned_Data!A:A,Cleaned_Data!L:L)</f>
        <v>Muscle Gain</v>
      </c>
    </row>
    <row r="335" spans="1:4">
      <c r="A335" s="9" t="str">
        <v>MEM0334</v>
      </c>
      <c r="B335" s="9" t="str">
        <f ca="1">_xlfn.XLOOKUP(A335,Cleaned_Data!A:A,Cleaned_Data!B:B)</f>
        <v>Varun Verma</v>
      </c>
      <c r="C335" s="9" t="str">
        <f ca="1">_xlfn.XLOOKUP(A335,Cleaned_Data!A:A,Cleaned_Data!C:C)</f>
        <v>Calicut</v>
      </c>
      <c r="D335" s="9" t="str">
        <f ca="1">_xlfn.XLOOKUP(A335,Cleaned_Data!A:A,Cleaned_Data!L:L)</f>
        <v>General Fitness</v>
      </c>
    </row>
    <row r="336" spans="1:4">
      <c r="A336" s="9" t="str">
        <v>MEM0335</v>
      </c>
      <c r="B336" s="9" t="str">
        <f ca="1">_xlfn.XLOOKUP(A336,Cleaned_Data!A:A,Cleaned_Data!B:B)</f>
        <v>Zara Fernandes</v>
      </c>
      <c r="C336" s="9" t="str">
        <f ca="1">_xlfn.XLOOKUP(A336,Cleaned_Data!A:A,Cleaned_Data!C:C)</f>
        <v>Calicut</v>
      </c>
      <c r="D336" s="9" t="str">
        <f ca="1">_xlfn.XLOOKUP(A336,Cleaned_Data!A:A,Cleaned_Data!L:L)</f>
        <v>General Fitness</v>
      </c>
    </row>
    <row r="337" spans="1:4">
      <c r="A337" s="9" t="str">
        <v>MEM0336</v>
      </c>
      <c r="B337" s="9" t="str">
        <f ca="1">_xlfn.XLOOKUP(A337,Cleaned_Data!A:A,Cleaned_Data!B:B)</f>
        <v>Ayesha Malhotra</v>
      </c>
      <c r="C337" s="9" t="str">
        <f ca="1">_xlfn.XLOOKUP(A337,Cleaned_Data!A:A,Cleaned_Data!C:C)</f>
        <v>Kochi</v>
      </c>
      <c r="D337" s="9" t="str">
        <f ca="1">_xlfn.XLOOKUP(A337,Cleaned_Data!A:A,Cleaned_Data!L:L)</f>
        <v>Muscle Gain</v>
      </c>
    </row>
    <row r="338" spans="1:4">
      <c r="A338" s="9" t="str">
        <v>MEM0337</v>
      </c>
      <c r="B338" s="9" t="str">
        <f ca="1">_xlfn.XLOOKUP(A338,Cleaned_Data!A:A,Cleaned_Data!B:B)</f>
        <v>Arjun Naidu</v>
      </c>
      <c r="C338" s="9" t="str">
        <f ca="1">_xlfn.XLOOKUP(A338,Cleaned_Data!A:A,Cleaned_Data!C:C)</f>
        <v>Hyderabad</v>
      </c>
      <c r="D338" s="9" t="str">
        <f ca="1">_xlfn.XLOOKUP(A338,Cleaned_Data!A:A,Cleaned_Data!L:L)</f>
        <v>Weight Loss</v>
      </c>
    </row>
    <row r="339" spans="1:4">
      <c r="A339" s="9" t="str">
        <v>MEM0338</v>
      </c>
      <c r="B339" s="9" t="str">
        <f ca="1">_xlfn.XLOOKUP(A339,Cleaned_Data!A:A,Cleaned_Data!B:B)</f>
        <v>Shreya Sharma</v>
      </c>
      <c r="C339" s="9" t="str">
        <f ca="1">_xlfn.XLOOKUP(A339,Cleaned_Data!A:A,Cleaned_Data!C:C)</f>
        <v>Kochi</v>
      </c>
      <c r="D339" s="9" t="str">
        <f ca="1">_xlfn.XLOOKUP(A339,Cleaned_Data!A:A,Cleaned_Data!L:L)</f>
        <v>Muscle Gain</v>
      </c>
    </row>
    <row r="340" spans="1:4">
      <c r="A340" s="9" t="str">
        <v>MEM0339</v>
      </c>
      <c r="B340" s="9" t="str">
        <f ca="1">_xlfn.XLOOKUP(A340,Cleaned_Data!A:A,Cleaned_Data!B:B)</f>
        <v>Vivek D’Souza</v>
      </c>
      <c r="C340" s="9" t="str">
        <f ca="1">_xlfn.XLOOKUP(A340,Cleaned_Data!A:A,Cleaned_Data!C:C)</f>
        <v>Chennai</v>
      </c>
      <c r="D340" s="9" t="str">
        <f ca="1">_xlfn.XLOOKUP(A340,Cleaned_Data!A:A,Cleaned_Data!L:L)</f>
        <v>Weight Loss</v>
      </c>
    </row>
    <row r="341" spans="1:4">
      <c r="A341" s="9" t="str">
        <v>MEM0340</v>
      </c>
      <c r="B341" s="9" t="str">
        <f ca="1">_xlfn.XLOOKUP(A341,Cleaned_Data!A:A,Cleaned_Data!B:B)</f>
        <v>Ishita Nambiar</v>
      </c>
      <c r="C341" s="9" t="str">
        <f ca="1">_xlfn.XLOOKUP(A341,Cleaned_Data!A:A,Cleaned_Data!C:C)</f>
        <v>Bangalore</v>
      </c>
      <c r="D341" s="9" t="str">
        <f ca="1">_xlfn.XLOOKUP(A341,Cleaned_Data!A:A,Cleaned_Data!L:L)</f>
        <v>Muscle Gain</v>
      </c>
    </row>
    <row r="342" spans="1:4">
      <c r="A342" s="9" t="str">
        <v>MEM0341</v>
      </c>
      <c r="B342" s="9" t="str">
        <f ca="1">_xlfn.XLOOKUP(A342,Cleaned_Data!A:A,Cleaned_Data!B:B)</f>
        <v>Neha Joshi</v>
      </c>
      <c r="C342" s="9" t="str">
        <f ca="1">_xlfn.XLOOKUP(A342,Cleaned_Data!A:A,Cleaned_Data!C:C)</f>
        <v>Bangalore</v>
      </c>
      <c r="D342" s="9" t="str">
        <f ca="1">_xlfn.XLOOKUP(A342,Cleaned_Data!A:A,Cleaned_Data!L:L)</f>
        <v>Weight Loss</v>
      </c>
    </row>
    <row r="343" spans="1:4">
      <c r="A343" s="9" t="str">
        <v>MEM0342</v>
      </c>
      <c r="B343" s="9" t="str">
        <f ca="1">_xlfn.XLOOKUP(A343,Cleaned_Data!A:A,Cleaned_Data!B:B)</f>
        <v>Pooja Kapoor</v>
      </c>
      <c r="C343" s="9" t="str">
        <f ca="1">_xlfn.XLOOKUP(A343,Cleaned_Data!A:A,Cleaned_Data!C:C)</f>
        <v>Bangalore</v>
      </c>
      <c r="D343" s="9" t="str">
        <f ca="1">_xlfn.XLOOKUP(A343,Cleaned_Data!A:A,Cleaned_Data!L:L)</f>
        <v>Weight Loss</v>
      </c>
    </row>
    <row r="344" spans="1:4">
      <c r="A344" s="9" t="str">
        <v>MEM0343</v>
      </c>
      <c r="B344" s="9" t="str">
        <f ca="1">_xlfn.XLOOKUP(A344,Cleaned_Data!A:A,Cleaned_Data!B:B)</f>
        <v>Nikhil Malhotra</v>
      </c>
      <c r="C344" s="9" t="str">
        <f ca="1">_xlfn.XLOOKUP(A344,Cleaned_Data!A:A,Cleaned_Data!C:C)</f>
        <v>Hyderabad</v>
      </c>
      <c r="D344" s="9" t="str">
        <f ca="1">_xlfn.XLOOKUP(A344,Cleaned_Data!A:A,Cleaned_Data!L:L)</f>
        <v>Weight Loss</v>
      </c>
    </row>
    <row r="345" spans="1:4">
      <c r="A345" s="9" t="str">
        <v>MEM0344</v>
      </c>
      <c r="B345" s="9" t="str">
        <f ca="1">_xlfn.XLOOKUP(A345,Cleaned_Data!A:A,Cleaned_Data!B:B)</f>
        <v>Anjali Singh</v>
      </c>
      <c r="C345" s="9" t="str">
        <f ca="1">_xlfn.XLOOKUP(A345,Cleaned_Data!A:A,Cleaned_Data!C:C)</f>
        <v>Kochi</v>
      </c>
      <c r="D345" s="9" t="str">
        <f ca="1">_xlfn.XLOOKUP(A345,Cleaned_Data!A:A,Cleaned_Data!L:L)</f>
        <v>Weight Loss</v>
      </c>
    </row>
    <row r="346" spans="1:4">
      <c r="A346" s="9" t="str">
        <v>MEM0345</v>
      </c>
      <c r="B346" s="9" t="str">
        <f ca="1">_xlfn.XLOOKUP(A346,Cleaned_Data!A:A,Cleaned_Data!B:B)</f>
        <v>Zara Menon</v>
      </c>
      <c r="C346" s="9" t="str">
        <f ca="1">_xlfn.XLOOKUP(A346,Cleaned_Data!A:A,Cleaned_Data!C:C)</f>
        <v>Chennai</v>
      </c>
      <c r="D346" s="9" t="str">
        <f ca="1">_xlfn.XLOOKUP(A346,Cleaned_Data!A:A,Cleaned_Data!L:L)</f>
        <v>Weight Loss</v>
      </c>
    </row>
    <row r="347" spans="1:4">
      <c r="A347" s="9" t="str">
        <v>MEM0346</v>
      </c>
      <c r="B347" s="9" t="str">
        <f ca="1">_xlfn.XLOOKUP(A347,Cleaned_Data!A:A,Cleaned_Data!B:B)</f>
        <v>Ishita Naidu</v>
      </c>
      <c r="C347" s="9" t="str">
        <f ca="1">_xlfn.XLOOKUP(A347,Cleaned_Data!A:A,Cleaned_Data!C:C)</f>
        <v>Bangalore</v>
      </c>
      <c r="D347" s="9" t="str">
        <f ca="1">_xlfn.XLOOKUP(A347,Cleaned_Data!A:A,Cleaned_Data!L:L)</f>
        <v>General Fitness</v>
      </c>
    </row>
    <row r="348" spans="1:4">
      <c r="A348" s="9" t="str">
        <v>MEM0347</v>
      </c>
      <c r="B348" s="9" t="str">
        <f ca="1">_xlfn.XLOOKUP(A348,Cleaned_Data!A:A,Cleaned_Data!B:B)</f>
        <v>Varun Nambiar</v>
      </c>
      <c r="C348" s="9" t="str">
        <f ca="1">_xlfn.XLOOKUP(A348,Cleaned_Data!A:A,Cleaned_Data!C:C)</f>
        <v>Mumbai</v>
      </c>
      <c r="D348" s="9" t="str">
        <f ca="1">_xlfn.XLOOKUP(A348,Cleaned_Data!A:A,Cleaned_Data!L:L)</f>
        <v>General Fitness</v>
      </c>
    </row>
    <row r="349" spans="1:4">
      <c r="A349" s="9" t="str">
        <v>MEM0348</v>
      </c>
      <c r="B349" s="9" t="str">
        <f ca="1">_xlfn.XLOOKUP(A349,Cleaned_Data!A:A,Cleaned_Data!B:B)</f>
        <v>Divya D’Souza</v>
      </c>
      <c r="C349" s="9" t="str">
        <f ca="1">_xlfn.XLOOKUP(A349,Cleaned_Data!A:A,Cleaned_Data!C:C)</f>
        <v>Bangalore</v>
      </c>
      <c r="D349" s="9" t="str">
        <f ca="1">_xlfn.XLOOKUP(A349,Cleaned_Data!A:A,Cleaned_Data!L:L)</f>
        <v>Weight Loss</v>
      </c>
    </row>
    <row r="350" spans="1:4">
      <c r="A350" s="9" t="str">
        <v>MEM0349</v>
      </c>
      <c r="B350" s="9" t="str">
        <f ca="1">_xlfn.XLOOKUP(A350,Cleaned_Data!A:A,Cleaned_Data!B:B)</f>
        <v>Priya Patel</v>
      </c>
      <c r="C350" s="9" t="str">
        <f ca="1">_xlfn.XLOOKUP(A350,Cleaned_Data!A:A,Cleaned_Data!C:C)</f>
        <v>Chennai</v>
      </c>
      <c r="D350" s="9" t="str">
        <f ca="1">_xlfn.XLOOKUP(A350,Cleaned_Data!A:A,Cleaned_Data!L:L)</f>
        <v>Muscle Gain</v>
      </c>
    </row>
    <row r="351" spans="1:4">
      <c r="A351" s="9" t="str">
        <v>MEM0350</v>
      </c>
      <c r="B351" s="9" t="str">
        <f ca="1">_xlfn.XLOOKUP(A351,Cleaned_Data!A:A,Cleaned_Data!B:B)</f>
        <v>Lakshmi Mathew</v>
      </c>
      <c r="C351" s="9" t="str">
        <f ca="1">_xlfn.XLOOKUP(A351,Cleaned_Data!A:A,Cleaned_Data!C:C)</f>
        <v>Chennai</v>
      </c>
      <c r="D351" s="9" t="str">
        <f ca="1">_xlfn.XLOOKUP(A351,Cleaned_Data!A:A,Cleaned_Data!L:L)</f>
        <v>Muscle Gain</v>
      </c>
    </row>
    <row r="352" spans="1:4">
      <c r="A352" s="9" t="str">
        <v>MEM0351</v>
      </c>
      <c r="B352" s="9" t="str">
        <f ca="1">_xlfn.XLOOKUP(A352,Cleaned_Data!A:A,Cleaned_Data!B:B)</f>
        <v>Rohit Kulkarni</v>
      </c>
      <c r="C352" s="9" t="str">
        <f ca="1">_xlfn.XLOOKUP(A352,Cleaned_Data!A:A,Cleaned_Data!C:C)</f>
        <v>Trivandrum</v>
      </c>
      <c r="D352" s="9" t="str">
        <f ca="1">_xlfn.XLOOKUP(A352,Cleaned_Data!A:A,Cleaned_Data!L:L)</f>
        <v>Weight Loss</v>
      </c>
    </row>
    <row r="353" spans="1:4">
      <c r="A353" s="9" t="str">
        <v>MEM0352</v>
      </c>
      <c r="B353" s="9" t="str">
        <f ca="1">_xlfn.XLOOKUP(A353,Cleaned_Data!A:A,Cleaned_Data!B:B)</f>
        <v>Anjali Kapoor</v>
      </c>
      <c r="C353" s="9" t="str">
        <f ca="1">_xlfn.XLOOKUP(A353,Cleaned_Data!A:A,Cleaned_Data!C:C)</f>
        <v>Chennai</v>
      </c>
      <c r="D353" s="9" t="str">
        <f ca="1">_xlfn.XLOOKUP(A353,Cleaned_Data!A:A,Cleaned_Data!L:L)</f>
        <v>Weight Loss</v>
      </c>
    </row>
    <row r="354" spans="1:4">
      <c r="A354" s="9" t="str">
        <v>MEM0353</v>
      </c>
      <c r="B354" s="9" t="str">
        <f ca="1">_xlfn.XLOOKUP(A354,Cleaned_Data!A:A,Cleaned_Data!B:B)</f>
        <v>Riya Fernandes</v>
      </c>
      <c r="C354" s="9" t="str">
        <f ca="1">_xlfn.XLOOKUP(A354,Cleaned_Data!A:A,Cleaned_Data!C:C)</f>
        <v>Kochi</v>
      </c>
      <c r="D354" s="9" t="str">
        <f ca="1">_xlfn.XLOOKUP(A354,Cleaned_Data!A:A,Cleaned_Data!L:L)</f>
        <v>Muscle Gain</v>
      </c>
    </row>
    <row r="355" spans="1:4">
      <c r="A355" s="9" t="str">
        <v>MEM0354</v>
      </c>
      <c r="B355" s="9" t="str">
        <f ca="1">_xlfn.XLOOKUP(A355,Cleaned_Data!A:A,Cleaned_Data!B:B)</f>
        <v>Rohit Bhat</v>
      </c>
      <c r="C355" s="9" t="str">
        <f ca="1">_xlfn.XLOOKUP(A355,Cleaned_Data!A:A,Cleaned_Data!C:C)</f>
        <v>Mumbai</v>
      </c>
      <c r="D355" s="9" t="str">
        <f ca="1">_xlfn.XLOOKUP(A355,Cleaned_Data!A:A,Cleaned_Data!L:L)</f>
        <v>Muscle Gain</v>
      </c>
    </row>
    <row r="356" spans="1:4">
      <c r="A356" s="9" t="str">
        <v>MEM0355</v>
      </c>
      <c r="B356" s="9" t="str">
        <f ca="1">_xlfn.XLOOKUP(A356,Cleaned_Data!A:A,Cleaned_Data!B:B)</f>
        <v>Sanjay Desai</v>
      </c>
      <c r="C356" s="9" t="str">
        <f ca="1">_xlfn.XLOOKUP(A356,Cleaned_Data!A:A,Cleaned_Data!C:C)</f>
        <v>Mumbai</v>
      </c>
      <c r="D356" s="9" t="str">
        <f ca="1">_xlfn.XLOOKUP(A356,Cleaned_Data!A:A,Cleaned_Data!L:L)</f>
        <v>Weight Loss</v>
      </c>
    </row>
    <row r="357" spans="1:4">
      <c r="A357" s="9" t="str">
        <v>MEM0356</v>
      </c>
      <c r="B357" s="9" t="str">
        <f ca="1">_xlfn.XLOOKUP(A357,Cleaned_Data!A:A,Cleaned_Data!B:B)</f>
        <v>Anjali Sharma</v>
      </c>
      <c r="C357" s="9" t="str">
        <f ca="1">_xlfn.XLOOKUP(A357,Cleaned_Data!A:A,Cleaned_Data!C:C)</f>
        <v>Calicut</v>
      </c>
      <c r="D357" s="9" t="str">
        <f ca="1">_xlfn.XLOOKUP(A357,Cleaned_Data!A:A,Cleaned_Data!L:L)</f>
        <v>Muscle Gain</v>
      </c>
    </row>
    <row r="358" spans="1:4">
      <c r="A358" s="9" t="str">
        <v>MEM0357</v>
      </c>
      <c r="B358" s="9" t="str">
        <f ca="1">_xlfn.XLOOKUP(A358,Cleaned_Data!A:A,Cleaned_Data!B:B)</f>
        <v>Ankit D’Souza</v>
      </c>
      <c r="C358" s="9" t="str">
        <f ca="1">_xlfn.XLOOKUP(A358,Cleaned_Data!A:A,Cleaned_Data!C:C)</f>
        <v>Mumbai</v>
      </c>
      <c r="D358" s="9" t="str">
        <f ca="1">_xlfn.XLOOKUP(A358,Cleaned_Data!A:A,Cleaned_Data!L:L)</f>
        <v>General Fitness</v>
      </c>
    </row>
    <row r="359" spans="1:4">
      <c r="A359" s="9" t="str">
        <v>MEM0358</v>
      </c>
      <c r="B359" s="9" t="str">
        <f ca="1">_xlfn.XLOOKUP(A359,Cleaned_Data!A:A,Cleaned_Data!B:B)</f>
        <v>Siddharth Patel</v>
      </c>
      <c r="C359" s="9" t="str">
        <f ca="1">_xlfn.XLOOKUP(A359,Cleaned_Data!A:A,Cleaned_Data!C:C)</f>
        <v>Hyderabad</v>
      </c>
      <c r="D359" s="9" t="str">
        <f ca="1">_xlfn.XLOOKUP(A359,Cleaned_Data!A:A,Cleaned_Data!L:L)</f>
        <v>General Fitness</v>
      </c>
    </row>
    <row r="360" spans="1:4">
      <c r="A360" s="9" t="str">
        <v>MEM0359</v>
      </c>
      <c r="B360" s="9" t="str">
        <f ca="1">_xlfn.XLOOKUP(A360,Cleaned_Data!A:A,Cleaned_Data!B:B)</f>
        <v>Anu Thomas</v>
      </c>
      <c r="C360" s="9" t="str">
        <f ca="1">_xlfn.XLOOKUP(A360,Cleaned_Data!A:A,Cleaned_Data!C:C)</f>
        <v>Kochi</v>
      </c>
      <c r="D360" s="9" t="str">
        <f ca="1">_xlfn.XLOOKUP(A360,Cleaned_Data!A:A,Cleaned_Data!L:L)</f>
        <v>Weight Loss</v>
      </c>
    </row>
    <row r="361" spans="1:4">
      <c r="A361" s="9" t="str">
        <v>MEM0360</v>
      </c>
      <c r="B361" s="9" t="str">
        <f ca="1">_xlfn.XLOOKUP(A361,Cleaned_Data!A:A,Cleaned_Data!B:B)</f>
        <v>Fatima Shetty</v>
      </c>
      <c r="C361" s="9" t="str">
        <f ca="1">_xlfn.XLOOKUP(A361,Cleaned_Data!A:A,Cleaned_Data!C:C)</f>
        <v>Kochi</v>
      </c>
      <c r="D361" s="9" t="str">
        <f ca="1">_xlfn.XLOOKUP(A361,Cleaned_Data!A:A,Cleaned_Data!L:L)</f>
        <v>Weight Loss</v>
      </c>
    </row>
    <row r="362" spans="1:4">
      <c r="A362" s="9" t="str">
        <v>MEM0361</v>
      </c>
      <c r="B362" s="9" t="str">
        <f ca="1">_xlfn.XLOOKUP(A362,Cleaned_Data!A:A,Cleaned_Data!B:B)</f>
        <v>Deepak Gupta</v>
      </c>
      <c r="C362" s="9" t="str">
        <f ca="1">_xlfn.XLOOKUP(A362,Cleaned_Data!A:A,Cleaned_Data!C:C)</f>
        <v>Hyderabad</v>
      </c>
      <c r="D362" s="9" t="str">
        <f ca="1">_xlfn.XLOOKUP(A362,Cleaned_Data!A:A,Cleaned_Data!L:L)</f>
        <v>Muscle Gain</v>
      </c>
    </row>
    <row r="363" spans="1:4">
      <c r="A363" s="9" t="str">
        <v>MEM0362</v>
      </c>
      <c r="B363" s="9" t="str">
        <f ca="1">_xlfn.XLOOKUP(A363,Cleaned_Data!A:A,Cleaned_Data!B:B)</f>
        <v>Siddharth Joshi</v>
      </c>
      <c r="C363" s="9" t="str">
        <f ca="1">_xlfn.XLOOKUP(A363,Cleaned_Data!A:A,Cleaned_Data!C:C)</f>
        <v>Mumbai</v>
      </c>
      <c r="D363" s="9" t="str">
        <f ca="1">_xlfn.XLOOKUP(A363,Cleaned_Data!A:A,Cleaned_Data!L:L)</f>
        <v>General Fitness</v>
      </c>
    </row>
    <row r="364" spans="1:4">
      <c r="A364" s="9" t="str">
        <v>MEM0363</v>
      </c>
      <c r="B364" s="9" t="str">
        <f ca="1">_xlfn.XLOOKUP(A364,Cleaned_Data!A:A,Cleaned_Data!B:B)</f>
        <v>Priya Patel</v>
      </c>
      <c r="C364" s="9" t="str">
        <f ca="1">_xlfn.XLOOKUP(A364,Cleaned_Data!A:A,Cleaned_Data!C:C)</f>
        <v>Mumbai</v>
      </c>
      <c r="D364" s="9" t="str">
        <f ca="1">_xlfn.XLOOKUP(A364,Cleaned_Data!A:A,Cleaned_Data!L:L)</f>
        <v>General Fitness</v>
      </c>
    </row>
    <row r="365" spans="1:4">
      <c r="A365" s="9" t="str">
        <v>MEM0364</v>
      </c>
      <c r="B365" s="9" t="str">
        <f ca="1">_xlfn.XLOOKUP(A365,Cleaned_Data!A:A,Cleaned_Data!B:B)</f>
        <v>Ayesha Chatterjee</v>
      </c>
      <c r="C365" s="9" t="str">
        <f ca="1">_xlfn.XLOOKUP(A365,Cleaned_Data!A:A,Cleaned_Data!C:C)</f>
        <v>Hyderabad</v>
      </c>
      <c r="D365" s="9" t="str">
        <f ca="1">_xlfn.XLOOKUP(A365,Cleaned_Data!A:A,Cleaned_Data!L:L)</f>
        <v>General Fitness</v>
      </c>
    </row>
    <row r="366" spans="1:4">
      <c r="A366" s="9" t="str">
        <v>MEM0365</v>
      </c>
      <c r="B366" s="9" t="str">
        <f ca="1">_xlfn.XLOOKUP(A366,Cleaned_Data!A:A,Cleaned_Data!B:B)</f>
        <v>Priya Kapoor</v>
      </c>
      <c r="C366" s="9" t="str">
        <f ca="1">_xlfn.XLOOKUP(A366,Cleaned_Data!A:A,Cleaned_Data!C:C)</f>
        <v>Chennai</v>
      </c>
      <c r="D366" s="9" t="str">
        <f ca="1">_xlfn.XLOOKUP(A366,Cleaned_Data!A:A,Cleaned_Data!L:L)</f>
        <v>General Fitness</v>
      </c>
    </row>
    <row r="367" spans="1:4">
      <c r="A367" s="9" t="str">
        <v>MEM0366</v>
      </c>
      <c r="B367" s="9" t="str">
        <f ca="1">_xlfn.XLOOKUP(A367,Cleaned_Data!A:A,Cleaned_Data!B:B)</f>
        <v>Swathi Bhat</v>
      </c>
      <c r="C367" s="9" t="str">
        <f ca="1">_xlfn.XLOOKUP(A367,Cleaned_Data!A:A,Cleaned_Data!C:C)</f>
        <v>Kochi</v>
      </c>
      <c r="D367" s="9" t="str">
        <f ca="1">_xlfn.XLOOKUP(A367,Cleaned_Data!A:A,Cleaned_Data!L:L)</f>
        <v>Muscle Gain</v>
      </c>
    </row>
    <row r="368" spans="1:4">
      <c r="A368" s="9" t="str">
        <v>MEM0367</v>
      </c>
      <c r="B368" s="9" t="str">
        <f ca="1">_xlfn.XLOOKUP(A368,Cleaned_Data!A:A,Cleaned_Data!B:B)</f>
        <v>Tanvi Malhotra</v>
      </c>
      <c r="C368" s="9" t="str">
        <f ca="1">_xlfn.XLOOKUP(A368,Cleaned_Data!A:A,Cleaned_Data!C:C)</f>
        <v>Kochi</v>
      </c>
      <c r="D368" s="9" t="str">
        <f ca="1">_xlfn.XLOOKUP(A368,Cleaned_Data!A:A,Cleaned_Data!L:L)</f>
        <v>Muscle Gain</v>
      </c>
    </row>
    <row r="369" spans="1:4">
      <c r="A369" s="9" t="str">
        <v>MEM0368</v>
      </c>
      <c r="B369" s="9" t="str">
        <f ca="1">_xlfn.XLOOKUP(A369,Cleaned_Data!A:A,Cleaned_Data!B:B)</f>
        <v>Aditya Nair</v>
      </c>
      <c r="C369" s="9" t="str">
        <f ca="1">_xlfn.XLOOKUP(A369,Cleaned_Data!A:A,Cleaned_Data!C:C)</f>
        <v>Kochi</v>
      </c>
      <c r="D369" s="9" t="str">
        <f ca="1">_xlfn.XLOOKUP(A369,Cleaned_Data!A:A,Cleaned_Data!L:L)</f>
        <v>Weight Loss</v>
      </c>
    </row>
    <row r="370" spans="1:4">
      <c r="A370" s="9" t="str">
        <v>MEM0369</v>
      </c>
      <c r="B370" s="9" t="str">
        <f ca="1">_xlfn.XLOOKUP(A370,Cleaned_Data!A:A,Cleaned_Data!B:B)</f>
        <v>Sanjay Malhotra</v>
      </c>
      <c r="C370" s="9" t="str">
        <f ca="1">_xlfn.XLOOKUP(A370,Cleaned_Data!A:A,Cleaned_Data!C:C)</f>
        <v>Trivandrum</v>
      </c>
      <c r="D370" s="9" t="str">
        <f ca="1">_xlfn.XLOOKUP(A370,Cleaned_Data!A:A,Cleaned_Data!L:L)</f>
        <v>Muscle Gain</v>
      </c>
    </row>
    <row r="371" spans="1:4">
      <c r="A371" s="9" t="str">
        <v>MEM0370</v>
      </c>
      <c r="B371" s="9" t="str">
        <f ca="1">_xlfn.XLOOKUP(A371,Cleaned_Data!A:A,Cleaned_Data!B:B)</f>
        <v>Fatima Lewis</v>
      </c>
      <c r="C371" s="9" t="str">
        <f ca="1">_xlfn.XLOOKUP(A371,Cleaned_Data!A:A,Cleaned_Data!C:C)</f>
        <v>Trivandrum</v>
      </c>
      <c r="D371" s="9" t="str">
        <f ca="1">_xlfn.XLOOKUP(A371,Cleaned_Data!A:A,Cleaned_Data!L:L)</f>
        <v>Weight Loss</v>
      </c>
    </row>
    <row r="372" spans="1:4">
      <c r="A372" s="9" t="str">
        <v>MEM0371</v>
      </c>
      <c r="B372" s="9" t="str">
        <f ca="1">_xlfn.XLOOKUP(A372,Cleaned_Data!A:A,Cleaned_Data!B:B)</f>
        <v>Anjali Khan</v>
      </c>
      <c r="C372" s="9" t="str">
        <f ca="1">_xlfn.XLOOKUP(A372,Cleaned_Data!A:A,Cleaned_Data!C:C)</f>
        <v>Kochi</v>
      </c>
      <c r="D372" s="9" t="str">
        <f ca="1">_xlfn.XLOOKUP(A372,Cleaned_Data!A:A,Cleaned_Data!L:L)</f>
        <v>General Fitness</v>
      </c>
    </row>
    <row r="373" spans="1:4">
      <c r="A373" s="9" t="str">
        <v>MEM0372</v>
      </c>
      <c r="B373" s="9" t="str">
        <f ca="1">_xlfn.XLOOKUP(A373,Cleaned_Data!A:A,Cleaned_Data!B:B)</f>
        <v>Deepak Yadav</v>
      </c>
      <c r="C373" s="9" t="str">
        <f ca="1">_xlfn.XLOOKUP(A373,Cleaned_Data!A:A,Cleaned_Data!C:C)</f>
        <v>Chennai</v>
      </c>
      <c r="D373" s="9" t="str">
        <f ca="1">_xlfn.XLOOKUP(A373,Cleaned_Data!A:A,Cleaned_Data!L:L)</f>
        <v>Weight Loss</v>
      </c>
    </row>
    <row r="374" spans="1:4">
      <c r="A374" s="9" t="str">
        <v>MEM0373</v>
      </c>
      <c r="B374" s="9" t="str">
        <f ca="1">_xlfn.XLOOKUP(A374,Cleaned_Data!A:A,Cleaned_Data!B:B)</f>
        <v>Vivek Iyer</v>
      </c>
      <c r="C374" s="9" t="str">
        <f ca="1">_xlfn.XLOOKUP(A374,Cleaned_Data!A:A,Cleaned_Data!C:C)</f>
        <v>Trivandrum</v>
      </c>
      <c r="D374" s="9" t="str">
        <f ca="1">_xlfn.XLOOKUP(A374,Cleaned_Data!A:A,Cleaned_Data!L:L)</f>
        <v>Muscle Gain</v>
      </c>
    </row>
    <row r="375" spans="1:4">
      <c r="A375" s="9" t="str">
        <v>MEM0374</v>
      </c>
      <c r="B375" s="9" t="str">
        <f ca="1">_xlfn.XLOOKUP(A375,Cleaned_Data!A:A,Cleaned_Data!B:B)</f>
        <v>Lakshmi Mathew</v>
      </c>
      <c r="C375" s="9" t="str">
        <f ca="1">_xlfn.XLOOKUP(A375,Cleaned_Data!A:A,Cleaned_Data!C:C)</f>
        <v>Mumbai</v>
      </c>
      <c r="D375" s="9" t="str">
        <f ca="1">_xlfn.XLOOKUP(A375,Cleaned_Data!A:A,Cleaned_Data!L:L)</f>
        <v>Weight Loss</v>
      </c>
    </row>
    <row r="376" spans="1:4">
      <c r="A376" s="9" t="str">
        <v>MEM0375</v>
      </c>
      <c r="B376" s="9" t="str">
        <f ca="1">_xlfn.XLOOKUP(A376,Cleaned_Data!A:A,Cleaned_Data!B:B)</f>
        <v>Swathi Fernandes</v>
      </c>
      <c r="C376" s="9" t="str">
        <f ca="1">_xlfn.XLOOKUP(A376,Cleaned_Data!A:A,Cleaned_Data!C:C)</f>
        <v>Calicut</v>
      </c>
      <c r="D376" s="9" t="str">
        <f ca="1">_xlfn.XLOOKUP(A376,Cleaned_Data!A:A,Cleaned_Data!L:L)</f>
        <v>Weight Loss</v>
      </c>
    </row>
    <row r="377" spans="1:4">
      <c r="A377" s="9" t="str">
        <v>MEM0376</v>
      </c>
      <c r="B377" s="9" t="str">
        <f ca="1">_xlfn.XLOOKUP(A377,Cleaned_Data!A:A,Cleaned_Data!B:B)</f>
        <v>Anjali Joshi</v>
      </c>
      <c r="C377" s="9" t="str">
        <f ca="1">_xlfn.XLOOKUP(A377,Cleaned_Data!A:A,Cleaned_Data!C:C)</f>
        <v>Bangalore</v>
      </c>
      <c r="D377" s="9" t="str">
        <f ca="1">_xlfn.XLOOKUP(A377,Cleaned_Data!A:A,Cleaned_Data!L:L)</f>
        <v>Muscle Gain</v>
      </c>
    </row>
    <row r="378" spans="1:4">
      <c r="A378" s="9" t="str">
        <v>MEM0377</v>
      </c>
      <c r="B378" s="9" t="str">
        <f ca="1">_xlfn.XLOOKUP(A378,Cleaned_Data!A:A,Cleaned_Data!B:B)</f>
        <v>Nikhil Singh</v>
      </c>
      <c r="C378" s="9" t="str">
        <f ca="1">_xlfn.XLOOKUP(A378,Cleaned_Data!A:A,Cleaned_Data!C:C)</f>
        <v>Hyderabad</v>
      </c>
      <c r="D378" s="9" t="str">
        <f ca="1">_xlfn.XLOOKUP(A378,Cleaned_Data!A:A,Cleaned_Data!L:L)</f>
        <v>Muscle Gain</v>
      </c>
    </row>
    <row r="379" spans="1:4">
      <c r="A379" s="9" t="str">
        <v>MEM0378</v>
      </c>
      <c r="B379" s="9" t="str">
        <f ca="1">_xlfn.XLOOKUP(A379,Cleaned_Data!A:A,Cleaned_Data!B:B)</f>
        <v>Varun Naidu</v>
      </c>
      <c r="C379" s="9" t="str">
        <f ca="1">_xlfn.XLOOKUP(A379,Cleaned_Data!A:A,Cleaned_Data!C:C)</f>
        <v>Chennai</v>
      </c>
      <c r="D379" s="9" t="str">
        <f ca="1">_xlfn.XLOOKUP(A379,Cleaned_Data!A:A,Cleaned_Data!L:L)</f>
        <v>Weight Loss</v>
      </c>
    </row>
    <row r="380" spans="1:4">
      <c r="A380" s="9" t="str">
        <v>MEM0379</v>
      </c>
      <c r="B380" s="9" t="str">
        <f ca="1">_xlfn.XLOOKUP(A380,Cleaned_Data!A:A,Cleaned_Data!B:B)</f>
        <v>Anjali Patel</v>
      </c>
      <c r="C380" s="9" t="str">
        <f ca="1">_xlfn.XLOOKUP(A380,Cleaned_Data!A:A,Cleaned_Data!C:C)</f>
        <v>Mumbai</v>
      </c>
      <c r="D380" s="9" t="str">
        <f ca="1">_xlfn.XLOOKUP(A380,Cleaned_Data!A:A,Cleaned_Data!L:L)</f>
        <v>Muscle Gain</v>
      </c>
    </row>
    <row r="381" spans="1:4">
      <c r="A381" s="9" t="str">
        <v>MEM0380</v>
      </c>
      <c r="B381" s="9" t="str">
        <f ca="1">_xlfn.XLOOKUP(A381,Cleaned_Data!A:A,Cleaned_Data!B:B)</f>
        <v>Akash Malhotra</v>
      </c>
      <c r="C381" s="9" t="str">
        <f ca="1">_xlfn.XLOOKUP(A381,Cleaned_Data!A:A,Cleaned_Data!C:C)</f>
        <v>Bangalore</v>
      </c>
      <c r="D381" s="9" t="str">
        <f ca="1">_xlfn.XLOOKUP(A381,Cleaned_Data!A:A,Cleaned_Data!L:L)</f>
        <v>Weight Loss</v>
      </c>
    </row>
    <row r="382" spans="1:4">
      <c r="A382" s="9" t="str">
        <v>MEM0381</v>
      </c>
      <c r="B382" s="9" t="str">
        <f ca="1">_xlfn.XLOOKUP(A382,Cleaned_Data!A:A,Cleaned_Data!B:B)</f>
        <v>Ankit Thomas</v>
      </c>
      <c r="C382" s="9" t="str">
        <f ca="1">_xlfn.XLOOKUP(A382,Cleaned_Data!A:A,Cleaned_Data!C:C)</f>
        <v>Chennai</v>
      </c>
      <c r="D382" s="9" t="str">
        <f ca="1">_xlfn.XLOOKUP(A382,Cleaned_Data!A:A,Cleaned_Data!L:L)</f>
        <v>Muscle Gain</v>
      </c>
    </row>
    <row r="383" spans="1:4">
      <c r="A383" s="9" t="str">
        <v>MEM0382</v>
      </c>
      <c r="B383" s="9" t="str">
        <f ca="1">_xlfn.XLOOKUP(A383,Cleaned_Data!A:A,Cleaned_Data!B:B)</f>
        <v>Arjun Shaikh</v>
      </c>
      <c r="C383" s="9" t="str">
        <f ca="1">_xlfn.XLOOKUP(A383,Cleaned_Data!A:A,Cleaned_Data!C:C)</f>
        <v>Chennai</v>
      </c>
      <c r="D383" s="9" t="str">
        <f ca="1">_xlfn.XLOOKUP(A383,Cleaned_Data!A:A,Cleaned_Data!L:L)</f>
        <v>Muscle Gain</v>
      </c>
    </row>
    <row r="384" spans="1:4">
      <c r="A384" s="9" t="str">
        <v>MEM0383</v>
      </c>
      <c r="B384" s="9" t="str">
        <f ca="1">_xlfn.XLOOKUP(A384,Cleaned_Data!A:A,Cleaned_Data!B:B)</f>
        <v>Siddharth Mathew</v>
      </c>
      <c r="C384" s="9" t="str">
        <f ca="1">_xlfn.XLOOKUP(A384,Cleaned_Data!A:A,Cleaned_Data!C:C)</f>
        <v>Calicut</v>
      </c>
      <c r="D384" s="9" t="str">
        <f ca="1">_xlfn.XLOOKUP(A384,Cleaned_Data!A:A,Cleaned_Data!L:L)</f>
        <v>General Fitness</v>
      </c>
    </row>
    <row r="385" spans="1:4">
      <c r="A385" s="9" t="str">
        <v>MEM0384</v>
      </c>
      <c r="B385" s="9" t="str">
        <f ca="1">_xlfn.XLOOKUP(A385,Cleaned_Data!A:A,Cleaned_Data!B:B)</f>
        <v>Divya Reddy</v>
      </c>
      <c r="C385" s="9" t="str">
        <f ca="1">_xlfn.XLOOKUP(A385,Cleaned_Data!A:A,Cleaned_Data!C:C)</f>
        <v>Chennai</v>
      </c>
      <c r="D385" s="9" t="str">
        <f ca="1">_xlfn.XLOOKUP(A385,Cleaned_Data!A:A,Cleaned_Data!L:L)</f>
        <v>Weight Loss</v>
      </c>
    </row>
    <row r="386" spans="1:4">
      <c r="A386" s="9" t="str">
        <v>MEM0385</v>
      </c>
      <c r="B386" s="9" t="str">
        <f ca="1">_xlfn.XLOOKUP(A386,Cleaned_Data!A:A,Cleaned_Data!B:B)</f>
        <v>Rahul Bhat</v>
      </c>
      <c r="C386" s="9" t="str">
        <f ca="1">_xlfn.XLOOKUP(A386,Cleaned_Data!A:A,Cleaned_Data!C:C)</f>
        <v>Chennai</v>
      </c>
      <c r="D386" s="9" t="str">
        <f ca="1">_xlfn.XLOOKUP(A386,Cleaned_Data!A:A,Cleaned_Data!L:L)</f>
        <v>Weight Loss</v>
      </c>
    </row>
    <row r="387" spans="1:4">
      <c r="A387" s="9" t="str">
        <v>MEM0386</v>
      </c>
      <c r="B387" s="9" t="str">
        <f ca="1">_xlfn.XLOOKUP(A387,Cleaned_Data!A:A,Cleaned_Data!B:B)</f>
        <v>Divya Banerjee</v>
      </c>
      <c r="C387" s="9" t="str">
        <f ca="1">_xlfn.XLOOKUP(A387,Cleaned_Data!A:A,Cleaned_Data!C:C)</f>
        <v>Hyderabad</v>
      </c>
      <c r="D387" s="9" t="str">
        <f ca="1">_xlfn.XLOOKUP(A387,Cleaned_Data!A:A,Cleaned_Data!L:L)</f>
        <v>Weight Loss</v>
      </c>
    </row>
    <row r="388" spans="1:4">
      <c r="A388" s="9" t="str">
        <v>MEM0387</v>
      </c>
      <c r="B388" s="9" t="str">
        <f ca="1">_xlfn.XLOOKUP(A388,Cleaned_Data!A:A,Cleaned_Data!B:B)</f>
        <v>Pooja Gupta</v>
      </c>
      <c r="C388" s="9" t="str">
        <f ca="1">_xlfn.XLOOKUP(A388,Cleaned_Data!A:A,Cleaned_Data!C:C)</f>
        <v>Calicut</v>
      </c>
      <c r="D388" s="9" t="str">
        <f ca="1">_xlfn.XLOOKUP(A388,Cleaned_Data!A:A,Cleaned_Data!L:L)</f>
        <v>General Fitness</v>
      </c>
    </row>
    <row r="389" spans="1:4">
      <c r="A389" s="9" t="str">
        <v>MEM0388</v>
      </c>
      <c r="B389" s="9" t="str">
        <f ca="1">_xlfn.XLOOKUP(A389,Cleaned_Data!A:A,Cleaned_Data!B:B)</f>
        <v>Siddharth Patel</v>
      </c>
      <c r="C389" s="9" t="str">
        <f ca="1">_xlfn.XLOOKUP(A389,Cleaned_Data!A:A,Cleaned_Data!C:C)</f>
        <v>Bangalore</v>
      </c>
      <c r="D389" s="9" t="str">
        <f ca="1">_xlfn.XLOOKUP(A389,Cleaned_Data!A:A,Cleaned_Data!L:L)</f>
        <v>Weight Loss</v>
      </c>
    </row>
    <row r="390" spans="1:4">
      <c r="A390" s="9" t="str">
        <v>MEM0389</v>
      </c>
      <c r="B390" s="9" t="str">
        <f ca="1">_xlfn.XLOOKUP(A390,Cleaned_Data!A:A,Cleaned_Data!B:B)</f>
        <v>Karthik Banerjee</v>
      </c>
      <c r="C390" s="9" t="str">
        <f ca="1">_xlfn.XLOOKUP(A390,Cleaned_Data!A:A,Cleaned_Data!C:C)</f>
        <v>Hyderabad</v>
      </c>
      <c r="D390" s="9" t="str">
        <f ca="1">_xlfn.XLOOKUP(A390,Cleaned_Data!A:A,Cleaned_Data!L:L)</f>
        <v>General Fitness</v>
      </c>
    </row>
    <row r="391" spans="1:4">
      <c r="A391" s="9" t="str">
        <v>MEM0390</v>
      </c>
      <c r="B391" s="9" t="str">
        <f ca="1">_xlfn.XLOOKUP(A391,Cleaned_Data!A:A,Cleaned_Data!B:B)</f>
        <v>Ankit Pillai</v>
      </c>
      <c r="C391" s="9" t="str">
        <f ca="1">_xlfn.XLOOKUP(A391,Cleaned_Data!A:A,Cleaned_Data!C:C)</f>
        <v>Calicut</v>
      </c>
      <c r="D391" s="9" t="str">
        <f ca="1">_xlfn.XLOOKUP(A391,Cleaned_Data!A:A,Cleaned_Data!L:L)</f>
        <v>Muscle Gain</v>
      </c>
    </row>
    <row r="392" spans="1:4">
      <c r="A392" s="9" t="str">
        <v>MEM0391</v>
      </c>
      <c r="B392" s="9" t="str">
        <f ca="1">_xlfn.XLOOKUP(A392,Cleaned_Data!A:A,Cleaned_Data!B:B)</f>
        <v>Shreya Pillai</v>
      </c>
      <c r="C392" s="9" t="str">
        <f ca="1">_xlfn.XLOOKUP(A392,Cleaned_Data!A:A,Cleaned_Data!C:C)</f>
        <v>Chennai</v>
      </c>
      <c r="D392" s="9" t="str">
        <f ca="1">_xlfn.XLOOKUP(A392,Cleaned_Data!A:A,Cleaned_Data!L:L)</f>
        <v>General Fitness</v>
      </c>
    </row>
    <row r="393" spans="1:4">
      <c r="A393" s="9" t="str">
        <v>MEM0392</v>
      </c>
      <c r="B393" s="9" t="str">
        <f ca="1">_xlfn.XLOOKUP(A393,Cleaned_Data!A:A,Cleaned_Data!B:B)</f>
        <v>Ayesha Shaikh</v>
      </c>
      <c r="C393" s="9" t="str">
        <f ca="1">_xlfn.XLOOKUP(A393,Cleaned_Data!A:A,Cleaned_Data!C:C)</f>
        <v>Hyderabad</v>
      </c>
      <c r="D393" s="9" t="str">
        <f ca="1">_xlfn.XLOOKUP(A393,Cleaned_Data!A:A,Cleaned_Data!L:L)</f>
        <v>General Fitness</v>
      </c>
    </row>
    <row r="394" spans="1:4">
      <c r="A394" s="9" t="str">
        <v>MEM0393</v>
      </c>
      <c r="B394" s="9" t="str">
        <f ca="1">_xlfn.XLOOKUP(A394,Cleaned_Data!A:A,Cleaned_Data!B:B)</f>
        <v>Pooja Pillai</v>
      </c>
      <c r="C394" s="9" t="str">
        <f ca="1">_xlfn.XLOOKUP(A394,Cleaned_Data!A:A,Cleaned_Data!C:C)</f>
        <v>Mumbai</v>
      </c>
      <c r="D394" s="9" t="str">
        <f ca="1">_xlfn.XLOOKUP(A394,Cleaned_Data!A:A,Cleaned_Data!L:L)</f>
        <v>Muscle Gain</v>
      </c>
    </row>
    <row r="395" spans="1:4">
      <c r="A395" s="9" t="str">
        <v>MEM0394</v>
      </c>
      <c r="B395" s="9" t="str">
        <f ca="1">_xlfn.XLOOKUP(A395,Cleaned_Data!A:A,Cleaned_Data!B:B)</f>
        <v>Harish Banerjee</v>
      </c>
      <c r="C395" s="9" t="str">
        <f ca="1">_xlfn.XLOOKUP(A395,Cleaned_Data!A:A,Cleaned_Data!C:C)</f>
        <v>Hyderabad</v>
      </c>
      <c r="D395" s="9" t="str">
        <f ca="1">_xlfn.XLOOKUP(A395,Cleaned_Data!A:A,Cleaned_Data!L:L)</f>
        <v>General Fitness</v>
      </c>
    </row>
    <row r="396" spans="1:4">
      <c r="A396" s="9" t="str">
        <v>MEM0395</v>
      </c>
      <c r="B396" s="9" t="str">
        <f ca="1">_xlfn.XLOOKUP(A396,Cleaned_Data!A:A,Cleaned_Data!B:B)</f>
        <v>Sanjay Yadav</v>
      </c>
      <c r="C396" s="9" t="str">
        <f ca="1">_xlfn.XLOOKUP(A396,Cleaned_Data!A:A,Cleaned_Data!C:C)</f>
        <v>Kochi</v>
      </c>
      <c r="D396" s="9" t="str">
        <f ca="1">_xlfn.XLOOKUP(A396,Cleaned_Data!A:A,Cleaned_Data!L:L)</f>
        <v>Weight Loss</v>
      </c>
    </row>
    <row r="397" spans="1:4">
      <c r="A397" s="9" t="str">
        <v>MEM0396</v>
      </c>
      <c r="B397" s="9" t="str">
        <f ca="1">_xlfn.XLOOKUP(A397,Cleaned_Data!A:A,Cleaned_Data!B:B)</f>
        <v>Karthik Verma</v>
      </c>
      <c r="C397" s="9" t="str">
        <f ca="1">_xlfn.XLOOKUP(A397,Cleaned_Data!A:A,Cleaned_Data!C:C)</f>
        <v>Trivandrum</v>
      </c>
      <c r="D397" s="9" t="str">
        <f ca="1">_xlfn.XLOOKUP(A397,Cleaned_Data!A:A,Cleaned_Data!L:L)</f>
        <v>Weight Loss</v>
      </c>
    </row>
    <row r="398" spans="1:4">
      <c r="A398" s="9" t="str">
        <v>MEM0397</v>
      </c>
      <c r="B398" s="9" t="str">
        <f ca="1">_xlfn.XLOOKUP(A398,Cleaned_Data!A:A,Cleaned_Data!B:B)</f>
        <v>Meera Reddy</v>
      </c>
      <c r="C398" s="9" t="str">
        <f ca="1">_xlfn.XLOOKUP(A398,Cleaned_Data!A:A,Cleaned_Data!C:C)</f>
        <v>Kochi</v>
      </c>
      <c r="D398" s="9" t="str">
        <f ca="1">_xlfn.XLOOKUP(A398,Cleaned_Data!A:A,Cleaned_Data!L:L)</f>
        <v>General Fitness</v>
      </c>
    </row>
    <row r="399" spans="1:4">
      <c r="A399" s="9" t="str">
        <v>MEM0398</v>
      </c>
      <c r="B399" s="9" t="str">
        <f ca="1">_xlfn.XLOOKUP(A399,Cleaned_Data!A:A,Cleaned_Data!B:B)</f>
        <v>Akash Fernandes</v>
      </c>
      <c r="C399" s="9" t="str">
        <f ca="1">_xlfn.XLOOKUP(A399,Cleaned_Data!A:A,Cleaned_Data!C:C)</f>
        <v>Bangalore</v>
      </c>
      <c r="D399" s="9" t="str">
        <f ca="1">_xlfn.XLOOKUP(A399,Cleaned_Data!A:A,Cleaned_Data!L:L)</f>
        <v>General Fitness</v>
      </c>
    </row>
    <row r="400" spans="1:4">
      <c r="A400" s="9" t="str">
        <v>MEM0399</v>
      </c>
      <c r="B400" s="9" t="str">
        <f ca="1">_xlfn.XLOOKUP(A400,Cleaned_Data!A:A,Cleaned_Data!B:B)</f>
        <v>Pooja Malhotra</v>
      </c>
      <c r="C400" s="9" t="str">
        <f ca="1">_xlfn.XLOOKUP(A400,Cleaned_Data!A:A,Cleaned_Data!C:C)</f>
        <v>Mumbai</v>
      </c>
      <c r="D400" s="9" t="str">
        <f ca="1">_xlfn.XLOOKUP(A400,Cleaned_Data!A:A,Cleaned_Data!L:L)</f>
        <v>General Fitness</v>
      </c>
    </row>
    <row r="401" spans="1:4">
      <c r="A401" s="9" t="str">
        <v>MEM0400</v>
      </c>
      <c r="B401" s="9" t="str">
        <f ca="1">_xlfn.XLOOKUP(A401,Cleaned_Data!A:A,Cleaned_Data!B:B)</f>
        <v>Nisha Nair</v>
      </c>
      <c r="C401" s="9" t="str">
        <f ca="1">_xlfn.XLOOKUP(A401,Cleaned_Data!A:A,Cleaned_Data!C:C)</f>
        <v>Kochi</v>
      </c>
      <c r="D401" s="9" t="str">
        <f ca="1">_xlfn.XLOOKUP(A401,Cleaned_Data!A:A,Cleaned_Data!L:L)</f>
        <v>General Fitness</v>
      </c>
    </row>
    <row r="402" spans="1:4">
      <c r="A402" s="9" t="str">
        <v>MEM0401</v>
      </c>
      <c r="B402" s="9" t="str">
        <f ca="1">_xlfn.XLOOKUP(A402,Cleaned_Data!A:A,Cleaned_Data!B:B)</f>
        <v>Akash Fernandes</v>
      </c>
      <c r="C402" s="9" t="str">
        <f ca="1">_xlfn.XLOOKUP(A402,Cleaned_Data!A:A,Cleaned_Data!C:C)</f>
        <v>Kochi</v>
      </c>
      <c r="D402" s="9" t="str">
        <f ca="1">_xlfn.XLOOKUP(A402,Cleaned_Data!A:A,Cleaned_Data!L:L)</f>
        <v>Weight Loss</v>
      </c>
    </row>
    <row r="403" spans="1:4">
      <c r="A403" s="9" t="str">
        <v>MEM0402</v>
      </c>
      <c r="B403" s="9" t="str">
        <f ca="1">_xlfn.XLOOKUP(A403,Cleaned_Data!A:A,Cleaned_Data!B:B)</f>
        <v>Manoj Das</v>
      </c>
      <c r="C403" s="9" t="str">
        <f ca="1">_xlfn.XLOOKUP(A403,Cleaned_Data!A:A,Cleaned_Data!C:C)</f>
        <v>Calicut</v>
      </c>
      <c r="D403" s="9" t="str">
        <f ca="1">_xlfn.XLOOKUP(A403,Cleaned_Data!A:A,Cleaned_Data!L:L)</f>
        <v>Muscle Gain</v>
      </c>
    </row>
    <row r="404" spans="1:4">
      <c r="A404" s="9" t="str">
        <v>MEM0403</v>
      </c>
      <c r="B404" s="9" t="str">
        <f ca="1">_xlfn.XLOOKUP(A404,Cleaned_Data!A:A,Cleaned_Data!B:B)</f>
        <v>Varun Verma</v>
      </c>
      <c r="C404" s="9" t="str">
        <f ca="1">_xlfn.XLOOKUP(A404,Cleaned_Data!A:A,Cleaned_Data!C:C)</f>
        <v>Hyderabad</v>
      </c>
      <c r="D404" s="9" t="str">
        <f ca="1">_xlfn.XLOOKUP(A404,Cleaned_Data!A:A,Cleaned_Data!L:L)</f>
        <v>Weight Loss</v>
      </c>
    </row>
    <row r="405" spans="1:4">
      <c r="A405" s="9" t="str">
        <v>MEM0404</v>
      </c>
      <c r="B405" s="9" t="str">
        <f ca="1">_xlfn.XLOOKUP(A405,Cleaned_Data!A:A,Cleaned_Data!B:B)</f>
        <v>Shreya Yadav</v>
      </c>
      <c r="C405" s="9" t="str">
        <f ca="1">_xlfn.XLOOKUP(A405,Cleaned_Data!A:A,Cleaned_Data!C:C)</f>
        <v>Bangalore</v>
      </c>
      <c r="D405" s="9" t="str">
        <f ca="1">_xlfn.XLOOKUP(A405,Cleaned_Data!A:A,Cleaned_Data!L:L)</f>
        <v>Muscle Gain</v>
      </c>
    </row>
    <row r="406" spans="1:4">
      <c r="A406" s="9" t="str">
        <v>MEM0405</v>
      </c>
      <c r="B406" s="9" t="str">
        <f ca="1">_xlfn.XLOOKUP(A406,Cleaned_Data!A:A,Cleaned_Data!B:B)</f>
        <v>Kavya Mathew</v>
      </c>
      <c r="C406" s="9" t="str">
        <f ca="1">_xlfn.XLOOKUP(A406,Cleaned_Data!A:A,Cleaned_Data!C:C)</f>
        <v>Bangalore</v>
      </c>
      <c r="D406" s="9" t="str">
        <f ca="1">_xlfn.XLOOKUP(A406,Cleaned_Data!A:A,Cleaned_Data!L:L)</f>
        <v>Muscle Gain</v>
      </c>
    </row>
    <row r="407" spans="1:4">
      <c r="A407" s="9" t="str">
        <v>MEM0406</v>
      </c>
      <c r="B407" s="9" t="str">
        <f ca="1">_xlfn.XLOOKUP(A407,Cleaned_Data!A:A,Cleaned_Data!B:B)</f>
        <v>Anu Thomas</v>
      </c>
      <c r="C407" s="9" t="str">
        <f ca="1">_xlfn.XLOOKUP(A407,Cleaned_Data!A:A,Cleaned_Data!C:C)</f>
        <v>Kochi</v>
      </c>
      <c r="D407" s="9" t="str">
        <f ca="1">_xlfn.XLOOKUP(A407,Cleaned_Data!A:A,Cleaned_Data!L:L)</f>
        <v>Muscle Gain</v>
      </c>
    </row>
    <row r="408" spans="1:4">
      <c r="A408" s="9" t="str">
        <v>MEM0407</v>
      </c>
      <c r="B408" s="9" t="str">
        <f ca="1">_xlfn.XLOOKUP(A408,Cleaned_Data!A:A,Cleaned_Data!B:B)</f>
        <v>Rohit Fernandes</v>
      </c>
      <c r="C408" s="9" t="str">
        <f ca="1">_xlfn.XLOOKUP(A408,Cleaned_Data!A:A,Cleaned_Data!C:C)</f>
        <v>Bangalore</v>
      </c>
      <c r="D408" s="9" t="str">
        <f ca="1">_xlfn.XLOOKUP(A408,Cleaned_Data!A:A,Cleaned_Data!L:L)</f>
        <v>Muscle Gain</v>
      </c>
    </row>
    <row r="409" spans="1:4">
      <c r="A409" s="9" t="str">
        <v>MEM0408</v>
      </c>
      <c r="B409" s="9" t="str">
        <f ca="1">_xlfn.XLOOKUP(A409,Cleaned_Data!A:A,Cleaned_Data!B:B)</f>
        <v>Neha Iyer</v>
      </c>
      <c r="C409" s="9" t="str">
        <f ca="1">_xlfn.XLOOKUP(A409,Cleaned_Data!A:A,Cleaned_Data!C:C)</f>
        <v>Chennai</v>
      </c>
      <c r="D409" s="9" t="str">
        <f ca="1">_xlfn.XLOOKUP(A409,Cleaned_Data!A:A,Cleaned_Data!L:L)</f>
        <v>Muscle Gain</v>
      </c>
    </row>
    <row r="410" spans="1:4">
      <c r="A410" s="9" t="str">
        <v>MEM0409</v>
      </c>
      <c r="B410" s="9" t="str">
        <f ca="1">_xlfn.XLOOKUP(A410,Cleaned_Data!A:A,Cleaned_Data!B:B)</f>
        <v>Swathi Nair</v>
      </c>
      <c r="C410" s="9" t="str">
        <f ca="1">_xlfn.XLOOKUP(A410,Cleaned_Data!A:A,Cleaned_Data!C:C)</f>
        <v>Kochi</v>
      </c>
      <c r="D410" s="9" t="str">
        <f ca="1">_xlfn.XLOOKUP(A410,Cleaned_Data!A:A,Cleaned_Data!L:L)</f>
        <v>Weight Loss</v>
      </c>
    </row>
    <row r="411" spans="1:4">
      <c r="A411" s="9" t="str">
        <v>MEM0410</v>
      </c>
      <c r="B411" s="9" t="str">
        <f ca="1">_xlfn.XLOOKUP(A411,Cleaned_Data!A:A,Cleaned_Data!B:B)</f>
        <v>Kavya Fernandes</v>
      </c>
      <c r="C411" s="9" t="str">
        <f ca="1">_xlfn.XLOOKUP(A411,Cleaned_Data!A:A,Cleaned_Data!C:C)</f>
        <v>Trivandrum</v>
      </c>
      <c r="D411" s="9" t="str">
        <f ca="1">_xlfn.XLOOKUP(A411,Cleaned_Data!A:A,Cleaned_Data!L:L)</f>
        <v>Weight Loss</v>
      </c>
    </row>
    <row r="412" spans="1:4">
      <c r="A412" s="9" t="str">
        <v>MEM0411</v>
      </c>
      <c r="B412" s="9" t="str">
        <f ca="1">_xlfn.XLOOKUP(A412,Cleaned_Data!A:A,Cleaned_Data!B:B)</f>
        <v>Nisha Bhat</v>
      </c>
      <c r="C412" s="9" t="str">
        <f ca="1">_xlfn.XLOOKUP(A412,Cleaned_Data!A:A,Cleaned_Data!C:C)</f>
        <v>Calicut</v>
      </c>
      <c r="D412" s="9" t="str">
        <f ca="1">_xlfn.XLOOKUP(A412,Cleaned_Data!A:A,Cleaned_Data!L:L)</f>
        <v>Muscle Gain</v>
      </c>
    </row>
    <row r="413" spans="1:4">
      <c r="A413" s="9" t="str">
        <v>MEM0412</v>
      </c>
      <c r="B413" s="9" t="str">
        <f ca="1">_xlfn.XLOOKUP(A413,Cleaned_Data!A:A,Cleaned_Data!B:B)</f>
        <v>Sneha Shetty</v>
      </c>
      <c r="C413" s="9" t="str">
        <f ca="1">_xlfn.XLOOKUP(A413,Cleaned_Data!A:A,Cleaned_Data!C:C)</f>
        <v>Trivandrum</v>
      </c>
      <c r="D413" s="9" t="str">
        <f ca="1">_xlfn.XLOOKUP(A413,Cleaned_Data!A:A,Cleaned_Data!L:L)</f>
        <v>General Fitness</v>
      </c>
    </row>
    <row r="414" spans="1:4">
      <c r="A414" s="9" t="str">
        <v>MEM0413</v>
      </c>
      <c r="B414" s="9" t="str">
        <f ca="1">_xlfn.XLOOKUP(A414,Cleaned_Data!A:A,Cleaned_Data!B:B)</f>
        <v>Ayesha Mathew</v>
      </c>
      <c r="C414" s="9" t="str">
        <f ca="1">_xlfn.XLOOKUP(A414,Cleaned_Data!A:A,Cleaned_Data!C:C)</f>
        <v>Mumbai</v>
      </c>
      <c r="D414" s="9" t="str">
        <f ca="1">_xlfn.XLOOKUP(A414,Cleaned_Data!A:A,Cleaned_Data!L:L)</f>
        <v>Muscle Gain</v>
      </c>
    </row>
    <row r="415" spans="1:4">
      <c r="A415" s="9" t="str">
        <v>MEM0414</v>
      </c>
      <c r="B415" s="9" t="str">
        <f ca="1">_xlfn.XLOOKUP(A415,Cleaned_Data!A:A,Cleaned_Data!B:B)</f>
        <v>Ayesha Iyer</v>
      </c>
      <c r="C415" s="9" t="str">
        <f ca="1">_xlfn.XLOOKUP(A415,Cleaned_Data!A:A,Cleaned_Data!C:C)</f>
        <v>Hyderabad</v>
      </c>
      <c r="D415" s="9" t="str">
        <f ca="1">_xlfn.XLOOKUP(A415,Cleaned_Data!A:A,Cleaned_Data!L:L)</f>
        <v>Weight Loss</v>
      </c>
    </row>
    <row r="416" spans="1:4">
      <c r="A416" s="9" t="str">
        <v>MEM0415</v>
      </c>
      <c r="B416" s="9" t="str">
        <f ca="1">_xlfn.XLOOKUP(A416,Cleaned_Data!A:A,Cleaned_Data!B:B)</f>
        <v>Rohit Nambiar</v>
      </c>
      <c r="C416" s="9" t="str">
        <f ca="1">_xlfn.XLOOKUP(A416,Cleaned_Data!A:A,Cleaned_Data!C:C)</f>
        <v>Mumbai</v>
      </c>
      <c r="D416" s="9" t="str">
        <f ca="1">_xlfn.XLOOKUP(A416,Cleaned_Data!A:A,Cleaned_Data!L:L)</f>
        <v>Muscle Gain</v>
      </c>
    </row>
    <row r="417" spans="1:4">
      <c r="A417" s="9" t="str">
        <v>MEM0416</v>
      </c>
      <c r="B417" s="9" t="str">
        <f ca="1">_xlfn.XLOOKUP(A417,Cleaned_Data!A:A,Cleaned_Data!B:B)</f>
        <v>Ishita Bhat</v>
      </c>
      <c r="C417" s="9" t="str">
        <f ca="1">_xlfn.XLOOKUP(A417,Cleaned_Data!A:A,Cleaned_Data!C:C)</f>
        <v>Kochi</v>
      </c>
      <c r="D417" s="9" t="str">
        <f ca="1">_xlfn.XLOOKUP(A417,Cleaned_Data!A:A,Cleaned_Data!L:L)</f>
        <v>General Fitness</v>
      </c>
    </row>
    <row r="418" spans="1:4">
      <c r="A418" s="9" t="str">
        <v>MEM0417</v>
      </c>
      <c r="B418" s="9" t="str">
        <f ca="1">_xlfn.XLOOKUP(A418,Cleaned_Data!A:A,Cleaned_Data!B:B)</f>
        <v>Riya Sharma</v>
      </c>
      <c r="C418" s="9" t="str">
        <f ca="1">_xlfn.XLOOKUP(A418,Cleaned_Data!A:A,Cleaned_Data!C:C)</f>
        <v>Mumbai</v>
      </c>
      <c r="D418" s="9" t="str">
        <f ca="1">_xlfn.XLOOKUP(A418,Cleaned_Data!A:A,Cleaned_Data!L:L)</f>
        <v>Weight Loss</v>
      </c>
    </row>
    <row r="419" spans="1:4">
      <c r="A419" s="9" t="str">
        <v>MEM0418</v>
      </c>
      <c r="B419" s="9" t="str">
        <f ca="1">_xlfn.XLOOKUP(A419,Cleaned_Data!A:A,Cleaned_Data!B:B)</f>
        <v>Nisha Khan</v>
      </c>
      <c r="C419" s="9" t="str">
        <f ca="1">_xlfn.XLOOKUP(A419,Cleaned_Data!A:A,Cleaned_Data!C:C)</f>
        <v>Mumbai</v>
      </c>
      <c r="D419" s="9" t="str">
        <f ca="1">_xlfn.XLOOKUP(A419,Cleaned_Data!A:A,Cleaned_Data!L:L)</f>
        <v>General Fitness</v>
      </c>
    </row>
    <row r="420" spans="1:4">
      <c r="A420" s="9" t="str">
        <v>MEM0419</v>
      </c>
      <c r="B420" s="9" t="str">
        <f ca="1">_xlfn.XLOOKUP(A420,Cleaned_Data!A:A,Cleaned_Data!B:B)</f>
        <v>Priya Gupta</v>
      </c>
      <c r="C420" s="9" t="str">
        <f ca="1">_xlfn.XLOOKUP(A420,Cleaned_Data!A:A,Cleaned_Data!C:C)</f>
        <v>Calicut</v>
      </c>
      <c r="D420" s="9" t="str">
        <f ca="1">_xlfn.XLOOKUP(A420,Cleaned_Data!A:A,Cleaned_Data!L:L)</f>
        <v>Weight Loss</v>
      </c>
    </row>
    <row r="421" spans="1:4">
      <c r="A421" s="9" t="str">
        <v>MEM0420</v>
      </c>
      <c r="B421" s="9" t="str">
        <f ca="1">_xlfn.XLOOKUP(A421,Cleaned_Data!A:A,Cleaned_Data!B:B)</f>
        <v>Kavya Shetty</v>
      </c>
      <c r="C421" s="9" t="str">
        <f ca="1">_xlfn.XLOOKUP(A421,Cleaned_Data!A:A,Cleaned_Data!C:C)</f>
        <v>Calicut</v>
      </c>
      <c r="D421" s="9" t="str">
        <f ca="1">_xlfn.XLOOKUP(A421,Cleaned_Data!A:A,Cleaned_Data!L:L)</f>
        <v>General Fitness</v>
      </c>
    </row>
    <row r="422" spans="1:4">
      <c r="A422" s="9" t="str">
        <v>MEM0421</v>
      </c>
      <c r="B422" s="9" t="str">
        <f ca="1">_xlfn.XLOOKUP(A422,Cleaned_Data!A:A,Cleaned_Data!B:B)</f>
        <v>Divya Pillai</v>
      </c>
      <c r="C422" s="9" t="str">
        <f ca="1">_xlfn.XLOOKUP(A422,Cleaned_Data!A:A,Cleaned_Data!C:C)</f>
        <v>Calicut</v>
      </c>
      <c r="D422" s="9" t="str">
        <f ca="1">_xlfn.XLOOKUP(A422,Cleaned_Data!A:A,Cleaned_Data!L:L)</f>
        <v>Weight Loss</v>
      </c>
    </row>
    <row r="423" spans="1:4">
      <c r="A423" s="9" t="str">
        <v>MEM0422</v>
      </c>
      <c r="B423" s="9" t="str">
        <f ca="1">_xlfn.XLOOKUP(A423,Cleaned_Data!A:A,Cleaned_Data!B:B)</f>
        <v>Varun Patel</v>
      </c>
      <c r="C423" s="9" t="str">
        <f ca="1">_xlfn.XLOOKUP(A423,Cleaned_Data!A:A,Cleaned_Data!C:C)</f>
        <v>Calicut</v>
      </c>
      <c r="D423" s="9" t="str">
        <f ca="1">_xlfn.XLOOKUP(A423,Cleaned_Data!A:A,Cleaned_Data!L:L)</f>
        <v>General Fitness</v>
      </c>
    </row>
    <row r="424" spans="1:4">
      <c r="A424" s="9" t="str">
        <v>MEM0423</v>
      </c>
      <c r="B424" s="9" t="str">
        <f ca="1">_xlfn.XLOOKUP(A424,Cleaned_Data!A:A,Cleaned_Data!B:B)</f>
        <v>Deepak Naidu</v>
      </c>
      <c r="C424" s="9" t="str">
        <f ca="1">_xlfn.XLOOKUP(A424,Cleaned_Data!A:A,Cleaned_Data!C:C)</f>
        <v>Bangalore</v>
      </c>
      <c r="D424" s="9" t="str">
        <f ca="1">_xlfn.XLOOKUP(A424,Cleaned_Data!A:A,Cleaned_Data!L:L)</f>
        <v>Weight Loss</v>
      </c>
    </row>
    <row r="425" spans="1:4">
      <c r="A425" s="9" t="str">
        <v>MEM0424</v>
      </c>
      <c r="B425" s="9" t="str">
        <f ca="1">_xlfn.XLOOKUP(A425,Cleaned_Data!A:A,Cleaned_Data!B:B)</f>
        <v>Deepak Chatterjee</v>
      </c>
      <c r="C425" s="9" t="str">
        <f ca="1">_xlfn.XLOOKUP(A425,Cleaned_Data!A:A,Cleaned_Data!C:C)</f>
        <v>Hyderabad</v>
      </c>
      <c r="D425" s="9" t="str">
        <f ca="1">_xlfn.XLOOKUP(A425,Cleaned_Data!A:A,Cleaned_Data!L:L)</f>
        <v>General Fitness</v>
      </c>
    </row>
    <row r="426" spans="1:4">
      <c r="A426" s="9" t="str">
        <v>MEM0425</v>
      </c>
      <c r="B426" s="9" t="str">
        <f ca="1">_xlfn.XLOOKUP(A426,Cleaned_Data!A:A,Cleaned_Data!B:B)</f>
        <v>Divya Khan</v>
      </c>
      <c r="C426" s="9" t="str">
        <f ca="1">_xlfn.XLOOKUP(A426,Cleaned_Data!A:A,Cleaned_Data!C:C)</f>
        <v>Kochi</v>
      </c>
      <c r="D426" s="9" t="str">
        <f ca="1">_xlfn.XLOOKUP(A426,Cleaned_Data!A:A,Cleaned_Data!L:L)</f>
        <v>General Fitness</v>
      </c>
    </row>
    <row r="427" spans="1:4">
      <c r="A427" s="9" t="str">
        <v>MEM0426</v>
      </c>
      <c r="B427" s="9" t="str">
        <f ca="1">_xlfn.XLOOKUP(A427,Cleaned_Data!A:A,Cleaned_Data!B:B)</f>
        <v>Zara Nambiar</v>
      </c>
      <c r="C427" s="9" t="str">
        <f ca="1">_xlfn.XLOOKUP(A427,Cleaned_Data!A:A,Cleaned_Data!C:C)</f>
        <v>Mumbai</v>
      </c>
      <c r="D427" s="9" t="str">
        <f ca="1">_xlfn.XLOOKUP(A427,Cleaned_Data!A:A,Cleaned_Data!L:L)</f>
        <v>Weight Loss</v>
      </c>
    </row>
    <row r="428" spans="1:4">
      <c r="A428" s="9" t="str">
        <v>MEM0427</v>
      </c>
      <c r="B428" s="9" t="str">
        <f ca="1">_xlfn.XLOOKUP(A428,Cleaned_Data!A:A,Cleaned_Data!B:B)</f>
        <v>Nikhil Naidu</v>
      </c>
      <c r="C428" s="9" t="str">
        <f ca="1">_xlfn.XLOOKUP(A428,Cleaned_Data!A:A,Cleaned_Data!C:C)</f>
        <v>Chennai</v>
      </c>
      <c r="D428" s="9" t="str">
        <f ca="1">_xlfn.XLOOKUP(A428,Cleaned_Data!A:A,Cleaned_Data!L:L)</f>
        <v>Muscle Gain</v>
      </c>
    </row>
    <row r="429" spans="1:4">
      <c r="A429" s="9" t="str">
        <v>MEM0428</v>
      </c>
      <c r="B429" s="9" t="str">
        <f ca="1">_xlfn.XLOOKUP(A429,Cleaned_Data!A:A,Cleaned_Data!B:B)</f>
        <v>Anjali Chatterjee</v>
      </c>
      <c r="C429" s="9" t="str">
        <f ca="1">_xlfn.XLOOKUP(A429,Cleaned_Data!A:A,Cleaned_Data!C:C)</f>
        <v>Calicut</v>
      </c>
      <c r="D429" s="9" t="str">
        <f ca="1">_xlfn.XLOOKUP(A429,Cleaned_Data!A:A,Cleaned_Data!L:L)</f>
        <v>Muscle Gain</v>
      </c>
    </row>
    <row r="430" spans="1:4">
      <c r="A430" s="9" t="str">
        <v>MEM0429</v>
      </c>
      <c r="B430" s="9" t="str">
        <f ca="1">_xlfn.XLOOKUP(A430,Cleaned_Data!A:A,Cleaned_Data!B:B)</f>
        <v>Anjali Banerjee</v>
      </c>
      <c r="C430" s="9" t="str">
        <f ca="1">_xlfn.XLOOKUP(A430,Cleaned_Data!A:A,Cleaned_Data!C:C)</f>
        <v>Kochi</v>
      </c>
      <c r="D430" s="9" t="str">
        <f ca="1">_xlfn.XLOOKUP(A430,Cleaned_Data!A:A,Cleaned_Data!L:L)</f>
        <v>General Fitness</v>
      </c>
    </row>
    <row r="431" spans="1:4">
      <c r="A431" s="9" t="str">
        <v>MEM0430</v>
      </c>
      <c r="B431" s="9" t="str">
        <f ca="1">_xlfn.XLOOKUP(A431,Cleaned_Data!A:A,Cleaned_Data!B:B)</f>
        <v>Rahul Varghese</v>
      </c>
      <c r="C431" s="9" t="str">
        <f ca="1">_xlfn.XLOOKUP(A431,Cleaned_Data!A:A,Cleaned_Data!C:C)</f>
        <v>Calicut</v>
      </c>
      <c r="D431" s="9" t="str">
        <f ca="1">_xlfn.XLOOKUP(A431,Cleaned_Data!A:A,Cleaned_Data!L:L)</f>
        <v>Weight Loss</v>
      </c>
    </row>
    <row r="432" spans="1:4">
      <c r="A432" s="9" t="str">
        <v>MEM0431</v>
      </c>
      <c r="B432" s="9" t="str">
        <f ca="1">_xlfn.XLOOKUP(A432,Cleaned_Data!A:A,Cleaned_Data!B:B)</f>
        <v>Harish Joshi</v>
      </c>
      <c r="C432" s="9" t="str">
        <f ca="1">_xlfn.XLOOKUP(A432,Cleaned_Data!A:A,Cleaned_Data!C:C)</f>
        <v>Mumbai</v>
      </c>
      <c r="D432" s="9" t="str">
        <f ca="1">_xlfn.XLOOKUP(A432,Cleaned_Data!A:A,Cleaned_Data!L:L)</f>
        <v>Muscle Gain</v>
      </c>
    </row>
    <row r="433" spans="1:4">
      <c r="A433" s="9" t="str">
        <v>MEM0432</v>
      </c>
      <c r="B433" s="9" t="str">
        <f ca="1">_xlfn.XLOOKUP(A433,Cleaned_Data!A:A,Cleaned_Data!B:B)</f>
        <v>Ayesha Joshi</v>
      </c>
      <c r="C433" s="9" t="str">
        <f ca="1">_xlfn.XLOOKUP(A433,Cleaned_Data!A:A,Cleaned_Data!C:C)</f>
        <v>Kochi</v>
      </c>
      <c r="D433" s="9" t="str">
        <f ca="1">_xlfn.XLOOKUP(A433,Cleaned_Data!A:A,Cleaned_Data!L:L)</f>
        <v>Muscle Gain</v>
      </c>
    </row>
    <row r="434" spans="1:4">
      <c r="A434" s="9" t="str">
        <v>MEM0433</v>
      </c>
      <c r="B434" s="9" t="str">
        <f ca="1">_xlfn.XLOOKUP(A434,Cleaned_Data!A:A,Cleaned_Data!B:B)</f>
        <v>Siddharth Kapoor</v>
      </c>
      <c r="C434" s="9" t="str">
        <f ca="1">_xlfn.XLOOKUP(A434,Cleaned_Data!A:A,Cleaned_Data!C:C)</f>
        <v>Calicut</v>
      </c>
      <c r="D434" s="9" t="str">
        <f ca="1">_xlfn.XLOOKUP(A434,Cleaned_Data!A:A,Cleaned_Data!L:L)</f>
        <v>General Fitness</v>
      </c>
    </row>
    <row r="435" spans="1:4">
      <c r="A435" s="9" t="str">
        <v>MEM0434</v>
      </c>
      <c r="B435" s="9" t="str">
        <f ca="1">_xlfn.XLOOKUP(A435,Cleaned_Data!A:A,Cleaned_Data!B:B)</f>
        <v>Divya Khan</v>
      </c>
      <c r="C435" s="9" t="str">
        <f ca="1">_xlfn.XLOOKUP(A435,Cleaned_Data!A:A,Cleaned_Data!C:C)</f>
        <v>Bangalore</v>
      </c>
      <c r="D435" s="9" t="str">
        <f ca="1">_xlfn.XLOOKUP(A435,Cleaned_Data!A:A,Cleaned_Data!L:L)</f>
        <v>General Fitness</v>
      </c>
    </row>
    <row r="436" spans="1:4">
      <c r="A436" s="9" t="str">
        <v>MEM0435</v>
      </c>
      <c r="B436" s="9" t="str">
        <f ca="1">_xlfn.XLOOKUP(A436,Cleaned_Data!A:A,Cleaned_Data!B:B)</f>
        <v>Shreya Yadav</v>
      </c>
      <c r="C436" s="9" t="str">
        <f ca="1">_xlfn.XLOOKUP(A436,Cleaned_Data!A:A,Cleaned_Data!C:C)</f>
        <v>Kochi</v>
      </c>
      <c r="D436" s="9" t="str">
        <f ca="1">_xlfn.XLOOKUP(A436,Cleaned_Data!A:A,Cleaned_Data!L:L)</f>
        <v>General Fitness</v>
      </c>
    </row>
    <row r="437" spans="1:4">
      <c r="A437" s="9" t="str">
        <v>MEM0436</v>
      </c>
      <c r="B437" s="9" t="str">
        <f ca="1">_xlfn.XLOOKUP(A437,Cleaned_Data!A:A,Cleaned_Data!B:B)</f>
        <v>Sneha Naidu</v>
      </c>
      <c r="C437" s="9" t="str">
        <f ca="1">_xlfn.XLOOKUP(A437,Cleaned_Data!A:A,Cleaned_Data!C:C)</f>
        <v>Trivandrum</v>
      </c>
      <c r="D437" s="9" t="str">
        <f ca="1">_xlfn.XLOOKUP(A437,Cleaned_Data!A:A,Cleaned_Data!L:L)</f>
        <v>Muscle Gain</v>
      </c>
    </row>
    <row r="438" spans="1:4">
      <c r="A438" s="9" t="str">
        <v>MEM0437</v>
      </c>
      <c r="B438" s="9" t="str">
        <f ca="1">_xlfn.XLOOKUP(A438,Cleaned_Data!A:A,Cleaned_Data!B:B)</f>
        <v>Zara Patel</v>
      </c>
      <c r="C438" s="9" t="str">
        <f ca="1">_xlfn.XLOOKUP(A438,Cleaned_Data!A:A,Cleaned_Data!C:C)</f>
        <v>Chennai</v>
      </c>
      <c r="D438" s="9" t="str">
        <f ca="1">_xlfn.XLOOKUP(A438,Cleaned_Data!A:A,Cleaned_Data!L:L)</f>
        <v>General Fitness</v>
      </c>
    </row>
    <row r="439" spans="1:4">
      <c r="A439" s="9" t="str">
        <v>MEM0438</v>
      </c>
      <c r="B439" s="9" t="str">
        <f ca="1">_xlfn.XLOOKUP(A439,Cleaned_Data!A:A,Cleaned_Data!B:B)</f>
        <v>Riya Joshi</v>
      </c>
      <c r="C439" s="9" t="str">
        <f ca="1">_xlfn.XLOOKUP(A439,Cleaned_Data!A:A,Cleaned_Data!C:C)</f>
        <v>Chennai</v>
      </c>
      <c r="D439" s="9" t="str">
        <f ca="1">_xlfn.XLOOKUP(A439,Cleaned_Data!A:A,Cleaned_Data!L:L)</f>
        <v>Weight Loss</v>
      </c>
    </row>
    <row r="440" spans="1:4">
      <c r="A440" s="9" t="str">
        <v>MEM0439</v>
      </c>
      <c r="B440" s="9" t="str">
        <f ca="1">_xlfn.XLOOKUP(A440,Cleaned_Data!A:A,Cleaned_Data!B:B)</f>
        <v>Vivek Joshi</v>
      </c>
      <c r="C440" s="9" t="str">
        <f ca="1">_xlfn.XLOOKUP(A440,Cleaned_Data!A:A,Cleaned_Data!C:C)</f>
        <v>Hyderabad</v>
      </c>
      <c r="D440" s="9" t="str">
        <f ca="1">_xlfn.XLOOKUP(A440,Cleaned_Data!A:A,Cleaned_Data!L:L)</f>
        <v>General Fitness</v>
      </c>
    </row>
    <row r="441" spans="1:4">
      <c r="A441" s="9" t="str">
        <v>MEM0440</v>
      </c>
      <c r="B441" s="9" t="str">
        <f ca="1">_xlfn.XLOOKUP(A441,Cleaned_Data!A:A,Cleaned_Data!B:B)</f>
        <v>Divya Menon</v>
      </c>
      <c r="C441" s="9" t="str">
        <f ca="1">_xlfn.XLOOKUP(A441,Cleaned_Data!A:A,Cleaned_Data!C:C)</f>
        <v>Kochi</v>
      </c>
      <c r="D441" s="9" t="str">
        <f ca="1">_xlfn.XLOOKUP(A441,Cleaned_Data!A:A,Cleaned_Data!L:L)</f>
        <v>General Fitness</v>
      </c>
    </row>
    <row r="442" spans="1:4">
      <c r="A442" s="9" t="str">
        <v>MEM0441</v>
      </c>
      <c r="B442" s="9" t="str">
        <f ca="1">_xlfn.XLOOKUP(A442,Cleaned_Data!A:A,Cleaned_Data!B:B)</f>
        <v>Rohit Nair</v>
      </c>
      <c r="C442" s="9" t="str">
        <f ca="1">_xlfn.XLOOKUP(A442,Cleaned_Data!A:A,Cleaned_Data!C:C)</f>
        <v>Bangalore</v>
      </c>
      <c r="D442" s="9" t="str">
        <f ca="1">_xlfn.XLOOKUP(A442,Cleaned_Data!A:A,Cleaned_Data!L:L)</f>
        <v>Weight Loss</v>
      </c>
    </row>
    <row r="443" spans="1:4">
      <c r="A443" s="9" t="str">
        <v>MEM0442</v>
      </c>
      <c r="B443" s="9" t="str">
        <f ca="1">_xlfn.XLOOKUP(A443,Cleaned_Data!A:A,Cleaned_Data!B:B)</f>
        <v>Divya Varghese</v>
      </c>
      <c r="C443" s="9" t="str">
        <f ca="1">_xlfn.XLOOKUP(A443,Cleaned_Data!A:A,Cleaned_Data!C:C)</f>
        <v>Chennai</v>
      </c>
      <c r="D443" s="9" t="str">
        <f ca="1">_xlfn.XLOOKUP(A443,Cleaned_Data!A:A,Cleaned_Data!L:L)</f>
        <v>Weight Loss</v>
      </c>
    </row>
    <row r="444" spans="1:4">
      <c r="A444" s="9" t="str">
        <v>MEM0443</v>
      </c>
      <c r="B444" s="9" t="str">
        <f ca="1">_xlfn.XLOOKUP(A444,Cleaned_Data!A:A,Cleaned_Data!B:B)</f>
        <v>Anu Lewis</v>
      </c>
      <c r="C444" s="9" t="str">
        <f ca="1">_xlfn.XLOOKUP(A444,Cleaned_Data!A:A,Cleaned_Data!C:C)</f>
        <v>Kochi</v>
      </c>
      <c r="D444" s="9" t="str">
        <f ca="1">_xlfn.XLOOKUP(A444,Cleaned_Data!A:A,Cleaned_Data!L:L)</f>
        <v>General Fitness</v>
      </c>
    </row>
    <row r="445" spans="1:4">
      <c r="A445" s="9" t="str">
        <v>MEM0444</v>
      </c>
      <c r="B445" s="9" t="str">
        <f ca="1">_xlfn.XLOOKUP(A445,Cleaned_Data!A:A,Cleaned_Data!B:B)</f>
        <v>Rohit Khan</v>
      </c>
      <c r="C445" s="9" t="str">
        <f ca="1">_xlfn.XLOOKUP(A445,Cleaned_Data!A:A,Cleaned_Data!C:C)</f>
        <v>Bangalore</v>
      </c>
      <c r="D445" s="9" t="str">
        <f ca="1">_xlfn.XLOOKUP(A445,Cleaned_Data!A:A,Cleaned_Data!L:L)</f>
        <v>General Fitness</v>
      </c>
    </row>
    <row r="446" spans="1:4">
      <c r="A446" s="9" t="str">
        <v>MEM0445</v>
      </c>
      <c r="B446" s="9" t="str">
        <f ca="1">_xlfn.XLOOKUP(A446,Cleaned_Data!A:A,Cleaned_Data!B:B)</f>
        <v>Ankit Nair</v>
      </c>
      <c r="C446" s="9" t="str">
        <f ca="1">_xlfn.XLOOKUP(A446,Cleaned_Data!A:A,Cleaned_Data!C:C)</f>
        <v>Kochi</v>
      </c>
      <c r="D446" s="9" t="str">
        <f ca="1">_xlfn.XLOOKUP(A446,Cleaned_Data!A:A,Cleaned_Data!L:L)</f>
        <v>Muscle Gain</v>
      </c>
    </row>
    <row r="447" spans="1:4">
      <c r="A447" s="9" t="str">
        <v>MEM0446</v>
      </c>
      <c r="B447" s="9" t="str">
        <f ca="1">_xlfn.XLOOKUP(A447,Cleaned_Data!A:A,Cleaned_Data!B:B)</f>
        <v>Akash Malhotra</v>
      </c>
      <c r="C447" s="9" t="str">
        <f ca="1">_xlfn.XLOOKUP(A447,Cleaned_Data!A:A,Cleaned_Data!C:C)</f>
        <v>Kochi</v>
      </c>
      <c r="D447" s="9" t="str">
        <f ca="1">_xlfn.XLOOKUP(A447,Cleaned_Data!A:A,Cleaned_Data!L:L)</f>
        <v>Muscle Gain</v>
      </c>
    </row>
    <row r="448" spans="1:4">
      <c r="A448" s="9" t="str">
        <v>MEM0447</v>
      </c>
      <c r="B448" s="9" t="str">
        <f ca="1">_xlfn.XLOOKUP(A448,Cleaned_Data!A:A,Cleaned_Data!B:B)</f>
        <v>Harish Singh</v>
      </c>
      <c r="C448" s="9" t="str">
        <f ca="1">_xlfn.XLOOKUP(A448,Cleaned_Data!A:A,Cleaned_Data!C:C)</f>
        <v>Kochi</v>
      </c>
      <c r="D448" s="9" t="str">
        <f ca="1">_xlfn.XLOOKUP(A448,Cleaned_Data!A:A,Cleaned_Data!L:L)</f>
        <v>Weight Loss</v>
      </c>
    </row>
    <row r="449" spans="1:4">
      <c r="A449" s="9" t="str">
        <v>MEM0448</v>
      </c>
      <c r="B449" s="9" t="str">
        <f ca="1">_xlfn.XLOOKUP(A449,Cleaned_Data!A:A,Cleaned_Data!B:B)</f>
        <v>Zara Reddy</v>
      </c>
      <c r="C449" s="9" t="str">
        <f ca="1">_xlfn.XLOOKUP(A449,Cleaned_Data!A:A,Cleaned_Data!C:C)</f>
        <v>Mumbai</v>
      </c>
      <c r="D449" s="9" t="str">
        <f ca="1">_xlfn.XLOOKUP(A449,Cleaned_Data!A:A,Cleaned_Data!L:L)</f>
        <v>General Fitness</v>
      </c>
    </row>
    <row r="450" spans="1:4">
      <c r="A450" s="9" t="str">
        <v>MEM0449</v>
      </c>
      <c r="B450" s="9" t="str">
        <f ca="1">_xlfn.XLOOKUP(A450,Cleaned_Data!A:A,Cleaned_Data!B:B)</f>
        <v>Harish Joseph</v>
      </c>
      <c r="C450" s="9" t="str">
        <f ca="1">_xlfn.XLOOKUP(A450,Cleaned_Data!A:A,Cleaned_Data!C:C)</f>
        <v>Mumbai</v>
      </c>
      <c r="D450" s="9" t="str">
        <f ca="1">_xlfn.XLOOKUP(A450,Cleaned_Data!A:A,Cleaned_Data!L:L)</f>
        <v>General Fitness</v>
      </c>
    </row>
    <row r="451" spans="1:4">
      <c r="A451" s="9" t="str">
        <v>MEM0450</v>
      </c>
      <c r="B451" s="9" t="str">
        <f ca="1">_xlfn.XLOOKUP(A451,Cleaned_Data!A:A,Cleaned_Data!B:B)</f>
        <v>Swathi Malhotra</v>
      </c>
      <c r="C451" s="9" t="str">
        <f ca="1">_xlfn.XLOOKUP(A451,Cleaned_Data!A:A,Cleaned_Data!C:C)</f>
        <v>Calicut</v>
      </c>
      <c r="D451" s="9" t="str">
        <f ca="1">_xlfn.XLOOKUP(A451,Cleaned_Data!A:A,Cleaned_Data!L:L)</f>
        <v>General Fitness</v>
      </c>
    </row>
    <row r="452" spans="1:4">
      <c r="A452" s="9" t="str">
        <v>MEM0451</v>
      </c>
      <c r="B452" s="9" t="str">
        <f ca="1">_xlfn.XLOOKUP(A452,Cleaned_Data!A:A,Cleaned_Data!B:B)</f>
        <v>Priya D’Souza</v>
      </c>
      <c r="C452" s="9" t="str">
        <f ca="1">_xlfn.XLOOKUP(A452,Cleaned_Data!A:A,Cleaned_Data!C:C)</f>
        <v>Kochi</v>
      </c>
      <c r="D452" s="9" t="str">
        <f ca="1">_xlfn.XLOOKUP(A452,Cleaned_Data!A:A,Cleaned_Data!L:L)</f>
        <v>Weight Loss</v>
      </c>
    </row>
    <row r="453" spans="1:4">
      <c r="A453" s="9" t="str">
        <v>MEM0452</v>
      </c>
      <c r="B453" s="9" t="str">
        <f ca="1">_xlfn.XLOOKUP(A453,Cleaned_Data!A:A,Cleaned_Data!B:B)</f>
        <v>Vivek Khan</v>
      </c>
      <c r="C453" s="9" t="str">
        <f ca="1">_xlfn.XLOOKUP(A453,Cleaned_Data!A:A,Cleaned_Data!C:C)</f>
        <v>Hyderabad</v>
      </c>
      <c r="D453" s="9" t="str">
        <f ca="1">_xlfn.XLOOKUP(A453,Cleaned_Data!A:A,Cleaned_Data!L:L)</f>
        <v>General Fitness</v>
      </c>
    </row>
    <row r="454" spans="1:4">
      <c r="A454" s="9" t="str">
        <v>MEM0453</v>
      </c>
      <c r="B454" s="9" t="str">
        <f ca="1">_xlfn.XLOOKUP(A454,Cleaned_Data!A:A,Cleaned_Data!B:B)</f>
        <v>Riya Gupta</v>
      </c>
      <c r="C454" s="9" t="str">
        <f ca="1">_xlfn.XLOOKUP(A454,Cleaned_Data!A:A,Cleaned_Data!C:C)</f>
        <v>Kochi</v>
      </c>
      <c r="D454" s="9" t="str">
        <f ca="1">_xlfn.XLOOKUP(A454,Cleaned_Data!A:A,Cleaned_Data!L:L)</f>
        <v>Weight Loss</v>
      </c>
    </row>
    <row r="455" spans="1:4">
      <c r="A455" s="9" t="str">
        <v>MEM0454</v>
      </c>
      <c r="B455" s="9" t="str">
        <f ca="1">_xlfn.XLOOKUP(A455,Cleaned_Data!A:A,Cleaned_Data!B:B)</f>
        <v>Vivek Malhotra</v>
      </c>
      <c r="C455" s="9" t="str">
        <f ca="1">_xlfn.XLOOKUP(A455,Cleaned_Data!A:A,Cleaned_Data!C:C)</f>
        <v>Trivandrum</v>
      </c>
      <c r="D455" s="9" t="str">
        <f ca="1">_xlfn.XLOOKUP(A455,Cleaned_Data!A:A,Cleaned_Data!L:L)</f>
        <v>General Fitness</v>
      </c>
    </row>
    <row r="456" spans="1:4">
      <c r="A456" s="9" t="str">
        <v>MEM0455</v>
      </c>
      <c r="B456" s="9" t="str">
        <f ca="1">_xlfn.XLOOKUP(A456,Cleaned_Data!A:A,Cleaned_Data!B:B)</f>
        <v>Anu Banerjee</v>
      </c>
      <c r="C456" s="9" t="str">
        <f ca="1">_xlfn.XLOOKUP(A456,Cleaned_Data!A:A,Cleaned_Data!C:C)</f>
        <v>Kochi</v>
      </c>
      <c r="D456" s="9" t="str">
        <f ca="1">_xlfn.XLOOKUP(A456,Cleaned_Data!A:A,Cleaned_Data!L:L)</f>
        <v>Weight Loss</v>
      </c>
    </row>
    <row r="457" spans="1:4">
      <c r="A457" s="9" t="str">
        <v>MEM0456</v>
      </c>
      <c r="B457" s="9" t="str">
        <f ca="1">_xlfn.XLOOKUP(A457,Cleaned_Data!A:A,Cleaned_Data!B:B)</f>
        <v>Ishita Nair</v>
      </c>
      <c r="C457" s="9" t="str">
        <f ca="1">_xlfn.XLOOKUP(A457,Cleaned_Data!A:A,Cleaned_Data!C:C)</f>
        <v>Chennai</v>
      </c>
      <c r="D457" s="9" t="str">
        <f ca="1">_xlfn.XLOOKUP(A457,Cleaned_Data!A:A,Cleaned_Data!L:L)</f>
        <v>Weight Loss</v>
      </c>
    </row>
    <row r="458" spans="1:4">
      <c r="A458" s="9" t="str">
        <v>MEM0457</v>
      </c>
      <c r="B458" s="9" t="str">
        <f ca="1">_xlfn.XLOOKUP(A458,Cleaned_Data!A:A,Cleaned_Data!B:B)</f>
        <v>Siddharth Agarwal</v>
      </c>
      <c r="C458" s="9" t="str">
        <f ca="1">_xlfn.XLOOKUP(A458,Cleaned_Data!A:A,Cleaned_Data!C:C)</f>
        <v>Chennai</v>
      </c>
      <c r="D458" s="9" t="str">
        <f ca="1">_xlfn.XLOOKUP(A458,Cleaned_Data!A:A,Cleaned_Data!L:L)</f>
        <v>Muscle Gain</v>
      </c>
    </row>
    <row r="459" spans="1:4">
      <c r="A459" s="9" t="str">
        <v>MEM0458</v>
      </c>
      <c r="B459" s="9" t="str">
        <f ca="1">_xlfn.XLOOKUP(A459,Cleaned_Data!A:A,Cleaned_Data!B:B)</f>
        <v>Rahul Chatterjee</v>
      </c>
      <c r="C459" s="9" t="str">
        <f ca="1">_xlfn.XLOOKUP(A459,Cleaned_Data!A:A,Cleaned_Data!C:C)</f>
        <v>Calicut</v>
      </c>
      <c r="D459" s="9" t="str">
        <f ca="1">_xlfn.XLOOKUP(A459,Cleaned_Data!A:A,Cleaned_Data!L:L)</f>
        <v>Weight Loss</v>
      </c>
    </row>
    <row r="460" spans="1:4">
      <c r="A460" s="9" t="str">
        <v>MEM0459</v>
      </c>
      <c r="B460" s="9" t="str">
        <f ca="1">_xlfn.XLOOKUP(A460,Cleaned_Data!A:A,Cleaned_Data!B:B)</f>
        <v>Sneha Das</v>
      </c>
      <c r="C460" s="9" t="str">
        <f ca="1">_xlfn.XLOOKUP(A460,Cleaned_Data!A:A,Cleaned_Data!C:C)</f>
        <v>Trivandrum</v>
      </c>
      <c r="D460" s="9" t="str">
        <f ca="1">_xlfn.XLOOKUP(A460,Cleaned_Data!A:A,Cleaned_Data!L:L)</f>
        <v>Weight Loss</v>
      </c>
    </row>
    <row r="461" spans="1:4">
      <c r="A461" s="9" t="str">
        <v>MEM0460</v>
      </c>
      <c r="B461" s="9" t="str">
        <f ca="1">_xlfn.XLOOKUP(A461,Cleaned_Data!A:A,Cleaned_Data!B:B)</f>
        <v>Kavya Menon</v>
      </c>
      <c r="C461" s="9" t="str">
        <f ca="1">_xlfn.XLOOKUP(A461,Cleaned_Data!A:A,Cleaned_Data!C:C)</f>
        <v>Kochi</v>
      </c>
      <c r="D461" s="9" t="str">
        <f ca="1">_xlfn.XLOOKUP(A461,Cleaned_Data!A:A,Cleaned_Data!L:L)</f>
        <v>Weight Loss</v>
      </c>
    </row>
    <row r="462" spans="1:4">
      <c r="A462" s="9" t="str">
        <v>MEM0461</v>
      </c>
      <c r="B462" s="9" t="str">
        <f ca="1">_xlfn.XLOOKUP(A462,Cleaned_Data!A:A,Cleaned_Data!B:B)</f>
        <v>Varun Das</v>
      </c>
      <c r="C462" s="9" t="str">
        <f ca="1">_xlfn.XLOOKUP(A462,Cleaned_Data!A:A,Cleaned_Data!C:C)</f>
        <v>Trivandrum</v>
      </c>
      <c r="D462" s="9" t="str">
        <f ca="1">_xlfn.XLOOKUP(A462,Cleaned_Data!A:A,Cleaned_Data!L:L)</f>
        <v>Muscle Gain</v>
      </c>
    </row>
    <row r="463" spans="1:4">
      <c r="A463" s="9" t="str">
        <v>MEM0462</v>
      </c>
      <c r="B463" s="9" t="str">
        <f ca="1">_xlfn.XLOOKUP(A463,Cleaned_Data!A:A,Cleaned_Data!B:B)</f>
        <v>Rahul Varghese</v>
      </c>
      <c r="C463" s="9" t="str">
        <f ca="1">_xlfn.XLOOKUP(A463,Cleaned_Data!A:A,Cleaned_Data!C:C)</f>
        <v>Kochi</v>
      </c>
      <c r="D463" s="9" t="str">
        <f ca="1">_xlfn.XLOOKUP(A463,Cleaned_Data!A:A,Cleaned_Data!L:L)</f>
        <v>Muscle Gain</v>
      </c>
    </row>
    <row r="464" spans="1:4">
      <c r="A464" s="9" t="str">
        <v>MEM0463</v>
      </c>
      <c r="B464" s="9" t="str">
        <f ca="1">_xlfn.XLOOKUP(A464,Cleaned_Data!A:A,Cleaned_Data!B:B)</f>
        <v>Manoj D’Souza</v>
      </c>
      <c r="C464" s="9" t="str">
        <f ca="1">_xlfn.XLOOKUP(A464,Cleaned_Data!A:A,Cleaned_Data!C:C)</f>
        <v>Bangalore</v>
      </c>
      <c r="D464" s="9" t="str">
        <f ca="1">_xlfn.XLOOKUP(A464,Cleaned_Data!A:A,Cleaned_Data!L:L)</f>
        <v>Muscle Gain</v>
      </c>
    </row>
    <row r="465" spans="1:4">
      <c r="A465" s="9" t="str">
        <v>MEM0464</v>
      </c>
      <c r="B465" s="9" t="str">
        <f ca="1">_xlfn.XLOOKUP(A465,Cleaned_Data!A:A,Cleaned_Data!B:B)</f>
        <v>Vivek Pillai</v>
      </c>
      <c r="C465" s="9" t="str">
        <f ca="1">_xlfn.XLOOKUP(A465,Cleaned_Data!A:A,Cleaned_Data!C:C)</f>
        <v>Hyderabad</v>
      </c>
      <c r="D465" s="9" t="str">
        <f ca="1">_xlfn.XLOOKUP(A465,Cleaned_Data!A:A,Cleaned_Data!L:L)</f>
        <v>Weight Loss</v>
      </c>
    </row>
    <row r="466" spans="1:4">
      <c r="A466" s="9" t="str">
        <v>MEM0465</v>
      </c>
      <c r="B466" s="9" t="str">
        <f ca="1">_xlfn.XLOOKUP(A466,Cleaned_Data!A:A,Cleaned_Data!B:B)</f>
        <v>Vivek Shetty</v>
      </c>
      <c r="C466" s="9" t="str">
        <f ca="1">_xlfn.XLOOKUP(A466,Cleaned_Data!A:A,Cleaned_Data!C:C)</f>
        <v>Calicut</v>
      </c>
      <c r="D466" s="9" t="str">
        <f ca="1">_xlfn.XLOOKUP(A466,Cleaned_Data!A:A,Cleaned_Data!L:L)</f>
        <v>General Fitness</v>
      </c>
    </row>
    <row r="467" spans="1:4">
      <c r="A467" s="9" t="str">
        <v>MEM0466</v>
      </c>
      <c r="B467" s="9" t="str">
        <f ca="1">_xlfn.XLOOKUP(A467,Cleaned_Data!A:A,Cleaned_Data!B:B)</f>
        <v>Kavya Agarwal</v>
      </c>
      <c r="C467" s="9" t="str">
        <f ca="1">_xlfn.XLOOKUP(A467,Cleaned_Data!A:A,Cleaned_Data!C:C)</f>
        <v>Hyderabad</v>
      </c>
      <c r="D467" s="9" t="str">
        <f ca="1">_xlfn.XLOOKUP(A467,Cleaned_Data!A:A,Cleaned_Data!L:L)</f>
        <v>Muscle Gain</v>
      </c>
    </row>
    <row r="468" spans="1:4">
      <c r="A468" s="9" t="str">
        <v>MEM0467</v>
      </c>
      <c r="B468" s="9" t="str">
        <f ca="1">_xlfn.XLOOKUP(A468,Cleaned_Data!A:A,Cleaned_Data!B:B)</f>
        <v>Manoj Desai</v>
      </c>
      <c r="C468" s="9" t="str">
        <f ca="1">_xlfn.XLOOKUP(A468,Cleaned_Data!A:A,Cleaned_Data!C:C)</f>
        <v>Chennai</v>
      </c>
      <c r="D468" s="9" t="str">
        <f ca="1">_xlfn.XLOOKUP(A468,Cleaned_Data!A:A,Cleaned_Data!L:L)</f>
        <v>Muscle Gain</v>
      </c>
    </row>
    <row r="469" spans="1:4">
      <c r="A469" s="9" t="str">
        <v>MEM0468</v>
      </c>
      <c r="B469" s="9" t="str">
        <f ca="1">_xlfn.XLOOKUP(A469,Cleaned_Data!A:A,Cleaned_Data!B:B)</f>
        <v>Deepak Shaikh</v>
      </c>
      <c r="C469" s="9" t="str">
        <f ca="1">_xlfn.XLOOKUP(A469,Cleaned_Data!A:A,Cleaned_Data!C:C)</f>
        <v>Mumbai</v>
      </c>
      <c r="D469" s="9" t="str">
        <f ca="1">_xlfn.XLOOKUP(A469,Cleaned_Data!A:A,Cleaned_Data!L:L)</f>
        <v>General Fitness</v>
      </c>
    </row>
    <row r="470" spans="1:4">
      <c r="A470" s="9" t="str">
        <v>MEM0469</v>
      </c>
      <c r="B470" s="9" t="str">
        <f ca="1">_xlfn.XLOOKUP(A470,Cleaned_Data!A:A,Cleaned_Data!B:B)</f>
        <v>Riya Nair</v>
      </c>
      <c r="C470" s="9" t="str">
        <f ca="1">_xlfn.XLOOKUP(A470,Cleaned_Data!A:A,Cleaned_Data!C:C)</f>
        <v>Mumbai</v>
      </c>
      <c r="D470" s="9" t="str">
        <f ca="1">_xlfn.XLOOKUP(A470,Cleaned_Data!A:A,Cleaned_Data!L:L)</f>
        <v>Muscle Gain</v>
      </c>
    </row>
    <row r="471" spans="1:4">
      <c r="A471" s="9" t="str">
        <v>MEM0470</v>
      </c>
      <c r="B471" s="9" t="str">
        <f ca="1">_xlfn.XLOOKUP(A471,Cleaned_Data!A:A,Cleaned_Data!B:B)</f>
        <v>Siddharth Varghese</v>
      </c>
      <c r="C471" s="9" t="str">
        <f ca="1">_xlfn.XLOOKUP(A471,Cleaned_Data!A:A,Cleaned_Data!C:C)</f>
        <v>Chennai</v>
      </c>
      <c r="D471" s="9" t="str">
        <f ca="1">_xlfn.XLOOKUP(A471,Cleaned_Data!A:A,Cleaned_Data!L:L)</f>
        <v>Weight Loss</v>
      </c>
    </row>
    <row r="472" spans="1:4">
      <c r="A472" s="9" t="str">
        <v>MEM0471</v>
      </c>
      <c r="B472" s="9" t="str">
        <f ca="1">_xlfn.XLOOKUP(A472,Cleaned_Data!A:A,Cleaned_Data!B:B)</f>
        <v>Harish Shetty</v>
      </c>
      <c r="C472" s="9" t="str">
        <f ca="1">_xlfn.XLOOKUP(A472,Cleaned_Data!A:A,Cleaned_Data!C:C)</f>
        <v>Bangalore</v>
      </c>
      <c r="D472" s="9" t="str">
        <f ca="1">_xlfn.XLOOKUP(A472,Cleaned_Data!A:A,Cleaned_Data!L:L)</f>
        <v>Muscle Gain</v>
      </c>
    </row>
    <row r="473" spans="1:4">
      <c r="A473" s="9" t="str">
        <v>MEM0472</v>
      </c>
      <c r="B473" s="9" t="str">
        <f ca="1">_xlfn.XLOOKUP(A473,Cleaned_Data!A:A,Cleaned_Data!B:B)</f>
        <v>Zara Lewis</v>
      </c>
      <c r="C473" s="9" t="str">
        <f ca="1">_xlfn.XLOOKUP(A473,Cleaned_Data!A:A,Cleaned_Data!C:C)</f>
        <v>Chennai</v>
      </c>
      <c r="D473" s="9" t="str">
        <f ca="1">_xlfn.XLOOKUP(A473,Cleaned_Data!A:A,Cleaned_Data!L:L)</f>
        <v>General Fitness</v>
      </c>
    </row>
    <row r="474" spans="1:4">
      <c r="A474" s="9" t="str">
        <v>MEM0473</v>
      </c>
      <c r="B474" s="9" t="str">
        <f ca="1">_xlfn.XLOOKUP(A474,Cleaned_Data!A:A,Cleaned_Data!B:B)</f>
        <v>Priya Khan</v>
      </c>
      <c r="C474" s="9" t="str">
        <f ca="1">_xlfn.XLOOKUP(A474,Cleaned_Data!A:A,Cleaned_Data!C:C)</f>
        <v>Bangalore</v>
      </c>
      <c r="D474" s="9" t="str">
        <f ca="1">_xlfn.XLOOKUP(A474,Cleaned_Data!A:A,Cleaned_Data!L:L)</f>
        <v>Weight Loss</v>
      </c>
    </row>
    <row r="475" spans="1:4">
      <c r="A475" s="9" t="str">
        <v>MEM0474</v>
      </c>
      <c r="B475" s="9" t="str">
        <f ca="1">_xlfn.XLOOKUP(A475,Cleaned_Data!A:A,Cleaned_Data!B:B)</f>
        <v>Fatima Chatterjee</v>
      </c>
      <c r="C475" s="9" t="str">
        <f ca="1">_xlfn.XLOOKUP(A475,Cleaned_Data!A:A,Cleaned_Data!C:C)</f>
        <v>Chennai</v>
      </c>
      <c r="D475" s="9" t="str">
        <f ca="1">_xlfn.XLOOKUP(A475,Cleaned_Data!A:A,Cleaned_Data!L:L)</f>
        <v>Weight Loss</v>
      </c>
    </row>
    <row r="476" spans="1:4">
      <c r="A476" s="9" t="str">
        <v>MEM0475</v>
      </c>
      <c r="B476" s="9" t="str">
        <f ca="1">_xlfn.XLOOKUP(A476,Cleaned_Data!A:A,Cleaned_Data!B:B)</f>
        <v>Sanjay Nair</v>
      </c>
      <c r="C476" s="9" t="str">
        <f ca="1">_xlfn.XLOOKUP(A476,Cleaned_Data!A:A,Cleaned_Data!C:C)</f>
        <v>Kochi</v>
      </c>
      <c r="D476" s="9" t="str">
        <f ca="1">_xlfn.XLOOKUP(A476,Cleaned_Data!A:A,Cleaned_Data!L:L)</f>
        <v>General Fitness</v>
      </c>
    </row>
    <row r="477" spans="1:4">
      <c r="A477" s="9" t="str">
        <v>MEM0476</v>
      </c>
      <c r="B477" s="9" t="str">
        <f ca="1">_xlfn.XLOOKUP(A477,Cleaned_Data!A:A,Cleaned_Data!B:B)</f>
        <v>Anjali Naidu</v>
      </c>
      <c r="C477" s="9" t="str">
        <f ca="1">_xlfn.XLOOKUP(A477,Cleaned_Data!A:A,Cleaned_Data!C:C)</f>
        <v>Trivandrum</v>
      </c>
      <c r="D477" s="9" t="str">
        <f ca="1">_xlfn.XLOOKUP(A477,Cleaned_Data!A:A,Cleaned_Data!L:L)</f>
        <v>Weight Loss</v>
      </c>
    </row>
    <row r="478" spans="1:4">
      <c r="A478" s="9" t="str">
        <v>MEM0477</v>
      </c>
      <c r="B478" s="9" t="str">
        <f ca="1">_xlfn.XLOOKUP(A478,Cleaned_Data!A:A,Cleaned_Data!B:B)</f>
        <v>Swathi Kapoor</v>
      </c>
      <c r="C478" s="9" t="str">
        <f ca="1">_xlfn.XLOOKUP(A478,Cleaned_Data!A:A,Cleaned_Data!C:C)</f>
        <v>Mumbai</v>
      </c>
      <c r="D478" s="9" t="str">
        <f ca="1">_xlfn.XLOOKUP(A478,Cleaned_Data!A:A,Cleaned_Data!L:L)</f>
        <v>General Fitness</v>
      </c>
    </row>
    <row r="479" spans="1:4">
      <c r="A479" s="9" t="str">
        <v>MEM0478</v>
      </c>
      <c r="B479" s="9" t="str">
        <f ca="1">_xlfn.XLOOKUP(A479,Cleaned_Data!A:A,Cleaned_Data!B:B)</f>
        <v>Meera George</v>
      </c>
      <c r="C479" s="9" t="str">
        <f ca="1">_xlfn.XLOOKUP(A479,Cleaned_Data!A:A,Cleaned_Data!C:C)</f>
        <v>Mumbai</v>
      </c>
      <c r="D479" s="9" t="str">
        <f ca="1">_xlfn.XLOOKUP(A479,Cleaned_Data!A:A,Cleaned_Data!L:L)</f>
        <v>Muscle Gain</v>
      </c>
    </row>
    <row r="480" spans="1:4">
      <c r="A480" s="9" t="str">
        <v>MEM0479</v>
      </c>
      <c r="B480" s="9" t="str">
        <f ca="1">_xlfn.XLOOKUP(A480,Cleaned_Data!A:A,Cleaned_Data!B:B)</f>
        <v>Zara Joseph</v>
      </c>
      <c r="C480" s="9" t="str">
        <f ca="1">_xlfn.XLOOKUP(A480,Cleaned_Data!A:A,Cleaned_Data!C:C)</f>
        <v>Bangalore</v>
      </c>
      <c r="D480" s="9" t="str">
        <f ca="1">_xlfn.XLOOKUP(A480,Cleaned_Data!A:A,Cleaned_Data!L:L)</f>
        <v>General Fitness</v>
      </c>
    </row>
    <row r="481" spans="1:4">
      <c r="A481" s="9" t="str">
        <v>MEM0480</v>
      </c>
      <c r="B481" s="9" t="str">
        <f ca="1">_xlfn.XLOOKUP(A481,Cleaned_Data!A:A,Cleaned_Data!B:B)</f>
        <v>Anjali Kulkarni</v>
      </c>
      <c r="C481" s="9" t="str">
        <f ca="1">_xlfn.XLOOKUP(A481,Cleaned_Data!A:A,Cleaned_Data!C:C)</f>
        <v>Kochi</v>
      </c>
      <c r="D481" s="9" t="str">
        <f ca="1">_xlfn.XLOOKUP(A481,Cleaned_Data!A:A,Cleaned_Data!L:L)</f>
        <v>Weight Loss</v>
      </c>
    </row>
    <row r="482" spans="1:4">
      <c r="A482" s="9" t="str">
        <v>MEM0481</v>
      </c>
      <c r="B482" s="9" t="str">
        <f ca="1">_xlfn.XLOOKUP(A482,Cleaned_Data!A:A,Cleaned_Data!B:B)</f>
        <v>Kavya Das</v>
      </c>
      <c r="C482" s="9" t="str">
        <f ca="1">_xlfn.XLOOKUP(A482,Cleaned_Data!A:A,Cleaned_Data!C:C)</f>
        <v>Mumbai</v>
      </c>
      <c r="D482" s="9" t="str">
        <f ca="1">_xlfn.XLOOKUP(A482,Cleaned_Data!A:A,Cleaned_Data!L:L)</f>
        <v>General Fitness</v>
      </c>
    </row>
    <row r="483" spans="1:4">
      <c r="A483" s="9" t="str">
        <v>MEM0482</v>
      </c>
      <c r="B483" s="9" t="str">
        <f ca="1">_xlfn.XLOOKUP(A483,Cleaned_Data!A:A,Cleaned_Data!B:B)</f>
        <v>Ankit Verma</v>
      </c>
      <c r="C483" s="9" t="str">
        <f ca="1">_xlfn.XLOOKUP(A483,Cleaned_Data!A:A,Cleaned_Data!C:C)</f>
        <v>Kochi</v>
      </c>
      <c r="D483" s="9" t="str">
        <f ca="1">_xlfn.XLOOKUP(A483,Cleaned_Data!A:A,Cleaned_Data!L:L)</f>
        <v>General Fitness</v>
      </c>
    </row>
    <row r="484" spans="1:4">
      <c r="A484" s="9" t="str">
        <v>MEM0483</v>
      </c>
      <c r="B484" s="9" t="str">
        <f ca="1">_xlfn.XLOOKUP(A484,Cleaned_Data!A:A,Cleaned_Data!B:B)</f>
        <v>Aditya Kulkarni</v>
      </c>
      <c r="C484" s="9" t="str">
        <f ca="1">_xlfn.XLOOKUP(A484,Cleaned_Data!A:A,Cleaned_Data!C:C)</f>
        <v>Bangalore</v>
      </c>
      <c r="D484" s="9" t="str">
        <f ca="1">_xlfn.XLOOKUP(A484,Cleaned_Data!A:A,Cleaned_Data!L:L)</f>
        <v>Muscle Gain</v>
      </c>
    </row>
    <row r="485" spans="1:4">
      <c r="A485" s="9" t="str">
        <v>MEM0484</v>
      </c>
      <c r="B485" s="9" t="str">
        <f ca="1">_xlfn.XLOOKUP(A485,Cleaned_Data!A:A,Cleaned_Data!B:B)</f>
        <v>Varun Lewis</v>
      </c>
      <c r="C485" s="9" t="str">
        <f ca="1">_xlfn.XLOOKUP(A485,Cleaned_Data!A:A,Cleaned_Data!C:C)</f>
        <v>Chennai</v>
      </c>
      <c r="D485" s="9" t="str">
        <f ca="1">_xlfn.XLOOKUP(A485,Cleaned_Data!A:A,Cleaned_Data!L:L)</f>
        <v>Muscle Gain</v>
      </c>
    </row>
    <row r="486" spans="1:4">
      <c r="A486" s="9" t="str">
        <v>MEM0485</v>
      </c>
      <c r="B486" s="9" t="str">
        <f ca="1">_xlfn.XLOOKUP(A486,Cleaned_Data!A:A,Cleaned_Data!B:B)</f>
        <v>Zara Shaikh</v>
      </c>
      <c r="C486" s="9" t="str">
        <f ca="1">_xlfn.XLOOKUP(A486,Cleaned_Data!A:A,Cleaned_Data!C:C)</f>
        <v>Mumbai</v>
      </c>
      <c r="D486" s="9" t="str">
        <f ca="1">_xlfn.XLOOKUP(A486,Cleaned_Data!A:A,Cleaned_Data!L:L)</f>
        <v>Weight Loss</v>
      </c>
    </row>
    <row r="487" spans="1:4">
      <c r="A487" s="9" t="str">
        <v>MEM0486</v>
      </c>
      <c r="B487" s="9" t="str">
        <f ca="1">_xlfn.XLOOKUP(A487,Cleaned_Data!A:A,Cleaned_Data!B:B)</f>
        <v>Arjun George</v>
      </c>
      <c r="C487" s="9" t="str">
        <f ca="1">_xlfn.XLOOKUP(A487,Cleaned_Data!A:A,Cleaned_Data!C:C)</f>
        <v>Mumbai</v>
      </c>
      <c r="D487" s="9" t="str">
        <f ca="1">_xlfn.XLOOKUP(A487,Cleaned_Data!A:A,Cleaned_Data!L:L)</f>
        <v>Weight Loss</v>
      </c>
    </row>
    <row r="488" spans="1:4">
      <c r="A488" s="9" t="str">
        <v>MEM0487</v>
      </c>
      <c r="B488" s="9" t="str">
        <f ca="1">_xlfn.XLOOKUP(A488,Cleaned_Data!A:A,Cleaned_Data!B:B)</f>
        <v>Anu Joshi</v>
      </c>
      <c r="C488" s="9" t="str">
        <f ca="1">_xlfn.XLOOKUP(A488,Cleaned_Data!A:A,Cleaned_Data!C:C)</f>
        <v>Mumbai</v>
      </c>
      <c r="D488" s="9" t="str">
        <f ca="1">_xlfn.XLOOKUP(A488,Cleaned_Data!A:A,Cleaned_Data!L:L)</f>
        <v>Weight Loss</v>
      </c>
    </row>
    <row r="489" spans="1:4">
      <c r="A489" s="9" t="str">
        <v>MEM0488</v>
      </c>
      <c r="B489" s="9" t="str">
        <f ca="1">_xlfn.XLOOKUP(A489,Cleaned_Data!A:A,Cleaned_Data!B:B)</f>
        <v>Harish Joseph</v>
      </c>
      <c r="C489" s="9" t="str">
        <f ca="1">_xlfn.XLOOKUP(A489,Cleaned_Data!A:A,Cleaned_Data!C:C)</f>
        <v>Bangalore</v>
      </c>
      <c r="D489" s="9" t="str">
        <f ca="1">_xlfn.XLOOKUP(A489,Cleaned_Data!A:A,Cleaned_Data!L:L)</f>
        <v>Muscle Gain</v>
      </c>
    </row>
    <row r="490" spans="1:4">
      <c r="A490" s="9" t="str">
        <v>MEM0489</v>
      </c>
      <c r="B490" s="9" t="str">
        <f ca="1">_xlfn.XLOOKUP(A490,Cleaned_Data!A:A,Cleaned_Data!B:B)</f>
        <v>Tanvi Joshi</v>
      </c>
      <c r="C490" s="9" t="str">
        <f ca="1">_xlfn.XLOOKUP(A490,Cleaned_Data!A:A,Cleaned_Data!C:C)</f>
        <v>Kochi</v>
      </c>
      <c r="D490" s="9" t="str">
        <f ca="1">_xlfn.XLOOKUP(A490,Cleaned_Data!A:A,Cleaned_Data!L:L)</f>
        <v>Weight Loss</v>
      </c>
    </row>
    <row r="491" spans="1:4">
      <c r="A491" s="9" t="str">
        <v>MEM0490</v>
      </c>
      <c r="B491" s="9" t="str">
        <f ca="1">_xlfn.XLOOKUP(A491,Cleaned_Data!A:A,Cleaned_Data!B:B)</f>
        <v>Lakshmi Kapoor</v>
      </c>
      <c r="C491" s="9" t="str">
        <f ca="1">_xlfn.XLOOKUP(A491,Cleaned_Data!A:A,Cleaned_Data!C:C)</f>
        <v>Calicut</v>
      </c>
      <c r="D491" s="9" t="str">
        <f ca="1">_xlfn.XLOOKUP(A491,Cleaned_Data!A:A,Cleaned_Data!L:L)</f>
        <v>General Fitness</v>
      </c>
    </row>
    <row r="492" spans="1:4">
      <c r="A492" s="9" t="str">
        <v>MEM0491</v>
      </c>
      <c r="B492" s="9" t="str">
        <f ca="1">_xlfn.XLOOKUP(A492,Cleaned_Data!A:A,Cleaned_Data!B:B)</f>
        <v>Aditya Singh</v>
      </c>
      <c r="C492" s="9" t="str">
        <f ca="1">_xlfn.XLOOKUP(A492,Cleaned_Data!A:A,Cleaned_Data!C:C)</f>
        <v>Trivandrum</v>
      </c>
      <c r="D492" s="9" t="str">
        <f ca="1">_xlfn.XLOOKUP(A492,Cleaned_Data!A:A,Cleaned_Data!L:L)</f>
        <v>Muscle Gain</v>
      </c>
    </row>
    <row r="493" spans="1:4">
      <c r="A493" s="9" t="str">
        <v>MEM0492</v>
      </c>
      <c r="B493" s="9" t="str">
        <f ca="1">_xlfn.XLOOKUP(A493,Cleaned_Data!A:A,Cleaned_Data!B:B)</f>
        <v>Fatima Desai</v>
      </c>
      <c r="C493" s="9" t="str">
        <f ca="1">_xlfn.XLOOKUP(A493,Cleaned_Data!A:A,Cleaned_Data!C:C)</f>
        <v>Chennai</v>
      </c>
      <c r="D493" s="9" t="str">
        <f ca="1">_xlfn.XLOOKUP(A493,Cleaned_Data!A:A,Cleaned_Data!L:L)</f>
        <v>Weight Loss</v>
      </c>
    </row>
    <row r="494" spans="1:4">
      <c r="A494" s="9" t="str">
        <v>MEM0493</v>
      </c>
      <c r="B494" s="9" t="str">
        <f ca="1">_xlfn.XLOOKUP(A494,Cleaned_Data!A:A,Cleaned_Data!B:B)</f>
        <v>Ankit Pillai</v>
      </c>
      <c r="C494" s="9" t="str">
        <f ca="1">_xlfn.XLOOKUP(A494,Cleaned_Data!A:A,Cleaned_Data!C:C)</f>
        <v>Trivandrum</v>
      </c>
      <c r="D494" s="9" t="str">
        <f ca="1">_xlfn.XLOOKUP(A494,Cleaned_Data!A:A,Cleaned_Data!L:L)</f>
        <v>Muscle Gain</v>
      </c>
    </row>
    <row r="495" spans="1:4">
      <c r="A495" s="9" t="str">
        <v>MEM0494</v>
      </c>
      <c r="B495" s="9" t="str">
        <f ca="1">_xlfn.XLOOKUP(A495,Cleaned_Data!A:A,Cleaned_Data!B:B)</f>
        <v>Siddharth George</v>
      </c>
      <c r="C495" s="9" t="str">
        <f ca="1">_xlfn.XLOOKUP(A495,Cleaned_Data!A:A,Cleaned_Data!C:C)</f>
        <v>Kochi</v>
      </c>
      <c r="D495" s="9" t="str">
        <f ca="1">_xlfn.XLOOKUP(A495,Cleaned_Data!A:A,Cleaned_Data!L:L)</f>
        <v>Weight Loss</v>
      </c>
    </row>
    <row r="496" spans="1:4">
      <c r="A496" s="9" t="str">
        <v>MEM0495</v>
      </c>
      <c r="B496" s="9" t="str">
        <f ca="1">_xlfn.XLOOKUP(A496,Cleaned_Data!A:A,Cleaned_Data!B:B)</f>
        <v>Meera Menon</v>
      </c>
      <c r="C496" s="9" t="str">
        <f ca="1">_xlfn.XLOOKUP(A496,Cleaned_Data!A:A,Cleaned_Data!C:C)</f>
        <v>Trivandrum</v>
      </c>
      <c r="D496" s="9" t="str">
        <f ca="1">_xlfn.XLOOKUP(A496,Cleaned_Data!A:A,Cleaned_Data!L:L)</f>
        <v>Weight Loss</v>
      </c>
    </row>
    <row r="497" spans="1:4">
      <c r="A497" s="9" t="str">
        <v>MEM0496</v>
      </c>
      <c r="B497" s="9" t="str">
        <f ca="1">_xlfn.XLOOKUP(A497,Cleaned_Data!A:A,Cleaned_Data!B:B)</f>
        <v>Deepak Varghese</v>
      </c>
      <c r="C497" s="9" t="str">
        <f ca="1">_xlfn.XLOOKUP(A497,Cleaned_Data!A:A,Cleaned_Data!C:C)</f>
        <v>Bangalore</v>
      </c>
      <c r="D497" s="9" t="str">
        <f ca="1">_xlfn.XLOOKUP(A497,Cleaned_Data!A:A,Cleaned_Data!L:L)</f>
        <v>General Fitness</v>
      </c>
    </row>
    <row r="498" spans="1:4">
      <c r="A498" s="9" t="str">
        <v>MEM0497</v>
      </c>
      <c r="B498" s="9" t="str">
        <f ca="1">_xlfn.XLOOKUP(A498,Cleaned_Data!A:A,Cleaned_Data!B:B)</f>
        <v>Swathi Kulkarni</v>
      </c>
      <c r="C498" s="9" t="str">
        <f ca="1">_xlfn.XLOOKUP(A498,Cleaned_Data!A:A,Cleaned_Data!C:C)</f>
        <v>Chennai</v>
      </c>
      <c r="D498" s="9" t="str">
        <f ca="1">_xlfn.XLOOKUP(A498,Cleaned_Data!A:A,Cleaned_Data!L:L)</f>
        <v>General Fitness</v>
      </c>
    </row>
    <row r="499" spans="1:4">
      <c r="A499" s="9" t="str">
        <v>MEM0498</v>
      </c>
      <c r="B499" s="9" t="str">
        <f ca="1">_xlfn.XLOOKUP(A499,Cleaned_Data!A:A,Cleaned_Data!B:B)</f>
        <v>Meera Menon</v>
      </c>
      <c r="C499" s="9" t="str">
        <f ca="1">_xlfn.XLOOKUP(A499,Cleaned_Data!A:A,Cleaned_Data!C:C)</f>
        <v>Hyderabad</v>
      </c>
      <c r="D499" s="9" t="str">
        <f ca="1">_xlfn.XLOOKUP(A499,Cleaned_Data!A:A,Cleaned_Data!L:L)</f>
        <v>Weight Loss</v>
      </c>
    </row>
    <row r="500" spans="1:4">
      <c r="A500" s="9" t="str">
        <v>MEM0499</v>
      </c>
      <c r="B500" s="9" t="str">
        <f ca="1">_xlfn.XLOOKUP(A500,Cleaned_Data!A:A,Cleaned_Data!B:B)</f>
        <v>Arjun Singh</v>
      </c>
      <c r="C500" s="9" t="str">
        <f ca="1">_xlfn.XLOOKUP(A500,Cleaned_Data!A:A,Cleaned_Data!C:C)</f>
        <v>Mumbai</v>
      </c>
      <c r="D500" s="9" t="str">
        <f ca="1">_xlfn.XLOOKUP(A500,Cleaned_Data!A:A,Cleaned_Data!L:L)</f>
        <v>Weight Loss</v>
      </c>
    </row>
    <row r="501" spans="1:4">
      <c r="A501" s="9" t="str">
        <v>MEM0500</v>
      </c>
      <c r="B501" s="9" t="str">
        <f ca="1">_xlfn.XLOOKUP(A501,Cleaned_Data!A:A,Cleaned_Data!B:B)</f>
        <v>Harish Nair</v>
      </c>
      <c r="C501" s="9" t="str">
        <f ca="1">_xlfn.XLOOKUP(A501,Cleaned_Data!A:A,Cleaned_Data!C:C)</f>
        <v>Chennai</v>
      </c>
      <c r="D501" s="9" t="str">
        <f ca="1">_xlfn.XLOOKUP(A501,Cleaned_Data!A:A,Cleaned_Data!L:L)</f>
        <v>Muscle Gain</v>
      </c>
    </row>
    <row r="502" spans="1:4">
      <c r="A502" s="9" t="str">
        <v>MEM0501</v>
      </c>
      <c r="B502" s="9" t="str">
        <f ca="1">_xlfn.XLOOKUP(A502,Cleaned_Data!A:A,Cleaned_Data!B:B)</f>
        <v>Akash Shetty</v>
      </c>
      <c r="C502" s="9" t="str">
        <f ca="1">_xlfn.XLOOKUP(A502,Cleaned_Data!A:A,Cleaned_Data!C:C)</f>
        <v>Calicut</v>
      </c>
      <c r="D502" s="9" t="str">
        <f ca="1">_xlfn.XLOOKUP(A502,Cleaned_Data!A:A,Cleaned_Data!L:L)</f>
        <v>General Fitness</v>
      </c>
    </row>
    <row r="503" spans="1:4">
      <c r="A503" s="9" t="str">
        <v>MEM0502</v>
      </c>
      <c r="B503" s="9" t="str">
        <f ca="1">_xlfn.XLOOKUP(A503,Cleaned_Data!A:A,Cleaned_Data!B:B)</f>
        <v>Nisha Gupta</v>
      </c>
      <c r="C503" s="9" t="str">
        <f ca="1">_xlfn.XLOOKUP(A503,Cleaned_Data!A:A,Cleaned_Data!C:C)</f>
        <v>Mumbai</v>
      </c>
      <c r="D503" s="9" t="str">
        <f ca="1">_xlfn.XLOOKUP(A503,Cleaned_Data!A:A,Cleaned_Data!L:L)</f>
        <v>General Fitness</v>
      </c>
    </row>
    <row r="504" spans="1:4">
      <c r="A504" s="9" t="str">
        <v>MEM0503</v>
      </c>
      <c r="B504" s="9" t="str">
        <f ca="1">_xlfn.XLOOKUP(A504,Cleaned_Data!A:A,Cleaned_Data!B:B)</f>
        <v>Lakshmi Patel</v>
      </c>
      <c r="C504" s="9" t="str">
        <f ca="1">_xlfn.XLOOKUP(A504,Cleaned_Data!A:A,Cleaned_Data!C:C)</f>
        <v>Kochi</v>
      </c>
      <c r="D504" s="9" t="str">
        <f ca="1">_xlfn.XLOOKUP(A504,Cleaned_Data!A:A,Cleaned_Data!L:L)</f>
        <v>Weight Loss</v>
      </c>
    </row>
    <row r="505" spans="1:4">
      <c r="A505" s="9" t="str">
        <v>MEM0504</v>
      </c>
      <c r="B505" s="9" t="str">
        <f ca="1">_xlfn.XLOOKUP(A505,Cleaned_Data!A:A,Cleaned_Data!B:B)</f>
        <v>Arjun Mathew</v>
      </c>
      <c r="C505" s="9" t="str">
        <f ca="1">_xlfn.XLOOKUP(A505,Cleaned_Data!A:A,Cleaned_Data!C:C)</f>
        <v>Hyderabad</v>
      </c>
      <c r="D505" s="9" t="str">
        <f ca="1">_xlfn.XLOOKUP(A505,Cleaned_Data!A:A,Cleaned_Data!L:L)</f>
        <v>Muscle Gain</v>
      </c>
    </row>
    <row r="506" spans="1:4">
      <c r="A506" s="9" t="str">
        <v>MEM0505</v>
      </c>
      <c r="B506" s="9" t="str">
        <f ca="1">_xlfn.XLOOKUP(A506,Cleaned_Data!A:A,Cleaned_Data!B:B)</f>
        <v>Fatima Gupta</v>
      </c>
      <c r="C506" s="9" t="str">
        <f ca="1">_xlfn.XLOOKUP(A506,Cleaned_Data!A:A,Cleaned_Data!C:C)</f>
        <v>Mumbai</v>
      </c>
      <c r="D506" s="9" t="str">
        <f ca="1">_xlfn.XLOOKUP(A506,Cleaned_Data!A:A,Cleaned_Data!L:L)</f>
        <v>Weight Loss</v>
      </c>
    </row>
    <row r="507" spans="1:4">
      <c r="A507" s="9" t="str">
        <v>MEM0506</v>
      </c>
      <c r="B507" s="9" t="str">
        <f ca="1">_xlfn.XLOOKUP(A507,Cleaned_Data!A:A,Cleaned_Data!B:B)</f>
        <v>Swathi Nair</v>
      </c>
      <c r="C507" s="9" t="str">
        <f ca="1">_xlfn.XLOOKUP(A507,Cleaned_Data!A:A,Cleaned_Data!C:C)</f>
        <v>Trivandrum</v>
      </c>
      <c r="D507" s="9" t="str">
        <f ca="1">_xlfn.XLOOKUP(A507,Cleaned_Data!A:A,Cleaned_Data!L:L)</f>
        <v>General Fitness</v>
      </c>
    </row>
    <row r="508" spans="1:4">
      <c r="A508" s="9" t="str">
        <v>MEM0507</v>
      </c>
      <c r="B508" s="9" t="str">
        <f ca="1">_xlfn.XLOOKUP(A508,Cleaned_Data!A:A,Cleaned_Data!B:B)</f>
        <v>Rahul Naidu</v>
      </c>
      <c r="C508" s="9" t="str">
        <f ca="1">_xlfn.XLOOKUP(A508,Cleaned_Data!A:A,Cleaned_Data!C:C)</f>
        <v>Bangalore</v>
      </c>
      <c r="D508" s="9" t="str">
        <f ca="1">_xlfn.XLOOKUP(A508,Cleaned_Data!A:A,Cleaned_Data!L:L)</f>
        <v>General Fitness</v>
      </c>
    </row>
    <row r="509" spans="1:4">
      <c r="A509" s="9" t="str">
        <v>MEM0508</v>
      </c>
      <c r="B509" s="9" t="str">
        <f ca="1">_xlfn.XLOOKUP(A509,Cleaned_Data!A:A,Cleaned_Data!B:B)</f>
        <v>Sneha Bhat</v>
      </c>
      <c r="C509" s="9" t="str">
        <f ca="1">_xlfn.XLOOKUP(A509,Cleaned_Data!A:A,Cleaned_Data!C:C)</f>
        <v>Bangalore</v>
      </c>
      <c r="D509" s="9" t="str">
        <f ca="1">_xlfn.XLOOKUP(A509,Cleaned_Data!A:A,Cleaned_Data!L:L)</f>
        <v>Muscle Gain</v>
      </c>
    </row>
    <row r="510" spans="1:4">
      <c r="A510" s="9" t="str">
        <v>MEM0509</v>
      </c>
      <c r="B510" s="9" t="str">
        <f ca="1">_xlfn.XLOOKUP(A510,Cleaned_Data!A:A,Cleaned_Data!B:B)</f>
        <v>Akash Gupta</v>
      </c>
      <c r="C510" s="9" t="str">
        <f ca="1">_xlfn.XLOOKUP(A510,Cleaned_Data!A:A,Cleaned_Data!C:C)</f>
        <v>Mumbai</v>
      </c>
      <c r="D510" s="9" t="str">
        <f ca="1">_xlfn.XLOOKUP(A510,Cleaned_Data!A:A,Cleaned_Data!L:L)</f>
        <v>Muscle Gain</v>
      </c>
    </row>
    <row r="511" spans="1:4">
      <c r="A511" s="9" t="str">
        <v>MEM0510</v>
      </c>
      <c r="B511" s="9" t="str">
        <f ca="1">_xlfn.XLOOKUP(A511,Cleaned_Data!A:A,Cleaned_Data!B:B)</f>
        <v>Neha Nair</v>
      </c>
      <c r="C511" s="9" t="str">
        <f ca="1">_xlfn.XLOOKUP(A511,Cleaned_Data!A:A,Cleaned_Data!C:C)</f>
        <v>Hyderabad</v>
      </c>
      <c r="D511" s="9" t="str">
        <f ca="1">_xlfn.XLOOKUP(A511,Cleaned_Data!A:A,Cleaned_Data!L:L)</f>
        <v>Muscle Gain</v>
      </c>
    </row>
    <row r="512" spans="1:4">
      <c r="A512" s="9" t="str">
        <v>MEM0511</v>
      </c>
      <c r="B512" s="9" t="str">
        <f ca="1">_xlfn.XLOOKUP(A512,Cleaned_Data!A:A,Cleaned_Data!B:B)</f>
        <v>Rahul Desai</v>
      </c>
      <c r="C512" s="9" t="str">
        <f ca="1">_xlfn.XLOOKUP(A512,Cleaned_Data!A:A,Cleaned_Data!C:C)</f>
        <v>Chennai</v>
      </c>
      <c r="D512" s="9" t="str">
        <f ca="1">_xlfn.XLOOKUP(A512,Cleaned_Data!A:A,Cleaned_Data!L:L)</f>
        <v>General Fitness</v>
      </c>
    </row>
    <row r="513" spans="1:4">
      <c r="A513" s="9" t="str">
        <v>MEM0512</v>
      </c>
      <c r="B513" s="9" t="str">
        <f ca="1">_xlfn.XLOOKUP(A513,Cleaned_Data!A:A,Cleaned_Data!B:B)</f>
        <v>Divya Yadav</v>
      </c>
      <c r="C513" s="9" t="str">
        <f ca="1">_xlfn.XLOOKUP(A513,Cleaned_Data!A:A,Cleaned_Data!C:C)</f>
        <v>Trivandrum</v>
      </c>
      <c r="D513" s="9" t="str">
        <f ca="1">_xlfn.XLOOKUP(A513,Cleaned_Data!A:A,Cleaned_Data!L:L)</f>
        <v>Muscle Gain</v>
      </c>
    </row>
    <row r="514" spans="1:4">
      <c r="A514" s="9" t="str">
        <v>MEM0513</v>
      </c>
      <c r="B514" s="9" t="str">
        <f ca="1">_xlfn.XLOOKUP(A514,Cleaned_Data!A:A,Cleaned_Data!B:B)</f>
        <v>Anjali Kulkarni</v>
      </c>
      <c r="C514" s="9" t="str">
        <f ca="1">_xlfn.XLOOKUP(A514,Cleaned_Data!A:A,Cleaned_Data!C:C)</f>
        <v>Kochi</v>
      </c>
      <c r="D514" s="9" t="str">
        <f ca="1">_xlfn.XLOOKUP(A514,Cleaned_Data!A:A,Cleaned_Data!L:L)</f>
        <v>Weight Loss</v>
      </c>
    </row>
    <row r="515" spans="1:4">
      <c r="A515" s="9" t="str">
        <v>MEM0514</v>
      </c>
      <c r="B515" s="9" t="str">
        <f ca="1">_xlfn.XLOOKUP(A515,Cleaned_Data!A:A,Cleaned_Data!B:B)</f>
        <v>Lakshmi Bhat</v>
      </c>
      <c r="C515" s="9" t="str">
        <f ca="1">_xlfn.XLOOKUP(A515,Cleaned_Data!A:A,Cleaned_Data!C:C)</f>
        <v>Trivandrum</v>
      </c>
      <c r="D515" s="9" t="str">
        <f ca="1">_xlfn.XLOOKUP(A515,Cleaned_Data!A:A,Cleaned_Data!L:L)</f>
        <v>Muscle Gain</v>
      </c>
    </row>
    <row r="516" spans="1:4">
      <c r="A516" s="9" t="str">
        <v>MEM0515</v>
      </c>
      <c r="B516" s="9" t="str">
        <f ca="1">_xlfn.XLOOKUP(A516,Cleaned_Data!A:A,Cleaned_Data!B:B)</f>
        <v>Nisha Joshi</v>
      </c>
      <c r="C516" s="9" t="str">
        <f ca="1">_xlfn.XLOOKUP(A516,Cleaned_Data!A:A,Cleaned_Data!C:C)</f>
        <v>Chennai</v>
      </c>
      <c r="D516" s="9" t="str">
        <f ca="1">_xlfn.XLOOKUP(A516,Cleaned_Data!A:A,Cleaned_Data!L:L)</f>
        <v>General Fitness</v>
      </c>
    </row>
    <row r="517" spans="1:4">
      <c r="A517" s="9" t="str">
        <v>MEM0516</v>
      </c>
      <c r="B517" s="9" t="str">
        <f ca="1">_xlfn.XLOOKUP(A517,Cleaned_Data!A:A,Cleaned_Data!B:B)</f>
        <v>Priya Menon</v>
      </c>
      <c r="C517" s="9" t="str">
        <f ca="1">_xlfn.XLOOKUP(A517,Cleaned_Data!A:A,Cleaned_Data!C:C)</f>
        <v>Calicut</v>
      </c>
      <c r="D517" s="9" t="str">
        <f ca="1">_xlfn.XLOOKUP(A517,Cleaned_Data!A:A,Cleaned_Data!L:L)</f>
        <v>Weight Loss</v>
      </c>
    </row>
    <row r="518" spans="1:4">
      <c r="A518" s="9" t="str">
        <v>MEM0517</v>
      </c>
      <c r="B518" s="9" t="str">
        <f ca="1">_xlfn.XLOOKUP(A518,Cleaned_Data!A:A,Cleaned_Data!B:B)</f>
        <v>Anu Mathew</v>
      </c>
      <c r="C518" s="9" t="str">
        <f ca="1">_xlfn.XLOOKUP(A518,Cleaned_Data!A:A,Cleaned_Data!C:C)</f>
        <v>Hyderabad</v>
      </c>
      <c r="D518" s="9" t="str">
        <f ca="1">_xlfn.XLOOKUP(A518,Cleaned_Data!A:A,Cleaned_Data!L:L)</f>
        <v>General Fitness</v>
      </c>
    </row>
    <row r="519" spans="1:4">
      <c r="A519" s="9" t="str">
        <v>MEM0518</v>
      </c>
      <c r="B519" s="9" t="str">
        <f ca="1">_xlfn.XLOOKUP(A519,Cleaned_Data!A:A,Cleaned_Data!B:B)</f>
        <v>Priya Bhat</v>
      </c>
      <c r="C519" s="9" t="str">
        <f ca="1">_xlfn.XLOOKUP(A519,Cleaned_Data!A:A,Cleaned_Data!C:C)</f>
        <v>Mumbai</v>
      </c>
      <c r="D519" s="9" t="str">
        <f ca="1">_xlfn.XLOOKUP(A519,Cleaned_Data!A:A,Cleaned_Data!L:L)</f>
        <v>Muscle Gain</v>
      </c>
    </row>
    <row r="520" spans="1:4">
      <c r="A520" s="9" t="str">
        <v>MEM0519</v>
      </c>
      <c r="B520" s="9" t="str">
        <f ca="1">_xlfn.XLOOKUP(A520,Cleaned_Data!A:A,Cleaned_Data!B:B)</f>
        <v>Sanjay Singh</v>
      </c>
      <c r="C520" s="9" t="str">
        <f ca="1">_xlfn.XLOOKUP(A520,Cleaned_Data!A:A,Cleaned_Data!C:C)</f>
        <v>Chennai</v>
      </c>
      <c r="D520" s="9" t="str">
        <f ca="1">_xlfn.XLOOKUP(A520,Cleaned_Data!A:A,Cleaned_Data!L:L)</f>
        <v>Weight Loss</v>
      </c>
    </row>
    <row r="521" spans="1:4">
      <c r="A521" s="9" t="str">
        <v>MEM0520</v>
      </c>
      <c r="B521" s="9" t="str">
        <f ca="1">_xlfn.XLOOKUP(A521,Cleaned_Data!A:A,Cleaned_Data!B:B)</f>
        <v>Neha Shaikh</v>
      </c>
      <c r="C521" s="9" t="str">
        <f ca="1">_xlfn.XLOOKUP(A521,Cleaned_Data!A:A,Cleaned_Data!C:C)</f>
        <v>Chennai</v>
      </c>
      <c r="D521" s="9" t="str">
        <f ca="1">_xlfn.XLOOKUP(A521,Cleaned_Data!A:A,Cleaned_Data!L:L)</f>
        <v>General Fitness</v>
      </c>
    </row>
    <row r="522" spans="1:4">
      <c r="A522" s="9" t="str">
        <v>MEM0521</v>
      </c>
      <c r="B522" s="9" t="str">
        <f ca="1">_xlfn.XLOOKUP(A522,Cleaned_Data!A:A,Cleaned_Data!B:B)</f>
        <v>Nisha Joshi</v>
      </c>
      <c r="C522" s="9" t="str">
        <f ca="1">_xlfn.XLOOKUP(A522,Cleaned_Data!A:A,Cleaned_Data!C:C)</f>
        <v>Calicut</v>
      </c>
      <c r="D522" s="9" t="str">
        <f ca="1">_xlfn.XLOOKUP(A522,Cleaned_Data!A:A,Cleaned_Data!L:L)</f>
        <v>Muscle Gain</v>
      </c>
    </row>
    <row r="523" spans="1:4">
      <c r="A523" s="9" t="str">
        <v>MEM0522</v>
      </c>
      <c r="B523" s="9" t="str">
        <f ca="1">_xlfn.XLOOKUP(A523,Cleaned_Data!A:A,Cleaned_Data!B:B)</f>
        <v>Arjun George</v>
      </c>
      <c r="C523" s="9" t="str">
        <f ca="1">_xlfn.XLOOKUP(A523,Cleaned_Data!A:A,Cleaned_Data!C:C)</f>
        <v>Calicut</v>
      </c>
      <c r="D523" s="9" t="str">
        <f ca="1">_xlfn.XLOOKUP(A523,Cleaned_Data!A:A,Cleaned_Data!L:L)</f>
        <v>General Fitness</v>
      </c>
    </row>
    <row r="524" spans="1:4">
      <c r="A524" s="9" t="str">
        <v>MEM0523</v>
      </c>
      <c r="B524" s="9" t="str">
        <f ca="1">_xlfn.XLOOKUP(A524,Cleaned_Data!A:A,Cleaned_Data!B:B)</f>
        <v>Rohit Thomas</v>
      </c>
      <c r="C524" s="9" t="str">
        <f ca="1">_xlfn.XLOOKUP(A524,Cleaned_Data!A:A,Cleaned_Data!C:C)</f>
        <v>Mumbai</v>
      </c>
      <c r="D524" s="9" t="str">
        <f ca="1">_xlfn.XLOOKUP(A524,Cleaned_Data!A:A,Cleaned_Data!L:L)</f>
        <v>Muscle Gain</v>
      </c>
    </row>
    <row r="525" spans="1:4">
      <c r="A525" s="9" t="str">
        <v>MEM0524</v>
      </c>
      <c r="B525" s="9" t="str">
        <f ca="1">_xlfn.XLOOKUP(A525,Cleaned_Data!A:A,Cleaned_Data!B:B)</f>
        <v>Riya Bhat</v>
      </c>
      <c r="C525" s="9" t="str">
        <f ca="1">_xlfn.XLOOKUP(A525,Cleaned_Data!A:A,Cleaned_Data!C:C)</f>
        <v>Chennai</v>
      </c>
      <c r="D525" s="9" t="str">
        <f ca="1">_xlfn.XLOOKUP(A525,Cleaned_Data!A:A,Cleaned_Data!L:L)</f>
        <v>Weight Loss</v>
      </c>
    </row>
    <row r="526" spans="1:4">
      <c r="A526" s="9" t="str">
        <v>MEM0525</v>
      </c>
      <c r="B526" s="9" t="str">
        <f ca="1">_xlfn.XLOOKUP(A526,Cleaned_Data!A:A,Cleaned_Data!B:B)</f>
        <v>Rohit Fernandes</v>
      </c>
      <c r="C526" s="9" t="str">
        <f ca="1">_xlfn.XLOOKUP(A526,Cleaned_Data!A:A,Cleaned_Data!C:C)</f>
        <v>Calicut</v>
      </c>
      <c r="D526" s="9" t="str">
        <f ca="1">_xlfn.XLOOKUP(A526,Cleaned_Data!A:A,Cleaned_Data!L:L)</f>
        <v>Weight Loss</v>
      </c>
    </row>
    <row r="527" spans="1:4">
      <c r="A527" s="9" t="str">
        <v>MEM0526</v>
      </c>
      <c r="B527" s="9" t="str">
        <f ca="1">_xlfn.XLOOKUP(A527,Cleaned_Data!A:A,Cleaned_Data!B:B)</f>
        <v>Meera Nambiar</v>
      </c>
      <c r="C527" s="9" t="str">
        <f ca="1">_xlfn.XLOOKUP(A527,Cleaned_Data!A:A,Cleaned_Data!C:C)</f>
        <v>Kochi</v>
      </c>
      <c r="D527" s="9" t="str">
        <f ca="1">_xlfn.XLOOKUP(A527,Cleaned_Data!A:A,Cleaned_Data!L:L)</f>
        <v>Muscle Gain</v>
      </c>
    </row>
    <row r="528" spans="1:4">
      <c r="A528" s="9" t="str">
        <v>MEM0527</v>
      </c>
      <c r="B528" s="9" t="str">
        <f ca="1">_xlfn.XLOOKUP(A528,Cleaned_Data!A:A,Cleaned_Data!B:B)</f>
        <v>Sneha Malhotra</v>
      </c>
      <c r="C528" s="9" t="str">
        <f ca="1">_xlfn.XLOOKUP(A528,Cleaned_Data!A:A,Cleaned_Data!C:C)</f>
        <v>Mumbai</v>
      </c>
      <c r="D528" s="9" t="str">
        <f ca="1">_xlfn.XLOOKUP(A528,Cleaned_Data!A:A,Cleaned_Data!L:L)</f>
        <v>Weight Loss</v>
      </c>
    </row>
    <row r="529" spans="1:4">
      <c r="A529" s="9" t="str">
        <v>MEM0528</v>
      </c>
      <c r="B529" s="9" t="str">
        <f ca="1">_xlfn.XLOOKUP(A529,Cleaned_Data!A:A,Cleaned_Data!B:B)</f>
        <v>Ankit Nambiar</v>
      </c>
      <c r="C529" s="9" t="str">
        <f ca="1">_xlfn.XLOOKUP(A529,Cleaned_Data!A:A,Cleaned_Data!C:C)</f>
        <v>Chennai</v>
      </c>
      <c r="D529" s="9" t="str">
        <f ca="1">_xlfn.XLOOKUP(A529,Cleaned_Data!A:A,Cleaned_Data!L:L)</f>
        <v>Muscle Gain</v>
      </c>
    </row>
    <row r="530" spans="1:4">
      <c r="A530" s="9" t="str">
        <v>MEM0529</v>
      </c>
      <c r="B530" s="9" t="str">
        <f ca="1">_xlfn.XLOOKUP(A530,Cleaned_Data!A:A,Cleaned_Data!B:B)</f>
        <v>Ishita Banerjee</v>
      </c>
      <c r="C530" s="9" t="str">
        <f ca="1">_xlfn.XLOOKUP(A530,Cleaned_Data!A:A,Cleaned_Data!C:C)</f>
        <v>Mumbai</v>
      </c>
      <c r="D530" s="9" t="str">
        <f ca="1">_xlfn.XLOOKUP(A530,Cleaned_Data!A:A,Cleaned_Data!L:L)</f>
        <v>Weight Loss</v>
      </c>
    </row>
    <row r="531" spans="1:4">
      <c r="A531" s="9" t="str">
        <v>MEM0530</v>
      </c>
      <c r="B531" s="9" t="str">
        <f ca="1">_xlfn.XLOOKUP(A531,Cleaned_Data!A:A,Cleaned_Data!B:B)</f>
        <v>Rahul Das</v>
      </c>
      <c r="C531" s="9" t="str">
        <f ca="1">_xlfn.XLOOKUP(A531,Cleaned_Data!A:A,Cleaned_Data!C:C)</f>
        <v>Chennai</v>
      </c>
      <c r="D531" s="9" t="str">
        <f ca="1">_xlfn.XLOOKUP(A531,Cleaned_Data!A:A,Cleaned_Data!L:L)</f>
        <v>Muscle Gain</v>
      </c>
    </row>
    <row r="532" spans="1:4">
      <c r="A532" s="9" t="str">
        <v>MEM0531</v>
      </c>
      <c r="B532" s="9" t="str">
        <f ca="1">_xlfn.XLOOKUP(A532,Cleaned_Data!A:A,Cleaned_Data!B:B)</f>
        <v>Priya Varghese</v>
      </c>
      <c r="C532" s="9" t="str">
        <f ca="1">_xlfn.XLOOKUP(A532,Cleaned_Data!A:A,Cleaned_Data!C:C)</f>
        <v>Kochi</v>
      </c>
      <c r="D532" s="9" t="str">
        <f ca="1">_xlfn.XLOOKUP(A532,Cleaned_Data!A:A,Cleaned_Data!L:L)</f>
        <v>General Fitness</v>
      </c>
    </row>
    <row r="533" spans="1:4">
      <c r="A533" s="9" t="str">
        <v>MEM0532</v>
      </c>
      <c r="B533" s="9" t="str">
        <f ca="1">_xlfn.XLOOKUP(A533,Cleaned_Data!A:A,Cleaned_Data!B:B)</f>
        <v>Vivek D’Souza</v>
      </c>
      <c r="C533" s="9" t="str">
        <f ca="1">_xlfn.XLOOKUP(A533,Cleaned_Data!A:A,Cleaned_Data!C:C)</f>
        <v>Kochi</v>
      </c>
      <c r="D533" s="9" t="str">
        <f ca="1">_xlfn.XLOOKUP(A533,Cleaned_Data!A:A,Cleaned_Data!L:L)</f>
        <v>Muscle Gain</v>
      </c>
    </row>
    <row r="534" spans="1:4">
      <c r="A534" s="9" t="str">
        <v>MEM0533</v>
      </c>
      <c r="B534" s="9" t="str">
        <f ca="1">_xlfn.XLOOKUP(A534,Cleaned_Data!A:A,Cleaned_Data!B:B)</f>
        <v>Varun Reddy</v>
      </c>
      <c r="C534" s="9" t="str">
        <f ca="1">_xlfn.XLOOKUP(A534,Cleaned_Data!A:A,Cleaned_Data!C:C)</f>
        <v>Trivandrum</v>
      </c>
      <c r="D534" s="9" t="str">
        <f ca="1">_xlfn.XLOOKUP(A534,Cleaned_Data!A:A,Cleaned_Data!L:L)</f>
        <v>Muscle Gain</v>
      </c>
    </row>
    <row r="535" spans="1:4">
      <c r="A535" s="9" t="str">
        <v>MEM0534</v>
      </c>
      <c r="B535" s="9" t="str">
        <f ca="1">_xlfn.XLOOKUP(A535,Cleaned_Data!A:A,Cleaned_Data!B:B)</f>
        <v>Kavya Gupta</v>
      </c>
      <c r="C535" s="9" t="str">
        <f ca="1">_xlfn.XLOOKUP(A535,Cleaned_Data!A:A,Cleaned_Data!C:C)</f>
        <v>Calicut</v>
      </c>
      <c r="D535" s="9" t="str">
        <f ca="1">_xlfn.XLOOKUP(A535,Cleaned_Data!A:A,Cleaned_Data!L:L)</f>
        <v>Muscle Gain</v>
      </c>
    </row>
    <row r="536" spans="1:4">
      <c r="A536" s="9" t="str">
        <v>MEM0535</v>
      </c>
      <c r="B536" s="9" t="str">
        <f ca="1">_xlfn.XLOOKUP(A536,Cleaned_Data!A:A,Cleaned_Data!B:B)</f>
        <v>Ayesha Joshi</v>
      </c>
      <c r="C536" s="9" t="str">
        <f ca="1">_xlfn.XLOOKUP(A536,Cleaned_Data!A:A,Cleaned_Data!C:C)</f>
        <v>Trivandrum</v>
      </c>
      <c r="D536" s="9" t="str">
        <f ca="1">_xlfn.XLOOKUP(A536,Cleaned_Data!A:A,Cleaned_Data!L:L)</f>
        <v>Muscle Gain</v>
      </c>
    </row>
    <row r="537" spans="1:4">
      <c r="A537" s="9" t="str">
        <v>MEM0536</v>
      </c>
      <c r="B537" s="9" t="str">
        <f ca="1">_xlfn.XLOOKUP(A537,Cleaned_Data!A:A,Cleaned_Data!B:B)</f>
        <v>Priya Reddy</v>
      </c>
      <c r="C537" s="9" t="str">
        <f ca="1">_xlfn.XLOOKUP(A537,Cleaned_Data!A:A,Cleaned_Data!C:C)</f>
        <v>Hyderabad</v>
      </c>
      <c r="D537" s="9" t="str">
        <f ca="1">_xlfn.XLOOKUP(A537,Cleaned_Data!A:A,Cleaned_Data!L:L)</f>
        <v>Weight Loss</v>
      </c>
    </row>
    <row r="538" spans="1:4">
      <c r="A538" s="9" t="str">
        <v>MEM0537</v>
      </c>
      <c r="B538" s="9" t="str">
        <f ca="1">_xlfn.XLOOKUP(A538,Cleaned_Data!A:A,Cleaned_Data!B:B)</f>
        <v>Divya Shaikh</v>
      </c>
      <c r="C538" s="9" t="str">
        <f ca="1">_xlfn.XLOOKUP(A538,Cleaned_Data!A:A,Cleaned_Data!C:C)</f>
        <v>Mumbai</v>
      </c>
      <c r="D538" s="9" t="str">
        <f ca="1">_xlfn.XLOOKUP(A538,Cleaned_Data!A:A,Cleaned_Data!L:L)</f>
        <v>Weight Loss</v>
      </c>
    </row>
    <row r="539" spans="1:4">
      <c r="A539" s="9" t="str">
        <v>MEM0538</v>
      </c>
      <c r="B539" s="9" t="str">
        <f ca="1">_xlfn.XLOOKUP(A539,Cleaned_Data!A:A,Cleaned_Data!B:B)</f>
        <v>Manoj Menon</v>
      </c>
      <c r="C539" s="9" t="str">
        <f ca="1">_xlfn.XLOOKUP(A539,Cleaned_Data!A:A,Cleaned_Data!C:C)</f>
        <v>Trivandrum</v>
      </c>
      <c r="D539" s="9" t="str">
        <f ca="1">_xlfn.XLOOKUP(A539,Cleaned_Data!A:A,Cleaned_Data!L:L)</f>
        <v>Weight Loss</v>
      </c>
    </row>
    <row r="540" spans="1:4">
      <c r="A540" s="9" t="str">
        <v>MEM0539</v>
      </c>
      <c r="B540" s="9" t="str">
        <f ca="1">_xlfn.XLOOKUP(A540,Cleaned_Data!A:A,Cleaned_Data!B:B)</f>
        <v>Karthik Varghese</v>
      </c>
      <c r="C540" s="9" t="str">
        <f ca="1">_xlfn.XLOOKUP(A540,Cleaned_Data!A:A,Cleaned_Data!C:C)</f>
        <v>Chennai</v>
      </c>
      <c r="D540" s="9" t="str">
        <f ca="1">_xlfn.XLOOKUP(A540,Cleaned_Data!A:A,Cleaned_Data!L:L)</f>
        <v>Weight Loss</v>
      </c>
    </row>
    <row r="541" spans="1:4">
      <c r="A541" s="9" t="str">
        <v>MEM0540</v>
      </c>
      <c r="B541" s="9" t="str">
        <f ca="1">_xlfn.XLOOKUP(A541,Cleaned_Data!A:A,Cleaned_Data!B:B)</f>
        <v>Nikhil Joshi</v>
      </c>
      <c r="C541" s="9" t="str">
        <f ca="1">_xlfn.XLOOKUP(A541,Cleaned_Data!A:A,Cleaned_Data!C:C)</f>
        <v>Calicut</v>
      </c>
      <c r="D541" s="9" t="str">
        <f ca="1">_xlfn.XLOOKUP(A541,Cleaned_Data!A:A,Cleaned_Data!L:L)</f>
        <v>General Fitness</v>
      </c>
    </row>
    <row r="542" spans="1:4">
      <c r="A542" s="9" t="str">
        <v>MEM0541</v>
      </c>
      <c r="B542" s="9" t="str">
        <f ca="1">_xlfn.XLOOKUP(A542,Cleaned_Data!A:A,Cleaned_Data!B:B)</f>
        <v>Varun Mathew</v>
      </c>
      <c r="C542" s="9" t="str">
        <f ca="1">_xlfn.XLOOKUP(A542,Cleaned_Data!A:A,Cleaned_Data!C:C)</f>
        <v>Mumbai</v>
      </c>
      <c r="D542" s="9" t="str">
        <f ca="1">_xlfn.XLOOKUP(A542,Cleaned_Data!A:A,Cleaned_Data!L:L)</f>
        <v>General Fitness</v>
      </c>
    </row>
    <row r="543" spans="1:4">
      <c r="A543" s="9" t="str">
        <v>MEM0542</v>
      </c>
      <c r="B543" s="9" t="str">
        <f ca="1">_xlfn.XLOOKUP(A543,Cleaned_Data!A:A,Cleaned_Data!B:B)</f>
        <v>Ankit Bhat</v>
      </c>
      <c r="C543" s="9" t="str">
        <f ca="1">_xlfn.XLOOKUP(A543,Cleaned_Data!A:A,Cleaned_Data!C:C)</f>
        <v>Hyderabad</v>
      </c>
      <c r="D543" s="9" t="str">
        <f ca="1">_xlfn.XLOOKUP(A543,Cleaned_Data!A:A,Cleaned_Data!L:L)</f>
        <v>Muscle Gain</v>
      </c>
    </row>
    <row r="544" spans="1:4">
      <c r="A544" s="9" t="str">
        <v>MEM0543</v>
      </c>
      <c r="B544" s="9" t="str">
        <f ca="1">_xlfn.XLOOKUP(A544,Cleaned_Data!A:A,Cleaned_Data!B:B)</f>
        <v>Swathi Joseph</v>
      </c>
      <c r="C544" s="9" t="str">
        <f ca="1">_xlfn.XLOOKUP(A544,Cleaned_Data!A:A,Cleaned_Data!C:C)</f>
        <v>Trivandrum</v>
      </c>
      <c r="D544" s="9" t="str">
        <f ca="1">_xlfn.XLOOKUP(A544,Cleaned_Data!A:A,Cleaned_Data!L:L)</f>
        <v>Muscle Gain</v>
      </c>
    </row>
    <row r="545" spans="1:4">
      <c r="A545" s="9" t="str">
        <v>MEM0544</v>
      </c>
      <c r="B545" s="9" t="str">
        <f ca="1">_xlfn.XLOOKUP(A545,Cleaned_Data!A:A,Cleaned_Data!B:B)</f>
        <v>Lakshmi Kapoor</v>
      </c>
      <c r="C545" s="9" t="str">
        <f ca="1">_xlfn.XLOOKUP(A545,Cleaned_Data!A:A,Cleaned_Data!C:C)</f>
        <v>Calicut</v>
      </c>
      <c r="D545" s="9" t="str">
        <f ca="1">_xlfn.XLOOKUP(A545,Cleaned_Data!A:A,Cleaned_Data!L:L)</f>
        <v>Muscle Gain</v>
      </c>
    </row>
    <row r="546" spans="1:4">
      <c r="A546" s="9" t="str">
        <v>MEM0545</v>
      </c>
      <c r="B546" s="9" t="str">
        <f ca="1">_xlfn.XLOOKUP(A546,Cleaned_Data!A:A,Cleaned_Data!B:B)</f>
        <v>Nikhil Naidu</v>
      </c>
      <c r="C546" s="9" t="str">
        <f ca="1">_xlfn.XLOOKUP(A546,Cleaned_Data!A:A,Cleaned_Data!C:C)</f>
        <v>Calicut</v>
      </c>
      <c r="D546" s="9" t="str">
        <f ca="1">_xlfn.XLOOKUP(A546,Cleaned_Data!A:A,Cleaned_Data!L:L)</f>
        <v>General Fitness</v>
      </c>
    </row>
    <row r="547" spans="1:4">
      <c r="A547" s="9" t="str">
        <v>MEM0546</v>
      </c>
      <c r="B547" s="9" t="str">
        <f ca="1">_xlfn.XLOOKUP(A547,Cleaned_Data!A:A,Cleaned_Data!B:B)</f>
        <v>Divya Desai</v>
      </c>
      <c r="C547" s="9" t="str">
        <f ca="1">_xlfn.XLOOKUP(A547,Cleaned_Data!A:A,Cleaned_Data!C:C)</f>
        <v>Chennai</v>
      </c>
      <c r="D547" s="9" t="str">
        <f ca="1">_xlfn.XLOOKUP(A547,Cleaned_Data!A:A,Cleaned_Data!L:L)</f>
        <v>General Fitness</v>
      </c>
    </row>
    <row r="548" spans="1:4">
      <c r="A548" s="9" t="str">
        <v>MEM0547</v>
      </c>
      <c r="B548" s="9" t="str">
        <f ca="1">_xlfn.XLOOKUP(A548,Cleaned_Data!A:A,Cleaned_Data!B:B)</f>
        <v>Anjali Shaikh</v>
      </c>
      <c r="C548" s="9" t="str">
        <f ca="1">_xlfn.XLOOKUP(A548,Cleaned_Data!A:A,Cleaned_Data!C:C)</f>
        <v>Kochi</v>
      </c>
      <c r="D548" s="9" t="str">
        <f ca="1">_xlfn.XLOOKUP(A548,Cleaned_Data!A:A,Cleaned_Data!L:L)</f>
        <v>General Fitness</v>
      </c>
    </row>
    <row r="549" spans="1:4">
      <c r="A549" s="9" t="str">
        <v>MEM0548</v>
      </c>
      <c r="B549" s="9" t="str">
        <f ca="1">_xlfn.XLOOKUP(A549,Cleaned_Data!A:A,Cleaned_Data!B:B)</f>
        <v>Kavya Patel</v>
      </c>
      <c r="C549" s="9" t="str">
        <f ca="1">_xlfn.XLOOKUP(A549,Cleaned_Data!A:A,Cleaned_Data!C:C)</f>
        <v>Mumbai</v>
      </c>
      <c r="D549" s="9" t="str">
        <f ca="1">_xlfn.XLOOKUP(A549,Cleaned_Data!A:A,Cleaned_Data!L:L)</f>
        <v>Weight Loss</v>
      </c>
    </row>
    <row r="550" spans="1:4">
      <c r="A550" s="9" t="str">
        <v>MEM0549</v>
      </c>
      <c r="B550" s="9" t="str">
        <f ca="1">_xlfn.XLOOKUP(A550,Cleaned_Data!A:A,Cleaned_Data!B:B)</f>
        <v>Lakshmi George</v>
      </c>
      <c r="C550" s="9" t="str">
        <f ca="1">_xlfn.XLOOKUP(A550,Cleaned_Data!A:A,Cleaned_Data!C:C)</f>
        <v>Mumbai</v>
      </c>
      <c r="D550" s="9" t="str">
        <f ca="1">_xlfn.XLOOKUP(A550,Cleaned_Data!A:A,Cleaned_Data!L:L)</f>
        <v>Weight Loss</v>
      </c>
    </row>
    <row r="551" spans="1:4">
      <c r="A551" s="9" t="str">
        <v>MEM0550</v>
      </c>
      <c r="B551" s="9" t="str">
        <f ca="1">_xlfn.XLOOKUP(A551,Cleaned_Data!A:A,Cleaned_Data!B:B)</f>
        <v>Akash Banerjee</v>
      </c>
      <c r="C551" s="9" t="str">
        <f ca="1">_xlfn.XLOOKUP(A551,Cleaned_Data!A:A,Cleaned_Data!C:C)</f>
        <v>Mumbai</v>
      </c>
      <c r="D551" s="9" t="str">
        <f ca="1">_xlfn.XLOOKUP(A551,Cleaned_Data!A:A,Cleaned_Data!L:L)</f>
        <v>Muscle Gain</v>
      </c>
    </row>
    <row r="552" spans="1:4">
      <c r="A552" s="9" t="str">
        <v>MEM0551</v>
      </c>
      <c r="B552" s="9" t="str">
        <f ca="1">_xlfn.XLOOKUP(A552,Cleaned_Data!A:A,Cleaned_Data!B:B)</f>
        <v>Riya Gupta</v>
      </c>
      <c r="C552" s="9" t="str">
        <f ca="1">_xlfn.XLOOKUP(A552,Cleaned_Data!A:A,Cleaned_Data!C:C)</f>
        <v>Mumbai</v>
      </c>
      <c r="D552" s="9" t="str">
        <f ca="1">_xlfn.XLOOKUP(A552,Cleaned_Data!A:A,Cleaned_Data!L:L)</f>
        <v>General Fitness</v>
      </c>
    </row>
    <row r="553" spans="1:4">
      <c r="A553" s="9" t="str">
        <v>MEM0552</v>
      </c>
      <c r="B553" s="9" t="str">
        <f ca="1">_xlfn.XLOOKUP(A553,Cleaned_Data!A:A,Cleaned_Data!B:B)</f>
        <v>Anjali Shaikh</v>
      </c>
      <c r="C553" s="9" t="str">
        <f ca="1">_xlfn.XLOOKUP(A553,Cleaned_Data!A:A,Cleaned_Data!C:C)</f>
        <v>Mumbai</v>
      </c>
      <c r="D553" s="9" t="str">
        <f ca="1">_xlfn.XLOOKUP(A553,Cleaned_Data!A:A,Cleaned_Data!L:L)</f>
        <v>Weight Loss</v>
      </c>
    </row>
    <row r="554" spans="1:4">
      <c r="A554" s="9" t="str">
        <v>MEM0553</v>
      </c>
      <c r="B554" s="9" t="str">
        <f ca="1">_xlfn.XLOOKUP(A554,Cleaned_Data!A:A,Cleaned_Data!B:B)</f>
        <v>Sanjay D’Souza</v>
      </c>
      <c r="C554" s="9" t="str">
        <f ca="1">_xlfn.XLOOKUP(A554,Cleaned_Data!A:A,Cleaned_Data!C:C)</f>
        <v>Bangalore</v>
      </c>
      <c r="D554" s="9" t="str">
        <f ca="1">_xlfn.XLOOKUP(A554,Cleaned_Data!A:A,Cleaned_Data!L:L)</f>
        <v>Weight Loss</v>
      </c>
    </row>
    <row r="555" spans="1:4">
      <c r="A555" s="9" t="str">
        <v>MEM0554</v>
      </c>
      <c r="B555" s="9" t="str">
        <f ca="1">_xlfn.XLOOKUP(A555,Cleaned_Data!A:A,Cleaned_Data!B:B)</f>
        <v>Aditya Kapoor</v>
      </c>
      <c r="C555" s="9" t="str">
        <f ca="1">_xlfn.XLOOKUP(A555,Cleaned_Data!A:A,Cleaned_Data!C:C)</f>
        <v>Hyderabad</v>
      </c>
      <c r="D555" s="9" t="str">
        <f ca="1">_xlfn.XLOOKUP(A555,Cleaned_Data!A:A,Cleaned_Data!L:L)</f>
        <v>Muscle Gain</v>
      </c>
    </row>
    <row r="556" spans="1:4">
      <c r="A556" s="9" t="str">
        <v>MEM0555</v>
      </c>
      <c r="B556" s="9" t="str">
        <f ca="1">_xlfn.XLOOKUP(A556,Cleaned_Data!A:A,Cleaned_Data!B:B)</f>
        <v>Ishita Verma</v>
      </c>
      <c r="C556" s="9" t="str">
        <f ca="1">_xlfn.XLOOKUP(A556,Cleaned_Data!A:A,Cleaned_Data!C:C)</f>
        <v>Mumbai</v>
      </c>
      <c r="D556" s="9" t="str">
        <f ca="1">_xlfn.XLOOKUP(A556,Cleaned_Data!A:A,Cleaned_Data!L:L)</f>
        <v>General Fitness</v>
      </c>
    </row>
    <row r="557" spans="1:4">
      <c r="A557" s="9" t="str">
        <v>MEM0556</v>
      </c>
      <c r="B557" s="9" t="str">
        <f ca="1">_xlfn.XLOOKUP(A557,Cleaned_Data!A:A,Cleaned_Data!B:B)</f>
        <v>Siddharth Shaikh</v>
      </c>
      <c r="C557" s="9" t="str">
        <f ca="1">_xlfn.XLOOKUP(A557,Cleaned_Data!A:A,Cleaned_Data!C:C)</f>
        <v>Calicut</v>
      </c>
      <c r="D557" s="9" t="str">
        <f ca="1">_xlfn.XLOOKUP(A557,Cleaned_Data!A:A,Cleaned_Data!L:L)</f>
        <v>General Fitness</v>
      </c>
    </row>
    <row r="558" spans="1:4">
      <c r="A558" s="9" t="str">
        <v>MEM0557</v>
      </c>
      <c r="B558" s="9" t="str">
        <f ca="1">_xlfn.XLOOKUP(A558,Cleaned_Data!A:A,Cleaned_Data!B:B)</f>
        <v>Meera Nambiar</v>
      </c>
      <c r="C558" s="9" t="str">
        <f ca="1">_xlfn.XLOOKUP(A558,Cleaned_Data!A:A,Cleaned_Data!C:C)</f>
        <v>Chennai</v>
      </c>
      <c r="D558" s="9" t="str">
        <f ca="1">_xlfn.XLOOKUP(A558,Cleaned_Data!A:A,Cleaned_Data!L:L)</f>
        <v>Muscle Gain</v>
      </c>
    </row>
    <row r="559" spans="1:4">
      <c r="A559" s="9" t="str">
        <v>MEM0558</v>
      </c>
      <c r="B559" s="9" t="str">
        <f ca="1">_xlfn.XLOOKUP(A559,Cleaned_Data!A:A,Cleaned_Data!B:B)</f>
        <v>Priya Chatterjee</v>
      </c>
      <c r="C559" s="9" t="str">
        <f ca="1">_xlfn.XLOOKUP(A559,Cleaned_Data!A:A,Cleaned_Data!C:C)</f>
        <v>Bangalore</v>
      </c>
      <c r="D559" s="9" t="str">
        <f ca="1">_xlfn.XLOOKUP(A559,Cleaned_Data!A:A,Cleaned_Data!L:L)</f>
        <v>General Fitness</v>
      </c>
    </row>
    <row r="560" spans="1:4">
      <c r="A560" s="9" t="str">
        <v>MEM0559</v>
      </c>
      <c r="B560" s="9" t="str">
        <f ca="1">_xlfn.XLOOKUP(A560,Cleaned_Data!A:A,Cleaned_Data!B:B)</f>
        <v>Harish Agarwal</v>
      </c>
      <c r="C560" s="9" t="str">
        <f ca="1">_xlfn.XLOOKUP(A560,Cleaned_Data!A:A,Cleaned_Data!C:C)</f>
        <v>Trivandrum</v>
      </c>
      <c r="D560" s="9" t="str">
        <f ca="1">_xlfn.XLOOKUP(A560,Cleaned_Data!A:A,Cleaned_Data!L:L)</f>
        <v>Weight Loss</v>
      </c>
    </row>
    <row r="561" spans="1:4">
      <c r="A561" s="9" t="str">
        <v>MEM0560</v>
      </c>
      <c r="B561" s="9" t="str">
        <f ca="1">_xlfn.XLOOKUP(A561,Cleaned_Data!A:A,Cleaned_Data!B:B)</f>
        <v>Rahul D’Souza</v>
      </c>
      <c r="C561" s="9" t="str">
        <f ca="1">_xlfn.XLOOKUP(A561,Cleaned_Data!A:A,Cleaned_Data!C:C)</f>
        <v>Hyderabad</v>
      </c>
      <c r="D561" s="9" t="str">
        <f ca="1">_xlfn.XLOOKUP(A561,Cleaned_Data!A:A,Cleaned_Data!L:L)</f>
        <v>Weight Loss</v>
      </c>
    </row>
    <row r="562" spans="1:4">
      <c r="A562" s="9" t="str">
        <v>MEM0561</v>
      </c>
      <c r="B562" s="9" t="str">
        <f ca="1">_xlfn.XLOOKUP(A562,Cleaned_Data!A:A,Cleaned_Data!B:B)</f>
        <v>Sanjay Yadav</v>
      </c>
      <c r="C562" s="9" t="str">
        <f ca="1">_xlfn.XLOOKUP(A562,Cleaned_Data!A:A,Cleaned_Data!C:C)</f>
        <v>Mumbai</v>
      </c>
      <c r="D562" s="9" t="str">
        <f ca="1">_xlfn.XLOOKUP(A562,Cleaned_Data!A:A,Cleaned_Data!L:L)</f>
        <v>General Fitness</v>
      </c>
    </row>
    <row r="563" spans="1:4">
      <c r="A563" s="9" t="str">
        <v>MEM0562</v>
      </c>
      <c r="B563" s="9" t="str">
        <f ca="1">_xlfn.XLOOKUP(A563,Cleaned_Data!A:A,Cleaned_Data!B:B)</f>
        <v>Nikhil Nair</v>
      </c>
      <c r="C563" s="9" t="str">
        <f ca="1">_xlfn.XLOOKUP(A563,Cleaned_Data!A:A,Cleaned_Data!C:C)</f>
        <v>Hyderabad</v>
      </c>
      <c r="D563" s="9" t="str">
        <f ca="1">_xlfn.XLOOKUP(A563,Cleaned_Data!A:A,Cleaned_Data!L:L)</f>
        <v>General Fitness</v>
      </c>
    </row>
    <row r="564" spans="1:4">
      <c r="A564" s="9" t="str">
        <v>MEM0563</v>
      </c>
      <c r="B564" s="9" t="str">
        <f ca="1">_xlfn.XLOOKUP(A564,Cleaned_Data!A:A,Cleaned_Data!B:B)</f>
        <v>Deepak Joseph</v>
      </c>
      <c r="C564" s="9" t="str">
        <f ca="1">_xlfn.XLOOKUP(A564,Cleaned_Data!A:A,Cleaned_Data!C:C)</f>
        <v>Calicut</v>
      </c>
      <c r="D564" s="9" t="str">
        <f ca="1">_xlfn.XLOOKUP(A564,Cleaned_Data!A:A,Cleaned_Data!L:L)</f>
        <v>General Fitness</v>
      </c>
    </row>
    <row r="565" spans="1:4">
      <c r="A565" s="9" t="str">
        <v>MEM0564</v>
      </c>
      <c r="B565" s="9" t="str">
        <f ca="1">_xlfn.XLOOKUP(A565,Cleaned_Data!A:A,Cleaned_Data!B:B)</f>
        <v>Meera Shaikh</v>
      </c>
      <c r="C565" s="9" t="str">
        <f ca="1">_xlfn.XLOOKUP(A565,Cleaned_Data!A:A,Cleaned_Data!C:C)</f>
        <v>Kochi</v>
      </c>
      <c r="D565" s="9" t="str">
        <f ca="1">_xlfn.XLOOKUP(A565,Cleaned_Data!A:A,Cleaned_Data!L:L)</f>
        <v>Weight Loss</v>
      </c>
    </row>
    <row r="566" spans="1:4">
      <c r="A566" s="9" t="str">
        <v>MEM0565</v>
      </c>
      <c r="B566" s="9" t="str">
        <f ca="1">_xlfn.XLOOKUP(A566,Cleaned_Data!A:A,Cleaned_Data!B:B)</f>
        <v>Shreya Verma</v>
      </c>
      <c r="C566" s="9" t="str">
        <f ca="1">_xlfn.XLOOKUP(A566,Cleaned_Data!A:A,Cleaned_Data!C:C)</f>
        <v>Trivandrum</v>
      </c>
      <c r="D566" s="9" t="str">
        <f ca="1">_xlfn.XLOOKUP(A566,Cleaned_Data!A:A,Cleaned_Data!L:L)</f>
        <v>Weight Loss</v>
      </c>
    </row>
    <row r="567" spans="1:4">
      <c r="A567" s="9" t="str">
        <v>MEM0566</v>
      </c>
      <c r="B567" s="9" t="str">
        <f ca="1">_xlfn.XLOOKUP(A567,Cleaned_Data!A:A,Cleaned_Data!B:B)</f>
        <v>Siddharth Khan</v>
      </c>
      <c r="C567" s="9" t="str">
        <f ca="1">_xlfn.XLOOKUP(A567,Cleaned_Data!A:A,Cleaned_Data!C:C)</f>
        <v>Calicut</v>
      </c>
      <c r="D567" s="9" t="str">
        <f ca="1">_xlfn.XLOOKUP(A567,Cleaned_Data!A:A,Cleaned_Data!L:L)</f>
        <v>General Fitness</v>
      </c>
    </row>
    <row r="568" spans="1:4">
      <c r="A568" s="9" t="str">
        <v>MEM0567</v>
      </c>
      <c r="B568" s="9" t="str">
        <f ca="1">_xlfn.XLOOKUP(A568,Cleaned_Data!A:A,Cleaned_Data!B:B)</f>
        <v>Neha Kapoor</v>
      </c>
      <c r="C568" s="9" t="str">
        <f ca="1">_xlfn.XLOOKUP(A568,Cleaned_Data!A:A,Cleaned_Data!C:C)</f>
        <v>Kochi</v>
      </c>
      <c r="D568" s="9" t="str">
        <f ca="1">_xlfn.XLOOKUP(A568,Cleaned_Data!A:A,Cleaned_Data!L:L)</f>
        <v>General Fitness</v>
      </c>
    </row>
    <row r="569" spans="1:4">
      <c r="A569" s="9" t="str">
        <v>MEM0568</v>
      </c>
      <c r="B569" s="9" t="str">
        <f ca="1">_xlfn.XLOOKUP(A569,Cleaned_Data!A:A,Cleaned_Data!B:B)</f>
        <v>Fatima Lewis</v>
      </c>
      <c r="C569" s="9" t="str">
        <f ca="1">_xlfn.XLOOKUP(A569,Cleaned_Data!A:A,Cleaned_Data!C:C)</f>
        <v>Kochi</v>
      </c>
      <c r="D569" s="9" t="str">
        <f ca="1">_xlfn.XLOOKUP(A569,Cleaned_Data!A:A,Cleaned_Data!L:L)</f>
        <v>Weight Loss</v>
      </c>
    </row>
    <row r="570" spans="1:4">
      <c r="A570" s="9" t="str">
        <v>MEM0569</v>
      </c>
      <c r="B570" s="9" t="str">
        <f ca="1">_xlfn.XLOOKUP(A570,Cleaned_Data!A:A,Cleaned_Data!B:B)</f>
        <v>Riya Gupta</v>
      </c>
      <c r="C570" s="9" t="str">
        <f ca="1">_xlfn.XLOOKUP(A570,Cleaned_Data!A:A,Cleaned_Data!C:C)</f>
        <v>Trivandrum</v>
      </c>
      <c r="D570" s="9" t="str">
        <f ca="1">_xlfn.XLOOKUP(A570,Cleaned_Data!A:A,Cleaned_Data!L:L)</f>
        <v>General Fitness</v>
      </c>
    </row>
    <row r="571" spans="1:4">
      <c r="A571" s="9" t="str">
        <v>MEM0570</v>
      </c>
      <c r="B571" s="9" t="str">
        <f ca="1">_xlfn.XLOOKUP(A571,Cleaned_Data!A:A,Cleaned_Data!B:B)</f>
        <v>Karthik Menon</v>
      </c>
      <c r="C571" s="9" t="str">
        <f ca="1">_xlfn.XLOOKUP(A571,Cleaned_Data!A:A,Cleaned_Data!C:C)</f>
        <v>Bangalore</v>
      </c>
      <c r="D571" s="9" t="str">
        <f ca="1">_xlfn.XLOOKUP(A571,Cleaned_Data!A:A,Cleaned_Data!L:L)</f>
        <v>Muscle Gain</v>
      </c>
    </row>
    <row r="572" spans="1:4">
      <c r="A572" s="9" t="str">
        <v>MEM0571</v>
      </c>
      <c r="B572" s="9" t="str">
        <f ca="1">_xlfn.XLOOKUP(A572,Cleaned_Data!A:A,Cleaned_Data!B:B)</f>
        <v>Nisha Lewis</v>
      </c>
      <c r="C572" s="9" t="str">
        <f ca="1">_xlfn.XLOOKUP(A572,Cleaned_Data!A:A,Cleaned_Data!C:C)</f>
        <v>Calicut</v>
      </c>
      <c r="D572" s="9" t="str">
        <f ca="1">_xlfn.XLOOKUP(A572,Cleaned_Data!A:A,Cleaned_Data!L:L)</f>
        <v>Muscle Gain</v>
      </c>
    </row>
    <row r="573" spans="1:4">
      <c r="A573" s="9" t="str">
        <v>MEM0572</v>
      </c>
      <c r="B573" s="9" t="str">
        <f ca="1">_xlfn.XLOOKUP(A573,Cleaned_Data!A:A,Cleaned_Data!B:B)</f>
        <v>Pooja Sharma</v>
      </c>
      <c r="C573" s="9" t="str">
        <f ca="1">_xlfn.XLOOKUP(A573,Cleaned_Data!A:A,Cleaned_Data!C:C)</f>
        <v>Kochi</v>
      </c>
      <c r="D573" s="9" t="str">
        <f ca="1">_xlfn.XLOOKUP(A573,Cleaned_Data!A:A,Cleaned_Data!L:L)</f>
        <v>Muscle Gain</v>
      </c>
    </row>
    <row r="574" spans="1:4">
      <c r="A574" s="9" t="str">
        <v>MEM0573</v>
      </c>
      <c r="B574" s="9" t="str">
        <f ca="1">_xlfn.XLOOKUP(A574,Cleaned_Data!A:A,Cleaned_Data!B:B)</f>
        <v>Nikhil Joseph</v>
      </c>
      <c r="C574" s="9" t="str">
        <f ca="1">_xlfn.XLOOKUP(A574,Cleaned_Data!A:A,Cleaned_Data!C:C)</f>
        <v>Mumbai</v>
      </c>
      <c r="D574" s="9" t="str">
        <f ca="1">_xlfn.XLOOKUP(A574,Cleaned_Data!A:A,Cleaned_Data!L:L)</f>
        <v>General Fitness</v>
      </c>
    </row>
    <row r="575" spans="1:4">
      <c r="A575" s="9" t="str">
        <v>MEM0574</v>
      </c>
      <c r="B575" s="9" t="str">
        <f ca="1">_xlfn.XLOOKUP(A575,Cleaned_Data!A:A,Cleaned_Data!B:B)</f>
        <v>Ayesha Varghese</v>
      </c>
      <c r="C575" s="9" t="str">
        <f ca="1">_xlfn.XLOOKUP(A575,Cleaned_Data!A:A,Cleaned_Data!C:C)</f>
        <v>Bangalore</v>
      </c>
      <c r="D575" s="9" t="str">
        <f ca="1">_xlfn.XLOOKUP(A575,Cleaned_Data!A:A,Cleaned_Data!L:L)</f>
        <v>General Fitness</v>
      </c>
    </row>
    <row r="576" spans="1:4">
      <c r="A576" s="9" t="str">
        <v>MEM0575</v>
      </c>
      <c r="B576" s="9" t="str">
        <f ca="1">_xlfn.XLOOKUP(A576,Cleaned_Data!A:A,Cleaned_Data!B:B)</f>
        <v>Manoj Iyer</v>
      </c>
      <c r="C576" s="9" t="str">
        <f ca="1">_xlfn.XLOOKUP(A576,Cleaned_Data!A:A,Cleaned_Data!C:C)</f>
        <v>Trivandrum</v>
      </c>
      <c r="D576" s="9" t="str">
        <f ca="1">_xlfn.XLOOKUP(A576,Cleaned_Data!A:A,Cleaned_Data!L:L)</f>
        <v>Muscle Gain</v>
      </c>
    </row>
    <row r="577" spans="1:4">
      <c r="A577" s="9" t="str">
        <v>MEM0576</v>
      </c>
      <c r="B577" s="9" t="str">
        <f ca="1">_xlfn.XLOOKUP(A577,Cleaned_Data!A:A,Cleaned_Data!B:B)</f>
        <v>Ankit Lewis</v>
      </c>
      <c r="C577" s="9" t="str">
        <f ca="1">_xlfn.XLOOKUP(A577,Cleaned_Data!A:A,Cleaned_Data!C:C)</f>
        <v>Mumbai</v>
      </c>
      <c r="D577" s="9" t="str">
        <f ca="1">_xlfn.XLOOKUP(A577,Cleaned_Data!A:A,Cleaned_Data!L:L)</f>
        <v>Muscle Gain</v>
      </c>
    </row>
    <row r="578" spans="1:4">
      <c r="A578" s="9" t="str">
        <v>MEM0577</v>
      </c>
      <c r="B578" s="9" t="str">
        <f ca="1">_xlfn.XLOOKUP(A578,Cleaned_Data!A:A,Cleaned_Data!B:B)</f>
        <v>Swathi Mathew</v>
      </c>
      <c r="C578" s="9" t="str">
        <f ca="1">_xlfn.XLOOKUP(A578,Cleaned_Data!A:A,Cleaned_Data!C:C)</f>
        <v>Kochi</v>
      </c>
      <c r="D578" s="9" t="str">
        <f ca="1">_xlfn.XLOOKUP(A578,Cleaned_Data!A:A,Cleaned_Data!L:L)</f>
        <v>General Fitness</v>
      </c>
    </row>
    <row r="579" spans="1:4">
      <c r="A579" s="9" t="str">
        <v>MEM0578</v>
      </c>
      <c r="B579" s="9" t="str">
        <f ca="1">_xlfn.XLOOKUP(A579,Cleaned_Data!A:A,Cleaned_Data!B:B)</f>
        <v>Rohit Malhotra</v>
      </c>
      <c r="C579" s="9" t="str">
        <f ca="1">_xlfn.XLOOKUP(A579,Cleaned_Data!A:A,Cleaned_Data!C:C)</f>
        <v>Hyderabad</v>
      </c>
      <c r="D579" s="9" t="str">
        <f ca="1">_xlfn.XLOOKUP(A579,Cleaned_Data!A:A,Cleaned_Data!L:L)</f>
        <v>Weight Loss</v>
      </c>
    </row>
    <row r="580" spans="1:4">
      <c r="A580" s="9" t="str">
        <v>MEM0579</v>
      </c>
      <c r="B580" s="9" t="str">
        <f ca="1">_xlfn.XLOOKUP(A580,Cleaned_Data!A:A,Cleaned_Data!B:B)</f>
        <v>Lakshmi Lewis</v>
      </c>
      <c r="C580" s="9" t="str">
        <f ca="1">_xlfn.XLOOKUP(A580,Cleaned_Data!A:A,Cleaned_Data!C:C)</f>
        <v>Mumbai</v>
      </c>
      <c r="D580" s="9" t="str">
        <f ca="1">_xlfn.XLOOKUP(A580,Cleaned_Data!A:A,Cleaned_Data!L:L)</f>
        <v>Weight Loss</v>
      </c>
    </row>
    <row r="581" spans="1:4">
      <c r="A581" s="9" t="str">
        <v>MEM0580</v>
      </c>
      <c r="B581" s="9" t="str">
        <f ca="1">_xlfn.XLOOKUP(A581,Cleaned_Data!A:A,Cleaned_Data!B:B)</f>
        <v>Aditya Shetty</v>
      </c>
      <c r="C581" s="9" t="str">
        <f ca="1">_xlfn.XLOOKUP(A581,Cleaned_Data!A:A,Cleaned_Data!C:C)</f>
        <v>Chennai</v>
      </c>
      <c r="D581" s="9" t="str">
        <f ca="1">_xlfn.XLOOKUP(A581,Cleaned_Data!A:A,Cleaned_Data!L:L)</f>
        <v>General Fitness</v>
      </c>
    </row>
    <row r="582" spans="1:4">
      <c r="A582" s="9" t="str">
        <v>MEM0581</v>
      </c>
      <c r="B582" s="9" t="str">
        <f ca="1">_xlfn.XLOOKUP(A582,Cleaned_Data!A:A,Cleaned_Data!B:B)</f>
        <v>Arjun Reddy</v>
      </c>
      <c r="C582" s="9" t="str">
        <f ca="1">_xlfn.XLOOKUP(A582,Cleaned_Data!A:A,Cleaned_Data!C:C)</f>
        <v>Chennai</v>
      </c>
      <c r="D582" s="9" t="str">
        <f ca="1">_xlfn.XLOOKUP(A582,Cleaned_Data!A:A,Cleaned_Data!L:L)</f>
        <v>General Fitness</v>
      </c>
    </row>
    <row r="583" spans="1:4">
      <c r="A583" s="9" t="str">
        <v>MEM0582</v>
      </c>
      <c r="B583" s="9" t="str">
        <f ca="1">_xlfn.XLOOKUP(A583,Cleaned_Data!A:A,Cleaned_Data!B:B)</f>
        <v>Swathi Banerjee</v>
      </c>
      <c r="C583" s="9" t="str">
        <f ca="1">_xlfn.XLOOKUP(A583,Cleaned_Data!A:A,Cleaned_Data!C:C)</f>
        <v>Trivandrum</v>
      </c>
      <c r="D583" s="9" t="str">
        <f ca="1">_xlfn.XLOOKUP(A583,Cleaned_Data!A:A,Cleaned_Data!L:L)</f>
        <v>General Fitness</v>
      </c>
    </row>
    <row r="584" spans="1:4">
      <c r="A584" s="9" t="str">
        <v>MEM0583</v>
      </c>
      <c r="B584" s="9" t="str">
        <f ca="1">_xlfn.XLOOKUP(A584,Cleaned_Data!A:A,Cleaned_Data!B:B)</f>
        <v>Manoj Iyer</v>
      </c>
      <c r="C584" s="9" t="str">
        <f ca="1">_xlfn.XLOOKUP(A584,Cleaned_Data!A:A,Cleaned_Data!C:C)</f>
        <v>Bangalore</v>
      </c>
      <c r="D584" s="9" t="str">
        <f ca="1">_xlfn.XLOOKUP(A584,Cleaned_Data!A:A,Cleaned_Data!L:L)</f>
        <v>Muscle Gain</v>
      </c>
    </row>
    <row r="585" spans="1:4">
      <c r="A585" s="9" t="str">
        <v>MEM0584</v>
      </c>
      <c r="B585" s="9" t="str">
        <f ca="1">_xlfn.XLOOKUP(A585,Cleaned_Data!A:A,Cleaned_Data!B:B)</f>
        <v>Swathi Agarwal</v>
      </c>
      <c r="C585" s="9" t="str">
        <f ca="1">_xlfn.XLOOKUP(A585,Cleaned_Data!A:A,Cleaned_Data!C:C)</f>
        <v>Trivandrum</v>
      </c>
      <c r="D585" s="9" t="str">
        <f ca="1">_xlfn.XLOOKUP(A585,Cleaned_Data!A:A,Cleaned_Data!L:L)</f>
        <v>Muscle Gain</v>
      </c>
    </row>
    <row r="586" spans="1:4">
      <c r="A586" s="9" t="str">
        <v>MEM0585</v>
      </c>
      <c r="B586" s="9" t="str">
        <f ca="1">_xlfn.XLOOKUP(A586,Cleaned_Data!A:A,Cleaned_Data!B:B)</f>
        <v>Riya Varghese</v>
      </c>
      <c r="C586" s="9" t="str">
        <f ca="1">_xlfn.XLOOKUP(A586,Cleaned_Data!A:A,Cleaned_Data!C:C)</f>
        <v>Kochi</v>
      </c>
      <c r="D586" s="9" t="str">
        <f ca="1">_xlfn.XLOOKUP(A586,Cleaned_Data!A:A,Cleaned_Data!L:L)</f>
        <v>Weight Loss</v>
      </c>
    </row>
    <row r="587" spans="1:4">
      <c r="A587" s="9" t="str">
        <v>MEM0586</v>
      </c>
      <c r="B587" s="9" t="str">
        <f ca="1">_xlfn.XLOOKUP(A587,Cleaned_Data!A:A,Cleaned_Data!B:B)</f>
        <v>Priya Malhotra</v>
      </c>
      <c r="C587" s="9" t="str">
        <f ca="1">_xlfn.XLOOKUP(A587,Cleaned_Data!A:A,Cleaned_Data!C:C)</f>
        <v>Calicut</v>
      </c>
      <c r="D587" s="9" t="str">
        <f ca="1">_xlfn.XLOOKUP(A587,Cleaned_Data!A:A,Cleaned_Data!L:L)</f>
        <v>Muscle Gain</v>
      </c>
    </row>
    <row r="588" spans="1:4">
      <c r="A588" s="9" t="str">
        <v>MEM0587</v>
      </c>
      <c r="B588" s="9" t="str">
        <f ca="1">_xlfn.XLOOKUP(A588,Cleaned_Data!A:A,Cleaned_Data!B:B)</f>
        <v>Pooja Nair</v>
      </c>
      <c r="C588" s="9" t="str">
        <f ca="1">_xlfn.XLOOKUP(A588,Cleaned_Data!A:A,Cleaned_Data!C:C)</f>
        <v>Trivandrum</v>
      </c>
      <c r="D588" s="9" t="str">
        <f ca="1">_xlfn.XLOOKUP(A588,Cleaned_Data!A:A,Cleaned_Data!L:L)</f>
        <v>General Fitness</v>
      </c>
    </row>
    <row r="589" spans="1:4">
      <c r="A589" s="9" t="str">
        <v>MEM0588</v>
      </c>
      <c r="B589" s="9" t="str">
        <f ca="1">_xlfn.XLOOKUP(A589,Cleaned_Data!A:A,Cleaned_Data!B:B)</f>
        <v>Shreya Nair</v>
      </c>
      <c r="C589" s="9" t="str">
        <f ca="1">_xlfn.XLOOKUP(A589,Cleaned_Data!A:A,Cleaned_Data!C:C)</f>
        <v>Hyderabad</v>
      </c>
      <c r="D589" s="9" t="str">
        <f ca="1">_xlfn.XLOOKUP(A589,Cleaned_Data!A:A,Cleaned_Data!L:L)</f>
        <v>General Fitness</v>
      </c>
    </row>
    <row r="590" spans="1:4">
      <c r="A590" s="9" t="str">
        <v>MEM0589</v>
      </c>
      <c r="B590" s="9" t="str">
        <f ca="1">_xlfn.XLOOKUP(A590,Cleaned_Data!A:A,Cleaned_Data!B:B)</f>
        <v>Akash Varghese</v>
      </c>
      <c r="C590" s="9" t="str">
        <f ca="1">_xlfn.XLOOKUP(A590,Cleaned_Data!A:A,Cleaned_Data!C:C)</f>
        <v>Mumbai</v>
      </c>
      <c r="D590" s="9" t="str">
        <f ca="1">_xlfn.XLOOKUP(A590,Cleaned_Data!A:A,Cleaned_Data!L:L)</f>
        <v>General Fitness</v>
      </c>
    </row>
    <row r="591" spans="1:4">
      <c r="A591" s="9" t="str">
        <v>MEM0590</v>
      </c>
      <c r="B591" s="9" t="str">
        <f ca="1">_xlfn.XLOOKUP(A591,Cleaned_Data!A:A,Cleaned_Data!B:B)</f>
        <v>Ishita Banerjee</v>
      </c>
      <c r="C591" s="9" t="str">
        <f ca="1">_xlfn.XLOOKUP(A591,Cleaned_Data!A:A,Cleaned_Data!C:C)</f>
        <v>Chennai</v>
      </c>
      <c r="D591" s="9" t="str">
        <f ca="1">_xlfn.XLOOKUP(A591,Cleaned_Data!A:A,Cleaned_Data!L:L)</f>
        <v>General Fitness</v>
      </c>
    </row>
    <row r="592" spans="1:4">
      <c r="A592" s="9" t="str">
        <v>MEM0591</v>
      </c>
      <c r="B592" s="9" t="str">
        <f ca="1">_xlfn.XLOOKUP(A592,Cleaned_Data!A:A,Cleaned_Data!B:B)</f>
        <v>Nisha Naidu</v>
      </c>
      <c r="C592" s="9" t="str">
        <f ca="1">_xlfn.XLOOKUP(A592,Cleaned_Data!A:A,Cleaned_Data!C:C)</f>
        <v>Chennai</v>
      </c>
      <c r="D592" s="9" t="str">
        <f ca="1">_xlfn.XLOOKUP(A592,Cleaned_Data!A:A,Cleaned_Data!L:L)</f>
        <v>General Fitness</v>
      </c>
    </row>
    <row r="593" spans="1:4">
      <c r="A593" s="9" t="str">
        <v>MEM0592</v>
      </c>
      <c r="B593" s="9" t="str">
        <f ca="1">_xlfn.XLOOKUP(A593,Cleaned_Data!A:A,Cleaned_Data!B:B)</f>
        <v>Nikhil Verma</v>
      </c>
      <c r="C593" s="9" t="str">
        <f ca="1">_xlfn.XLOOKUP(A593,Cleaned_Data!A:A,Cleaned_Data!C:C)</f>
        <v>Trivandrum</v>
      </c>
      <c r="D593" s="9" t="str">
        <f ca="1">_xlfn.XLOOKUP(A593,Cleaned_Data!A:A,Cleaned_Data!L:L)</f>
        <v>Muscle Gain</v>
      </c>
    </row>
    <row r="594" spans="1:4">
      <c r="A594" s="9" t="str">
        <v>MEM0593</v>
      </c>
      <c r="B594" s="9" t="str">
        <f ca="1">_xlfn.XLOOKUP(A594,Cleaned_Data!A:A,Cleaned_Data!B:B)</f>
        <v>Nisha Shetty</v>
      </c>
      <c r="C594" s="9" t="str">
        <f ca="1">_xlfn.XLOOKUP(A594,Cleaned_Data!A:A,Cleaned_Data!C:C)</f>
        <v>Chennai</v>
      </c>
      <c r="D594" s="9" t="str">
        <f ca="1">_xlfn.XLOOKUP(A594,Cleaned_Data!A:A,Cleaned_Data!L:L)</f>
        <v>Muscle Gain</v>
      </c>
    </row>
    <row r="595" spans="1:4">
      <c r="A595" s="9" t="str">
        <v>MEM0594</v>
      </c>
      <c r="B595" s="9" t="str">
        <f ca="1">_xlfn.XLOOKUP(A595,Cleaned_Data!A:A,Cleaned_Data!B:B)</f>
        <v>Rahul Naidu</v>
      </c>
      <c r="C595" s="9" t="str">
        <f ca="1">_xlfn.XLOOKUP(A595,Cleaned_Data!A:A,Cleaned_Data!C:C)</f>
        <v>Kochi</v>
      </c>
      <c r="D595" s="9" t="str">
        <f ca="1">_xlfn.XLOOKUP(A595,Cleaned_Data!A:A,Cleaned_Data!L:L)</f>
        <v>Weight Loss</v>
      </c>
    </row>
    <row r="596" spans="1:4">
      <c r="A596" s="9" t="str">
        <v>MEM0595</v>
      </c>
      <c r="B596" s="9" t="str">
        <f ca="1">_xlfn.XLOOKUP(A596,Cleaned_Data!A:A,Cleaned_Data!B:B)</f>
        <v>Rohit Banerjee</v>
      </c>
      <c r="C596" s="9" t="str">
        <f ca="1">_xlfn.XLOOKUP(A596,Cleaned_Data!A:A,Cleaned_Data!C:C)</f>
        <v>Chennai</v>
      </c>
      <c r="D596" s="9" t="str">
        <f ca="1">_xlfn.XLOOKUP(A596,Cleaned_Data!A:A,Cleaned_Data!L:L)</f>
        <v>Muscle Gain</v>
      </c>
    </row>
    <row r="597" spans="1:4">
      <c r="A597" s="9" t="str">
        <v>MEM0596</v>
      </c>
      <c r="B597" s="9" t="str">
        <f ca="1">_xlfn.XLOOKUP(A597,Cleaned_Data!A:A,Cleaned_Data!B:B)</f>
        <v>Sanjay Nair</v>
      </c>
      <c r="C597" s="9" t="str">
        <f ca="1">_xlfn.XLOOKUP(A597,Cleaned_Data!A:A,Cleaned_Data!C:C)</f>
        <v>Mumbai</v>
      </c>
      <c r="D597" s="9" t="str">
        <f ca="1">_xlfn.XLOOKUP(A597,Cleaned_Data!A:A,Cleaned_Data!L:L)</f>
        <v>Muscle Gain</v>
      </c>
    </row>
    <row r="598" spans="1:4">
      <c r="A598" s="9" t="str">
        <v>MEM0597</v>
      </c>
      <c r="B598" s="9" t="str">
        <f ca="1">_xlfn.XLOOKUP(A598,Cleaned_Data!A:A,Cleaned_Data!B:B)</f>
        <v>Manoj Kapoor</v>
      </c>
      <c r="C598" s="9" t="str">
        <f ca="1">_xlfn.XLOOKUP(A598,Cleaned_Data!A:A,Cleaned_Data!C:C)</f>
        <v>Calicut</v>
      </c>
      <c r="D598" s="9" t="str">
        <f ca="1">_xlfn.XLOOKUP(A598,Cleaned_Data!A:A,Cleaned_Data!L:L)</f>
        <v>Muscle Gain</v>
      </c>
    </row>
    <row r="599" spans="1:4">
      <c r="A599" s="9" t="str">
        <v>MEM0598</v>
      </c>
      <c r="B599" s="9" t="str">
        <f ca="1">_xlfn.XLOOKUP(A599,Cleaned_Data!A:A,Cleaned_Data!B:B)</f>
        <v>Lakshmi Iyer</v>
      </c>
      <c r="C599" s="9" t="str">
        <f ca="1">_xlfn.XLOOKUP(A599,Cleaned_Data!A:A,Cleaned_Data!C:C)</f>
        <v>Kochi</v>
      </c>
      <c r="D599" s="9" t="str">
        <f ca="1">_xlfn.XLOOKUP(A599,Cleaned_Data!A:A,Cleaned_Data!L:L)</f>
        <v>Weight Loss</v>
      </c>
    </row>
    <row r="600" spans="1:4">
      <c r="A600" s="9" t="str">
        <v>MEM0599</v>
      </c>
      <c r="B600" s="9" t="str">
        <f ca="1">_xlfn.XLOOKUP(A600,Cleaned_Data!A:A,Cleaned_Data!B:B)</f>
        <v>Zara Khan</v>
      </c>
      <c r="C600" s="9" t="str">
        <f ca="1">_xlfn.XLOOKUP(A600,Cleaned_Data!A:A,Cleaned_Data!C:C)</f>
        <v>Bangalore</v>
      </c>
      <c r="D600" s="9" t="str">
        <f ca="1">_xlfn.XLOOKUP(A600,Cleaned_Data!A:A,Cleaned_Data!L:L)</f>
        <v>Muscle Gain</v>
      </c>
    </row>
    <row r="601" spans="1:4">
      <c r="A601" s="9" t="str">
        <v>MEM0600</v>
      </c>
      <c r="B601" s="9" t="str">
        <f ca="1">_xlfn.XLOOKUP(A601,Cleaned_Data!A:A,Cleaned_Data!B:B)</f>
        <v>Meera Verma</v>
      </c>
      <c r="C601" s="9" t="str">
        <f ca="1">_xlfn.XLOOKUP(A601,Cleaned_Data!A:A,Cleaned_Data!C:C)</f>
        <v>Chennai</v>
      </c>
      <c r="D601" s="9" t="str">
        <f ca="1">_xlfn.XLOOKUP(A601,Cleaned_Data!A:A,Cleaned_Data!L:L)</f>
        <v>Weight Loss</v>
      </c>
    </row>
    <row r="602" spans="1:4">
      <c r="A602" s="9" t="str">
        <v>MEM0601</v>
      </c>
      <c r="B602" s="9" t="str">
        <f ca="1">_xlfn.XLOOKUP(A602,Cleaned_Data!A:A,Cleaned_Data!B:B)</f>
        <v>Pooja Kulkarni</v>
      </c>
      <c r="C602" s="9" t="str">
        <f ca="1">_xlfn.XLOOKUP(A602,Cleaned_Data!A:A,Cleaned_Data!C:C)</f>
        <v>Mumbai</v>
      </c>
      <c r="D602" s="9" t="str">
        <f ca="1">_xlfn.XLOOKUP(A602,Cleaned_Data!A:A,Cleaned_Data!L:L)</f>
        <v>Muscle Gain</v>
      </c>
    </row>
    <row r="603" spans="1:4">
      <c r="A603" s="9" t="str">
        <v>MEM0602</v>
      </c>
      <c r="B603" s="9" t="str">
        <f ca="1">_xlfn.XLOOKUP(A603,Cleaned_Data!A:A,Cleaned_Data!B:B)</f>
        <v>Akash Joshi</v>
      </c>
      <c r="C603" s="9" t="str">
        <f ca="1">_xlfn.XLOOKUP(A603,Cleaned_Data!A:A,Cleaned_Data!C:C)</f>
        <v>Kochi</v>
      </c>
      <c r="D603" s="9" t="str">
        <f ca="1">_xlfn.XLOOKUP(A603,Cleaned_Data!A:A,Cleaned_Data!L:L)</f>
        <v>General Fitness</v>
      </c>
    </row>
    <row r="604" spans="1:4">
      <c r="A604" s="9" t="str">
        <v>MEM0603</v>
      </c>
      <c r="B604" s="9" t="str">
        <f ca="1">_xlfn.XLOOKUP(A604,Cleaned_Data!A:A,Cleaned_Data!B:B)</f>
        <v>Sanjay Lewis</v>
      </c>
      <c r="C604" s="9" t="str">
        <f ca="1">_xlfn.XLOOKUP(A604,Cleaned_Data!A:A,Cleaned_Data!C:C)</f>
        <v>Hyderabad</v>
      </c>
      <c r="D604" s="9" t="str">
        <f ca="1">_xlfn.XLOOKUP(A604,Cleaned_Data!A:A,Cleaned_Data!L:L)</f>
        <v>Muscle Gain</v>
      </c>
    </row>
    <row r="605" spans="1:4">
      <c r="A605" s="9" t="str">
        <v>MEM0604</v>
      </c>
      <c r="B605" s="9" t="str">
        <f ca="1">_xlfn.XLOOKUP(A605,Cleaned_Data!A:A,Cleaned_Data!B:B)</f>
        <v>Lakshmi Pillai</v>
      </c>
      <c r="C605" s="9" t="str">
        <f ca="1">_xlfn.XLOOKUP(A605,Cleaned_Data!A:A,Cleaned_Data!C:C)</f>
        <v>Trivandrum</v>
      </c>
      <c r="D605" s="9" t="str">
        <f ca="1">_xlfn.XLOOKUP(A605,Cleaned_Data!A:A,Cleaned_Data!L:L)</f>
        <v>Weight Loss</v>
      </c>
    </row>
    <row r="606" spans="1:4">
      <c r="A606" s="9" t="str">
        <v>MEM0605</v>
      </c>
      <c r="B606" s="9" t="str">
        <f ca="1">_xlfn.XLOOKUP(A606,Cleaned_Data!A:A,Cleaned_Data!B:B)</f>
        <v>Lakshmi Fernandes</v>
      </c>
      <c r="C606" s="9" t="str">
        <f ca="1">_xlfn.XLOOKUP(A606,Cleaned_Data!A:A,Cleaned_Data!C:C)</f>
        <v>Hyderabad</v>
      </c>
      <c r="D606" s="9" t="str">
        <f ca="1">_xlfn.XLOOKUP(A606,Cleaned_Data!A:A,Cleaned_Data!L:L)</f>
        <v>Muscle Gain</v>
      </c>
    </row>
    <row r="607" spans="1:4">
      <c r="A607" s="9" t="str">
        <v>MEM0606</v>
      </c>
      <c r="B607" s="9" t="str">
        <f ca="1">_xlfn.XLOOKUP(A607,Cleaned_Data!A:A,Cleaned_Data!B:B)</f>
        <v>Ankit Fernandes</v>
      </c>
      <c r="C607" s="9" t="str">
        <f ca="1">_xlfn.XLOOKUP(A607,Cleaned_Data!A:A,Cleaned_Data!C:C)</f>
        <v>Calicut</v>
      </c>
      <c r="D607" s="9" t="str">
        <f ca="1">_xlfn.XLOOKUP(A607,Cleaned_Data!A:A,Cleaned_Data!L:L)</f>
        <v>General Fitness</v>
      </c>
    </row>
    <row r="608" spans="1:4">
      <c r="A608" s="9" t="str">
        <v>MEM0607</v>
      </c>
      <c r="B608" s="9" t="str">
        <f ca="1">_xlfn.XLOOKUP(A608,Cleaned_Data!A:A,Cleaned_Data!B:B)</f>
        <v>Tanvi Singh</v>
      </c>
      <c r="C608" s="9" t="str">
        <f ca="1">_xlfn.XLOOKUP(A608,Cleaned_Data!A:A,Cleaned_Data!C:C)</f>
        <v>Bangalore</v>
      </c>
      <c r="D608" s="9" t="str">
        <f ca="1">_xlfn.XLOOKUP(A608,Cleaned_Data!A:A,Cleaned_Data!L:L)</f>
        <v>Muscle Gain</v>
      </c>
    </row>
    <row r="609" spans="1:4">
      <c r="A609" s="9" t="str">
        <v>MEM0608</v>
      </c>
      <c r="B609" s="9" t="str">
        <f ca="1">_xlfn.XLOOKUP(A609,Cleaned_Data!A:A,Cleaned_Data!B:B)</f>
        <v>Kavya Kulkarni</v>
      </c>
      <c r="C609" s="9" t="str">
        <f ca="1">_xlfn.XLOOKUP(A609,Cleaned_Data!A:A,Cleaned_Data!C:C)</f>
        <v>Bangalore</v>
      </c>
      <c r="D609" s="9" t="str">
        <f ca="1">_xlfn.XLOOKUP(A609,Cleaned_Data!A:A,Cleaned_Data!L:L)</f>
        <v>Weight Loss</v>
      </c>
    </row>
    <row r="610" spans="1:4">
      <c r="A610" s="9" t="str">
        <v>MEM0609</v>
      </c>
      <c r="B610" s="9" t="str">
        <f ca="1">_xlfn.XLOOKUP(A610,Cleaned_Data!A:A,Cleaned_Data!B:B)</f>
        <v>Nisha Bhat</v>
      </c>
      <c r="C610" s="9" t="str">
        <f ca="1">_xlfn.XLOOKUP(A610,Cleaned_Data!A:A,Cleaned_Data!C:C)</f>
        <v>Calicut</v>
      </c>
      <c r="D610" s="9" t="str">
        <f ca="1">_xlfn.XLOOKUP(A610,Cleaned_Data!A:A,Cleaned_Data!L:L)</f>
        <v>Weight Loss</v>
      </c>
    </row>
    <row r="611" spans="1:4">
      <c r="A611" s="9" t="str">
        <v>MEM0610</v>
      </c>
      <c r="B611" s="9" t="str">
        <f ca="1">_xlfn.XLOOKUP(A611,Cleaned_Data!A:A,Cleaned_Data!B:B)</f>
        <v>Aditya Joshi</v>
      </c>
      <c r="C611" s="9" t="str">
        <f ca="1">_xlfn.XLOOKUP(A611,Cleaned_Data!A:A,Cleaned_Data!C:C)</f>
        <v>Calicut</v>
      </c>
      <c r="D611" s="9" t="str">
        <f ca="1">_xlfn.XLOOKUP(A611,Cleaned_Data!A:A,Cleaned_Data!L:L)</f>
        <v>Weight Loss</v>
      </c>
    </row>
    <row r="612" spans="1:4">
      <c r="A612" s="9" t="str">
        <v>MEM0611</v>
      </c>
      <c r="B612" s="9" t="str">
        <f ca="1">_xlfn.XLOOKUP(A612,Cleaned_Data!A:A,Cleaned_Data!B:B)</f>
        <v>Fatima Das</v>
      </c>
      <c r="C612" s="9" t="str">
        <f ca="1">_xlfn.XLOOKUP(A612,Cleaned_Data!A:A,Cleaned_Data!C:C)</f>
        <v>Chennai</v>
      </c>
      <c r="D612" s="9" t="str">
        <f ca="1">_xlfn.XLOOKUP(A612,Cleaned_Data!A:A,Cleaned_Data!L:L)</f>
        <v>Weight Loss</v>
      </c>
    </row>
    <row r="613" spans="1:4">
      <c r="A613" s="9" t="str">
        <v>MEM0612</v>
      </c>
      <c r="B613" s="9" t="str">
        <f ca="1">_xlfn.XLOOKUP(A613,Cleaned_Data!A:A,Cleaned_Data!B:B)</f>
        <v>Priya Shaikh</v>
      </c>
      <c r="C613" s="9" t="str">
        <f ca="1">_xlfn.XLOOKUP(A613,Cleaned_Data!A:A,Cleaned_Data!C:C)</f>
        <v>Mumbai</v>
      </c>
      <c r="D613" s="9" t="str">
        <f ca="1">_xlfn.XLOOKUP(A613,Cleaned_Data!A:A,Cleaned_Data!L:L)</f>
        <v>Muscle Gain</v>
      </c>
    </row>
    <row r="614" spans="1:4">
      <c r="A614" s="9" t="str">
        <v>MEM0613</v>
      </c>
      <c r="B614" s="9" t="str">
        <f ca="1">_xlfn.XLOOKUP(A614,Cleaned_Data!A:A,Cleaned_Data!B:B)</f>
        <v>Varun Thomas</v>
      </c>
      <c r="C614" s="9" t="str">
        <f ca="1">_xlfn.XLOOKUP(A614,Cleaned_Data!A:A,Cleaned_Data!C:C)</f>
        <v>Trivandrum</v>
      </c>
      <c r="D614" s="9" t="str">
        <f ca="1">_xlfn.XLOOKUP(A614,Cleaned_Data!A:A,Cleaned_Data!L:L)</f>
        <v>Muscle Gain</v>
      </c>
    </row>
    <row r="615" spans="1:4">
      <c r="A615" s="9" t="str">
        <v>MEM0614</v>
      </c>
      <c r="B615" s="9" t="str">
        <f ca="1">_xlfn.XLOOKUP(A615,Cleaned_Data!A:A,Cleaned_Data!B:B)</f>
        <v>Swathi Khan</v>
      </c>
      <c r="C615" s="9" t="str">
        <f ca="1">_xlfn.XLOOKUP(A615,Cleaned_Data!A:A,Cleaned_Data!C:C)</f>
        <v>Kochi</v>
      </c>
      <c r="D615" s="9" t="str">
        <f ca="1">_xlfn.XLOOKUP(A615,Cleaned_Data!A:A,Cleaned_Data!L:L)</f>
        <v>Weight Loss</v>
      </c>
    </row>
    <row r="616" spans="1:4">
      <c r="A616" s="9" t="str">
        <v>MEM0615</v>
      </c>
      <c r="B616" s="9" t="str">
        <f ca="1">_xlfn.XLOOKUP(A616,Cleaned_Data!A:A,Cleaned_Data!B:B)</f>
        <v>Aditya Lewis</v>
      </c>
      <c r="C616" s="9" t="str">
        <f ca="1">_xlfn.XLOOKUP(A616,Cleaned_Data!A:A,Cleaned_Data!C:C)</f>
        <v>Kochi</v>
      </c>
      <c r="D616" s="9" t="str">
        <f ca="1">_xlfn.XLOOKUP(A616,Cleaned_Data!A:A,Cleaned_Data!L:L)</f>
        <v>Weight Loss</v>
      </c>
    </row>
    <row r="617" spans="1:4">
      <c r="A617" s="9" t="str">
        <v>MEM0616</v>
      </c>
      <c r="B617" s="9" t="str">
        <f ca="1">_xlfn.XLOOKUP(A617,Cleaned_Data!A:A,Cleaned_Data!B:B)</f>
        <v>Ayesha Sharma</v>
      </c>
      <c r="C617" s="9" t="str">
        <f ca="1">_xlfn.XLOOKUP(A617,Cleaned_Data!A:A,Cleaned_Data!C:C)</f>
        <v>Bangalore</v>
      </c>
      <c r="D617" s="9" t="str">
        <f ca="1">_xlfn.XLOOKUP(A617,Cleaned_Data!A:A,Cleaned_Data!L:L)</f>
        <v>Weight Loss</v>
      </c>
    </row>
    <row r="618" spans="1:4">
      <c r="A618" s="9" t="str">
        <v>MEM0617</v>
      </c>
      <c r="B618" s="9" t="str">
        <f ca="1">_xlfn.XLOOKUP(A618,Cleaned_Data!A:A,Cleaned_Data!B:B)</f>
        <v>Ishita Shetty</v>
      </c>
      <c r="C618" s="9" t="str">
        <f ca="1">_xlfn.XLOOKUP(A618,Cleaned_Data!A:A,Cleaned_Data!C:C)</f>
        <v>Bangalore</v>
      </c>
      <c r="D618" s="9" t="str">
        <f ca="1">_xlfn.XLOOKUP(A618,Cleaned_Data!A:A,Cleaned_Data!L:L)</f>
        <v>General Fitness</v>
      </c>
    </row>
    <row r="619" spans="1:4">
      <c r="A619" s="9" t="str">
        <v>MEM0618</v>
      </c>
      <c r="B619" s="9" t="str">
        <f ca="1">_xlfn.XLOOKUP(A619,Cleaned_Data!A:A,Cleaned_Data!B:B)</f>
        <v>Zara Banerjee</v>
      </c>
      <c r="C619" s="9" t="str">
        <f ca="1">_xlfn.XLOOKUP(A619,Cleaned_Data!A:A,Cleaned_Data!C:C)</f>
        <v>Chennai</v>
      </c>
      <c r="D619" s="9" t="str">
        <f ca="1">_xlfn.XLOOKUP(A619,Cleaned_Data!A:A,Cleaned_Data!L:L)</f>
        <v>General Fitness</v>
      </c>
    </row>
    <row r="620" spans="1:4">
      <c r="A620" s="9" t="str">
        <v>MEM0619</v>
      </c>
      <c r="B620" s="9" t="str">
        <f ca="1">_xlfn.XLOOKUP(A620,Cleaned_Data!A:A,Cleaned_Data!B:B)</f>
        <v>Varun Das</v>
      </c>
      <c r="C620" s="9" t="str">
        <f ca="1">_xlfn.XLOOKUP(A620,Cleaned_Data!A:A,Cleaned_Data!C:C)</f>
        <v>Bangalore</v>
      </c>
      <c r="D620" s="9" t="str">
        <f ca="1">_xlfn.XLOOKUP(A620,Cleaned_Data!A:A,Cleaned_Data!L:L)</f>
        <v>Weight Loss</v>
      </c>
    </row>
    <row r="621" spans="1:4">
      <c r="A621" s="9" t="str">
        <v>MEM0620</v>
      </c>
      <c r="B621" s="9" t="str">
        <f ca="1">_xlfn.XLOOKUP(A621,Cleaned_Data!A:A,Cleaned_Data!B:B)</f>
        <v>Akash Yadav</v>
      </c>
      <c r="C621" s="9" t="str">
        <f ca="1">_xlfn.XLOOKUP(A621,Cleaned_Data!A:A,Cleaned_Data!C:C)</f>
        <v>Hyderabad</v>
      </c>
      <c r="D621" s="9" t="str">
        <f ca="1">_xlfn.XLOOKUP(A621,Cleaned_Data!A:A,Cleaned_Data!L:L)</f>
        <v>Muscle Gain</v>
      </c>
    </row>
    <row r="622" spans="1:4">
      <c r="A622" s="9" t="str">
        <v>MEM0621</v>
      </c>
      <c r="B622" s="9" t="str">
        <f ca="1">_xlfn.XLOOKUP(A622,Cleaned_Data!A:A,Cleaned_Data!B:B)</f>
        <v>Harish Varghese</v>
      </c>
      <c r="C622" s="9" t="str">
        <f ca="1">_xlfn.XLOOKUP(A622,Cleaned_Data!A:A,Cleaned_Data!C:C)</f>
        <v>Chennai</v>
      </c>
      <c r="D622" s="9" t="str">
        <f ca="1">_xlfn.XLOOKUP(A622,Cleaned_Data!A:A,Cleaned_Data!L:L)</f>
        <v>General Fitness</v>
      </c>
    </row>
    <row r="623" spans="1:4">
      <c r="A623" s="9" t="str">
        <v>MEM0622</v>
      </c>
      <c r="B623" s="9" t="str">
        <f ca="1">_xlfn.XLOOKUP(A623,Cleaned_Data!A:A,Cleaned_Data!B:B)</f>
        <v>Fatima Kulkarni</v>
      </c>
      <c r="C623" s="9" t="str">
        <f ca="1">_xlfn.XLOOKUP(A623,Cleaned_Data!A:A,Cleaned_Data!C:C)</f>
        <v>Trivandrum</v>
      </c>
      <c r="D623" s="9" t="str">
        <f ca="1">_xlfn.XLOOKUP(A623,Cleaned_Data!A:A,Cleaned_Data!L:L)</f>
        <v>General Fitness</v>
      </c>
    </row>
    <row r="624" spans="1:4">
      <c r="A624" s="9" t="str">
        <v>MEM0623</v>
      </c>
      <c r="B624" s="9" t="str">
        <f ca="1">_xlfn.XLOOKUP(A624,Cleaned_Data!A:A,Cleaned_Data!B:B)</f>
        <v>Anjali Kulkarni</v>
      </c>
      <c r="C624" s="9" t="str">
        <f ca="1">_xlfn.XLOOKUP(A624,Cleaned_Data!A:A,Cleaned_Data!C:C)</f>
        <v>Mumbai</v>
      </c>
      <c r="D624" s="9" t="str">
        <f ca="1">_xlfn.XLOOKUP(A624,Cleaned_Data!A:A,Cleaned_Data!L:L)</f>
        <v>Muscle Gain</v>
      </c>
    </row>
    <row r="625" spans="1:4">
      <c r="A625" s="9" t="str">
        <v>MEM0624</v>
      </c>
      <c r="B625" s="9" t="str">
        <f ca="1">_xlfn.XLOOKUP(A625,Cleaned_Data!A:A,Cleaned_Data!B:B)</f>
        <v>Tanvi Fernandes</v>
      </c>
      <c r="C625" s="9" t="str">
        <f ca="1">_xlfn.XLOOKUP(A625,Cleaned_Data!A:A,Cleaned_Data!C:C)</f>
        <v>Bangalore</v>
      </c>
      <c r="D625" s="9" t="str">
        <f ca="1">_xlfn.XLOOKUP(A625,Cleaned_Data!A:A,Cleaned_Data!L:L)</f>
        <v>General Fitness</v>
      </c>
    </row>
    <row r="626" spans="1:4">
      <c r="A626" s="9" t="str">
        <v>MEM0625</v>
      </c>
      <c r="B626" s="9" t="str">
        <f ca="1">_xlfn.XLOOKUP(A626,Cleaned_Data!A:A,Cleaned_Data!B:B)</f>
        <v>Swathi Malhotra</v>
      </c>
      <c r="C626" s="9" t="str">
        <f ca="1">_xlfn.XLOOKUP(A626,Cleaned_Data!A:A,Cleaned_Data!C:C)</f>
        <v>Trivandrum</v>
      </c>
      <c r="D626" s="9" t="str">
        <f ca="1">_xlfn.XLOOKUP(A626,Cleaned_Data!A:A,Cleaned_Data!L:L)</f>
        <v>General Fitness</v>
      </c>
    </row>
    <row r="627" spans="1:4">
      <c r="A627" s="9" t="str">
        <v>MEM0626</v>
      </c>
      <c r="B627" s="9" t="str">
        <f ca="1">_xlfn.XLOOKUP(A627,Cleaned_Data!A:A,Cleaned_Data!B:B)</f>
        <v>Karthik Yadav</v>
      </c>
      <c r="C627" s="9" t="str">
        <f ca="1">_xlfn.XLOOKUP(A627,Cleaned_Data!A:A,Cleaned_Data!C:C)</f>
        <v>Kochi</v>
      </c>
      <c r="D627" s="9" t="str">
        <f ca="1">_xlfn.XLOOKUP(A627,Cleaned_Data!A:A,Cleaned_Data!L:L)</f>
        <v>Weight Loss</v>
      </c>
    </row>
    <row r="628" spans="1:4">
      <c r="A628" s="9" t="str">
        <v>MEM0627</v>
      </c>
      <c r="B628" s="9" t="str">
        <f ca="1">_xlfn.XLOOKUP(A628,Cleaned_Data!A:A,Cleaned_Data!B:B)</f>
        <v>Ayesha Mathew</v>
      </c>
      <c r="C628" s="9" t="str">
        <f ca="1">_xlfn.XLOOKUP(A628,Cleaned_Data!A:A,Cleaned_Data!C:C)</f>
        <v>Mumbai</v>
      </c>
      <c r="D628" s="9" t="str">
        <f ca="1">_xlfn.XLOOKUP(A628,Cleaned_Data!A:A,Cleaned_Data!L:L)</f>
        <v>Weight Loss</v>
      </c>
    </row>
    <row r="629" spans="1:4">
      <c r="A629" s="9" t="str">
        <v>MEM0628</v>
      </c>
      <c r="B629" s="9" t="str">
        <f ca="1">_xlfn.XLOOKUP(A629,Cleaned_Data!A:A,Cleaned_Data!B:B)</f>
        <v>Ayesha Mathew</v>
      </c>
      <c r="C629" s="9" t="str">
        <f ca="1">_xlfn.XLOOKUP(A629,Cleaned_Data!A:A,Cleaned_Data!C:C)</f>
        <v>Calicut</v>
      </c>
      <c r="D629" s="9" t="str">
        <f ca="1">_xlfn.XLOOKUP(A629,Cleaned_Data!A:A,Cleaned_Data!L:L)</f>
        <v>Muscle Gain</v>
      </c>
    </row>
    <row r="630" spans="1:4">
      <c r="A630" s="9" t="str">
        <v>MEM0629</v>
      </c>
      <c r="B630" s="9" t="str">
        <f ca="1">_xlfn.XLOOKUP(A630,Cleaned_Data!A:A,Cleaned_Data!B:B)</f>
        <v>Neha Mathew</v>
      </c>
      <c r="C630" s="9" t="str">
        <f ca="1">_xlfn.XLOOKUP(A630,Cleaned_Data!A:A,Cleaned_Data!C:C)</f>
        <v>Kochi</v>
      </c>
      <c r="D630" s="9" t="str">
        <f ca="1">_xlfn.XLOOKUP(A630,Cleaned_Data!A:A,Cleaned_Data!L:L)</f>
        <v>General Fitness</v>
      </c>
    </row>
    <row r="631" spans="1:4">
      <c r="A631" s="9" t="str">
        <v>MEM0630</v>
      </c>
      <c r="B631" s="9" t="str">
        <f ca="1">_xlfn.XLOOKUP(A631,Cleaned_Data!A:A,Cleaned_Data!B:B)</f>
        <v>Siddharth Kapoor</v>
      </c>
      <c r="C631" s="9" t="str">
        <f ca="1">_xlfn.XLOOKUP(A631,Cleaned_Data!A:A,Cleaned_Data!C:C)</f>
        <v>Mumbai</v>
      </c>
      <c r="D631" s="9" t="str">
        <f ca="1">_xlfn.XLOOKUP(A631,Cleaned_Data!A:A,Cleaned_Data!L:L)</f>
        <v>Weight Loss</v>
      </c>
    </row>
    <row r="632" spans="1:4">
      <c r="A632" s="9" t="str">
        <v>MEM0631</v>
      </c>
      <c r="B632" s="9" t="str">
        <f ca="1">_xlfn.XLOOKUP(A632,Cleaned_Data!A:A,Cleaned_Data!B:B)</f>
        <v>Ankit Mathew</v>
      </c>
      <c r="C632" s="9" t="str">
        <f ca="1">_xlfn.XLOOKUP(A632,Cleaned_Data!A:A,Cleaned_Data!C:C)</f>
        <v>Chennai</v>
      </c>
      <c r="D632" s="9" t="str">
        <f ca="1">_xlfn.XLOOKUP(A632,Cleaned_Data!A:A,Cleaned_Data!L:L)</f>
        <v>Muscle Gain</v>
      </c>
    </row>
    <row r="633" spans="1:4">
      <c r="A633" s="9" t="str">
        <v>MEM0632</v>
      </c>
      <c r="B633" s="9" t="str">
        <f ca="1">_xlfn.XLOOKUP(A633,Cleaned_Data!A:A,Cleaned_Data!B:B)</f>
        <v>Nikhil Naidu</v>
      </c>
      <c r="C633" s="9" t="str">
        <f ca="1">_xlfn.XLOOKUP(A633,Cleaned_Data!A:A,Cleaned_Data!C:C)</f>
        <v>Calicut</v>
      </c>
      <c r="D633" s="9" t="str">
        <f ca="1">_xlfn.XLOOKUP(A633,Cleaned_Data!A:A,Cleaned_Data!L:L)</f>
        <v>Weight Loss</v>
      </c>
    </row>
    <row r="634" spans="1:4">
      <c r="A634" s="9" t="str">
        <v>MEM0633</v>
      </c>
      <c r="B634" s="9" t="str">
        <f ca="1">_xlfn.XLOOKUP(A634,Cleaned_Data!A:A,Cleaned_Data!B:B)</f>
        <v>Tanvi George</v>
      </c>
      <c r="C634" s="9" t="str">
        <f ca="1">_xlfn.XLOOKUP(A634,Cleaned_Data!A:A,Cleaned_Data!C:C)</f>
        <v>Hyderabad</v>
      </c>
      <c r="D634" s="9" t="str">
        <f ca="1">_xlfn.XLOOKUP(A634,Cleaned_Data!A:A,Cleaned_Data!L:L)</f>
        <v>General Fitness</v>
      </c>
    </row>
    <row r="635" spans="1:4">
      <c r="A635" s="9" t="str">
        <v>MEM0634</v>
      </c>
      <c r="B635" s="9" t="str">
        <f ca="1">_xlfn.XLOOKUP(A635,Cleaned_Data!A:A,Cleaned_Data!B:B)</f>
        <v>Anjali Patel</v>
      </c>
      <c r="C635" s="9" t="str">
        <f ca="1">_xlfn.XLOOKUP(A635,Cleaned_Data!A:A,Cleaned_Data!C:C)</f>
        <v>Hyderabad</v>
      </c>
      <c r="D635" s="9" t="str">
        <f ca="1">_xlfn.XLOOKUP(A635,Cleaned_Data!A:A,Cleaned_Data!L:L)</f>
        <v>General Fitness</v>
      </c>
    </row>
    <row r="636" spans="1:4">
      <c r="A636" s="9" t="str">
        <v>MEM0635</v>
      </c>
      <c r="B636" s="9" t="str">
        <f ca="1">_xlfn.XLOOKUP(A636,Cleaned_Data!A:A,Cleaned_Data!B:B)</f>
        <v>Aditya Pillai</v>
      </c>
      <c r="C636" s="9" t="str">
        <f ca="1">_xlfn.XLOOKUP(A636,Cleaned_Data!A:A,Cleaned_Data!C:C)</f>
        <v>Mumbai</v>
      </c>
      <c r="D636" s="9" t="str">
        <f ca="1">_xlfn.XLOOKUP(A636,Cleaned_Data!A:A,Cleaned_Data!L:L)</f>
        <v>Weight Loss</v>
      </c>
    </row>
    <row r="637" spans="1:4">
      <c r="A637" s="9" t="str">
        <v>MEM0636</v>
      </c>
      <c r="B637" s="9" t="str">
        <f ca="1">_xlfn.XLOOKUP(A637,Cleaned_Data!A:A,Cleaned_Data!B:B)</f>
        <v>Ishita Chatterjee</v>
      </c>
      <c r="C637" s="9" t="str">
        <f ca="1">_xlfn.XLOOKUP(A637,Cleaned_Data!A:A,Cleaned_Data!C:C)</f>
        <v>Calicut</v>
      </c>
      <c r="D637" s="9" t="str">
        <f ca="1">_xlfn.XLOOKUP(A637,Cleaned_Data!A:A,Cleaned_Data!L:L)</f>
        <v>Weight Loss</v>
      </c>
    </row>
    <row r="638" spans="1:4">
      <c r="A638" s="9" t="str">
        <v>MEM0637</v>
      </c>
      <c r="B638" s="9" t="str">
        <f ca="1">_xlfn.XLOOKUP(A638,Cleaned_Data!A:A,Cleaned_Data!B:B)</f>
        <v>Ishita Yadav</v>
      </c>
      <c r="C638" s="9" t="str">
        <f ca="1">_xlfn.XLOOKUP(A638,Cleaned_Data!A:A,Cleaned_Data!C:C)</f>
        <v>Trivandrum</v>
      </c>
      <c r="D638" s="9" t="str">
        <f ca="1">_xlfn.XLOOKUP(A638,Cleaned_Data!A:A,Cleaned_Data!L:L)</f>
        <v>Muscle Gain</v>
      </c>
    </row>
    <row r="639" spans="1:4">
      <c r="A639" s="9" t="str">
        <v>MEM0638</v>
      </c>
      <c r="B639" s="9" t="str">
        <f ca="1">_xlfn.XLOOKUP(A639,Cleaned_Data!A:A,Cleaned_Data!B:B)</f>
        <v>Divya Yadav</v>
      </c>
      <c r="C639" s="9" t="str">
        <f ca="1">_xlfn.XLOOKUP(A639,Cleaned_Data!A:A,Cleaned_Data!C:C)</f>
        <v>Mumbai</v>
      </c>
      <c r="D639" s="9" t="str">
        <f ca="1">_xlfn.XLOOKUP(A639,Cleaned_Data!A:A,Cleaned_Data!L:L)</f>
        <v>General Fitness</v>
      </c>
    </row>
    <row r="640" spans="1:4">
      <c r="A640" s="9" t="str">
        <v>MEM0639</v>
      </c>
      <c r="B640" s="9" t="str">
        <f ca="1">_xlfn.XLOOKUP(A640,Cleaned_Data!A:A,Cleaned_Data!B:B)</f>
        <v>Anjali Reddy</v>
      </c>
      <c r="C640" s="9" t="str">
        <f ca="1">_xlfn.XLOOKUP(A640,Cleaned_Data!A:A,Cleaned_Data!C:C)</f>
        <v>Chennai</v>
      </c>
      <c r="D640" s="9" t="str">
        <f ca="1">_xlfn.XLOOKUP(A640,Cleaned_Data!A:A,Cleaned_Data!L:L)</f>
        <v>Weight Loss</v>
      </c>
    </row>
    <row r="641" spans="1:4">
      <c r="A641" s="9" t="str">
        <v>MEM0640</v>
      </c>
      <c r="B641" s="9" t="str">
        <f ca="1">_xlfn.XLOOKUP(A641,Cleaned_Data!A:A,Cleaned_Data!B:B)</f>
        <v>Priya Lewis</v>
      </c>
      <c r="C641" s="9" t="str">
        <f ca="1">_xlfn.XLOOKUP(A641,Cleaned_Data!A:A,Cleaned_Data!C:C)</f>
        <v>Hyderabad</v>
      </c>
      <c r="D641" s="9" t="str">
        <f ca="1">_xlfn.XLOOKUP(A641,Cleaned_Data!A:A,Cleaned_Data!L:L)</f>
        <v>Muscle Gain</v>
      </c>
    </row>
    <row r="642" spans="1:4">
      <c r="A642" s="9" t="str">
        <v>MEM0641</v>
      </c>
      <c r="B642" s="9" t="str">
        <f ca="1">_xlfn.XLOOKUP(A642,Cleaned_Data!A:A,Cleaned_Data!B:B)</f>
        <v>Manoj Nair</v>
      </c>
      <c r="C642" s="9" t="str">
        <f ca="1">_xlfn.XLOOKUP(A642,Cleaned_Data!A:A,Cleaned_Data!C:C)</f>
        <v>Kochi</v>
      </c>
      <c r="D642" s="9" t="str">
        <f ca="1">_xlfn.XLOOKUP(A642,Cleaned_Data!A:A,Cleaned_Data!L:L)</f>
        <v>General Fitness</v>
      </c>
    </row>
    <row r="643" spans="1:4">
      <c r="A643" s="9" t="str">
        <v>MEM0642</v>
      </c>
      <c r="B643" s="9" t="str">
        <f ca="1">_xlfn.XLOOKUP(A643,Cleaned_Data!A:A,Cleaned_Data!B:B)</f>
        <v>Zara Singh</v>
      </c>
      <c r="C643" s="9" t="str">
        <f ca="1">_xlfn.XLOOKUP(A643,Cleaned_Data!A:A,Cleaned_Data!C:C)</f>
        <v>Calicut</v>
      </c>
      <c r="D643" s="9" t="str">
        <f ca="1">_xlfn.XLOOKUP(A643,Cleaned_Data!A:A,Cleaned_Data!L:L)</f>
        <v>Muscle Gain</v>
      </c>
    </row>
    <row r="644" spans="1:4">
      <c r="A644" s="9" t="str">
        <v>MEM0643</v>
      </c>
      <c r="B644" s="9" t="str">
        <f ca="1">_xlfn.XLOOKUP(A644,Cleaned_Data!A:A,Cleaned_Data!B:B)</f>
        <v>Anu Khan</v>
      </c>
      <c r="C644" s="9" t="str">
        <f ca="1">_xlfn.XLOOKUP(A644,Cleaned_Data!A:A,Cleaned_Data!C:C)</f>
        <v>Kochi</v>
      </c>
      <c r="D644" s="9" t="str">
        <f ca="1">_xlfn.XLOOKUP(A644,Cleaned_Data!A:A,Cleaned_Data!L:L)</f>
        <v>General Fitness</v>
      </c>
    </row>
    <row r="645" spans="1:4">
      <c r="A645" s="9" t="str">
        <v>MEM0644</v>
      </c>
      <c r="B645" s="9" t="str">
        <f ca="1">_xlfn.XLOOKUP(A645,Cleaned_Data!A:A,Cleaned_Data!B:B)</f>
        <v>Manoj Kapoor</v>
      </c>
      <c r="C645" s="9" t="str">
        <f ca="1">_xlfn.XLOOKUP(A645,Cleaned_Data!A:A,Cleaned_Data!C:C)</f>
        <v>Kochi</v>
      </c>
      <c r="D645" s="9" t="str">
        <f ca="1">_xlfn.XLOOKUP(A645,Cleaned_Data!A:A,Cleaned_Data!L:L)</f>
        <v>Weight Loss</v>
      </c>
    </row>
    <row r="646" spans="1:4">
      <c r="A646" s="9" t="str">
        <v>MEM0645</v>
      </c>
      <c r="B646" s="9" t="str">
        <f ca="1">_xlfn.XLOOKUP(A646,Cleaned_Data!A:A,Cleaned_Data!B:B)</f>
        <v>Divya Mathew</v>
      </c>
      <c r="C646" s="9" t="str">
        <f ca="1">_xlfn.XLOOKUP(A646,Cleaned_Data!A:A,Cleaned_Data!C:C)</f>
        <v>Mumbai</v>
      </c>
      <c r="D646" s="9" t="str">
        <f ca="1">_xlfn.XLOOKUP(A646,Cleaned_Data!A:A,Cleaned_Data!L:L)</f>
        <v>General Fitness</v>
      </c>
    </row>
    <row r="647" spans="1:4">
      <c r="A647" s="9" t="str">
        <v>MEM0646</v>
      </c>
      <c r="B647" s="9" t="str">
        <f ca="1">_xlfn.XLOOKUP(A647,Cleaned_Data!A:A,Cleaned_Data!B:B)</f>
        <v>Pooja Mathew</v>
      </c>
      <c r="C647" s="9" t="str">
        <f ca="1">_xlfn.XLOOKUP(A647,Cleaned_Data!A:A,Cleaned_Data!C:C)</f>
        <v>Kochi</v>
      </c>
      <c r="D647" s="9" t="str">
        <f ca="1">_xlfn.XLOOKUP(A647,Cleaned_Data!A:A,Cleaned_Data!L:L)</f>
        <v>Muscle Gain</v>
      </c>
    </row>
    <row r="648" spans="1:4">
      <c r="A648" s="9" t="str">
        <v>MEM0647</v>
      </c>
      <c r="B648" s="9" t="str">
        <f ca="1">_xlfn.XLOOKUP(A648,Cleaned_Data!A:A,Cleaned_Data!B:B)</f>
        <v>Manoj Singh</v>
      </c>
      <c r="C648" s="9" t="str">
        <f ca="1">_xlfn.XLOOKUP(A648,Cleaned_Data!A:A,Cleaned_Data!C:C)</f>
        <v>Calicut</v>
      </c>
      <c r="D648" s="9" t="str">
        <f ca="1">_xlfn.XLOOKUP(A648,Cleaned_Data!A:A,Cleaned_Data!L:L)</f>
        <v>Weight Loss</v>
      </c>
    </row>
    <row r="649" spans="1:4">
      <c r="A649" s="9" t="str">
        <v>MEM0648</v>
      </c>
      <c r="B649" s="9" t="str">
        <f ca="1">_xlfn.XLOOKUP(A649,Cleaned_Data!A:A,Cleaned_Data!B:B)</f>
        <v>Kavya Sharma</v>
      </c>
      <c r="C649" s="9" t="str">
        <f ca="1">_xlfn.XLOOKUP(A649,Cleaned_Data!A:A,Cleaned_Data!C:C)</f>
        <v>Chennai</v>
      </c>
      <c r="D649" s="9" t="str">
        <f ca="1">_xlfn.XLOOKUP(A649,Cleaned_Data!A:A,Cleaned_Data!L:L)</f>
        <v>Weight Loss</v>
      </c>
    </row>
    <row r="650" spans="1:4">
      <c r="A650" s="9" t="str">
        <v>MEM0649</v>
      </c>
      <c r="B650" s="9" t="str">
        <f ca="1">_xlfn.XLOOKUP(A650,Cleaned_Data!A:A,Cleaned_Data!B:B)</f>
        <v>Zara Khan</v>
      </c>
      <c r="C650" s="9" t="str">
        <f ca="1">_xlfn.XLOOKUP(A650,Cleaned_Data!A:A,Cleaned_Data!C:C)</f>
        <v>Trivandrum</v>
      </c>
      <c r="D650" s="9" t="str">
        <f ca="1">_xlfn.XLOOKUP(A650,Cleaned_Data!A:A,Cleaned_Data!L:L)</f>
        <v>General Fitness</v>
      </c>
    </row>
    <row r="651" spans="1:4">
      <c r="A651" s="9" t="str">
        <v>MEM0650</v>
      </c>
      <c r="B651" s="9" t="str">
        <f ca="1">_xlfn.XLOOKUP(A651,Cleaned_Data!A:A,Cleaned_Data!B:B)</f>
        <v>Zara Patel</v>
      </c>
      <c r="C651" s="9" t="str">
        <f ca="1">_xlfn.XLOOKUP(A651,Cleaned_Data!A:A,Cleaned_Data!C:C)</f>
        <v>Mumbai</v>
      </c>
      <c r="D651" s="9" t="str">
        <f ca="1">_xlfn.XLOOKUP(A651,Cleaned_Data!A:A,Cleaned_Data!L:L)</f>
        <v>General Fitness</v>
      </c>
    </row>
    <row r="652" spans="1:4">
      <c r="A652" s="9" t="str">
        <v>MEM0651</v>
      </c>
      <c r="B652" s="9" t="str">
        <f ca="1">_xlfn.XLOOKUP(A652,Cleaned_Data!A:A,Cleaned_Data!B:B)</f>
        <v>Ishita Patel</v>
      </c>
      <c r="C652" s="9" t="str">
        <f ca="1">_xlfn.XLOOKUP(A652,Cleaned_Data!A:A,Cleaned_Data!C:C)</f>
        <v>Bangalore</v>
      </c>
      <c r="D652" s="9" t="str">
        <f ca="1">_xlfn.XLOOKUP(A652,Cleaned_Data!A:A,Cleaned_Data!L:L)</f>
        <v>General Fitness</v>
      </c>
    </row>
    <row r="653" spans="1:4">
      <c r="A653" s="9" t="str">
        <v>MEM0652</v>
      </c>
      <c r="B653" s="9" t="str">
        <f ca="1">_xlfn.XLOOKUP(A653,Cleaned_Data!A:A,Cleaned_Data!B:B)</f>
        <v>Anu D’Souza</v>
      </c>
      <c r="C653" s="9" t="str">
        <f ca="1">_xlfn.XLOOKUP(A653,Cleaned_Data!A:A,Cleaned_Data!C:C)</f>
        <v>Kochi</v>
      </c>
      <c r="D653" s="9" t="str">
        <f ca="1">_xlfn.XLOOKUP(A653,Cleaned_Data!A:A,Cleaned_Data!L:L)</f>
        <v>Weight Loss</v>
      </c>
    </row>
    <row r="654" spans="1:4">
      <c r="A654" s="9" t="str">
        <v>MEM0653</v>
      </c>
      <c r="B654" s="9" t="str">
        <f ca="1">_xlfn.XLOOKUP(A654,Cleaned_Data!A:A,Cleaned_Data!B:B)</f>
        <v>Varun Chatterjee</v>
      </c>
      <c r="C654" s="9" t="str">
        <f ca="1">_xlfn.XLOOKUP(A654,Cleaned_Data!A:A,Cleaned_Data!C:C)</f>
        <v>Chennai</v>
      </c>
      <c r="D654" s="9" t="str">
        <f ca="1">_xlfn.XLOOKUP(A654,Cleaned_Data!A:A,Cleaned_Data!L:L)</f>
        <v>Muscle Gain</v>
      </c>
    </row>
    <row r="655" spans="1:4">
      <c r="A655" s="9" t="str">
        <v>MEM0654</v>
      </c>
      <c r="B655" s="9" t="str">
        <f ca="1">_xlfn.XLOOKUP(A655,Cleaned_Data!A:A,Cleaned_Data!B:B)</f>
        <v>Aditya Das</v>
      </c>
      <c r="C655" s="9" t="str">
        <f ca="1">_xlfn.XLOOKUP(A655,Cleaned_Data!A:A,Cleaned_Data!C:C)</f>
        <v>Hyderabad</v>
      </c>
      <c r="D655" s="9" t="str">
        <f ca="1">_xlfn.XLOOKUP(A655,Cleaned_Data!A:A,Cleaned_Data!L:L)</f>
        <v>Muscle Gain</v>
      </c>
    </row>
    <row r="656" spans="1:4">
      <c r="A656" s="9" t="str">
        <v>MEM0655</v>
      </c>
      <c r="B656" s="9" t="str">
        <f ca="1">_xlfn.XLOOKUP(A656,Cleaned_Data!A:A,Cleaned_Data!B:B)</f>
        <v>Fatima Gupta</v>
      </c>
      <c r="C656" s="9" t="str">
        <f ca="1">_xlfn.XLOOKUP(A656,Cleaned_Data!A:A,Cleaned_Data!C:C)</f>
        <v>Kochi</v>
      </c>
      <c r="D656" s="9" t="str">
        <f ca="1">_xlfn.XLOOKUP(A656,Cleaned_Data!A:A,Cleaned_Data!L:L)</f>
        <v>Weight Loss</v>
      </c>
    </row>
    <row r="657" spans="1:4">
      <c r="A657" s="9" t="str">
        <v>MEM0656</v>
      </c>
      <c r="B657" s="9" t="str">
        <f ca="1">_xlfn.XLOOKUP(A657,Cleaned_Data!A:A,Cleaned_Data!B:B)</f>
        <v>Zara Shetty</v>
      </c>
      <c r="C657" s="9" t="str">
        <f ca="1">_xlfn.XLOOKUP(A657,Cleaned_Data!A:A,Cleaned_Data!C:C)</f>
        <v>Mumbai</v>
      </c>
      <c r="D657" s="9" t="str">
        <f ca="1">_xlfn.XLOOKUP(A657,Cleaned_Data!A:A,Cleaned_Data!L:L)</f>
        <v>Weight Loss</v>
      </c>
    </row>
    <row r="658" spans="1:4">
      <c r="A658" s="9" t="str">
        <v>MEM0657</v>
      </c>
      <c r="B658" s="9" t="str">
        <f ca="1">_xlfn.XLOOKUP(A658,Cleaned_Data!A:A,Cleaned_Data!B:B)</f>
        <v>Lakshmi Lewis</v>
      </c>
      <c r="C658" s="9" t="str">
        <f ca="1">_xlfn.XLOOKUP(A658,Cleaned_Data!A:A,Cleaned_Data!C:C)</f>
        <v>Calicut</v>
      </c>
      <c r="D658" s="9" t="str">
        <f ca="1">_xlfn.XLOOKUP(A658,Cleaned_Data!A:A,Cleaned_Data!L:L)</f>
        <v>Weight Loss</v>
      </c>
    </row>
    <row r="659" spans="1:4">
      <c r="A659" s="9" t="str">
        <v>MEM0658</v>
      </c>
      <c r="B659" s="9" t="str">
        <f ca="1">_xlfn.XLOOKUP(A659,Cleaned_Data!A:A,Cleaned_Data!B:B)</f>
        <v>Manoj Agarwal</v>
      </c>
      <c r="C659" s="9" t="str">
        <f ca="1">_xlfn.XLOOKUP(A659,Cleaned_Data!A:A,Cleaned_Data!C:C)</f>
        <v>Calicut</v>
      </c>
      <c r="D659" s="9" t="str">
        <f ca="1">_xlfn.XLOOKUP(A659,Cleaned_Data!A:A,Cleaned_Data!L:L)</f>
        <v>General Fitness</v>
      </c>
    </row>
    <row r="660" spans="1:4">
      <c r="A660" s="9" t="str">
        <v>MEM0659</v>
      </c>
      <c r="B660" s="9" t="str">
        <f ca="1">_xlfn.XLOOKUP(A660,Cleaned_Data!A:A,Cleaned_Data!B:B)</f>
        <v>Nikhil Joshi</v>
      </c>
      <c r="C660" s="9" t="str">
        <f ca="1">_xlfn.XLOOKUP(A660,Cleaned_Data!A:A,Cleaned_Data!C:C)</f>
        <v>Trivandrum</v>
      </c>
      <c r="D660" s="9" t="str">
        <f ca="1">_xlfn.XLOOKUP(A660,Cleaned_Data!A:A,Cleaned_Data!L:L)</f>
        <v>Muscle Gain</v>
      </c>
    </row>
    <row r="661" spans="1:4">
      <c r="A661" s="9" t="str">
        <v>MEM0660</v>
      </c>
      <c r="B661" s="9" t="str">
        <f ca="1">_xlfn.XLOOKUP(A661,Cleaned_Data!A:A,Cleaned_Data!B:B)</f>
        <v>Zara Bhat</v>
      </c>
      <c r="C661" s="9" t="str">
        <f ca="1">_xlfn.XLOOKUP(A661,Cleaned_Data!A:A,Cleaned_Data!C:C)</f>
        <v>Calicut</v>
      </c>
      <c r="D661" s="9" t="str">
        <f ca="1">_xlfn.XLOOKUP(A661,Cleaned_Data!A:A,Cleaned_Data!L:L)</f>
        <v>General Fitness</v>
      </c>
    </row>
    <row r="662" spans="1:4">
      <c r="A662" s="9" t="str">
        <v>MEM0661</v>
      </c>
      <c r="B662" s="9" t="str">
        <f ca="1">_xlfn.XLOOKUP(A662,Cleaned_Data!A:A,Cleaned_Data!B:B)</f>
        <v>Ankit Kapoor</v>
      </c>
      <c r="C662" s="9" t="str">
        <f ca="1">_xlfn.XLOOKUP(A662,Cleaned_Data!A:A,Cleaned_Data!C:C)</f>
        <v>Bangalore</v>
      </c>
      <c r="D662" s="9" t="str">
        <f ca="1">_xlfn.XLOOKUP(A662,Cleaned_Data!A:A,Cleaned_Data!L:L)</f>
        <v>Weight Loss</v>
      </c>
    </row>
    <row r="663" spans="1:4">
      <c r="A663" s="9" t="str">
        <v>MEM0662</v>
      </c>
      <c r="B663" s="9" t="str">
        <f ca="1">_xlfn.XLOOKUP(A663,Cleaned_Data!A:A,Cleaned_Data!B:B)</f>
        <v>Divya George</v>
      </c>
      <c r="C663" s="9" t="str">
        <f ca="1">_xlfn.XLOOKUP(A663,Cleaned_Data!A:A,Cleaned_Data!C:C)</f>
        <v>Hyderabad</v>
      </c>
      <c r="D663" s="9" t="str">
        <f ca="1">_xlfn.XLOOKUP(A663,Cleaned_Data!A:A,Cleaned_Data!L:L)</f>
        <v>Weight Loss</v>
      </c>
    </row>
    <row r="664" spans="1:4">
      <c r="A664" s="9" t="str">
        <v>MEM0663</v>
      </c>
      <c r="B664" s="9" t="str">
        <f ca="1">_xlfn.XLOOKUP(A664,Cleaned_Data!A:A,Cleaned_Data!B:B)</f>
        <v>Anjali Lewis</v>
      </c>
      <c r="C664" s="9" t="str">
        <f ca="1">_xlfn.XLOOKUP(A664,Cleaned_Data!A:A,Cleaned_Data!C:C)</f>
        <v>Bangalore</v>
      </c>
      <c r="D664" s="9" t="str">
        <f ca="1">_xlfn.XLOOKUP(A664,Cleaned_Data!A:A,Cleaned_Data!L:L)</f>
        <v>Muscle Gain</v>
      </c>
    </row>
    <row r="665" spans="1:4">
      <c r="A665" s="9" t="str">
        <v>MEM0664</v>
      </c>
      <c r="B665" s="9" t="str">
        <f ca="1">_xlfn.XLOOKUP(A665,Cleaned_Data!A:A,Cleaned_Data!B:B)</f>
        <v>Siddharth Shetty</v>
      </c>
      <c r="C665" s="9" t="str">
        <f ca="1">_xlfn.XLOOKUP(A665,Cleaned_Data!A:A,Cleaned_Data!C:C)</f>
        <v>Trivandrum</v>
      </c>
      <c r="D665" s="9" t="str">
        <f ca="1">_xlfn.XLOOKUP(A665,Cleaned_Data!A:A,Cleaned_Data!L:L)</f>
        <v>General Fitness</v>
      </c>
    </row>
    <row r="666" spans="1:4">
      <c r="A666" s="9" t="str">
        <v>MEM0665</v>
      </c>
      <c r="B666" s="9" t="str">
        <f ca="1">_xlfn.XLOOKUP(A666,Cleaned_Data!A:A,Cleaned_Data!B:B)</f>
        <v>Deepak Mathew</v>
      </c>
      <c r="C666" s="9" t="str">
        <f ca="1">_xlfn.XLOOKUP(A666,Cleaned_Data!A:A,Cleaned_Data!C:C)</f>
        <v>Mumbai</v>
      </c>
      <c r="D666" s="9" t="str">
        <f ca="1">_xlfn.XLOOKUP(A666,Cleaned_Data!A:A,Cleaned_Data!L:L)</f>
        <v>Weight Loss</v>
      </c>
    </row>
    <row r="667" spans="1:4">
      <c r="A667" s="9" t="str">
        <v>MEM0666</v>
      </c>
      <c r="B667" s="9" t="str">
        <f ca="1">_xlfn.XLOOKUP(A667,Cleaned_Data!A:A,Cleaned_Data!B:B)</f>
        <v>Riya Agarwal</v>
      </c>
      <c r="C667" s="9" t="str">
        <f ca="1">_xlfn.XLOOKUP(A667,Cleaned_Data!A:A,Cleaned_Data!C:C)</f>
        <v>Mumbai</v>
      </c>
      <c r="D667" s="9" t="str">
        <f ca="1">_xlfn.XLOOKUP(A667,Cleaned_Data!A:A,Cleaned_Data!L:L)</f>
        <v>Muscle Gain</v>
      </c>
    </row>
    <row r="668" spans="1:4">
      <c r="A668" s="9" t="str">
        <v>MEM0667</v>
      </c>
      <c r="B668" s="9" t="str">
        <f ca="1">_xlfn.XLOOKUP(A668,Cleaned_Data!A:A,Cleaned_Data!B:B)</f>
        <v>Harish Iyer</v>
      </c>
      <c r="C668" s="9" t="str">
        <f ca="1">_xlfn.XLOOKUP(A668,Cleaned_Data!A:A,Cleaned_Data!C:C)</f>
        <v>Bangalore</v>
      </c>
      <c r="D668" s="9" t="str">
        <f ca="1">_xlfn.XLOOKUP(A668,Cleaned_Data!A:A,Cleaned_Data!L:L)</f>
        <v>Weight Loss</v>
      </c>
    </row>
    <row r="669" spans="1:4">
      <c r="A669" s="9" t="str">
        <v>MEM0668</v>
      </c>
      <c r="B669" s="9" t="str">
        <f ca="1">_xlfn.XLOOKUP(A669,Cleaned_Data!A:A,Cleaned_Data!B:B)</f>
        <v>Lakshmi Joshi</v>
      </c>
      <c r="C669" s="9" t="str">
        <f ca="1">_xlfn.XLOOKUP(A669,Cleaned_Data!A:A,Cleaned_Data!C:C)</f>
        <v>Bangalore</v>
      </c>
      <c r="D669" s="9" t="str">
        <f ca="1">_xlfn.XLOOKUP(A669,Cleaned_Data!A:A,Cleaned_Data!L:L)</f>
        <v>General Fitness</v>
      </c>
    </row>
    <row r="670" spans="1:4">
      <c r="A670" s="9" t="str">
        <v>MEM0669</v>
      </c>
      <c r="B670" s="9" t="str">
        <f ca="1">_xlfn.XLOOKUP(A670,Cleaned_Data!A:A,Cleaned_Data!B:B)</f>
        <v>Harish Chatterjee</v>
      </c>
      <c r="C670" s="9" t="str">
        <f ca="1">_xlfn.XLOOKUP(A670,Cleaned_Data!A:A,Cleaned_Data!C:C)</f>
        <v>Trivandrum</v>
      </c>
      <c r="D670" s="9" t="str">
        <f ca="1">_xlfn.XLOOKUP(A670,Cleaned_Data!A:A,Cleaned_Data!L:L)</f>
        <v>Weight Loss</v>
      </c>
    </row>
    <row r="671" spans="1:4">
      <c r="A671" s="9" t="str">
        <v>MEM0670</v>
      </c>
      <c r="B671" s="9" t="str">
        <f ca="1">_xlfn.XLOOKUP(A671,Cleaned_Data!A:A,Cleaned_Data!B:B)</f>
        <v>Ishita Menon</v>
      </c>
      <c r="C671" s="9" t="str">
        <f ca="1">_xlfn.XLOOKUP(A671,Cleaned_Data!A:A,Cleaned_Data!C:C)</f>
        <v>Calicut</v>
      </c>
      <c r="D671" s="9" t="str">
        <f ca="1">_xlfn.XLOOKUP(A671,Cleaned_Data!A:A,Cleaned_Data!L:L)</f>
        <v>Muscle Gain</v>
      </c>
    </row>
    <row r="672" spans="1:4">
      <c r="A672" s="9" t="str">
        <v>MEM0671</v>
      </c>
      <c r="B672" s="9" t="str">
        <f ca="1">_xlfn.XLOOKUP(A672,Cleaned_Data!A:A,Cleaned_Data!B:B)</f>
        <v>Ankit Kapoor</v>
      </c>
      <c r="C672" s="9" t="str">
        <f ca="1">_xlfn.XLOOKUP(A672,Cleaned_Data!A:A,Cleaned_Data!C:C)</f>
        <v>Chennai</v>
      </c>
      <c r="D672" s="9" t="str">
        <f ca="1">_xlfn.XLOOKUP(A672,Cleaned_Data!A:A,Cleaned_Data!L:L)</f>
        <v>Muscle Gain</v>
      </c>
    </row>
    <row r="673" spans="1:4">
      <c r="A673" s="9" t="str">
        <v>MEM0672</v>
      </c>
      <c r="B673" s="9" t="str">
        <f ca="1">_xlfn.XLOOKUP(A673,Cleaned_Data!A:A,Cleaned_Data!B:B)</f>
        <v>Pooja Kapoor</v>
      </c>
      <c r="C673" s="9" t="str">
        <f ca="1">_xlfn.XLOOKUP(A673,Cleaned_Data!A:A,Cleaned_Data!C:C)</f>
        <v>Kochi</v>
      </c>
      <c r="D673" s="9" t="str">
        <f ca="1">_xlfn.XLOOKUP(A673,Cleaned_Data!A:A,Cleaned_Data!L:L)</f>
        <v>Muscle Gain</v>
      </c>
    </row>
    <row r="674" spans="1:4">
      <c r="A674" s="9" t="str">
        <v>MEM0673</v>
      </c>
      <c r="B674" s="9" t="str">
        <f ca="1">_xlfn.XLOOKUP(A674,Cleaned_Data!A:A,Cleaned_Data!B:B)</f>
        <v>Harish Naidu</v>
      </c>
      <c r="C674" s="9" t="str">
        <f ca="1">_xlfn.XLOOKUP(A674,Cleaned_Data!A:A,Cleaned_Data!C:C)</f>
        <v>Mumbai</v>
      </c>
      <c r="D674" s="9" t="str">
        <f ca="1">_xlfn.XLOOKUP(A674,Cleaned_Data!A:A,Cleaned_Data!L:L)</f>
        <v>Weight Loss</v>
      </c>
    </row>
    <row r="675" spans="1:4">
      <c r="A675" s="9" t="str">
        <v>MEM0674</v>
      </c>
      <c r="B675" s="9" t="str">
        <f ca="1">_xlfn.XLOOKUP(A675,Cleaned_Data!A:A,Cleaned_Data!B:B)</f>
        <v>Pooja D’Souza</v>
      </c>
      <c r="C675" s="9" t="str">
        <f ca="1">_xlfn.XLOOKUP(A675,Cleaned_Data!A:A,Cleaned_Data!C:C)</f>
        <v>Kochi</v>
      </c>
      <c r="D675" s="9" t="str">
        <f ca="1">_xlfn.XLOOKUP(A675,Cleaned_Data!A:A,Cleaned_Data!L:L)</f>
        <v>Weight Loss</v>
      </c>
    </row>
    <row r="676" spans="1:4">
      <c r="A676" s="9" t="str">
        <v>MEM0675</v>
      </c>
      <c r="B676" s="9" t="str">
        <f ca="1">_xlfn.XLOOKUP(A676,Cleaned_Data!A:A,Cleaned_Data!B:B)</f>
        <v>Manoj Kulkarni</v>
      </c>
      <c r="C676" s="9" t="str">
        <f ca="1">_xlfn.XLOOKUP(A676,Cleaned_Data!A:A,Cleaned_Data!C:C)</f>
        <v>Trivandrum</v>
      </c>
      <c r="D676" s="9" t="str">
        <f ca="1">_xlfn.XLOOKUP(A676,Cleaned_Data!A:A,Cleaned_Data!L:L)</f>
        <v>General Fitness</v>
      </c>
    </row>
    <row r="677" spans="1:4">
      <c r="A677" s="9" t="str">
        <v>MEM0676</v>
      </c>
      <c r="B677" s="9" t="str">
        <f ca="1">_xlfn.XLOOKUP(A677,Cleaned_Data!A:A,Cleaned_Data!B:B)</f>
        <v>Akash Joshi</v>
      </c>
      <c r="C677" s="9" t="str">
        <f ca="1">_xlfn.XLOOKUP(A677,Cleaned_Data!A:A,Cleaned_Data!C:C)</f>
        <v>Calicut</v>
      </c>
      <c r="D677" s="9" t="str">
        <f ca="1">_xlfn.XLOOKUP(A677,Cleaned_Data!A:A,Cleaned_Data!L:L)</f>
        <v>Muscle Gain</v>
      </c>
    </row>
    <row r="678" spans="1:4">
      <c r="A678" s="9" t="str">
        <v>MEM0677</v>
      </c>
      <c r="B678" s="9" t="str">
        <f ca="1">_xlfn.XLOOKUP(A678,Cleaned_Data!A:A,Cleaned_Data!B:B)</f>
        <v>Arjun Kulkarni</v>
      </c>
      <c r="C678" s="9" t="str">
        <f ca="1">_xlfn.XLOOKUP(A678,Cleaned_Data!A:A,Cleaned_Data!C:C)</f>
        <v>Trivandrum</v>
      </c>
      <c r="D678" s="9" t="str">
        <f ca="1">_xlfn.XLOOKUP(A678,Cleaned_Data!A:A,Cleaned_Data!L:L)</f>
        <v>Muscle Gain</v>
      </c>
    </row>
    <row r="679" spans="1:4">
      <c r="A679" s="9" t="str">
        <v>MEM0678</v>
      </c>
      <c r="B679" s="9" t="str">
        <f ca="1">_xlfn.XLOOKUP(A679,Cleaned_Data!A:A,Cleaned_Data!B:B)</f>
        <v>Akash Pillai</v>
      </c>
      <c r="C679" s="9" t="str">
        <f ca="1">_xlfn.XLOOKUP(A679,Cleaned_Data!A:A,Cleaned_Data!C:C)</f>
        <v>Chennai</v>
      </c>
      <c r="D679" s="9" t="str">
        <f ca="1">_xlfn.XLOOKUP(A679,Cleaned_Data!A:A,Cleaned_Data!L:L)</f>
        <v>General Fitness</v>
      </c>
    </row>
    <row r="680" spans="1:4">
      <c r="A680" s="9" t="str">
        <v>MEM0679</v>
      </c>
      <c r="B680" s="9" t="str">
        <f ca="1">_xlfn.XLOOKUP(A680,Cleaned_Data!A:A,Cleaned_Data!B:B)</f>
        <v>Kavya Gupta</v>
      </c>
      <c r="C680" s="9" t="str">
        <f ca="1">_xlfn.XLOOKUP(A680,Cleaned_Data!A:A,Cleaned_Data!C:C)</f>
        <v>Calicut</v>
      </c>
      <c r="D680" s="9" t="str">
        <f ca="1">_xlfn.XLOOKUP(A680,Cleaned_Data!A:A,Cleaned_Data!L:L)</f>
        <v>General Fitness</v>
      </c>
    </row>
    <row r="681" spans="1:4">
      <c r="A681" s="9" t="str">
        <v>MEM0680</v>
      </c>
      <c r="B681" s="9" t="str">
        <f ca="1">_xlfn.XLOOKUP(A681,Cleaned_Data!A:A,Cleaned_Data!B:B)</f>
        <v>Neha Yadav</v>
      </c>
      <c r="C681" s="9" t="str">
        <f ca="1">_xlfn.XLOOKUP(A681,Cleaned_Data!A:A,Cleaned_Data!C:C)</f>
        <v>Mumbai</v>
      </c>
      <c r="D681" s="9" t="str">
        <f ca="1">_xlfn.XLOOKUP(A681,Cleaned_Data!A:A,Cleaned_Data!L:L)</f>
        <v>General Fitness</v>
      </c>
    </row>
    <row r="682" spans="1:4">
      <c r="A682" s="9" t="str">
        <v>MEM0681</v>
      </c>
      <c r="B682" s="9" t="str">
        <f ca="1">_xlfn.XLOOKUP(A682,Cleaned_Data!A:A,Cleaned_Data!B:B)</f>
        <v>Anjali Malhotra</v>
      </c>
      <c r="C682" s="9" t="str">
        <f ca="1">_xlfn.XLOOKUP(A682,Cleaned_Data!A:A,Cleaned_Data!C:C)</f>
        <v>Mumbai</v>
      </c>
      <c r="D682" s="9" t="str">
        <f ca="1">_xlfn.XLOOKUP(A682,Cleaned_Data!A:A,Cleaned_Data!L:L)</f>
        <v>General Fitness</v>
      </c>
    </row>
    <row r="683" spans="1:4">
      <c r="A683" s="9" t="str">
        <v>MEM0682</v>
      </c>
      <c r="B683" s="9" t="str">
        <f ca="1">_xlfn.XLOOKUP(A683,Cleaned_Data!A:A,Cleaned_Data!B:B)</f>
        <v>Anjali Joshi</v>
      </c>
      <c r="C683" s="9" t="str">
        <f ca="1">_xlfn.XLOOKUP(A683,Cleaned_Data!A:A,Cleaned_Data!C:C)</f>
        <v>Mumbai</v>
      </c>
      <c r="D683" s="9" t="str">
        <f ca="1">_xlfn.XLOOKUP(A683,Cleaned_Data!A:A,Cleaned_Data!L:L)</f>
        <v>General Fitness</v>
      </c>
    </row>
    <row r="684" spans="1:4">
      <c r="A684" s="9" t="str">
        <v>MEM0683</v>
      </c>
      <c r="B684" s="9" t="str">
        <f ca="1">_xlfn.XLOOKUP(A684,Cleaned_Data!A:A,Cleaned_Data!B:B)</f>
        <v>Deepak Naidu</v>
      </c>
      <c r="C684" s="9" t="str">
        <f ca="1">_xlfn.XLOOKUP(A684,Cleaned_Data!A:A,Cleaned_Data!C:C)</f>
        <v>Kochi</v>
      </c>
      <c r="D684" s="9" t="str">
        <f ca="1">_xlfn.XLOOKUP(A684,Cleaned_Data!A:A,Cleaned_Data!L:L)</f>
        <v>Weight Loss</v>
      </c>
    </row>
    <row r="685" spans="1:4">
      <c r="A685" s="9" t="str">
        <v>MEM0684</v>
      </c>
      <c r="B685" s="9" t="str">
        <f ca="1">_xlfn.XLOOKUP(A685,Cleaned_Data!A:A,Cleaned_Data!B:B)</f>
        <v>Sanjay Kulkarni</v>
      </c>
      <c r="C685" s="9" t="str">
        <f ca="1">_xlfn.XLOOKUP(A685,Cleaned_Data!A:A,Cleaned_Data!C:C)</f>
        <v>Calicut</v>
      </c>
      <c r="D685" s="9" t="str">
        <f ca="1">_xlfn.XLOOKUP(A685,Cleaned_Data!A:A,Cleaned_Data!L:L)</f>
        <v>Muscle Gain</v>
      </c>
    </row>
    <row r="686" spans="1:4">
      <c r="A686" s="9" t="str">
        <v>MEM0685</v>
      </c>
      <c r="B686" s="9" t="str">
        <f ca="1">_xlfn.XLOOKUP(A686,Cleaned_Data!A:A,Cleaned_Data!B:B)</f>
        <v>Shreya Kapoor</v>
      </c>
      <c r="C686" s="9" t="str">
        <f ca="1">_xlfn.XLOOKUP(A686,Cleaned_Data!A:A,Cleaned_Data!C:C)</f>
        <v>Chennai</v>
      </c>
      <c r="D686" s="9" t="str">
        <f ca="1">_xlfn.XLOOKUP(A686,Cleaned_Data!A:A,Cleaned_Data!L:L)</f>
        <v>General Fitness</v>
      </c>
    </row>
    <row r="687" spans="1:4">
      <c r="A687" s="9" t="str">
        <v>MEM0686</v>
      </c>
      <c r="B687" s="9" t="str">
        <f ca="1">_xlfn.XLOOKUP(A687,Cleaned_Data!A:A,Cleaned_Data!B:B)</f>
        <v>Zara Varghese</v>
      </c>
      <c r="C687" s="9" t="str">
        <f ca="1">_xlfn.XLOOKUP(A687,Cleaned_Data!A:A,Cleaned_Data!C:C)</f>
        <v>Kochi</v>
      </c>
      <c r="D687" s="9" t="str">
        <f ca="1">_xlfn.XLOOKUP(A687,Cleaned_Data!A:A,Cleaned_Data!L:L)</f>
        <v>Muscle Gain</v>
      </c>
    </row>
    <row r="688" spans="1:4">
      <c r="A688" s="9" t="str">
        <v>MEM0687</v>
      </c>
      <c r="B688" s="9" t="str">
        <f ca="1">_xlfn.XLOOKUP(A688,Cleaned_Data!A:A,Cleaned_Data!B:B)</f>
        <v>Zara D’Souza</v>
      </c>
      <c r="C688" s="9" t="str">
        <f ca="1">_xlfn.XLOOKUP(A688,Cleaned_Data!A:A,Cleaned_Data!C:C)</f>
        <v>Kochi</v>
      </c>
      <c r="D688" s="9" t="str">
        <f ca="1">_xlfn.XLOOKUP(A688,Cleaned_Data!A:A,Cleaned_Data!L:L)</f>
        <v>Muscle Gain</v>
      </c>
    </row>
    <row r="689" spans="1:4">
      <c r="A689" s="9" t="str">
        <v>MEM0688</v>
      </c>
      <c r="B689" s="9" t="str">
        <f ca="1">_xlfn.XLOOKUP(A689,Cleaned_Data!A:A,Cleaned_Data!B:B)</f>
        <v>Ankit Mathew</v>
      </c>
      <c r="C689" s="9" t="str">
        <f ca="1">_xlfn.XLOOKUP(A689,Cleaned_Data!A:A,Cleaned_Data!C:C)</f>
        <v>Calicut</v>
      </c>
      <c r="D689" s="9" t="str">
        <f ca="1">_xlfn.XLOOKUP(A689,Cleaned_Data!A:A,Cleaned_Data!L:L)</f>
        <v>General Fitness</v>
      </c>
    </row>
    <row r="690" spans="1:4">
      <c r="A690" s="9" t="str">
        <v>MEM0689</v>
      </c>
      <c r="B690" s="9" t="str">
        <f ca="1">_xlfn.XLOOKUP(A690,Cleaned_Data!A:A,Cleaned_Data!B:B)</f>
        <v>Fatima Verma</v>
      </c>
      <c r="C690" s="9" t="str">
        <f ca="1">_xlfn.XLOOKUP(A690,Cleaned_Data!A:A,Cleaned_Data!C:C)</f>
        <v>Mumbai</v>
      </c>
      <c r="D690" s="9" t="str">
        <f ca="1">_xlfn.XLOOKUP(A690,Cleaned_Data!A:A,Cleaned_Data!L:L)</f>
        <v>Muscle Gain</v>
      </c>
    </row>
    <row r="691" spans="1:4">
      <c r="A691" s="9" t="str">
        <v>MEM0690</v>
      </c>
      <c r="B691" s="9" t="str">
        <f ca="1">_xlfn.XLOOKUP(A691,Cleaned_Data!A:A,Cleaned_Data!B:B)</f>
        <v>Ishita Malhotra</v>
      </c>
      <c r="C691" s="9" t="str">
        <f ca="1">_xlfn.XLOOKUP(A691,Cleaned_Data!A:A,Cleaned_Data!C:C)</f>
        <v>Calicut</v>
      </c>
      <c r="D691" s="9" t="str">
        <f ca="1">_xlfn.XLOOKUP(A691,Cleaned_Data!A:A,Cleaned_Data!L:L)</f>
        <v>General Fitness</v>
      </c>
    </row>
    <row r="692" spans="1:4">
      <c r="A692" s="9" t="str">
        <v>MEM0691</v>
      </c>
      <c r="B692" s="9" t="str">
        <f ca="1">_xlfn.XLOOKUP(A692,Cleaned_Data!A:A,Cleaned_Data!B:B)</f>
        <v>Sanjay Banerjee</v>
      </c>
      <c r="C692" s="9" t="str">
        <f ca="1">_xlfn.XLOOKUP(A692,Cleaned_Data!A:A,Cleaned_Data!C:C)</f>
        <v>Calicut</v>
      </c>
      <c r="D692" s="9" t="str">
        <f ca="1">_xlfn.XLOOKUP(A692,Cleaned_Data!A:A,Cleaned_Data!L:L)</f>
        <v>General Fitness</v>
      </c>
    </row>
    <row r="693" spans="1:4">
      <c r="A693" s="9" t="str">
        <v>MEM0692</v>
      </c>
      <c r="B693" s="9" t="str">
        <f ca="1">_xlfn.XLOOKUP(A693,Cleaned_Data!A:A,Cleaned_Data!B:B)</f>
        <v>Siddharth Desai</v>
      </c>
      <c r="C693" s="9" t="str">
        <f ca="1">_xlfn.XLOOKUP(A693,Cleaned_Data!A:A,Cleaned_Data!C:C)</f>
        <v>Bangalore</v>
      </c>
      <c r="D693" s="9" t="str">
        <f ca="1">_xlfn.XLOOKUP(A693,Cleaned_Data!A:A,Cleaned_Data!L:L)</f>
        <v>Weight Loss</v>
      </c>
    </row>
    <row r="694" spans="1:4">
      <c r="A694" s="9" t="str">
        <v>MEM0693</v>
      </c>
      <c r="B694" s="9" t="str">
        <f ca="1">_xlfn.XLOOKUP(A694,Cleaned_Data!A:A,Cleaned_Data!B:B)</f>
        <v>Zara D’Souza</v>
      </c>
      <c r="C694" s="9" t="str">
        <f ca="1">_xlfn.XLOOKUP(A694,Cleaned_Data!A:A,Cleaned_Data!C:C)</f>
        <v>Bangalore</v>
      </c>
      <c r="D694" s="9" t="str">
        <f ca="1">_xlfn.XLOOKUP(A694,Cleaned_Data!A:A,Cleaned_Data!L:L)</f>
        <v>General Fitness</v>
      </c>
    </row>
    <row r="695" spans="1:4">
      <c r="A695" s="9" t="str">
        <v>MEM0694</v>
      </c>
      <c r="B695" s="9" t="str">
        <f ca="1">_xlfn.XLOOKUP(A695,Cleaned_Data!A:A,Cleaned_Data!B:B)</f>
        <v>Fatima Shetty</v>
      </c>
      <c r="C695" s="9" t="str">
        <f ca="1">_xlfn.XLOOKUP(A695,Cleaned_Data!A:A,Cleaned_Data!C:C)</f>
        <v>Trivandrum</v>
      </c>
      <c r="D695" s="9" t="str">
        <f ca="1">_xlfn.XLOOKUP(A695,Cleaned_Data!A:A,Cleaned_Data!L:L)</f>
        <v>General Fitness</v>
      </c>
    </row>
    <row r="696" spans="1:4">
      <c r="A696" s="9" t="str">
        <v>MEM0695</v>
      </c>
      <c r="B696" s="9" t="str">
        <f ca="1">_xlfn.XLOOKUP(A696,Cleaned_Data!A:A,Cleaned_Data!B:B)</f>
        <v>Ishita Pillai</v>
      </c>
      <c r="C696" s="9" t="str">
        <f ca="1">_xlfn.XLOOKUP(A696,Cleaned_Data!A:A,Cleaned_Data!C:C)</f>
        <v>Trivandrum</v>
      </c>
      <c r="D696" s="9" t="str">
        <f ca="1">_xlfn.XLOOKUP(A696,Cleaned_Data!A:A,Cleaned_Data!L:L)</f>
        <v>Weight Loss</v>
      </c>
    </row>
    <row r="697" spans="1:4">
      <c r="A697" s="9" t="str">
        <v>MEM0696</v>
      </c>
      <c r="B697" s="9" t="str">
        <f ca="1">_xlfn.XLOOKUP(A697,Cleaned_Data!A:A,Cleaned_Data!B:B)</f>
        <v>Swathi Khan</v>
      </c>
      <c r="C697" s="9" t="str">
        <f ca="1">_xlfn.XLOOKUP(A697,Cleaned_Data!A:A,Cleaned_Data!C:C)</f>
        <v>Hyderabad</v>
      </c>
      <c r="D697" s="9" t="str">
        <f ca="1">_xlfn.XLOOKUP(A697,Cleaned_Data!A:A,Cleaned_Data!L:L)</f>
        <v>General Fitness</v>
      </c>
    </row>
    <row r="698" spans="1:4">
      <c r="A698" s="9" t="str">
        <v>MEM0697</v>
      </c>
      <c r="B698" s="9" t="str">
        <f ca="1">_xlfn.XLOOKUP(A698,Cleaned_Data!A:A,Cleaned_Data!B:B)</f>
        <v>Kavya Shetty</v>
      </c>
      <c r="C698" s="9" t="str">
        <f ca="1">_xlfn.XLOOKUP(A698,Cleaned_Data!A:A,Cleaned_Data!C:C)</f>
        <v>Trivandrum</v>
      </c>
      <c r="D698" s="9" t="str">
        <f ca="1">_xlfn.XLOOKUP(A698,Cleaned_Data!A:A,Cleaned_Data!L:L)</f>
        <v>Muscle Gain</v>
      </c>
    </row>
    <row r="699" spans="1:4">
      <c r="A699" s="9" t="str">
        <v>MEM0698</v>
      </c>
      <c r="B699" s="9" t="str">
        <f ca="1">_xlfn.XLOOKUP(A699,Cleaned_Data!A:A,Cleaned_Data!B:B)</f>
        <v>Ayesha Nambiar</v>
      </c>
      <c r="C699" s="9" t="str">
        <f ca="1">_xlfn.XLOOKUP(A699,Cleaned_Data!A:A,Cleaned_Data!C:C)</f>
        <v>Kochi</v>
      </c>
      <c r="D699" s="9" t="str">
        <f ca="1">_xlfn.XLOOKUP(A699,Cleaned_Data!A:A,Cleaned_Data!L:L)</f>
        <v>Muscle Gain</v>
      </c>
    </row>
    <row r="700" spans="1:4">
      <c r="A700" s="9" t="str">
        <v>MEM0699</v>
      </c>
      <c r="B700" s="9" t="str">
        <f ca="1">_xlfn.XLOOKUP(A700,Cleaned_Data!A:A,Cleaned_Data!B:B)</f>
        <v>Deepak Malhotra</v>
      </c>
      <c r="C700" s="9" t="str">
        <f ca="1">_xlfn.XLOOKUP(A700,Cleaned_Data!A:A,Cleaned_Data!C:C)</f>
        <v>Bangalore</v>
      </c>
      <c r="D700" s="9" t="str">
        <f ca="1">_xlfn.XLOOKUP(A700,Cleaned_Data!A:A,Cleaned_Data!L:L)</f>
        <v>General Fitness</v>
      </c>
    </row>
    <row r="701" spans="1:4">
      <c r="A701" s="9" t="str">
        <v>MEM0700</v>
      </c>
      <c r="B701" s="9" t="str">
        <f ca="1">_xlfn.XLOOKUP(A701,Cleaned_Data!A:A,Cleaned_Data!B:B)</f>
        <v>Siddharth Lewis</v>
      </c>
      <c r="C701" s="9" t="str">
        <f ca="1">_xlfn.XLOOKUP(A701,Cleaned_Data!A:A,Cleaned_Data!C:C)</f>
        <v>Calicut</v>
      </c>
      <c r="D701" s="9" t="str">
        <f ca="1">_xlfn.XLOOKUP(A701,Cleaned_Data!A:A,Cleaned_Data!L:L)</f>
        <v>General Fitness</v>
      </c>
    </row>
    <row r="702" spans="1:4">
      <c r="A702" s="9" t="str">
        <v>MEM0701</v>
      </c>
      <c r="B702" s="9" t="str">
        <f ca="1">_xlfn.XLOOKUP(A702,Cleaned_Data!A:A,Cleaned_Data!B:B)</f>
        <v>Shreya Desai</v>
      </c>
      <c r="C702" s="9" t="str">
        <f ca="1">_xlfn.XLOOKUP(A702,Cleaned_Data!A:A,Cleaned_Data!C:C)</f>
        <v>Calicut</v>
      </c>
      <c r="D702" s="9" t="str">
        <f ca="1">_xlfn.XLOOKUP(A702,Cleaned_Data!A:A,Cleaned_Data!L:L)</f>
        <v>Muscle Gain</v>
      </c>
    </row>
    <row r="703" spans="1:4">
      <c r="A703" s="9" t="str">
        <v>MEM0702</v>
      </c>
      <c r="B703" s="9" t="str">
        <f ca="1">_xlfn.XLOOKUP(A703,Cleaned_Data!A:A,Cleaned_Data!B:B)</f>
        <v>Nisha Fernandes</v>
      </c>
      <c r="C703" s="9" t="str">
        <f ca="1">_xlfn.XLOOKUP(A703,Cleaned_Data!A:A,Cleaned_Data!C:C)</f>
        <v>Kochi</v>
      </c>
      <c r="D703" s="9" t="str">
        <f ca="1">_xlfn.XLOOKUP(A703,Cleaned_Data!A:A,Cleaned_Data!L:L)</f>
        <v>General Fitness</v>
      </c>
    </row>
    <row r="704" spans="1:4">
      <c r="A704" s="9" t="str">
        <v>MEM0703</v>
      </c>
      <c r="B704" s="9" t="str">
        <f ca="1">_xlfn.XLOOKUP(A704,Cleaned_Data!A:A,Cleaned_Data!B:B)</f>
        <v>Vivek George</v>
      </c>
      <c r="C704" s="9" t="str">
        <f ca="1">_xlfn.XLOOKUP(A704,Cleaned_Data!A:A,Cleaned_Data!C:C)</f>
        <v>Mumbai</v>
      </c>
      <c r="D704" s="9" t="str">
        <f ca="1">_xlfn.XLOOKUP(A704,Cleaned_Data!A:A,Cleaned_Data!L:L)</f>
        <v>Weight Loss</v>
      </c>
    </row>
    <row r="705" spans="1:4">
      <c r="A705" s="9" t="str">
        <v>MEM0704</v>
      </c>
      <c r="B705" s="9" t="str">
        <f ca="1">_xlfn.XLOOKUP(A705,Cleaned_Data!A:A,Cleaned_Data!B:B)</f>
        <v>Priya Malhotra</v>
      </c>
      <c r="C705" s="9" t="str">
        <f ca="1">_xlfn.XLOOKUP(A705,Cleaned_Data!A:A,Cleaned_Data!C:C)</f>
        <v>Chennai</v>
      </c>
      <c r="D705" s="9" t="str">
        <f ca="1">_xlfn.XLOOKUP(A705,Cleaned_Data!A:A,Cleaned_Data!L:L)</f>
        <v>Muscle Gain</v>
      </c>
    </row>
    <row r="706" spans="1:4">
      <c r="A706" s="9" t="str">
        <v>MEM0705</v>
      </c>
      <c r="B706" s="9" t="str">
        <f ca="1">_xlfn.XLOOKUP(A706,Cleaned_Data!A:A,Cleaned_Data!B:B)</f>
        <v>Manoj Banerjee</v>
      </c>
      <c r="C706" s="9" t="str">
        <f ca="1">_xlfn.XLOOKUP(A706,Cleaned_Data!A:A,Cleaned_Data!C:C)</f>
        <v>Trivandrum</v>
      </c>
      <c r="D706" s="9" t="str">
        <f ca="1">_xlfn.XLOOKUP(A706,Cleaned_Data!A:A,Cleaned_Data!L:L)</f>
        <v>Muscle Gain</v>
      </c>
    </row>
    <row r="707" spans="1:4">
      <c r="A707" s="9" t="str">
        <v>MEM0706</v>
      </c>
      <c r="B707" s="9" t="str">
        <f ca="1">_xlfn.XLOOKUP(A707,Cleaned_Data!A:A,Cleaned_Data!B:B)</f>
        <v>Zara Thomas</v>
      </c>
      <c r="C707" s="9" t="str">
        <f ca="1">_xlfn.XLOOKUP(A707,Cleaned_Data!A:A,Cleaned_Data!C:C)</f>
        <v>Kochi</v>
      </c>
      <c r="D707" s="9" t="str">
        <f ca="1">_xlfn.XLOOKUP(A707,Cleaned_Data!A:A,Cleaned_Data!L:L)</f>
        <v>Weight Loss</v>
      </c>
    </row>
    <row r="708" spans="1:4">
      <c r="A708" s="9" t="str">
        <v>MEM0707</v>
      </c>
      <c r="B708" s="9" t="str">
        <f ca="1">_xlfn.XLOOKUP(A708,Cleaned_Data!A:A,Cleaned_Data!B:B)</f>
        <v>Divya Lewis</v>
      </c>
      <c r="C708" s="9" t="str">
        <f ca="1">_xlfn.XLOOKUP(A708,Cleaned_Data!A:A,Cleaned_Data!C:C)</f>
        <v>Kochi</v>
      </c>
      <c r="D708" s="9" t="str">
        <f ca="1">_xlfn.XLOOKUP(A708,Cleaned_Data!A:A,Cleaned_Data!L:L)</f>
        <v>General Fitness</v>
      </c>
    </row>
    <row r="709" spans="1:4">
      <c r="A709" s="9" t="str">
        <v>MEM0708</v>
      </c>
      <c r="B709" s="9" t="str">
        <f ca="1">_xlfn.XLOOKUP(A709,Cleaned_Data!A:A,Cleaned_Data!B:B)</f>
        <v>Sanjay Nambiar</v>
      </c>
      <c r="C709" s="9" t="str">
        <f ca="1">_xlfn.XLOOKUP(A709,Cleaned_Data!A:A,Cleaned_Data!C:C)</f>
        <v>Calicut</v>
      </c>
      <c r="D709" s="9" t="str">
        <f ca="1">_xlfn.XLOOKUP(A709,Cleaned_Data!A:A,Cleaned_Data!L:L)</f>
        <v>Weight Loss</v>
      </c>
    </row>
    <row r="710" spans="1:4">
      <c r="A710" s="9" t="str">
        <v>MEM0709</v>
      </c>
      <c r="B710" s="9" t="str">
        <f ca="1">_xlfn.XLOOKUP(A710,Cleaned_Data!A:A,Cleaned_Data!B:B)</f>
        <v>Karthik Khan</v>
      </c>
      <c r="C710" s="9" t="str">
        <f ca="1">_xlfn.XLOOKUP(A710,Cleaned_Data!A:A,Cleaned_Data!C:C)</f>
        <v>Kochi</v>
      </c>
      <c r="D710" s="9" t="str">
        <f ca="1">_xlfn.XLOOKUP(A710,Cleaned_Data!A:A,Cleaned_Data!L:L)</f>
        <v>General Fitness</v>
      </c>
    </row>
    <row r="711" spans="1:4">
      <c r="A711" s="9" t="str">
        <v>MEM0710</v>
      </c>
      <c r="B711" s="9" t="str">
        <f ca="1">_xlfn.XLOOKUP(A711,Cleaned_Data!A:A,Cleaned_Data!B:B)</f>
        <v>Manoj Joseph</v>
      </c>
      <c r="C711" s="9" t="str">
        <f ca="1">_xlfn.XLOOKUP(A711,Cleaned_Data!A:A,Cleaned_Data!C:C)</f>
        <v>Trivandrum</v>
      </c>
      <c r="D711" s="9" t="str">
        <f ca="1">_xlfn.XLOOKUP(A711,Cleaned_Data!A:A,Cleaned_Data!L:L)</f>
        <v>Muscle Gain</v>
      </c>
    </row>
    <row r="712" spans="1:4">
      <c r="A712" s="9" t="str">
        <v>MEM0711</v>
      </c>
      <c r="B712" s="9" t="str">
        <f ca="1">_xlfn.XLOOKUP(A712,Cleaned_Data!A:A,Cleaned_Data!B:B)</f>
        <v>Kavya Das</v>
      </c>
      <c r="C712" s="9" t="str">
        <f ca="1">_xlfn.XLOOKUP(A712,Cleaned_Data!A:A,Cleaned_Data!C:C)</f>
        <v>Mumbai</v>
      </c>
      <c r="D712" s="9" t="str">
        <f ca="1">_xlfn.XLOOKUP(A712,Cleaned_Data!A:A,Cleaned_Data!L:L)</f>
        <v>Weight Loss</v>
      </c>
    </row>
    <row r="713" spans="1:4">
      <c r="A713" s="9" t="str">
        <v>MEM0712</v>
      </c>
      <c r="B713" s="9" t="str">
        <f ca="1">_xlfn.XLOOKUP(A713,Cleaned_Data!A:A,Cleaned_Data!B:B)</f>
        <v>Shreya Thomas</v>
      </c>
      <c r="C713" s="9" t="str">
        <f ca="1">_xlfn.XLOOKUP(A713,Cleaned_Data!A:A,Cleaned_Data!C:C)</f>
        <v>Kochi</v>
      </c>
      <c r="D713" s="9" t="str">
        <f ca="1">_xlfn.XLOOKUP(A713,Cleaned_Data!A:A,Cleaned_Data!L:L)</f>
        <v>Muscle Gain</v>
      </c>
    </row>
    <row r="714" spans="1:4">
      <c r="A714" s="9" t="str">
        <v>MEM0713</v>
      </c>
      <c r="B714" s="9" t="str">
        <f ca="1">_xlfn.XLOOKUP(A714,Cleaned_Data!A:A,Cleaned_Data!B:B)</f>
        <v>Kavya Shetty</v>
      </c>
      <c r="C714" s="9" t="str">
        <f ca="1">_xlfn.XLOOKUP(A714,Cleaned_Data!A:A,Cleaned_Data!C:C)</f>
        <v>Chennai</v>
      </c>
      <c r="D714" s="9" t="str">
        <f ca="1">_xlfn.XLOOKUP(A714,Cleaned_Data!A:A,Cleaned_Data!L:L)</f>
        <v>Weight Loss</v>
      </c>
    </row>
    <row r="715" spans="1:4">
      <c r="A715" s="9" t="str">
        <v>MEM0714</v>
      </c>
      <c r="B715" s="9" t="str">
        <f ca="1">_xlfn.XLOOKUP(A715,Cleaned_Data!A:A,Cleaned_Data!B:B)</f>
        <v>Rahul Menon</v>
      </c>
      <c r="C715" s="9" t="str">
        <f ca="1">_xlfn.XLOOKUP(A715,Cleaned_Data!A:A,Cleaned_Data!C:C)</f>
        <v>Kochi</v>
      </c>
      <c r="D715" s="9" t="str">
        <f ca="1">_xlfn.XLOOKUP(A715,Cleaned_Data!A:A,Cleaned_Data!L:L)</f>
        <v>Weight Loss</v>
      </c>
    </row>
    <row r="716" spans="1:4">
      <c r="A716" s="9" t="str">
        <v>MEM0715</v>
      </c>
      <c r="B716" s="9" t="str">
        <f ca="1">_xlfn.XLOOKUP(A716,Cleaned_Data!A:A,Cleaned_Data!B:B)</f>
        <v>Anu George</v>
      </c>
      <c r="C716" s="9" t="str">
        <f ca="1">_xlfn.XLOOKUP(A716,Cleaned_Data!A:A,Cleaned_Data!C:C)</f>
        <v>Kochi</v>
      </c>
      <c r="D716" s="9" t="str">
        <f ca="1">_xlfn.XLOOKUP(A716,Cleaned_Data!A:A,Cleaned_Data!L:L)</f>
        <v>General Fitness</v>
      </c>
    </row>
    <row r="717" spans="1:4">
      <c r="A717" s="9" t="str">
        <v>MEM0716</v>
      </c>
      <c r="B717" s="9" t="str">
        <f ca="1">_xlfn.XLOOKUP(A717,Cleaned_Data!A:A,Cleaned_Data!B:B)</f>
        <v>Meera Das</v>
      </c>
      <c r="C717" s="9" t="str">
        <f ca="1">_xlfn.XLOOKUP(A717,Cleaned_Data!A:A,Cleaned_Data!C:C)</f>
        <v>Mumbai</v>
      </c>
      <c r="D717" s="9" t="str">
        <f ca="1">_xlfn.XLOOKUP(A717,Cleaned_Data!A:A,Cleaned_Data!L:L)</f>
        <v>General Fitness</v>
      </c>
    </row>
    <row r="718" spans="1:4">
      <c r="A718" s="9" t="str">
        <v>MEM0717</v>
      </c>
      <c r="B718" s="9" t="str">
        <f ca="1">_xlfn.XLOOKUP(A718,Cleaned_Data!A:A,Cleaned_Data!B:B)</f>
        <v>Akash Bhat</v>
      </c>
      <c r="C718" s="9" t="str">
        <f ca="1">_xlfn.XLOOKUP(A718,Cleaned_Data!A:A,Cleaned_Data!C:C)</f>
        <v>Chennai</v>
      </c>
      <c r="D718" s="9" t="str">
        <f ca="1">_xlfn.XLOOKUP(A718,Cleaned_Data!A:A,Cleaned_Data!L:L)</f>
        <v>Muscle Gain</v>
      </c>
    </row>
    <row r="719" spans="1:4">
      <c r="A719" s="9" t="str">
        <v>MEM0718</v>
      </c>
      <c r="B719" s="9" t="str">
        <f ca="1">_xlfn.XLOOKUP(A719,Cleaned_Data!A:A,Cleaned_Data!B:B)</f>
        <v>Lakshmi Shetty</v>
      </c>
      <c r="C719" s="9" t="str">
        <f ca="1">_xlfn.XLOOKUP(A719,Cleaned_Data!A:A,Cleaned_Data!C:C)</f>
        <v>Kochi</v>
      </c>
      <c r="D719" s="9" t="str">
        <f ca="1">_xlfn.XLOOKUP(A719,Cleaned_Data!A:A,Cleaned_Data!L:L)</f>
        <v>General Fitness</v>
      </c>
    </row>
    <row r="720" spans="1:4">
      <c r="A720" s="9" t="str">
        <v>MEM0719</v>
      </c>
      <c r="B720" s="9" t="str">
        <f ca="1">_xlfn.XLOOKUP(A720,Cleaned_Data!A:A,Cleaned_Data!B:B)</f>
        <v>Shreya Lewis</v>
      </c>
      <c r="C720" s="9" t="str">
        <f ca="1">_xlfn.XLOOKUP(A720,Cleaned_Data!A:A,Cleaned_Data!C:C)</f>
        <v>Hyderabad</v>
      </c>
      <c r="D720" s="9" t="str">
        <f ca="1">_xlfn.XLOOKUP(A720,Cleaned_Data!A:A,Cleaned_Data!L:L)</f>
        <v>General Fitness</v>
      </c>
    </row>
    <row r="721" spans="1:4">
      <c r="A721" s="9" t="str">
        <v>MEM0720</v>
      </c>
      <c r="B721" s="9" t="str">
        <f ca="1">_xlfn.XLOOKUP(A721,Cleaned_Data!A:A,Cleaned_Data!B:B)</f>
        <v>Rohit Patel</v>
      </c>
      <c r="C721" s="9" t="str">
        <f ca="1">_xlfn.XLOOKUP(A721,Cleaned_Data!A:A,Cleaned_Data!C:C)</f>
        <v>Calicut</v>
      </c>
      <c r="D721" s="9" t="str">
        <f ca="1">_xlfn.XLOOKUP(A721,Cleaned_Data!A:A,Cleaned_Data!L:L)</f>
        <v>Muscle Gain</v>
      </c>
    </row>
    <row r="722" spans="1:4">
      <c r="A722" s="9" t="str">
        <v>MEM0721</v>
      </c>
      <c r="B722" s="9" t="str">
        <f ca="1">_xlfn.XLOOKUP(A722,Cleaned_Data!A:A,Cleaned_Data!B:B)</f>
        <v>Swathi Banerjee</v>
      </c>
      <c r="C722" s="9" t="str">
        <f ca="1">_xlfn.XLOOKUP(A722,Cleaned_Data!A:A,Cleaned_Data!C:C)</f>
        <v>Bangalore</v>
      </c>
      <c r="D722" s="9" t="str">
        <f ca="1">_xlfn.XLOOKUP(A722,Cleaned_Data!A:A,Cleaned_Data!L:L)</f>
        <v>Weight Loss</v>
      </c>
    </row>
    <row r="723" spans="1:4">
      <c r="A723" s="9" t="str">
        <v>MEM0722</v>
      </c>
      <c r="B723" s="9" t="str">
        <f ca="1">_xlfn.XLOOKUP(A723,Cleaned_Data!A:A,Cleaned_Data!B:B)</f>
        <v>Varun Patel</v>
      </c>
      <c r="C723" s="9" t="str">
        <f ca="1">_xlfn.XLOOKUP(A723,Cleaned_Data!A:A,Cleaned_Data!C:C)</f>
        <v>Calicut</v>
      </c>
      <c r="D723" s="9" t="str">
        <f ca="1">_xlfn.XLOOKUP(A723,Cleaned_Data!A:A,Cleaned_Data!L:L)</f>
        <v>Weight Loss</v>
      </c>
    </row>
    <row r="724" spans="1:4">
      <c r="A724" s="9" t="str">
        <v>MEM0723</v>
      </c>
      <c r="B724" s="9" t="str">
        <f ca="1">_xlfn.XLOOKUP(A724,Cleaned_Data!A:A,Cleaned_Data!B:B)</f>
        <v>Fatima Nair</v>
      </c>
      <c r="C724" s="9" t="str">
        <f ca="1">_xlfn.XLOOKUP(A724,Cleaned_Data!A:A,Cleaned_Data!C:C)</f>
        <v>Trivandrum</v>
      </c>
      <c r="D724" s="9" t="str">
        <f ca="1">_xlfn.XLOOKUP(A724,Cleaned_Data!A:A,Cleaned_Data!L:L)</f>
        <v>Weight Loss</v>
      </c>
    </row>
    <row r="725" spans="1:4">
      <c r="A725" s="9" t="str">
        <v>MEM0724</v>
      </c>
      <c r="B725" s="9" t="str">
        <f ca="1">_xlfn.XLOOKUP(A725,Cleaned_Data!A:A,Cleaned_Data!B:B)</f>
        <v>Shreya Thomas</v>
      </c>
      <c r="C725" s="9" t="str">
        <f ca="1">_xlfn.XLOOKUP(A725,Cleaned_Data!A:A,Cleaned_Data!C:C)</f>
        <v>Chennai</v>
      </c>
      <c r="D725" s="9" t="str">
        <f ca="1">_xlfn.XLOOKUP(A725,Cleaned_Data!A:A,Cleaned_Data!L:L)</f>
        <v>Muscle Gain</v>
      </c>
    </row>
    <row r="726" spans="1:4">
      <c r="A726" s="9" t="str">
        <v>MEM0725</v>
      </c>
      <c r="B726" s="9" t="str">
        <f ca="1">_xlfn.XLOOKUP(A726,Cleaned_Data!A:A,Cleaned_Data!B:B)</f>
        <v>Swathi Verma</v>
      </c>
      <c r="C726" s="9" t="str">
        <f ca="1">_xlfn.XLOOKUP(A726,Cleaned_Data!A:A,Cleaned_Data!C:C)</f>
        <v>Kochi</v>
      </c>
      <c r="D726" s="9" t="str">
        <f ca="1">_xlfn.XLOOKUP(A726,Cleaned_Data!A:A,Cleaned_Data!L:L)</f>
        <v>General Fitness</v>
      </c>
    </row>
    <row r="727" spans="1:4">
      <c r="A727" s="9" t="str">
        <v>MEM0726</v>
      </c>
      <c r="B727" s="9" t="str">
        <f ca="1">_xlfn.XLOOKUP(A727,Cleaned_Data!A:A,Cleaned_Data!B:B)</f>
        <v>Anjali Bhat</v>
      </c>
      <c r="C727" s="9" t="str">
        <f ca="1">_xlfn.XLOOKUP(A727,Cleaned_Data!A:A,Cleaned_Data!C:C)</f>
        <v>Mumbai</v>
      </c>
      <c r="D727" s="9" t="str">
        <f ca="1">_xlfn.XLOOKUP(A727,Cleaned_Data!A:A,Cleaned_Data!L:L)</f>
        <v>Muscle Gain</v>
      </c>
    </row>
    <row r="728" spans="1:4">
      <c r="A728" s="9" t="str">
        <v>MEM0727</v>
      </c>
      <c r="B728" s="9" t="str">
        <f ca="1">_xlfn.XLOOKUP(A728,Cleaned_Data!A:A,Cleaned_Data!B:B)</f>
        <v>Tanvi Varghese</v>
      </c>
      <c r="C728" s="9" t="str">
        <f ca="1">_xlfn.XLOOKUP(A728,Cleaned_Data!A:A,Cleaned_Data!C:C)</f>
        <v>Bangalore</v>
      </c>
      <c r="D728" s="9" t="str">
        <f ca="1">_xlfn.XLOOKUP(A728,Cleaned_Data!A:A,Cleaned_Data!L:L)</f>
        <v>General Fitness</v>
      </c>
    </row>
    <row r="729" spans="1:4">
      <c r="A729" s="9" t="str">
        <v>MEM0728</v>
      </c>
      <c r="B729" s="9" t="str">
        <f ca="1">_xlfn.XLOOKUP(A729,Cleaned_Data!A:A,Cleaned_Data!B:B)</f>
        <v>Ayesha Shetty</v>
      </c>
      <c r="C729" s="9" t="str">
        <f ca="1">_xlfn.XLOOKUP(A729,Cleaned_Data!A:A,Cleaned_Data!C:C)</f>
        <v>Calicut</v>
      </c>
      <c r="D729" s="9" t="str">
        <f ca="1">_xlfn.XLOOKUP(A729,Cleaned_Data!A:A,Cleaned_Data!L:L)</f>
        <v>General Fitness</v>
      </c>
    </row>
    <row r="730" spans="1:4">
      <c r="A730" s="9" t="str">
        <v>MEM0729</v>
      </c>
      <c r="B730" s="9" t="str">
        <f ca="1">_xlfn.XLOOKUP(A730,Cleaned_Data!A:A,Cleaned_Data!B:B)</f>
        <v>Rohit Chatterjee</v>
      </c>
      <c r="C730" s="9" t="str">
        <f ca="1">_xlfn.XLOOKUP(A730,Cleaned_Data!A:A,Cleaned_Data!C:C)</f>
        <v>Calicut</v>
      </c>
      <c r="D730" s="9" t="str">
        <f ca="1">_xlfn.XLOOKUP(A730,Cleaned_Data!A:A,Cleaned_Data!L:L)</f>
        <v>Muscle Gain</v>
      </c>
    </row>
    <row r="731" spans="1:4">
      <c r="A731" s="9" t="str">
        <v>MEM0730</v>
      </c>
      <c r="B731" s="9" t="str">
        <f ca="1">_xlfn.XLOOKUP(A731,Cleaned_Data!A:A,Cleaned_Data!B:B)</f>
        <v>Divya Shetty</v>
      </c>
      <c r="C731" s="9" t="str">
        <f ca="1">_xlfn.XLOOKUP(A731,Cleaned_Data!A:A,Cleaned_Data!C:C)</f>
        <v>Kochi</v>
      </c>
      <c r="D731" s="9" t="str">
        <f ca="1">_xlfn.XLOOKUP(A731,Cleaned_Data!A:A,Cleaned_Data!L:L)</f>
        <v>General Fitness</v>
      </c>
    </row>
    <row r="732" spans="1:4">
      <c r="A732" s="9" t="str">
        <v>MEM0731</v>
      </c>
      <c r="B732" s="9" t="str">
        <f ca="1">_xlfn.XLOOKUP(A732,Cleaned_Data!A:A,Cleaned_Data!B:B)</f>
        <v>Akash Patel</v>
      </c>
      <c r="C732" s="9" t="str">
        <f ca="1">_xlfn.XLOOKUP(A732,Cleaned_Data!A:A,Cleaned_Data!C:C)</f>
        <v>Trivandrum</v>
      </c>
      <c r="D732" s="9" t="str">
        <f ca="1">_xlfn.XLOOKUP(A732,Cleaned_Data!A:A,Cleaned_Data!L:L)</f>
        <v>Muscle Gain</v>
      </c>
    </row>
    <row r="733" spans="1:4">
      <c r="A733" s="9" t="str">
        <v>MEM0732</v>
      </c>
      <c r="B733" s="9" t="str">
        <f ca="1">_xlfn.XLOOKUP(A733,Cleaned_Data!A:A,Cleaned_Data!B:B)</f>
        <v>Anjali Nambiar</v>
      </c>
      <c r="C733" s="9" t="str">
        <f ca="1">_xlfn.XLOOKUP(A733,Cleaned_Data!A:A,Cleaned_Data!C:C)</f>
        <v>Mumbai</v>
      </c>
      <c r="D733" s="9" t="str">
        <f ca="1">_xlfn.XLOOKUP(A733,Cleaned_Data!A:A,Cleaned_Data!L:L)</f>
        <v>General Fitness</v>
      </c>
    </row>
    <row r="734" spans="1:4">
      <c r="A734" s="9" t="str">
        <v>MEM0733</v>
      </c>
      <c r="B734" s="9" t="str">
        <f ca="1">_xlfn.XLOOKUP(A734,Cleaned_Data!A:A,Cleaned_Data!B:B)</f>
        <v>Kavya George</v>
      </c>
      <c r="C734" s="9" t="str">
        <f ca="1">_xlfn.XLOOKUP(A734,Cleaned_Data!A:A,Cleaned_Data!C:C)</f>
        <v>Chennai</v>
      </c>
      <c r="D734" s="9" t="str">
        <f ca="1">_xlfn.XLOOKUP(A734,Cleaned_Data!A:A,Cleaned_Data!L:L)</f>
        <v>Muscle Gain</v>
      </c>
    </row>
    <row r="735" spans="1:4">
      <c r="A735" s="9" t="str">
        <v>MEM0734</v>
      </c>
      <c r="B735" s="9" t="str">
        <f ca="1">_xlfn.XLOOKUP(A735,Cleaned_Data!A:A,Cleaned_Data!B:B)</f>
        <v>Ayesha Lewis</v>
      </c>
      <c r="C735" s="9" t="str">
        <f ca="1">_xlfn.XLOOKUP(A735,Cleaned_Data!A:A,Cleaned_Data!C:C)</f>
        <v>Calicut</v>
      </c>
      <c r="D735" s="9" t="str">
        <f ca="1">_xlfn.XLOOKUP(A735,Cleaned_Data!A:A,Cleaned_Data!L:L)</f>
        <v>Weight Loss</v>
      </c>
    </row>
    <row r="736" spans="1:4">
      <c r="A736" s="9" t="str">
        <v>MEM0735</v>
      </c>
      <c r="B736" s="9" t="str">
        <f ca="1">_xlfn.XLOOKUP(A736,Cleaned_Data!A:A,Cleaned_Data!B:B)</f>
        <v>Meera Reddy</v>
      </c>
      <c r="C736" s="9" t="str">
        <f ca="1">_xlfn.XLOOKUP(A736,Cleaned_Data!A:A,Cleaned_Data!C:C)</f>
        <v>Hyderabad</v>
      </c>
      <c r="D736" s="9" t="str">
        <f ca="1">_xlfn.XLOOKUP(A736,Cleaned_Data!A:A,Cleaned_Data!L:L)</f>
        <v>Muscle Gain</v>
      </c>
    </row>
    <row r="737" spans="1:4">
      <c r="A737" s="9" t="str">
        <v>MEM0736</v>
      </c>
      <c r="B737" s="9" t="str">
        <f ca="1">_xlfn.XLOOKUP(A737,Cleaned_Data!A:A,Cleaned_Data!B:B)</f>
        <v>Kavya Das</v>
      </c>
      <c r="C737" s="9" t="str">
        <f ca="1">_xlfn.XLOOKUP(A737,Cleaned_Data!A:A,Cleaned_Data!C:C)</f>
        <v>Trivandrum</v>
      </c>
      <c r="D737" s="9" t="str">
        <f ca="1">_xlfn.XLOOKUP(A737,Cleaned_Data!A:A,Cleaned_Data!L:L)</f>
        <v>Muscle Gain</v>
      </c>
    </row>
    <row r="738" spans="1:4">
      <c r="A738" s="9" t="str">
        <v>MEM0737</v>
      </c>
      <c r="B738" s="9" t="str">
        <f ca="1">_xlfn.XLOOKUP(A738,Cleaned_Data!A:A,Cleaned_Data!B:B)</f>
        <v>Divya Joseph</v>
      </c>
      <c r="C738" s="9" t="str">
        <f ca="1">_xlfn.XLOOKUP(A738,Cleaned_Data!A:A,Cleaned_Data!C:C)</f>
        <v>Mumbai</v>
      </c>
      <c r="D738" s="9" t="str">
        <f ca="1">_xlfn.XLOOKUP(A738,Cleaned_Data!A:A,Cleaned_Data!L:L)</f>
        <v>General Fitness</v>
      </c>
    </row>
    <row r="739" spans="1:4">
      <c r="A739" s="9" t="str">
        <v>MEM0738</v>
      </c>
      <c r="B739" s="9" t="str">
        <f ca="1">_xlfn.XLOOKUP(A739,Cleaned_Data!A:A,Cleaned_Data!B:B)</f>
        <v>Rahul Singh</v>
      </c>
      <c r="C739" s="9" t="str">
        <f ca="1">_xlfn.XLOOKUP(A739,Cleaned_Data!A:A,Cleaned_Data!C:C)</f>
        <v>Bangalore</v>
      </c>
      <c r="D739" s="9" t="str">
        <f ca="1">_xlfn.XLOOKUP(A739,Cleaned_Data!A:A,Cleaned_Data!L:L)</f>
        <v>Muscle Gain</v>
      </c>
    </row>
    <row r="740" spans="1:4">
      <c r="A740" s="9" t="str">
        <v>MEM0739</v>
      </c>
      <c r="B740" s="9" t="str">
        <f ca="1">_xlfn.XLOOKUP(A740,Cleaned_Data!A:A,Cleaned_Data!B:B)</f>
        <v>Lakshmi Pillai</v>
      </c>
      <c r="C740" s="9" t="str">
        <f ca="1">_xlfn.XLOOKUP(A740,Cleaned_Data!A:A,Cleaned_Data!C:C)</f>
        <v>Kochi</v>
      </c>
      <c r="D740" s="9" t="str">
        <f ca="1">_xlfn.XLOOKUP(A740,Cleaned_Data!A:A,Cleaned_Data!L:L)</f>
        <v>General Fitness</v>
      </c>
    </row>
    <row r="741" spans="1:4">
      <c r="A741" s="9" t="str">
        <v>MEM0740</v>
      </c>
      <c r="B741" s="9" t="str">
        <f ca="1">_xlfn.XLOOKUP(A741,Cleaned_Data!A:A,Cleaned_Data!B:B)</f>
        <v>Arjun Shetty</v>
      </c>
      <c r="C741" s="9" t="str">
        <f ca="1">_xlfn.XLOOKUP(A741,Cleaned_Data!A:A,Cleaned_Data!C:C)</f>
        <v>Bangalore</v>
      </c>
      <c r="D741" s="9" t="str">
        <f ca="1">_xlfn.XLOOKUP(A741,Cleaned_Data!A:A,Cleaned_Data!L:L)</f>
        <v>Muscle Gain</v>
      </c>
    </row>
    <row r="742" spans="1:4">
      <c r="A742" s="9" t="str">
        <v>MEM0741</v>
      </c>
      <c r="B742" s="9" t="str">
        <f ca="1">_xlfn.XLOOKUP(A742,Cleaned_Data!A:A,Cleaned_Data!B:B)</f>
        <v>Ankit Singh</v>
      </c>
      <c r="C742" s="9" t="str">
        <f ca="1">_xlfn.XLOOKUP(A742,Cleaned_Data!A:A,Cleaned_Data!C:C)</f>
        <v>Chennai</v>
      </c>
      <c r="D742" s="9" t="str">
        <f ca="1">_xlfn.XLOOKUP(A742,Cleaned_Data!A:A,Cleaned_Data!L:L)</f>
        <v>Muscle Gain</v>
      </c>
    </row>
    <row r="743" spans="1:4">
      <c r="A743" s="9" t="str">
        <v>MEM0742</v>
      </c>
      <c r="B743" s="9" t="str">
        <f ca="1">_xlfn.XLOOKUP(A743,Cleaned_Data!A:A,Cleaned_Data!B:B)</f>
        <v>Sanjay Fernandes</v>
      </c>
      <c r="C743" s="9" t="str">
        <f ca="1">_xlfn.XLOOKUP(A743,Cleaned_Data!A:A,Cleaned_Data!C:C)</f>
        <v>Bangalore</v>
      </c>
      <c r="D743" s="9" t="str">
        <f ca="1">_xlfn.XLOOKUP(A743,Cleaned_Data!A:A,Cleaned_Data!L:L)</f>
        <v>General Fitness</v>
      </c>
    </row>
    <row r="744" spans="1:4">
      <c r="A744" s="9" t="str">
        <v>MEM0743</v>
      </c>
      <c r="B744" s="9" t="str">
        <f ca="1">_xlfn.XLOOKUP(A744,Cleaned_Data!A:A,Cleaned_Data!B:B)</f>
        <v>Siddharth Bhat</v>
      </c>
      <c r="C744" s="9" t="str">
        <f ca="1">_xlfn.XLOOKUP(A744,Cleaned_Data!A:A,Cleaned_Data!C:C)</f>
        <v>Hyderabad</v>
      </c>
      <c r="D744" s="9" t="str">
        <f ca="1">_xlfn.XLOOKUP(A744,Cleaned_Data!A:A,Cleaned_Data!L:L)</f>
        <v>Muscle Gain</v>
      </c>
    </row>
    <row r="745" spans="1:4">
      <c r="A745" s="9" t="str">
        <v>MEM0744</v>
      </c>
      <c r="B745" s="9" t="str">
        <f ca="1">_xlfn.XLOOKUP(A745,Cleaned_Data!A:A,Cleaned_Data!B:B)</f>
        <v>Swathi Patel</v>
      </c>
      <c r="C745" s="9" t="str">
        <f ca="1">_xlfn.XLOOKUP(A745,Cleaned_Data!A:A,Cleaned_Data!C:C)</f>
        <v>Bangalore</v>
      </c>
      <c r="D745" s="9" t="str">
        <f ca="1">_xlfn.XLOOKUP(A745,Cleaned_Data!A:A,Cleaned_Data!L:L)</f>
        <v>Weight Loss</v>
      </c>
    </row>
    <row r="746" spans="1:4">
      <c r="A746" s="9" t="str">
        <v>MEM0745</v>
      </c>
      <c r="B746" s="9" t="str">
        <f ca="1">_xlfn.XLOOKUP(A746,Cleaned_Data!A:A,Cleaned_Data!B:B)</f>
        <v>Ishita Varghese</v>
      </c>
      <c r="C746" s="9" t="str">
        <f ca="1">_xlfn.XLOOKUP(A746,Cleaned_Data!A:A,Cleaned_Data!C:C)</f>
        <v>Hyderabad</v>
      </c>
      <c r="D746" s="9" t="str">
        <f ca="1">_xlfn.XLOOKUP(A746,Cleaned_Data!A:A,Cleaned_Data!L:L)</f>
        <v>Weight Loss</v>
      </c>
    </row>
    <row r="747" spans="1:4">
      <c r="A747" s="9" t="str">
        <v>MEM0746</v>
      </c>
      <c r="B747" s="9" t="str">
        <f ca="1">_xlfn.XLOOKUP(A747,Cleaned_Data!A:A,Cleaned_Data!B:B)</f>
        <v>Divya D’Souza</v>
      </c>
      <c r="C747" s="9" t="str">
        <f ca="1">_xlfn.XLOOKUP(A747,Cleaned_Data!A:A,Cleaned_Data!C:C)</f>
        <v>Mumbai</v>
      </c>
      <c r="D747" s="9" t="str">
        <f ca="1">_xlfn.XLOOKUP(A747,Cleaned_Data!A:A,Cleaned_Data!L:L)</f>
        <v>Weight Loss</v>
      </c>
    </row>
    <row r="748" spans="1:4">
      <c r="A748" s="9" t="str">
        <v>MEM0747</v>
      </c>
      <c r="B748" s="9" t="str">
        <f ca="1">_xlfn.XLOOKUP(A748,Cleaned_Data!A:A,Cleaned_Data!B:B)</f>
        <v>Akash Nambiar</v>
      </c>
      <c r="C748" s="9" t="str">
        <f ca="1">_xlfn.XLOOKUP(A748,Cleaned_Data!A:A,Cleaned_Data!C:C)</f>
        <v>Bangalore</v>
      </c>
      <c r="D748" s="9" t="str">
        <f ca="1">_xlfn.XLOOKUP(A748,Cleaned_Data!A:A,Cleaned_Data!L:L)</f>
        <v>Weight Loss</v>
      </c>
    </row>
    <row r="749" spans="1:4">
      <c r="A749" s="9" t="str">
        <v>MEM0748</v>
      </c>
      <c r="B749" s="9" t="str">
        <f ca="1">_xlfn.XLOOKUP(A749,Cleaned_Data!A:A,Cleaned_Data!B:B)</f>
        <v>Neha Banerjee</v>
      </c>
      <c r="C749" s="9" t="str">
        <f ca="1">_xlfn.XLOOKUP(A749,Cleaned_Data!A:A,Cleaned_Data!C:C)</f>
        <v>Mumbai</v>
      </c>
      <c r="D749" s="9" t="str">
        <f ca="1">_xlfn.XLOOKUP(A749,Cleaned_Data!A:A,Cleaned_Data!L:L)</f>
        <v>Weight Loss</v>
      </c>
    </row>
    <row r="750" spans="1:4">
      <c r="A750" s="9" t="str">
        <v>MEM0749</v>
      </c>
      <c r="B750" s="9" t="str">
        <f ca="1">_xlfn.XLOOKUP(A750,Cleaned_Data!A:A,Cleaned_Data!B:B)</f>
        <v>Kavya Gupta</v>
      </c>
      <c r="C750" s="9" t="str">
        <f ca="1">_xlfn.XLOOKUP(A750,Cleaned_Data!A:A,Cleaned_Data!C:C)</f>
        <v>Mumbai</v>
      </c>
      <c r="D750" s="9" t="str">
        <f ca="1">_xlfn.XLOOKUP(A750,Cleaned_Data!A:A,Cleaned_Data!L:L)</f>
        <v>Weight Loss</v>
      </c>
    </row>
    <row r="751" spans="1:4">
      <c r="A751" s="9" t="str">
        <v>MEM0750</v>
      </c>
      <c r="B751" s="9" t="str">
        <f ca="1">_xlfn.XLOOKUP(A751,Cleaned_Data!A:A,Cleaned_Data!B:B)</f>
        <v>Shreya George</v>
      </c>
      <c r="C751" s="9" t="str">
        <f ca="1">_xlfn.XLOOKUP(A751,Cleaned_Data!A:A,Cleaned_Data!C:C)</f>
        <v>Calicut</v>
      </c>
      <c r="D751" s="9" t="str">
        <f ca="1">_xlfn.XLOOKUP(A751,Cleaned_Data!A:A,Cleaned_Data!L:L)</f>
        <v>Muscle Gain</v>
      </c>
    </row>
    <row r="752" spans="1:4">
      <c r="A752" s="9" t="str">
        <v>MEM0751</v>
      </c>
      <c r="B752" s="9" t="str">
        <f ca="1">_xlfn.XLOOKUP(A752,Cleaned_Data!A:A,Cleaned_Data!B:B)</f>
        <v>Meera Singh</v>
      </c>
      <c r="C752" s="9" t="str">
        <f ca="1">_xlfn.XLOOKUP(A752,Cleaned_Data!A:A,Cleaned_Data!C:C)</f>
        <v>Bangalore</v>
      </c>
      <c r="D752" s="9" t="str">
        <f ca="1">_xlfn.XLOOKUP(A752,Cleaned_Data!A:A,Cleaned_Data!L:L)</f>
        <v>General Fitness</v>
      </c>
    </row>
    <row r="753" spans="1:4">
      <c r="A753" s="9" t="str">
        <v>MEM0752</v>
      </c>
      <c r="B753" s="9" t="str">
        <f ca="1">_xlfn.XLOOKUP(A753,Cleaned_Data!A:A,Cleaned_Data!B:B)</f>
        <v>Ayesha Fernandes</v>
      </c>
      <c r="C753" s="9" t="str">
        <f ca="1">_xlfn.XLOOKUP(A753,Cleaned_Data!A:A,Cleaned_Data!C:C)</f>
        <v>Hyderabad</v>
      </c>
      <c r="D753" s="9" t="str">
        <f ca="1">_xlfn.XLOOKUP(A753,Cleaned_Data!A:A,Cleaned_Data!L:L)</f>
        <v>Muscle Gain</v>
      </c>
    </row>
    <row r="754" spans="1:4">
      <c r="A754" s="9" t="str">
        <v>MEM0753</v>
      </c>
      <c r="B754" s="9" t="str">
        <f ca="1">_xlfn.XLOOKUP(A754,Cleaned_Data!A:A,Cleaned_Data!B:B)</f>
        <v>Arjun Lewis</v>
      </c>
      <c r="C754" s="9" t="str">
        <f ca="1">_xlfn.XLOOKUP(A754,Cleaned_Data!A:A,Cleaned_Data!C:C)</f>
        <v>Mumbai</v>
      </c>
      <c r="D754" s="9" t="str">
        <f ca="1">_xlfn.XLOOKUP(A754,Cleaned_Data!A:A,Cleaned_Data!L:L)</f>
        <v>Muscle Gain</v>
      </c>
    </row>
    <row r="755" spans="1:4">
      <c r="A755" s="9" t="str">
        <v>MEM0754</v>
      </c>
      <c r="B755" s="9" t="str">
        <f ca="1">_xlfn.XLOOKUP(A755,Cleaned_Data!A:A,Cleaned_Data!B:B)</f>
        <v>Anjali Malhotra</v>
      </c>
      <c r="C755" s="9" t="str">
        <f ca="1">_xlfn.XLOOKUP(A755,Cleaned_Data!A:A,Cleaned_Data!C:C)</f>
        <v>Chennai</v>
      </c>
      <c r="D755" s="9" t="str">
        <f ca="1">_xlfn.XLOOKUP(A755,Cleaned_Data!A:A,Cleaned_Data!L:L)</f>
        <v>General Fitness</v>
      </c>
    </row>
    <row r="756" spans="1:4">
      <c r="A756" s="9" t="str">
        <v>MEM0755</v>
      </c>
      <c r="B756" s="9" t="str">
        <f ca="1">_xlfn.XLOOKUP(A756,Cleaned_Data!A:A,Cleaned_Data!B:B)</f>
        <v>Ayesha Reddy</v>
      </c>
      <c r="C756" s="9" t="str">
        <f ca="1">_xlfn.XLOOKUP(A756,Cleaned_Data!A:A,Cleaned_Data!C:C)</f>
        <v>Kochi</v>
      </c>
      <c r="D756" s="9" t="str">
        <f ca="1">_xlfn.XLOOKUP(A756,Cleaned_Data!A:A,Cleaned_Data!L:L)</f>
        <v>General Fitness</v>
      </c>
    </row>
    <row r="757" spans="1:4">
      <c r="A757" s="9" t="str">
        <v>MEM0756</v>
      </c>
      <c r="B757" s="9" t="str">
        <f ca="1">_xlfn.XLOOKUP(A757,Cleaned_Data!A:A,Cleaned_Data!B:B)</f>
        <v>Sanjay George</v>
      </c>
      <c r="C757" s="9" t="str">
        <f ca="1">_xlfn.XLOOKUP(A757,Cleaned_Data!A:A,Cleaned_Data!C:C)</f>
        <v>Bangalore</v>
      </c>
      <c r="D757" s="9" t="str">
        <f ca="1">_xlfn.XLOOKUP(A757,Cleaned_Data!A:A,Cleaned_Data!L:L)</f>
        <v>General Fitness</v>
      </c>
    </row>
    <row r="758" spans="1:4">
      <c r="A758" s="9" t="str">
        <v>MEM0757</v>
      </c>
      <c r="B758" s="9" t="str">
        <f ca="1">_xlfn.XLOOKUP(A758,Cleaned_Data!A:A,Cleaned_Data!B:B)</f>
        <v>Rahul Varghese</v>
      </c>
      <c r="C758" s="9" t="str">
        <f ca="1">_xlfn.XLOOKUP(A758,Cleaned_Data!A:A,Cleaned_Data!C:C)</f>
        <v>Hyderabad</v>
      </c>
      <c r="D758" s="9" t="str">
        <f ca="1">_xlfn.XLOOKUP(A758,Cleaned_Data!A:A,Cleaned_Data!L:L)</f>
        <v>Weight Loss</v>
      </c>
    </row>
    <row r="759" spans="1:4">
      <c r="A759" s="9" t="str">
        <v>MEM0758</v>
      </c>
      <c r="B759" s="9" t="str">
        <f ca="1">_xlfn.XLOOKUP(A759,Cleaned_Data!A:A,Cleaned_Data!B:B)</f>
        <v>Anjali Desai</v>
      </c>
      <c r="C759" s="9" t="str">
        <f ca="1">_xlfn.XLOOKUP(A759,Cleaned_Data!A:A,Cleaned_Data!C:C)</f>
        <v>Kochi</v>
      </c>
      <c r="D759" s="9" t="str">
        <f ca="1">_xlfn.XLOOKUP(A759,Cleaned_Data!A:A,Cleaned_Data!L:L)</f>
        <v>Weight Loss</v>
      </c>
    </row>
    <row r="760" spans="1:4">
      <c r="A760" s="9" t="str">
        <v>MEM0759</v>
      </c>
      <c r="B760" s="9" t="str">
        <f ca="1">_xlfn.XLOOKUP(A760,Cleaned_Data!A:A,Cleaned_Data!B:B)</f>
        <v>Fatima Shetty</v>
      </c>
      <c r="C760" s="9" t="str">
        <f ca="1">_xlfn.XLOOKUP(A760,Cleaned_Data!A:A,Cleaned_Data!C:C)</f>
        <v>Chennai</v>
      </c>
      <c r="D760" s="9" t="str">
        <f ca="1">_xlfn.XLOOKUP(A760,Cleaned_Data!A:A,Cleaned_Data!L:L)</f>
        <v>General Fitness</v>
      </c>
    </row>
    <row r="761" spans="1:4">
      <c r="A761" s="9" t="str">
        <v>MEM0760</v>
      </c>
      <c r="B761" s="9" t="str">
        <f ca="1">_xlfn.XLOOKUP(A761,Cleaned_Data!A:A,Cleaned_Data!B:B)</f>
        <v>Ayesha Chatterjee</v>
      </c>
      <c r="C761" s="9" t="str">
        <f ca="1">_xlfn.XLOOKUP(A761,Cleaned_Data!A:A,Cleaned_Data!C:C)</f>
        <v>Mumbai</v>
      </c>
      <c r="D761" s="9" t="str">
        <f ca="1">_xlfn.XLOOKUP(A761,Cleaned_Data!A:A,Cleaned_Data!L:L)</f>
        <v>General Fitness</v>
      </c>
    </row>
    <row r="762" spans="1:4">
      <c r="A762" s="9" t="str">
        <v>MEM0761</v>
      </c>
      <c r="B762" s="9" t="str">
        <f ca="1">_xlfn.XLOOKUP(A762,Cleaned_Data!A:A,Cleaned_Data!B:B)</f>
        <v>Akash Lewis</v>
      </c>
      <c r="C762" s="9" t="str">
        <f ca="1">_xlfn.XLOOKUP(A762,Cleaned_Data!A:A,Cleaned_Data!C:C)</f>
        <v>Kochi</v>
      </c>
      <c r="D762" s="9" t="str">
        <f ca="1">_xlfn.XLOOKUP(A762,Cleaned_Data!A:A,Cleaned_Data!L:L)</f>
        <v>Muscle Gain</v>
      </c>
    </row>
    <row r="763" spans="1:4">
      <c r="A763" s="9" t="str">
        <v>MEM0762</v>
      </c>
      <c r="B763" s="9" t="str">
        <f ca="1">_xlfn.XLOOKUP(A763,Cleaned_Data!A:A,Cleaned_Data!B:B)</f>
        <v>Tanvi Reddy</v>
      </c>
      <c r="C763" s="9" t="str">
        <f ca="1">_xlfn.XLOOKUP(A763,Cleaned_Data!A:A,Cleaned_Data!C:C)</f>
        <v>Trivandrum</v>
      </c>
      <c r="D763" s="9" t="str">
        <f ca="1">_xlfn.XLOOKUP(A763,Cleaned_Data!A:A,Cleaned_Data!L:L)</f>
        <v>Weight Loss</v>
      </c>
    </row>
    <row r="764" spans="1:4">
      <c r="A764" s="9" t="str">
        <v>MEM0763</v>
      </c>
      <c r="B764" s="9" t="str">
        <f ca="1">_xlfn.XLOOKUP(A764,Cleaned_Data!A:A,Cleaned_Data!B:B)</f>
        <v>Harish Singh</v>
      </c>
      <c r="C764" s="9" t="str">
        <f ca="1">_xlfn.XLOOKUP(A764,Cleaned_Data!A:A,Cleaned_Data!C:C)</f>
        <v>Calicut</v>
      </c>
      <c r="D764" s="9" t="str">
        <f ca="1">_xlfn.XLOOKUP(A764,Cleaned_Data!A:A,Cleaned_Data!L:L)</f>
        <v>Muscle Gain</v>
      </c>
    </row>
    <row r="765" spans="1:4">
      <c r="A765" s="9" t="str">
        <v>MEM0764</v>
      </c>
      <c r="B765" s="9" t="str">
        <f ca="1">_xlfn.XLOOKUP(A765,Cleaned_Data!A:A,Cleaned_Data!B:B)</f>
        <v>Anu Singh</v>
      </c>
      <c r="C765" s="9" t="str">
        <f ca="1">_xlfn.XLOOKUP(A765,Cleaned_Data!A:A,Cleaned_Data!C:C)</f>
        <v>Bangalore</v>
      </c>
      <c r="D765" s="9" t="str">
        <f ca="1">_xlfn.XLOOKUP(A765,Cleaned_Data!A:A,Cleaned_Data!L:L)</f>
        <v>Weight Loss</v>
      </c>
    </row>
    <row r="766" spans="1:4">
      <c r="A766" s="9" t="str">
        <v>MEM0765</v>
      </c>
      <c r="B766" s="9" t="str">
        <f ca="1">_xlfn.XLOOKUP(A766,Cleaned_Data!A:A,Cleaned_Data!B:B)</f>
        <v>Nikhil Pillai</v>
      </c>
      <c r="C766" s="9" t="str">
        <f ca="1">_xlfn.XLOOKUP(A766,Cleaned_Data!A:A,Cleaned_Data!C:C)</f>
        <v>Chennai</v>
      </c>
      <c r="D766" s="9" t="str">
        <f ca="1">_xlfn.XLOOKUP(A766,Cleaned_Data!A:A,Cleaned_Data!L:L)</f>
        <v>Weight Loss</v>
      </c>
    </row>
    <row r="767" spans="1:4">
      <c r="A767" s="9" t="str">
        <v>MEM0766</v>
      </c>
      <c r="B767" s="9" t="str">
        <f ca="1">_xlfn.XLOOKUP(A767,Cleaned_Data!A:A,Cleaned_Data!B:B)</f>
        <v>Rahul Joshi</v>
      </c>
      <c r="C767" s="9" t="str">
        <f ca="1">_xlfn.XLOOKUP(A767,Cleaned_Data!A:A,Cleaned_Data!C:C)</f>
        <v>Bangalore</v>
      </c>
      <c r="D767" s="9" t="str">
        <f ca="1">_xlfn.XLOOKUP(A767,Cleaned_Data!A:A,Cleaned_Data!L:L)</f>
        <v>General Fitness</v>
      </c>
    </row>
    <row r="768" spans="1:4">
      <c r="A768" s="9" t="str">
        <v>MEM0767</v>
      </c>
      <c r="B768" s="9" t="str">
        <f ca="1">_xlfn.XLOOKUP(A768,Cleaned_Data!A:A,Cleaned_Data!B:B)</f>
        <v>Sanjay Chatterjee</v>
      </c>
      <c r="C768" s="9" t="str">
        <f ca="1">_xlfn.XLOOKUP(A768,Cleaned_Data!A:A,Cleaned_Data!C:C)</f>
        <v>Chennai</v>
      </c>
      <c r="D768" s="9" t="str">
        <f ca="1">_xlfn.XLOOKUP(A768,Cleaned_Data!A:A,Cleaned_Data!L:L)</f>
        <v>General Fitness</v>
      </c>
    </row>
    <row r="769" spans="1:4">
      <c r="A769" s="9" t="str">
        <v>MEM0768</v>
      </c>
      <c r="B769" s="9" t="str">
        <f ca="1">_xlfn.XLOOKUP(A769,Cleaned_Data!A:A,Cleaned_Data!B:B)</f>
        <v>Karthik Khan</v>
      </c>
      <c r="C769" s="9" t="str">
        <f ca="1">_xlfn.XLOOKUP(A769,Cleaned_Data!A:A,Cleaned_Data!C:C)</f>
        <v>Mumbai</v>
      </c>
      <c r="D769" s="9" t="str">
        <f ca="1">_xlfn.XLOOKUP(A769,Cleaned_Data!A:A,Cleaned_Data!L:L)</f>
        <v>Weight Loss</v>
      </c>
    </row>
    <row r="770" spans="1:4">
      <c r="A770" s="9" t="str">
        <v>MEM0769</v>
      </c>
      <c r="B770" s="9" t="str">
        <f ca="1">_xlfn.XLOOKUP(A770,Cleaned_Data!A:A,Cleaned_Data!B:B)</f>
        <v>Pooja Shetty</v>
      </c>
      <c r="C770" s="9" t="str">
        <f ca="1">_xlfn.XLOOKUP(A770,Cleaned_Data!A:A,Cleaned_Data!C:C)</f>
        <v>Hyderabad</v>
      </c>
      <c r="D770" s="9" t="str">
        <f ca="1">_xlfn.XLOOKUP(A770,Cleaned_Data!A:A,Cleaned_Data!L:L)</f>
        <v>Weight Loss</v>
      </c>
    </row>
    <row r="771" spans="1:4">
      <c r="A771" s="9" t="str">
        <v>MEM0770</v>
      </c>
      <c r="B771" s="9" t="str">
        <f ca="1">_xlfn.XLOOKUP(A771,Cleaned_Data!A:A,Cleaned_Data!B:B)</f>
        <v>Priya Verma</v>
      </c>
      <c r="C771" s="9" t="str">
        <f ca="1">_xlfn.XLOOKUP(A771,Cleaned_Data!A:A,Cleaned_Data!C:C)</f>
        <v>Kochi</v>
      </c>
      <c r="D771" s="9" t="str">
        <f ca="1">_xlfn.XLOOKUP(A771,Cleaned_Data!A:A,Cleaned_Data!L:L)</f>
        <v>General Fitness</v>
      </c>
    </row>
    <row r="772" spans="1:4">
      <c r="A772" s="9" t="str">
        <v>MEM0771</v>
      </c>
      <c r="B772" s="9" t="str">
        <f ca="1">_xlfn.XLOOKUP(A772,Cleaned_Data!A:A,Cleaned_Data!B:B)</f>
        <v>Ishita Bhat</v>
      </c>
      <c r="C772" s="9" t="str">
        <f ca="1">_xlfn.XLOOKUP(A772,Cleaned_Data!A:A,Cleaned_Data!C:C)</f>
        <v>Mumbai</v>
      </c>
      <c r="D772" s="9" t="str">
        <f ca="1">_xlfn.XLOOKUP(A772,Cleaned_Data!A:A,Cleaned_Data!L:L)</f>
        <v>Weight Loss</v>
      </c>
    </row>
    <row r="773" spans="1:4">
      <c r="A773" s="9" t="str">
        <v>MEM0772</v>
      </c>
      <c r="B773" s="9" t="str">
        <f ca="1">_xlfn.XLOOKUP(A773,Cleaned_Data!A:A,Cleaned_Data!B:B)</f>
        <v>Sneha Naidu</v>
      </c>
      <c r="C773" s="9" t="str">
        <f ca="1">_xlfn.XLOOKUP(A773,Cleaned_Data!A:A,Cleaned_Data!C:C)</f>
        <v>Hyderabad</v>
      </c>
      <c r="D773" s="9" t="str">
        <f ca="1">_xlfn.XLOOKUP(A773,Cleaned_Data!A:A,Cleaned_Data!L:L)</f>
        <v>Muscle Gain</v>
      </c>
    </row>
    <row r="774" spans="1:4">
      <c r="A774" s="9" t="str">
        <v>MEM0773</v>
      </c>
      <c r="B774" s="9" t="str">
        <f ca="1">_xlfn.XLOOKUP(A774,Cleaned_Data!A:A,Cleaned_Data!B:B)</f>
        <v>Divya Singh</v>
      </c>
      <c r="C774" s="9" t="str">
        <f ca="1">_xlfn.XLOOKUP(A774,Cleaned_Data!A:A,Cleaned_Data!C:C)</f>
        <v>Chennai</v>
      </c>
      <c r="D774" s="9" t="str">
        <f ca="1">_xlfn.XLOOKUP(A774,Cleaned_Data!A:A,Cleaned_Data!L:L)</f>
        <v>Weight Loss</v>
      </c>
    </row>
    <row r="775" spans="1:4">
      <c r="A775" s="9" t="str">
        <v>MEM0774</v>
      </c>
      <c r="B775" s="9" t="str">
        <f ca="1">_xlfn.XLOOKUP(A775,Cleaned_Data!A:A,Cleaned_Data!B:B)</f>
        <v>Kavya Fernandes</v>
      </c>
      <c r="C775" s="9" t="str">
        <f ca="1">_xlfn.XLOOKUP(A775,Cleaned_Data!A:A,Cleaned_Data!C:C)</f>
        <v>Hyderabad</v>
      </c>
      <c r="D775" s="9" t="str">
        <f ca="1">_xlfn.XLOOKUP(A775,Cleaned_Data!A:A,Cleaned_Data!L:L)</f>
        <v>Weight Loss</v>
      </c>
    </row>
    <row r="776" spans="1:4">
      <c r="A776" s="9" t="str">
        <v>MEM0775</v>
      </c>
      <c r="B776" s="9" t="str">
        <f ca="1">_xlfn.XLOOKUP(A776,Cleaned_Data!A:A,Cleaned_Data!B:B)</f>
        <v>Nisha Desai</v>
      </c>
      <c r="C776" s="9" t="str">
        <f ca="1">_xlfn.XLOOKUP(A776,Cleaned_Data!A:A,Cleaned_Data!C:C)</f>
        <v>Bangalore</v>
      </c>
      <c r="D776" s="9" t="str">
        <f ca="1">_xlfn.XLOOKUP(A776,Cleaned_Data!A:A,Cleaned_Data!L:L)</f>
        <v>Weight Loss</v>
      </c>
    </row>
    <row r="777" spans="1:4">
      <c r="A777" s="9" t="str">
        <v>MEM0776</v>
      </c>
      <c r="B777" s="9" t="str">
        <f ca="1">_xlfn.XLOOKUP(A777,Cleaned_Data!A:A,Cleaned_Data!B:B)</f>
        <v>Deepak Fernandes</v>
      </c>
      <c r="C777" s="9" t="str">
        <f ca="1">_xlfn.XLOOKUP(A777,Cleaned_Data!A:A,Cleaned_Data!C:C)</f>
        <v>Trivandrum</v>
      </c>
      <c r="D777" s="9" t="str">
        <f ca="1">_xlfn.XLOOKUP(A777,Cleaned_Data!A:A,Cleaned_Data!L:L)</f>
        <v>Muscle Gain</v>
      </c>
    </row>
    <row r="778" spans="1:4">
      <c r="A778" s="9" t="str">
        <v>MEM0777</v>
      </c>
      <c r="B778" s="9" t="str">
        <f ca="1">_xlfn.XLOOKUP(A778,Cleaned_Data!A:A,Cleaned_Data!B:B)</f>
        <v>Deepak Chatterjee</v>
      </c>
      <c r="C778" s="9" t="str">
        <f ca="1">_xlfn.XLOOKUP(A778,Cleaned_Data!A:A,Cleaned_Data!C:C)</f>
        <v>Hyderabad</v>
      </c>
      <c r="D778" s="9" t="str">
        <f ca="1">_xlfn.XLOOKUP(A778,Cleaned_Data!A:A,Cleaned_Data!L:L)</f>
        <v>General Fitness</v>
      </c>
    </row>
    <row r="779" spans="1:4">
      <c r="A779" s="9" t="str">
        <v>MEM0778</v>
      </c>
      <c r="B779" s="9" t="str">
        <f ca="1">_xlfn.XLOOKUP(A779,Cleaned_Data!A:A,Cleaned_Data!B:B)</f>
        <v>Ayesha Mathew</v>
      </c>
      <c r="C779" s="9" t="str">
        <f ca="1">_xlfn.XLOOKUP(A779,Cleaned_Data!A:A,Cleaned_Data!C:C)</f>
        <v>Hyderabad</v>
      </c>
      <c r="D779" s="9" t="str">
        <f ca="1">_xlfn.XLOOKUP(A779,Cleaned_Data!A:A,Cleaned_Data!L:L)</f>
        <v>Muscle Gain</v>
      </c>
    </row>
    <row r="780" spans="1:4">
      <c r="A780" s="9" t="str">
        <v>MEM0779</v>
      </c>
      <c r="B780" s="9" t="str">
        <f ca="1">_xlfn.XLOOKUP(A780,Cleaned_Data!A:A,Cleaned_Data!B:B)</f>
        <v>Varun Kapoor</v>
      </c>
      <c r="C780" s="9" t="str">
        <f ca="1">_xlfn.XLOOKUP(A780,Cleaned_Data!A:A,Cleaned_Data!C:C)</f>
        <v>Bangalore</v>
      </c>
      <c r="D780" s="9" t="str">
        <f ca="1">_xlfn.XLOOKUP(A780,Cleaned_Data!A:A,Cleaned_Data!L:L)</f>
        <v>Weight Loss</v>
      </c>
    </row>
    <row r="781" spans="1:4">
      <c r="A781" s="9" t="str">
        <v>MEM0780</v>
      </c>
      <c r="B781" s="9" t="str">
        <f ca="1">_xlfn.XLOOKUP(A781,Cleaned_Data!A:A,Cleaned_Data!B:B)</f>
        <v>Ankit Joshi</v>
      </c>
      <c r="C781" s="9" t="str">
        <f ca="1">_xlfn.XLOOKUP(A781,Cleaned_Data!A:A,Cleaned_Data!C:C)</f>
        <v>Bangalore</v>
      </c>
      <c r="D781" s="9" t="str">
        <f ca="1">_xlfn.XLOOKUP(A781,Cleaned_Data!A:A,Cleaned_Data!L:L)</f>
        <v>Weight Loss</v>
      </c>
    </row>
    <row r="782" spans="1:4">
      <c r="A782" s="9" t="str">
        <v>MEM0781</v>
      </c>
      <c r="B782" s="9" t="str">
        <f ca="1">_xlfn.XLOOKUP(A782,Cleaned_Data!A:A,Cleaned_Data!B:B)</f>
        <v>Nisha Varghese</v>
      </c>
      <c r="C782" s="9" t="str">
        <f ca="1">_xlfn.XLOOKUP(A782,Cleaned_Data!A:A,Cleaned_Data!C:C)</f>
        <v>Trivandrum</v>
      </c>
      <c r="D782" s="9" t="str">
        <f ca="1">_xlfn.XLOOKUP(A782,Cleaned_Data!A:A,Cleaned_Data!L:L)</f>
        <v>Weight Loss</v>
      </c>
    </row>
    <row r="783" spans="1:4">
      <c r="A783" s="9" t="str">
        <v>MEM0782</v>
      </c>
      <c r="B783" s="9" t="str">
        <f ca="1">_xlfn.XLOOKUP(A783,Cleaned_Data!A:A,Cleaned_Data!B:B)</f>
        <v>Meera Nambiar</v>
      </c>
      <c r="C783" s="9" t="str">
        <f ca="1">_xlfn.XLOOKUP(A783,Cleaned_Data!A:A,Cleaned_Data!C:C)</f>
        <v>Calicut</v>
      </c>
      <c r="D783" s="9" t="str">
        <f ca="1">_xlfn.XLOOKUP(A783,Cleaned_Data!A:A,Cleaned_Data!L:L)</f>
        <v>General Fitness</v>
      </c>
    </row>
    <row r="784" spans="1:4">
      <c r="A784" s="9" t="str">
        <v>MEM0783</v>
      </c>
      <c r="B784" s="9" t="str">
        <f ca="1">_xlfn.XLOOKUP(A784,Cleaned_Data!A:A,Cleaned_Data!B:B)</f>
        <v>Nisha Desai</v>
      </c>
      <c r="C784" s="9" t="str">
        <f ca="1">_xlfn.XLOOKUP(A784,Cleaned_Data!A:A,Cleaned_Data!C:C)</f>
        <v>Bangalore</v>
      </c>
      <c r="D784" s="9" t="str">
        <f ca="1">_xlfn.XLOOKUP(A784,Cleaned_Data!A:A,Cleaned_Data!L:L)</f>
        <v>Muscle Gain</v>
      </c>
    </row>
    <row r="785" spans="1:4">
      <c r="A785" s="9" t="str">
        <v>MEM0784</v>
      </c>
      <c r="B785" s="9" t="str">
        <f ca="1">_xlfn.XLOOKUP(A785,Cleaned_Data!A:A,Cleaned_Data!B:B)</f>
        <v>Rahul Agarwal</v>
      </c>
      <c r="C785" s="9" t="str">
        <f ca="1">_xlfn.XLOOKUP(A785,Cleaned_Data!A:A,Cleaned_Data!C:C)</f>
        <v>Trivandrum</v>
      </c>
      <c r="D785" s="9" t="str">
        <f ca="1">_xlfn.XLOOKUP(A785,Cleaned_Data!A:A,Cleaned_Data!L:L)</f>
        <v>General Fitness</v>
      </c>
    </row>
    <row r="786" spans="1:4">
      <c r="A786" s="9" t="str">
        <v>MEM0785</v>
      </c>
      <c r="B786" s="9" t="str">
        <f ca="1">_xlfn.XLOOKUP(A786,Cleaned_Data!A:A,Cleaned_Data!B:B)</f>
        <v>Anu Desai</v>
      </c>
      <c r="C786" s="9" t="str">
        <f ca="1">_xlfn.XLOOKUP(A786,Cleaned_Data!A:A,Cleaned_Data!C:C)</f>
        <v>Calicut</v>
      </c>
      <c r="D786" s="9" t="str">
        <f ca="1">_xlfn.XLOOKUP(A786,Cleaned_Data!A:A,Cleaned_Data!L:L)</f>
        <v>Muscle Gain</v>
      </c>
    </row>
    <row r="787" spans="1:4">
      <c r="A787" s="9" t="str">
        <v>MEM0786</v>
      </c>
      <c r="B787" s="9" t="str">
        <f ca="1">_xlfn.XLOOKUP(A787,Cleaned_Data!A:A,Cleaned_Data!B:B)</f>
        <v>Varun Verma</v>
      </c>
      <c r="C787" s="9" t="str">
        <f ca="1">_xlfn.XLOOKUP(A787,Cleaned_Data!A:A,Cleaned_Data!C:C)</f>
        <v>Mumbai</v>
      </c>
      <c r="D787" s="9" t="str">
        <f ca="1">_xlfn.XLOOKUP(A787,Cleaned_Data!A:A,Cleaned_Data!L:L)</f>
        <v>Weight Loss</v>
      </c>
    </row>
    <row r="788" spans="1:4">
      <c r="A788" s="9" t="str">
        <v>MEM0787</v>
      </c>
      <c r="B788" s="9" t="str">
        <f ca="1">_xlfn.XLOOKUP(A788,Cleaned_Data!A:A,Cleaned_Data!B:B)</f>
        <v>Ishita Nair</v>
      </c>
      <c r="C788" s="9" t="str">
        <f ca="1">_xlfn.XLOOKUP(A788,Cleaned_Data!A:A,Cleaned_Data!C:C)</f>
        <v>Calicut</v>
      </c>
      <c r="D788" s="9" t="str">
        <f ca="1">_xlfn.XLOOKUP(A788,Cleaned_Data!A:A,Cleaned_Data!L:L)</f>
        <v>General Fitness</v>
      </c>
    </row>
    <row r="789" spans="1:4">
      <c r="A789" s="9" t="str">
        <v>MEM0788</v>
      </c>
      <c r="B789" s="9" t="str">
        <f ca="1">_xlfn.XLOOKUP(A789,Cleaned_Data!A:A,Cleaned_Data!B:B)</f>
        <v>Deepak Mathew</v>
      </c>
      <c r="C789" s="9" t="str">
        <f ca="1">_xlfn.XLOOKUP(A789,Cleaned_Data!A:A,Cleaned_Data!C:C)</f>
        <v>Hyderabad</v>
      </c>
      <c r="D789" s="9" t="str">
        <f ca="1">_xlfn.XLOOKUP(A789,Cleaned_Data!A:A,Cleaned_Data!L:L)</f>
        <v>Muscle Gain</v>
      </c>
    </row>
    <row r="790" spans="1:4">
      <c r="A790" s="9" t="str">
        <v>MEM0789</v>
      </c>
      <c r="B790" s="9" t="str">
        <f ca="1">_xlfn.XLOOKUP(A790,Cleaned_Data!A:A,Cleaned_Data!B:B)</f>
        <v>Karthik Kapoor</v>
      </c>
      <c r="C790" s="9" t="str">
        <f ca="1">_xlfn.XLOOKUP(A790,Cleaned_Data!A:A,Cleaned_Data!C:C)</f>
        <v>Kochi</v>
      </c>
      <c r="D790" s="9" t="str">
        <f ca="1">_xlfn.XLOOKUP(A790,Cleaned_Data!A:A,Cleaned_Data!L:L)</f>
        <v>General Fitness</v>
      </c>
    </row>
    <row r="791" spans="1:4">
      <c r="A791" s="9" t="str">
        <v>MEM0790</v>
      </c>
      <c r="B791" s="9" t="str">
        <f ca="1">_xlfn.XLOOKUP(A791,Cleaned_Data!A:A,Cleaned_Data!B:B)</f>
        <v>Swathi Kapoor</v>
      </c>
      <c r="C791" s="9" t="str">
        <f ca="1">_xlfn.XLOOKUP(A791,Cleaned_Data!A:A,Cleaned_Data!C:C)</f>
        <v>Trivandrum</v>
      </c>
      <c r="D791" s="9" t="str">
        <f ca="1">_xlfn.XLOOKUP(A791,Cleaned_Data!A:A,Cleaned_Data!L:L)</f>
        <v>Muscle Gain</v>
      </c>
    </row>
    <row r="792" spans="1:4">
      <c r="A792" s="9" t="str">
        <v>MEM0791</v>
      </c>
      <c r="B792" s="9" t="str">
        <f ca="1">_xlfn.XLOOKUP(A792,Cleaned_Data!A:A,Cleaned_Data!B:B)</f>
        <v>Aditya D’Souza</v>
      </c>
      <c r="C792" s="9" t="str">
        <f ca="1">_xlfn.XLOOKUP(A792,Cleaned_Data!A:A,Cleaned_Data!C:C)</f>
        <v>Trivandrum</v>
      </c>
      <c r="D792" s="9" t="str">
        <f ca="1">_xlfn.XLOOKUP(A792,Cleaned_Data!A:A,Cleaned_Data!L:L)</f>
        <v>Weight Loss</v>
      </c>
    </row>
    <row r="793" spans="1:4">
      <c r="A793" s="9" t="str">
        <v>MEM0792</v>
      </c>
      <c r="B793" s="9" t="str">
        <f ca="1">_xlfn.XLOOKUP(A793,Cleaned_Data!A:A,Cleaned_Data!B:B)</f>
        <v>Nikhil Sharma</v>
      </c>
      <c r="C793" s="9" t="str">
        <f ca="1">_xlfn.XLOOKUP(A793,Cleaned_Data!A:A,Cleaned_Data!C:C)</f>
        <v>Calicut</v>
      </c>
      <c r="D793" s="9" t="str">
        <f ca="1">_xlfn.XLOOKUP(A793,Cleaned_Data!A:A,Cleaned_Data!L:L)</f>
        <v>General Fitness</v>
      </c>
    </row>
    <row r="794" spans="1:4">
      <c r="A794" s="9" t="str">
        <v>MEM0793</v>
      </c>
      <c r="B794" s="9" t="str">
        <f ca="1">_xlfn.XLOOKUP(A794,Cleaned_Data!A:A,Cleaned_Data!B:B)</f>
        <v>Aditya Desai</v>
      </c>
      <c r="C794" s="9" t="str">
        <f ca="1">_xlfn.XLOOKUP(A794,Cleaned_Data!A:A,Cleaned_Data!C:C)</f>
        <v>Hyderabad</v>
      </c>
      <c r="D794" s="9" t="str">
        <f ca="1">_xlfn.XLOOKUP(A794,Cleaned_Data!A:A,Cleaned_Data!L:L)</f>
        <v>Weight Loss</v>
      </c>
    </row>
    <row r="795" spans="1:4">
      <c r="A795" s="9" t="str">
        <v>MEM0794</v>
      </c>
      <c r="B795" s="9" t="str">
        <f ca="1">_xlfn.XLOOKUP(A795,Cleaned_Data!A:A,Cleaned_Data!B:B)</f>
        <v>Vivek Shaikh</v>
      </c>
      <c r="C795" s="9" t="str">
        <f ca="1">_xlfn.XLOOKUP(A795,Cleaned_Data!A:A,Cleaned_Data!C:C)</f>
        <v>Calicut</v>
      </c>
      <c r="D795" s="9" t="str">
        <f ca="1">_xlfn.XLOOKUP(A795,Cleaned_Data!A:A,Cleaned_Data!L:L)</f>
        <v>Weight Loss</v>
      </c>
    </row>
    <row r="796" spans="1:4">
      <c r="A796" s="9" t="str">
        <v>MEM0795</v>
      </c>
      <c r="B796" s="9" t="str">
        <f ca="1">_xlfn.XLOOKUP(A796,Cleaned_Data!A:A,Cleaned_Data!B:B)</f>
        <v>Sneha Chatterjee</v>
      </c>
      <c r="C796" s="9" t="str">
        <f ca="1">_xlfn.XLOOKUP(A796,Cleaned_Data!A:A,Cleaned_Data!C:C)</f>
        <v>Mumbai</v>
      </c>
      <c r="D796" s="9" t="str">
        <f ca="1">_xlfn.XLOOKUP(A796,Cleaned_Data!A:A,Cleaned_Data!L:L)</f>
        <v>Weight Loss</v>
      </c>
    </row>
    <row r="797" spans="1:4">
      <c r="A797" s="9" t="str">
        <v>MEM0796</v>
      </c>
      <c r="B797" s="9" t="str">
        <f ca="1">_xlfn.XLOOKUP(A797,Cleaned_Data!A:A,Cleaned_Data!B:B)</f>
        <v>Manoj Iyer</v>
      </c>
      <c r="C797" s="9" t="str">
        <f ca="1">_xlfn.XLOOKUP(A797,Cleaned_Data!A:A,Cleaned_Data!C:C)</f>
        <v>Bangalore</v>
      </c>
      <c r="D797" s="9" t="str">
        <f ca="1">_xlfn.XLOOKUP(A797,Cleaned_Data!A:A,Cleaned_Data!L:L)</f>
        <v>Weight Loss</v>
      </c>
    </row>
    <row r="798" spans="1:4">
      <c r="A798" s="9" t="str">
        <v>MEM0797</v>
      </c>
      <c r="B798" s="9" t="str">
        <f ca="1">_xlfn.XLOOKUP(A798,Cleaned_Data!A:A,Cleaned_Data!B:B)</f>
        <v>Siddharth Banerjee</v>
      </c>
      <c r="C798" s="9" t="str">
        <f ca="1">_xlfn.XLOOKUP(A798,Cleaned_Data!A:A,Cleaned_Data!C:C)</f>
        <v>Calicut</v>
      </c>
      <c r="D798" s="9" t="str">
        <f ca="1">_xlfn.XLOOKUP(A798,Cleaned_Data!A:A,Cleaned_Data!L:L)</f>
        <v>Muscle Gain</v>
      </c>
    </row>
    <row r="799" spans="1:4">
      <c r="A799" s="9" t="str">
        <v>MEM0798</v>
      </c>
      <c r="B799" s="9" t="str">
        <f ca="1">_xlfn.XLOOKUP(A799,Cleaned_Data!A:A,Cleaned_Data!B:B)</f>
        <v>Arjun Verma</v>
      </c>
      <c r="C799" s="9" t="str">
        <f ca="1">_xlfn.XLOOKUP(A799,Cleaned_Data!A:A,Cleaned_Data!C:C)</f>
        <v>Hyderabad</v>
      </c>
      <c r="D799" s="9" t="str">
        <f ca="1">_xlfn.XLOOKUP(A799,Cleaned_Data!A:A,Cleaned_Data!L:L)</f>
        <v>Muscle Gain</v>
      </c>
    </row>
    <row r="800" spans="1:4">
      <c r="A800" s="9" t="str">
        <v>MEM0799</v>
      </c>
      <c r="B800" s="9" t="str">
        <f ca="1">_xlfn.XLOOKUP(A800,Cleaned_Data!A:A,Cleaned_Data!B:B)</f>
        <v>Aditya Thomas</v>
      </c>
      <c r="C800" s="9" t="str">
        <f ca="1">_xlfn.XLOOKUP(A800,Cleaned_Data!A:A,Cleaned_Data!C:C)</f>
        <v>Hyderabad</v>
      </c>
      <c r="D800" s="9" t="str">
        <f ca="1">_xlfn.XLOOKUP(A800,Cleaned_Data!A:A,Cleaned_Data!L:L)</f>
        <v>General Fitness</v>
      </c>
    </row>
    <row r="801" spans="1:4">
      <c r="A801" s="9" t="str">
        <v>MEM0800</v>
      </c>
      <c r="B801" s="9" t="str">
        <f ca="1">_xlfn.XLOOKUP(A801,Cleaned_Data!A:A,Cleaned_Data!B:B)</f>
        <v>Ayesha Agarwal</v>
      </c>
      <c r="C801" s="9" t="str">
        <f ca="1">_xlfn.XLOOKUP(A801,Cleaned_Data!A:A,Cleaned_Data!C:C)</f>
        <v>Kochi</v>
      </c>
      <c r="D801" s="9" t="str">
        <f ca="1">_xlfn.XLOOKUP(A801,Cleaned_Data!A:A,Cleaned_Data!L:L)</f>
        <v>Muscle Gain</v>
      </c>
    </row>
    <row r="802" spans="1:4">
      <c r="A802" s="9" t="str">
        <v>MEM0801</v>
      </c>
      <c r="B802" s="9"/>
      <c r="C802" s="9"/>
      <c r="D802" s="9"/>
    </row>
    <row r="803" spans="1:4">
      <c r="A803" s="9" t="str">
        <v>MEM0802</v>
      </c>
      <c r="B803" s="9"/>
      <c r="C803" s="9"/>
      <c r="D803" s="9"/>
    </row>
    <row r="804" spans="1:4">
      <c r="A804" s="9" t="str">
        <v>MEM0803</v>
      </c>
      <c r="B804" s="9"/>
      <c r="C804" s="9"/>
      <c r="D804" s="9"/>
    </row>
    <row r="805" spans="1:4">
      <c r="A805" s="9" t="str">
        <v>MEM0804</v>
      </c>
      <c r="B805" s="9"/>
      <c r="C805" s="9"/>
      <c r="D805" s="9"/>
    </row>
    <row r="806" spans="1:4">
      <c r="A806" s="9" t="str">
        <v>MEM0805</v>
      </c>
      <c r="B806" s="9"/>
      <c r="C806" s="9"/>
      <c r="D806" s="9"/>
    </row>
    <row r="807" spans="1:4">
      <c r="A807" s="9" t="str">
        <v>MEM0806</v>
      </c>
      <c r="B807" s="9"/>
      <c r="C807" s="9"/>
      <c r="D807" s="9"/>
    </row>
    <row r="808" spans="1:4">
      <c r="A808" s="9" t="str">
        <v>MEM0807</v>
      </c>
      <c r="B808" s="9"/>
      <c r="C808" s="9"/>
      <c r="D808" s="9"/>
    </row>
    <row r="809" spans="1:4">
      <c r="A809" s="9" t="str">
        <v>MEM0808</v>
      </c>
      <c r="B809" s="9"/>
      <c r="C809" s="9"/>
      <c r="D809" s="9"/>
    </row>
    <row r="810" spans="1:4">
      <c r="A810" s="9" t="str">
        <v>MEM0809</v>
      </c>
      <c r="B810" s="9"/>
      <c r="C810" s="9"/>
      <c r="D810" s="9"/>
    </row>
    <row r="811" spans="1:4">
      <c r="A811" s="9" t="str">
        <v>MEM0810</v>
      </c>
      <c r="B811" s="9"/>
      <c r="C811" s="9"/>
      <c r="D811" s="9"/>
    </row>
    <row r="812" spans="1:4">
      <c r="A812" s="9" t="str">
        <v>MEM0811</v>
      </c>
      <c r="B812" s="9"/>
      <c r="C812" s="9"/>
      <c r="D812" s="9"/>
    </row>
    <row r="813" spans="1:4">
      <c r="A813" s="9" t="str">
        <v>MEM0812</v>
      </c>
      <c r="B813" s="9"/>
      <c r="C813" s="9"/>
      <c r="D813" s="9"/>
    </row>
    <row r="814" spans="1:4">
      <c r="A814" s="9" t="str">
        <v>MEM0813</v>
      </c>
      <c r="B814" s="9"/>
      <c r="C814" s="9"/>
      <c r="D814" s="9"/>
    </row>
    <row r="815" spans="1:4">
      <c r="A815" s="9" t="str">
        <v>MEM0814</v>
      </c>
      <c r="B815" s="9"/>
      <c r="C815" s="9"/>
      <c r="D815" s="9"/>
    </row>
    <row r="816" spans="1:4">
      <c r="A816" s="9" t="str">
        <v>MEM0815</v>
      </c>
      <c r="B816" s="9"/>
      <c r="C816" s="9"/>
      <c r="D816" s="9"/>
    </row>
    <row r="817" spans="1:4">
      <c r="A817" s="9" t="str">
        <v>MEM0816</v>
      </c>
      <c r="B817" s="9"/>
      <c r="C817" s="9"/>
      <c r="D817" s="9"/>
    </row>
    <row r="818" spans="1:4">
      <c r="A818" s="9" t="str">
        <v>MEM0817</v>
      </c>
      <c r="B818" s="9"/>
      <c r="C818" s="9"/>
      <c r="D818" s="9"/>
    </row>
    <row r="819" spans="1:4">
      <c r="A819" s="9" t="str">
        <v>MEM0818</v>
      </c>
      <c r="B819" s="9"/>
      <c r="C819" s="9"/>
      <c r="D819" s="9"/>
    </row>
    <row r="820" spans="1:4">
      <c r="A820" s="7"/>
      <c r="B820" s="7"/>
      <c r="C820" s="7"/>
      <c r="D820" s="7"/>
    </row>
    <row r="821" spans="1:4">
      <c r="A821" s="7"/>
      <c r="B821" s="7"/>
      <c r="C821" s="7"/>
      <c r="D82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A6CB-8513-4213-996F-EF3E2809A7E2}">
  <dimension ref="A1:B8"/>
  <sheetViews>
    <sheetView workbookViewId="0">
      <selection activeCell="A2" sqref="A2:B8"/>
    </sheetView>
  </sheetViews>
  <sheetFormatPr defaultRowHeight="15"/>
  <cols>
    <col min="1" max="1" width="10.7109375" bestFit="1" customWidth="1"/>
    <col min="16" max="16" width="19.140625" bestFit="1" customWidth="1"/>
  </cols>
  <sheetData>
    <row r="1" spans="1:2">
      <c r="A1" t="s">
        <v>89</v>
      </c>
      <c r="B1" t="s">
        <v>88</v>
      </c>
    </row>
    <row r="2" spans="1:2">
      <c r="A2" t="str" cm="1">
        <f t="array" aca="1" ref="A2:A8" ca="1">_xlfn.UNIQUE(_xlfn._xlws.FILTER(Cleaned_Data!D2:D999, Cleaned_Data!D2:D999&lt;&gt;""))</f>
        <v>BR07</v>
      </c>
      <c r="B2" t="str">
        <f ca="1">_xlfn.XLOOKUP(A2,Cleaned_Data!D:D,Cleaned_Data!C:C)</f>
        <v>Calicut</v>
      </c>
    </row>
    <row r="3" spans="1:2">
      <c r="A3" t="str">
        <f ca="1"/>
        <v>BR01</v>
      </c>
      <c r="B3" t="str">
        <f ca="1">_xlfn.XLOOKUP(A3,Cleaned_Data!D:D,Cleaned_Data!C:C)</f>
        <v>Kochi</v>
      </c>
    </row>
    <row r="4" spans="1:2">
      <c r="A4" t="str">
        <f ca="1"/>
        <v>BR05</v>
      </c>
      <c r="B4" t="str">
        <f ca="1">_xlfn.XLOOKUP(A4,Cleaned_Data!D:D,Cleaned_Data!C:C)</f>
        <v>Mumbai</v>
      </c>
    </row>
    <row r="5" spans="1:2">
      <c r="A5" t="str">
        <f ca="1"/>
        <v>BR04</v>
      </c>
      <c r="B5" t="str">
        <f ca="1">_xlfn.XLOOKUP(A5,Cleaned_Data!D:D,Cleaned_Data!C:C)</f>
        <v>Hyderabad</v>
      </c>
    </row>
    <row r="6" spans="1:2">
      <c r="A6" t="str">
        <f ca="1"/>
        <v>BR03</v>
      </c>
      <c r="B6" t="str">
        <f ca="1">_xlfn.XLOOKUP(A6,Cleaned_Data!D:D,Cleaned_Data!C:C)</f>
        <v>Chennai</v>
      </c>
    </row>
    <row r="7" spans="1:2">
      <c r="A7" t="str">
        <f ca="1"/>
        <v>BR06</v>
      </c>
      <c r="B7" t="str">
        <f ca="1">_xlfn.XLOOKUP(A7,Cleaned_Data!D:D,Cleaned_Data!C:C)</f>
        <v>Trivandrum</v>
      </c>
    </row>
    <row r="8" spans="1:2">
      <c r="A8" t="str">
        <f ca="1"/>
        <v>BR02</v>
      </c>
      <c r="B8" t="str">
        <f ca="1">_xlfn.XLOOKUP(A8,Cleaned_Data!D:D,Cleaned_Data!C:C)</f>
        <v>Bangalore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ACEB-3237-41E3-8337-3788F2A1A290}">
  <dimension ref="A1:B4"/>
  <sheetViews>
    <sheetView workbookViewId="0">
      <selection activeCell="A5" sqref="A5"/>
    </sheetView>
  </sheetViews>
  <sheetFormatPr defaultRowHeight="15"/>
  <cols>
    <col min="1" max="1" width="16.7109375" bestFit="1" customWidth="1"/>
    <col min="2" max="2" width="11.85546875" bestFit="1" customWidth="1"/>
    <col min="19" max="19" width="16.5703125" bestFit="1" customWidth="1"/>
  </cols>
  <sheetData>
    <row r="1" spans="1:2">
      <c r="A1" t="s">
        <v>90</v>
      </c>
      <c r="B1" t="s">
        <v>93</v>
      </c>
    </row>
    <row r="2" spans="1:2">
      <c r="A2" t="str" cm="1">
        <f t="array" aca="1" ref="A2:A4" ca="1">_xlfn.UNIQUE(_xlfn._xlws.FILTER(Cleaned_Data!E2:E999, Cleaned_Data!E2:E999&lt;&gt;""))</f>
        <v>Premium</v>
      </c>
      <c r="B2">
        <f ca="1">_xlfn.XLOOKUP(A2,Cleaned_Data!E:E,Cleaned_Data!H:H)</f>
        <v>1000</v>
      </c>
    </row>
    <row r="3" spans="1:2">
      <c r="A3" t="str">
        <f ca="1"/>
        <v>Basic</v>
      </c>
      <c r="B3">
        <f ca="1">_xlfn.XLOOKUP(A3,Cleaned_Data!E:E,Cleaned_Data!H:H)</f>
        <v>3500</v>
      </c>
    </row>
    <row r="4" spans="1:2">
      <c r="A4" t="str">
        <f ca="1"/>
        <v>Standard</v>
      </c>
      <c r="B4">
        <f ca="1">_xlfn.XLOOKUP(A4,Cleaned_Data!E:E,Cleaned_Data!H:H)</f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179-CEE2-4943-94E0-36967879B131}">
  <dimension ref="A1:O15"/>
  <sheetViews>
    <sheetView workbookViewId="0">
      <selection activeCell="A5" sqref="A5"/>
    </sheetView>
  </sheetViews>
  <sheetFormatPr defaultRowHeight="15"/>
  <cols>
    <col min="1" max="1" width="24.7109375" bestFit="1" customWidth="1"/>
    <col min="2" max="2" width="14.42578125" customWidth="1"/>
    <col min="11" max="11" width="36.5703125" bestFit="1" customWidth="1"/>
    <col min="13" max="13" width="9.5703125" bestFit="1" customWidth="1"/>
    <col min="14" max="14" width="24.7109375" bestFit="1" customWidth="1"/>
    <col min="15" max="15" width="22.42578125" customWidth="1"/>
  </cols>
  <sheetData>
    <row r="1" spans="1:15">
      <c r="A1" t="s">
        <v>164</v>
      </c>
      <c r="B1">
        <f ca="1">SUMIFS(Fact_Membership!G:G, Fact_Membership!L:L, "Unique")</f>
        <v>11739500</v>
      </c>
    </row>
    <row r="2" spans="1:15">
      <c r="A2" t="s">
        <v>165</v>
      </c>
      <c r="B2">
        <f ca="1">COUNTIFS(Fact_Membership!I:I, "Active", Fact_Membership!L:L,"Unique")</f>
        <v>649</v>
      </c>
    </row>
    <row r="3" spans="1:15">
      <c r="A3" t="s">
        <v>166</v>
      </c>
      <c r="B3">
        <f ca="1">COUNTIFS(Fact_Membership!I:I, "Cancelled", Fact_Membership!L:L, "Unique")</f>
        <v>169</v>
      </c>
    </row>
    <row r="4" spans="1:15">
      <c r="A4" t="s">
        <v>167</v>
      </c>
      <c r="B4" s="24">
        <f ca="1">B3 / (B2 + B3)</f>
        <v>0.20660146699266504</v>
      </c>
    </row>
    <row r="5" spans="1:15">
      <c r="A5" t="s">
        <v>168</v>
      </c>
      <c r="B5" s="24">
        <f ca="1">AVERAGEIFS(Fact_Membership!F:F, Fact_Membership!L:L,"Unique", Fact_Membership!I:I,"Active")</f>
        <v>2195.6856702619416</v>
      </c>
      <c r="O5" s="24"/>
    </row>
    <row r="6" spans="1:15">
      <c r="A6" t="s">
        <v>169</v>
      </c>
      <c r="B6" s="24">
        <f>AVERAGEIFS(Fact_Membership!H:H, Fact_Membership!L:L, "Unique")</f>
        <v>12.57625</v>
      </c>
      <c r="O6" s="24"/>
    </row>
    <row r="7" spans="1:15">
      <c r="A7" t="s">
        <v>170</v>
      </c>
      <c r="B7">
        <f>COUNTIFS(Fact_Membership!H:H,"&lt;5", Fact_Membership!L:L,"Unique")</f>
        <v>153</v>
      </c>
      <c r="O7" s="24"/>
    </row>
    <row r="8" spans="1:15">
      <c r="A8" t="s">
        <v>171</v>
      </c>
      <c r="B8">
        <f>COUNTIFS(Fact_Membership!K:K,"Highly Active", Fact_Membership!L:L,"Unique")</f>
        <v>354</v>
      </c>
    </row>
    <row r="9" spans="1:15">
      <c r="A9" t="s">
        <v>172</v>
      </c>
      <c r="B9" s="24">
        <f ca="1">1 - (B7 / (B2+B3))</f>
        <v>0.81295843520782396</v>
      </c>
      <c r="K9" s="5"/>
    </row>
    <row r="13" spans="1:15">
      <c r="A13" s="6"/>
      <c r="B13" s="6"/>
    </row>
    <row r="15" spans="1:15">
      <c r="K15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5E33-0A42-4F3F-90C3-1ADC2E1C7F9C}">
  <dimension ref="A1:AL42"/>
  <sheetViews>
    <sheetView workbookViewId="0">
      <selection activeCell="AP11" sqref="AP11"/>
    </sheetView>
  </sheetViews>
  <sheetFormatPr defaultRowHeight="15"/>
  <cols>
    <col min="1" max="1" width="19.140625" bestFit="1" customWidth="1"/>
    <col min="2" max="2" width="20" bestFit="1" customWidth="1"/>
    <col min="3" max="37" width="3" bestFit="1" customWidth="1"/>
    <col min="38" max="38" width="11.42578125" bestFit="1" customWidth="1"/>
    <col min="39" max="39" width="3" bestFit="1" customWidth="1"/>
    <col min="40" max="40" width="11.42578125" bestFit="1" customWidth="1"/>
  </cols>
  <sheetData>
    <row r="1" spans="1:38">
      <c r="A1" s="27" t="s">
        <v>98</v>
      </c>
      <c r="B1" t="s">
        <v>151</v>
      </c>
    </row>
    <row r="3" spans="1:38">
      <c r="A3" s="27" t="s">
        <v>173</v>
      </c>
      <c r="B3" s="27" t="s">
        <v>157</v>
      </c>
    </row>
    <row r="4" spans="1:38">
      <c r="A4" s="27" t="s">
        <v>155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37</v>
      </c>
      <c r="AL4" t="s">
        <v>174</v>
      </c>
    </row>
    <row r="5" spans="1:38">
      <c r="A5" t="s">
        <v>175</v>
      </c>
      <c r="B5" s="4"/>
      <c r="C5" s="4"/>
      <c r="D5" s="4">
        <v>2</v>
      </c>
      <c r="E5" s="4"/>
      <c r="F5" s="4"/>
      <c r="G5" s="4"/>
      <c r="H5" s="4"/>
      <c r="I5" s="4"/>
      <c r="J5" s="4">
        <v>1</v>
      </c>
      <c r="K5" s="4">
        <v>2</v>
      </c>
      <c r="L5" s="4"/>
      <c r="M5" s="4"/>
      <c r="N5" s="4"/>
      <c r="O5" s="4"/>
      <c r="P5" s="4">
        <v>1</v>
      </c>
      <c r="Q5" s="4"/>
      <c r="R5" s="4"/>
      <c r="S5" s="4"/>
      <c r="T5" s="4">
        <v>1</v>
      </c>
      <c r="U5" s="4"/>
      <c r="V5" s="4"/>
      <c r="W5" s="4"/>
      <c r="X5" s="4">
        <v>1</v>
      </c>
      <c r="Y5" s="4">
        <v>1</v>
      </c>
      <c r="Z5" s="4"/>
      <c r="AA5" s="4">
        <v>1</v>
      </c>
      <c r="AB5" s="4"/>
      <c r="AC5" s="4"/>
      <c r="AD5" s="4">
        <v>3</v>
      </c>
      <c r="AE5" s="4"/>
      <c r="AF5" s="4">
        <v>1</v>
      </c>
      <c r="AG5" s="4"/>
      <c r="AH5" s="4"/>
      <c r="AI5" s="4">
        <v>3</v>
      </c>
      <c r="AJ5" s="4"/>
      <c r="AK5" s="4"/>
      <c r="AL5" s="4">
        <v>17</v>
      </c>
    </row>
    <row r="6" spans="1:38">
      <c r="A6" t="s">
        <v>176</v>
      </c>
      <c r="B6" s="4">
        <v>2</v>
      </c>
      <c r="C6" s="4">
        <v>2</v>
      </c>
      <c r="D6" s="4"/>
      <c r="E6" s="4">
        <v>1</v>
      </c>
      <c r="F6" s="4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>
        <v>1</v>
      </c>
      <c r="X6" s="4">
        <v>2</v>
      </c>
      <c r="Y6" s="4"/>
      <c r="Z6" s="4"/>
      <c r="AA6" s="4">
        <v>1</v>
      </c>
      <c r="AB6" s="4">
        <v>1</v>
      </c>
      <c r="AC6" s="4"/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/>
      <c r="AJ6" s="4"/>
      <c r="AK6" s="4">
        <v>1</v>
      </c>
      <c r="AL6" s="4">
        <v>17</v>
      </c>
    </row>
    <row r="7" spans="1:38">
      <c r="A7" t="s">
        <v>177</v>
      </c>
      <c r="B7" s="4">
        <v>2</v>
      </c>
      <c r="C7" s="4">
        <v>1</v>
      </c>
      <c r="D7" s="4">
        <v>2</v>
      </c>
      <c r="E7" s="4">
        <v>1</v>
      </c>
      <c r="F7" s="4"/>
      <c r="G7" s="4"/>
      <c r="H7" s="4"/>
      <c r="I7" s="4">
        <v>1</v>
      </c>
      <c r="J7" s="4"/>
      <c r="K7" s="4"/>
      <c r="L7" s="4"/>
      <c r="M7" s="4"/>
      <c r="N7" s="4">
        <v>1</v>
      </c>
      <c r="O7" s="4"/>
      <c r="P7" s="4"/>
      <c r="Q7" s="4">
        <v>1</v>
      </c>
      <c r="R7" s="4"/>
      <c r="S7" s="4"/>
      <c r="T7" s="4">
        <v>3</v>
      </c>
      <c r="U7" s="4"/>
      <c r="V7" s="4"/>
      <c r="W7" s="4"/>
      <c r="X7" s="4"/>
      <c r="Y7" s="4"/>
      <c r="Z7" s="4"/>
      <c r="AA7" s="4"/>
      <c r="AB7" s="4"/>
      <c r="AC7" s="4">
        <v>2</v>
      </c>
      <c r="AD7" s="4"/>
      <c r="AE7" s="4"/>
      <c r="AF7" s="4">
        <v>2</v>
      </c>
      <c r="AG7" s="4">
        <v>1</v>
      </c>
      <c r="AH7" s="4"/>
      <c r="AI7" s="4"/>
      <c r="AJ7" s="4"/>
      <c r="AK7" s="4">
        <v>1</v>
      </c>
      <c r="AL7" s="4">
        <v>18</v>
      </c>
    </row>
    <row r="8" spans="1:38">
      <c r="A8" t="s">
        <v>178</v>
      </c>
      <c r="B8" s="4"/>
      <c r="C8" s="4"/>
      <c r="D8" s="4"/>
      <c r="E8" s="4"/>
      <c r="F8" s="4">
        <v>1</v>
      </c>
      <c r="G8" s="4"/>
      <c r="H8" s="4"/>
      <c r="I8" s="4"/>
      <c r="J8" s="4"/>
      <c r="K8" s="4">
        <v>2</v>
      </c>
      <c r="L8" s="4"/>
      <c r="M8" s="4">
        <v>1</v>
      </c>
      <c r="N8" s="4"/>
      <c r="O8" s="4"/>
      <c r="P8" s="4">
        <v>1</v>
      </c>
      <c r="Q8" s="4"/>
      <c r="R8" s="4">
        <v>1</v>
      </c>
      <c r="S8" s="4"/>
      <c r="T8" s="4">
        <v>1</v>
      </c>
      <c r="U8" s="4"/>
      <c r="V8" s="4">
        <v>1</v>
      </c>
      <c r="W8" s="4"/>
      <c r="X8" s="4"/>
      <c r="Y8" s="4">
        <v>1</v>
      </c>
      <c r="Z8" s="4"/>
      <c r="AA8" s="4">
        <v>1</v>
      </c>
      <c r="AB8" s="4">
        <v>1</v>
      </c>
      <c r="AC8" s="4">
        <v>1</v>
      </c>
      <c r="AD8" s="4">
        <v>1</v>
      </c>
      <c r="AE8" s="4"/>
      <c r="AF8" s="4">
        <v>1</v>
      </c>
      <c r="AG8" s="4"/>
      <c r="AH8" s="4"/>
      <c r="AI8" s="4">
        <v>1</v>
      </c>
      <c r="AJ8" s="4"/>
      <c r="AK8" s="4"/>
      <c r="AL8" s="4">
        <v>15</v>
      </c>
    </row>
    <row r="9" spans="1:38">
      <c r="A9" t="s">
        <v>179</v>
      </c>
      <c r="B9" s="4">
        <v>2</v>
      </c>
      <c r="C9" s="4"/>
      <c r="D9" s="4">
        <v>2</v>
      </c>
      <c r="E9" s="4"/>
      <c r="F9" s="4">
        <v>1</v>
      </c>
      <c r="G9" s="4"/>
      <c r="H9" s="4"/>
      <c r="I9" s="4"/>
      <c r="J9" s="4">
        <v>1</v>
      </c>
      <c r="K9" s="4"/>
      <c r="L9" s="4">
        <v>1</v>
      </c>
      <c r="M9" s="4"/>
      <c r="N9" s="4"/>
      <c r="O9" s="4"/>
      <c r="P9" s="4"/>
      <c r="Q9" s="4"/>
      <c r="R9" s="4"/>
      <c r="S9" s="4"/>
      <c r="T9" s="4"/>
      <c r="U9" s="4"/>
      <c r="V9" s="4">
        <v>1</v>
      </c>
      <c r="W9" s="4">
        <v>1</v>
      </c>
      <c r="X9" s="4"/>
      <c r="Y9" s="4"/>
      <c r="Z9" s="4">
        <v>2</v>
      </c>
      <c r="AA9" s="4"/>
      <c r="AB9" s="4"/>
      <c r="AC9" s="4"/>
      <c r="AD9" s="4">
        <v>1</v>
      </c>
      <c r="AE9" s="4"/>
      <c r="AF9" s="4"/>
      <c r="AG9" s="4"/>
      <c r="AH9" s="4">
        <v>1</v>
      </c>
      <c r="AI9" s="4"/>
      <c r="AJ9" s="4">
        <v>1</v>
      </c>
      <c r="AK9" s="4"/>
      <c r="AL9" s="4">
        <v>14</v>
      </c>
    </row>
    <row r="10" spans="1:38">
      <c r="A10" t="s">
        <v>180</v>
      </c>
      <c r="B10" s="4"/>
      <c r="C10" s="4">
        <v>2</v>
      </c>
      <c r="D10" s="4">
        <v>1</v>
      </c>
      <c r="E10" s="4"/>
      <c r="F10" s="4"/>
      <c r="G10" s="4"/>
      <c r="H10" s="4">
        <v>1</v>
      </c>
      <c r="I10" s="4"/>
      <c r="J10" s="4"/>
      <c r="K10" s="4"/>
      <c r="L10" s="4"/>
      <c r="M10" s="4"/>
      <c r="N10" s="4"/>
      <c r="O10" s="4">
        <v>1</v>
      </c>
      <c r="P10" s="4">
        <v>1</v>
      </c>
      <c r="Q10" s="4"/>
      <c r="R10" s="4"/>
      <c r="S10" s="4"/>
      <c r="T10" s="4">
        <v>1</v>
      </c>
      <c r="U10" s="4"/>
      <c r="V10" s="4"/>
      <c r="W10" s="4">
        <v>1</v>
      </c>
      <c r="X10" s="4"/>
      <c r="Y10" s="4">
        <v>1</v>
      </c>
      <c r="Z10" s="4"/>
      <c r="AA10" s="4"/>
      <c r="AB10" s="4"/>
      <c r="AC10" s="4"/>
      <c r="AD10" s="4">
        <v>1</v>
      </c>
      <c r="AE10" s="4"/>
      <c r="AF10" s="4"/>
      <c r="AG10" s="4">
        <v>1</v>
      </c>
      <c r="AH10" s="4">
        <v>1</v>
      </c>
      <c r="AI10" s="4"/>
      <c r="AJ10" s="4"/>
      <c r="AK10" s="4"/>
      <c r="AL10" s="4">
        <v>12</v>
      </c>
    </row>
    <row r="11" spans="1:38">
      <c r="A11" t="s">
        <v>181</v>
      </c>
      <c r="B11" s="4"/>
      <c r="C11" s="4">
        <v>2</v>
      </c>
      <c r="D11" s="4">
        <v>1</v>
      </c>
      <c r="E11" s="4"/>
      <c r="F11" s="4">
        <v>1</v>
      </c>
      <c r="G11" s="4"/>
      <c r="H11" s="4"/>
      <c r="I11" s="4"/>
      <c r="J11" s="4"/>
      <c r="K11" s="4"/>
      <c r="L11" s="4"/>
      <c r="M11" s="4">
        <v>1</v>
      </c>
      <c r="N11" s="4"/>
      <c r="O11" s="4"/>
      <c r="P11" s="4">
        <v>2</v>
      </c>
      <c r="Q11" s="4"/>
      <c r="R11" s="4"/>
      <c r="S11" s="4">
        <v>1</v>
      </c>
      <c r="T11" s="4"/>
      <c r="U11" s="4"/>
      <c r="V11" s="4">
        <v>1</v>
      </c>
      <c r="W11" s="4"/>
      <c r="X11" s="4">
        <v>1</v>
      </c>
      <c r="Y11" s="4"/>
      <c r="Z11" s="4"/>
      <c r="AA11" s="4"/>
      <c r="AB11" s="4"/>
      <c r="AC11" s="4">
        <v>1</v>
      </c>
      <c r="AD11" s="4"/>
      <c r="AE11" s="4">
        <v>1</v>
      </c>
      <c r="AF11" s="4"/>
      <c r="AG11" s="4">
        <v>1</v>
      </c>
      <c r="AH11" s="4"/>
      <c r="AI11" s="4"/>
      <c r="AJ11" s="4"/>
      <c r="AK11" s="4"/>
      <c r="AL11" s="4">
        <v>13</v>
      </c>
    </row>
    <row r="12" spans="1:38">
      <c r="A12" t="s">
        <v>182</v>
      </c>
      <c r="B12" s="4">
        <v>1</v>
      </c>
      <c r="C12" s="4"/>
      <c r="D12" s="4">
        <v>3</v>
      </c>
      <c r="E12" s="4"/>
      <c r="F12" s="4"/>
      <c r="G12" s="4"/>
      <c r="H12" s="4">
        <v>1</v>
      </c>
      <c r="I12" s="4">
        <v>2</v>
      </c>
      <c r="J12" s="4"/>
      <c r="K12" s="4"/>
      <c r="L12" s="4">
        <v>1</v>
      </c>
      <c r="M12" s="4">
        <v>1</v>
      </c>
      <c r="N12" s="4">
        <v>1</v>
      </c>
      <c r="O12" s="4"/>
      <c r="P12" s="4">
        <v>1</v>
      </c>
      <c r="Q12" s="4"/>
      <c r="R12" s="4"/>
      <c r="S12" s="4"/>
      <c r="T12" s="4">
        <v>1</v>
      </c>
      <c r="U12" s="4">
        <v>1</v>
      </c>
      <c r="V12" s="4"/>
      <c r="W12" s="4"/>
      <c r="X12" s="4"/>
      <c r="Y12" s="4"/>
      <c r="Z12" s="4"/>
      <c r="AA12" s="4">
        <v>1</v>
      </c>
      <c r="AB12" s="4"/>
      <c r="AC12" s="4"/>
      <c r="AD12" s="4"/>
      <c r="AE12" s="4"/>
      <c r="AF12" s="4">
        <v>1</v>
      </c>
      <c r="AG12" s="4">
        <v>1</v>
      </c>
      <c r="AH12" s="4"/>
      <c r="AI12" s="4"/>
      <c r="AJ12" s="4"/>
      <c r="AK12" s="4"/>
      <c r="AL12" s="4">
        <v>16</v>
      </c>
    </row>
    <row r="13" spans="1:38">
      <c r="A13" t="s">
        <v>183</v>
      </c>
      <c r="B13" s="4"/>
      <c r="C13" s="4"/>
      <c r="D13" s="4">
        <v>1</v>
      </c>
      <c r="E13" s="4">
        <v>1</v>
      </c>
      <c r="F13" s="4">
        <v>1</v>
      </c>
      <c r="G13" s="4"/>
      <c r="H13" s="4"/>
      <c r="I13" s="4"/>
      <c r="J13" s="4"/>
      <c r="K13" s="4">
        <v>1</v>
      </c>
      <c r="L13" s="4"/>
      <c r="M13" s="4"/>
      <c r="N13" s="4"/>
      <c r="O13" s="4">
        <v>1</v>
      </c>
      <c r="P13" s="4">
        <v>1</v>
      </c>
      <c r="Q13" s="4"/>
      <c r="R13" s="4">
        <v>1</v>
      </c>
      <c r="S13" s="4">
        <v>2</v>
      </c>
      <c r="T13" s="4">
        <v>1</v>
      </c>
      <c r="U13" s="4"/>
      <c r="V13" s="4">
        <v>1</v>
      </c>
      <c r="W13" s="4">
        <v>1</v>
      </c>
      <c r="X13" s="4"/>
      <c r="Y13" s="4"/>
      <c r="Z13" s="4">
        <v>1</v>
      </c>
      <c r="AA13" s="4">
        <v>1</v>
      </c>
      <c r="AB13" s="4"/>
      <c r="AC13" s="4">
        <v>1</v>
      </c>
      <c r="AD13" s="4"/>
      <c r="AE13" s="4">
        <v>1</v>
      </c>
      <c r="AF13" s="4">
        <v>2</v>
      </c>
      <c r="AG13" s="4"/>
      <c r="AH13" s="4"/>
      <c r="AI13" s="4"/>
      <c r="AJ13" s="4"/>
      <c r="AK13" s="4"/>
      <c r="AL13" s="4">
        <v>18</v>
      </c>
    </row>
    <row r="14" spans="1:38">
      <c r="A14" t="s">
        <v>184</v>
      </c>
      <c r="B14" s="4"/>
      <c r="C14" s="4"/>
      <c r="D14" s="4"/>
      <c r="E14" s="4">
        <v>1</v>
      </c>
      <c r="F14" s="4"/>
      <c r="G14" s="4"/>
      <c r="H14" s="4"/>
      <c r="I14" s="4">
        <v>1</v>
      </c>
      <c r="J14" s="4"/>
      <c r="K14" s="4">
        <v>1</v>
      </c>
      <c r="L14" s="4">
        <v>2</v>
      </c>
      <c r="M14" s="4"/>
      <c r="N14" s="4"/>
      <c r="O14" s="4">
        <v>1</v>
      </c>
      <c r="P14" s="4">
        <v>1</v>
      </c>
      <c r="Q14" s="4"/>
      <c r="R14" s="4">
        <v>1</v>
      </c>
      <c r="S14" s="4"/>
      <c r="T14" s="4"/>
      <c r="U14" s="4"/>
      <c r="V14" s="4">
        <v>1</v>
      </c>
      <c r="W14" s="4">
        <v>3</v>
      </c>
      <c r="X14" s="4"/>
      <c r="Y14" s="4"/>
      <c r="Z14" s="4"/>
      <c r="AA14" s="4"/>
      <c r="AB14" s="4"/>
      <c r="AC14" s="4">
        <v>3</v>
      </c>
      <c r="AD14" s="4">
        <v>1</v>
      </c>
      <c r="AE14" s="4">
        <v>1</v>
      </c>
      <c r="AF14" s="4"/>
      <c r="AG14" s="4"/>
      <c r="AH14" s="4"/>
      <c r="AI14" s="4"/>
      <c r="AJ14" s="4"/>
      <c r="AK14" s="4"/>
      <c r="AL14" s="4">
        <v>17</v>
      </c>
    </row>
    <row r="15" spans="1:38">
      <c r="A15" t="s">
        <v>185</v>
      </c>
      <c r="B15" s="4">
        <v>3</v>
      </c>
      <c r="C15" s="4">
        <v>1</v>
      </c>
      <c r="D15" s="4">
        <v>1</v>
      </c>
      <c r="E15" s="4"/>
      <c r="F15" s="4"/>
      <c r="G15" s="4"/>
      <c r="H15" s="4">
        <v>1</v>
      </c>
      <c r="I15" s="4">
        <v>1</v>
      </c>
      <c r="J15" s="4">
        <v>1</v>
      </c>
      <c r="K15" s="4"/>
      <c r="L15" s="4">
        <v>1</v>
      </c>
      <c r="M15" s="4"/>
      <c r="N15" s="4">
        <v>1</v>
      </c>
      <c r="O15" s="4">
        <v>2</v>
      </c>
      <c r="P15" s="4">
        <v>2</v>
      </c>
      <c r="Q15" s="4"/>
      <c r="R15" s="4"/>
      <c r="S15" s="4"/>
      <c r="T15" s="4"/>
      <c r="U15" s="4"/>
      <c r="V15" s="4"/>
      <c r="W15" s="4">
        <v>1</v>
      </c>
      <c r="X15" s="4">
        <v>1</v>
      </c>
      <c r="Y15" s="4"/>
      <c r="Z15" s="4">
        <v>1</v>
      </c>
      <c r="AA15" s="4">
        <v>1</v>
      </c>
      <c r="AB15" s="4">
        <v>3</v>
      </c>
      <c r="AC15" s="4"/>
      <c r="AD15" s="4"/>
      <c r="AE15" s="4">
        <v>1</v>
      </c>
      <c r="AF15" s="4"/>
      <c r="AG15" s="4"/>
      <c r="AH15" s="4"/>
      <c r="AI15" s="4"/>
      <c r="AJ15" s="4"/>
      <c r="AK15" s="4"/>
      <c r="AL15" s="4">
        <v>22</v>
      </c>
    </row>
    <row r="16" spans="1:38">
      <c r="A16" t="s">
        <v>186</v>
      </c>
      <c r="B16" s="4">
        <v>1</v>
      </c>
      <c r="C16" s="4">
        <v>1</v>
      </c>
      <c r="D16" s="4"/>
      <c r="E16" s="4">
        <v>1</v>
      </c>
      <c r="F16" s="4">
        <v>1</v>
      </c>
      <c r="G16" s="4">
        <v>2</v>
      </c>
      <c r="H16" s="4"/>
      <c r="I16" s="4"/>
      <c r="J16" s="4"/>
      <c r="K16" s="4"/>
      <c r="L16" s="4"/>
      <c r="M16" s="4">
        <v>1</v>
      </c>
      <c r="N16" s="4"/>
      <c r="O16" s="4">
        <v>1</v>
      </c>
      <c r="P16" s="4">
        <v>1</v>
      </c>
      <c r="Q16" s="4">
        <v>1</v>
      </c>
      <c r="R16" s="4"/>
      <c r="S16" s="4"/>
      <c r="T16" s="4"/>
      <c r="U16" s="4">
        <v>1</v>
      </c>
      <c r="V16" s="4"/>
      <c r="W16" s="4">
        <v>1</v>
      </c>
      <c r="X16" s="4"/>
      <c r="Y16" s="4">
        <v>2</v>
      </c>
      <c r="Z16" s="4">
        <v>1</v>
      </c>
      <c r="AA16" s="4">
        <v>1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>
        <v>16</v>
      </c>
    </row>
    <row r="17" spans="1:38">
      <c r="A17" t="s">
        <v>187</v>
      </c>
      <c r="B17" s="4">
        <v>1</v>
      </c>
      <c r="C17" s="4"/>
      <c r="D17" s="4"/>
      <c r="E17" s="4"/>
      <c r="F17" s="4">
        <v>1</v>
      </c>
      <c r="G17" s="4"/>
      <c r="H17" s="4">
        <v>1</v>
      </c>
      <c r="I17" s="4"/>
      <c r="J17" s="4">
        <v>1</v>
      </c>
      <c r="K17" s="4">
        <v>1</v>
      </c>
      <c r="L17" s="4">
        <v>1</v>
      </c>
      <c r="M17" s="4"/>
      <c r="N17" s="4">
        <v>1</v>
      </c>
      <c r="O17" s="4">
        <v>1</v>
      </c>
      <c r="P17" s="4"/>
      <c r="Q17" s="4"/>
      <c r="R17" s="4"/>
      <c r="S17" s="4"/>
      <c r="T17" s="4">
        <v>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>
        <v>10</v>
      </c>
    </row>
    <row r="18" spans="1:38">
      <c r="A18" t="s">
        <v>188</v>
      </c>
      <c r="B18" s="4"/>
      <c r="C18" s="4">
        <v>1</v>
      </c>
      <c r="D18" s="4">
        <v>1</v>
      </c>
      <c r="E18" s="4"/>
      <c r="F18" s="4">
        <v>1</v>
      </c>
      <c r="G18" s="4">
        <v>1</v>
      </c>
      <c r="H18" s="4">
        <v>2</v>
      </c>
      <c r="I18" s="4">
        <v>2</v>
      </c>
      <c r="J18" s="4">
        <v>2</v>
      </c>
      <c r="K18" s="4"/>
      <c r="L18" s="4"/>
      <c r="M18" s="4">
        <v>2</v>
      </c>
      <c r="N18" s="4"/>
      <c r="O18" s="4"/>
      <c r="P18" s="4"/>
      <c r="Q18" s="4"/>
      <c r="R18" s="4"/>
      <c r="S18" s="4">
        <v>2</v>
      </c>
      <c r="T18" s="4"/>
      <c r="U18" s="4">
        <v>1</v>
      </c>
      <c r="V18" s="4">
        <v>2</v>
      </c>
      <c r="W18" s="4"/>
      <c r="X18" s="4">
        <v>2</v>
      </c>
      <c r="Y18" s="4">
        <v>2</v>
      </c>
      <c r="Z18" s="4">
        <v>2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>
        <v>23</v>
      </c>
    </row>
    <row r="19" spans="1:38">
      <c r="A19" t="s">
        <v>189</v>
      </c>
      <c r="B19" s="4">
        <v>2</v>
      </c>
      <c r="C19" s="4">
        <v>4</v>
      </c>
      <c r="D19" s="4">
        <v>2</v>
      </c>
      <c r="E19" s="4">
        <v>1</v>
      </c>
      <c r="F19" s="4">
        <v>1</v>
      </c>
      <c r="G19" s="4">
        <v>1</v>
      </c>
      <c r="H19" s="4"/>
      <c r="I19" s="4"/>
      <c r="J19" s="4"/>
      <c r="K19" s="4"/>
      <c r="L19" s="4"/>
      <c r="M19" s="4">
        <v>1</v>
      </c>
      <c r="N19" s="4">
        <v>1</v>
      </c>
      <c r="O19" s="4">
        <v>1</v>
      </c>
      <c r="P19" s="4">
        <v>2</v>
      </c>
      <c r="Q19" s="4"/>
      <c r="R19" s="4">
        <v>1</v>
      </c>
      <c r="S19" s="4"/>
      <c r="T19" s="4">
        <v>3</v>
      </c>
      <c r="U19" s="4">
        <v>1</v>
      </c>
      <c r="V19" s="4">
        <v>1</v>
      </c>
      <c r="W19" s="4">
        <v>1</v>
      </c>
      <c r="X19" s="4">
        <v>2</v>
      </c>
      <c r="Y19" s="4">
        <v>1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>
        <v>26</v>
      </c>
    </row>
    <row r="20" spans="1:38">
      <c r="A20" t="s">
        <v>190</v>
      </c>
      <c r="B20" s="4"/>
      <c r="C20" s="4"/>
      <c r="D20" s="4">
        <v>3</v>
      </c>
      <c r="E20" s="4">
        <v>1</v>
      </c>
      <c r="F20" s="4">
        <v>1</v>
      </c>
      <c r="G20" s="4"/>
      <c r="H20" s="4"/>
      <c r="I20" s="4"/>
      <c r="J20" s="4">
        <v>1</v>
      </c>
      <c r="K20" s="4"/>
      <c r="L20" s="4">
        <v>1</v>
      </c>
      <c r="M20" s="4">
        <v>1</v>
      </c>
      <c r="N20" s="4"/>
      <c r="O20" s="4">
        <v>1</v>
      </c>
      <c r="P20" s="4"/>
      <c r="Q20" s="4">
        <v>1</v>
      </c>
      <c r="R20" s="4"/>
      <c r="S20" s="4">
        <v>2</v>
      </c>
      <c r="T20" s="4">
        <v>1</v>
      </c>
      <c r="U20" s="4">
        <v>1</v>
      </c>
      <c r="V20" s="4"/>
      <c r="W20" s="4">
        <v>1</v>
      </c>
      <c r="X20" s="4">
        <v>1</v>
      </c>
      <c r="Y20" s="4"/>
      <c r="Z20" s="4">
        <v>1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>
        <v>17</v>
      </c>
    </row>
    <row r="21" spans="1:38">
      <c r="A21" t="s">
        <v>191</v>
      </c>
      <c r="B21" s="4">
        <v>3</v>
      </c>
      <c r="C21" s="4"/>
      <c r="D21" s="4">
        <v>2</v>
      </c>
      <c r="E21" s="4"/>
      <c r="F21" s="4"/>
      <c r="G21" s="4">
        <v>1</v>
      </c>
      <c r="H21" s="4"/>
      <c r="I21" s="4">
        <v>2</v>
      </c>
      <c r="J21" s="4">
        <v>1</v>
      </c>
      <c r="K21" s="4"/>
      <c r="L21" s="4"/>
      <c r="M21" s="4">
        <v>2</v>
      </c>
      <c r="N21" s="4"/>
      <c r="O21" s="4">
        <v>1</v>
      </c>
      <c r="P21" s="4">
        <v>2</v>
      </c>
      <c r="Q21" s="4"/>
      <c r="R21" s="4">
        <v>2</v>
      </c>
      <c r="S21" s="4"/>
      <c r="T21" s="4">
        <v>2</v>
      </c>
      <c r="U21" s="4">
        <v>3</v>
      </c>
      <c r="V21" s="4"/>
      <c r="W21" s="4">
        <v>2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>
        <v>23</v>
      </c>
    </row>
    <row r="22" spans="1:38">
      <c r="A22" t="s">
        <v>192</v>
      </c>
      <c r="B22" s="4">
        <v>3</v>
      </c>
      <c r="C22" s="4">
        <v>1</v>
      </c>
      <c r="D22" s="4">
        <v>1</v>
      </c>
      <c r="E22" s="4"/>
      <c r="F22" s="4">
        <v>1</v>
      </c>
      <c r="G22" s="4"/>
      <c r="H22" s="4"/>
      <c r="I22" s="4"/>
      <c r="J22" s="4">
        <v>1</v>
      </c>
      <c r="K22" s="4">
        <v>2</v>
      </c>
      <c r="L22" s="4">
        <v>1</v>
      </c>
      <c r="M22" s="4"/>
      <c r="N22" s="4">
        <v>3</v>
      </c>
      <c r="O22" s="4"/>
      <c r="P22" s="4">
        <v>1</v>
      </c>
      <c r="Q22" s="4">
        <v>1</v>
      </c>
      <c r="R22" s="4"/>
      <c r="S22" s="4">
        <v>2</v>
      </c>
      <c r="T22" s="4">
        <v>1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>
        <v>18</v>
      </c>
    </row>
    <row r="23" spans="1:38">
      <c r="A23" t="s">
        <v>193</v>
      </c>
      <c r="B23" s="4"/>
      <c r="C23" s="4"/>
      <c r="D23" s="4">
        <v>2</v>
      </c>
      <c r="E23" s="4"/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3</v>
      </c>
      <c r="N23" s="4">
        <v>2</v>
      </c>
      <c r="O23" s="4">
        <v>3</v>
      </c>
      <c r="P23" s="4">
        <v>2</v>
      </c>
      <c r="Q23" s="4">
        <v>1</v>
      </c>
      <c r="R23" s="4">
        <v>1</v>
      </c>
      <c r="S23" s="4">
        <v>2</v>
      </c>
      <c r="T23" s="4">
        <v>1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>
        <v>24</v>
      </c>
    </row>
    <row r="24" spans="1:38">
      <c r="A24" t="s">
        <v>194</v>
      </c>
      <c r="B24" s="4">
        <v>4</v>
      </c>
      <c r="C24" s="4"/>
      <c r="D24" s="4"/>
      <c r="E24" s="4"/>
      <c r="F24" s="4"/>
      <c r="G24" s="4">
        <v>2</v>
      </c>
      <c r="H24" s="4"/>
      <c r="I24" s="4"/>
      <c r="J24" s="4"/>
      <c r="K24" s="4">
        <v>1</v>
      </c>
      <c r="L24" s="4">
        <v>1</v>
      </c>
      <c r="M24" s="4"/>
      <c r="N24" s="4">
        <v>3</v>
      </c>
      <c r="O24" s="4">
        <v>1</v>
      </c>
      <c r="P24" s="4">
        <v>1</v>
      </c>
      <c r="Q24" s="4">
        <v>2</v>
      </c>
      <c r="R24" s="4"/>
      <c r="S24" s="4">
        <v>2</v>
      </c>
      <c r="T24" s="4"/>
      <c r="U24" s="4">
        <v>1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>
        <v>18</v>
      </c>
    </row>
    <row r="25" spans="1:38">
      <c r="A25" t="s">
        <v>195</v>
      </c>
      <c r="B25" s="4">
        <v>2</v>
      </c>
      <c r="C25" s="4">
        <v>2</v>
      </c>
      <c r="D25" s="4"/>
      <c r="E25" s="4">
        <v>2</v>
      </c>
      <c r="F25" s="4">
        <v>1</v>
      </c>
      <c r="G25" s="4"/>
      <c r="H25" s="4">
        <v>2</v>
      </c>
      <c r="I25" s="4">
        <v>2</v>
      </c>
      <c r="J25" s="4"/>
      <c r="K25" s="4">
        <v>2</v>
      </c>
      <c r="L25" s="4"/>
      <c r="M25" s="4">
        <v>1</v>
      </c>
      <c r="N25" s="4"/>
      <c r="O25" s="4"/>
      <c r="P25" s="4">
        <v>1</v>
      </c>
      <c r="Q25" s="4"/>
      <c r="R25" s="4"/>
      <c r="S25" s="4">
        <v>3</v>
      </c>
      <c r="T25" s="4">
        <v>2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20</v>
      </c>
    </row>
    <row r="26" spans="1:38">
      <c r="A26" t="s">
        <v>196</v>
      </c>
      <c r="B26" s="4"/>
      <c r="C26" s="4"/>
      <c r="D26" s="4">
        <v>2</v>
      </c>
      <c r="E26" s="4">
        <v>2</v>
      </c>
      <c r="F26" s="4"/>
      <c r="G26" s="4">
        <v>2</v>
      </c>
      <c r="H26" s="4">
        <v>3</v>
      </c>
      <c r="I26" s="4">
        <v>2</v>
      </c>
      <c r="J26" s="4"/>
      <c r="K26" s="4">
        <v>1</v>
      </c>
      <c r="L26" s="4">
        <v>3</v>
      </c>
      <c r="M26" s="4">
        <v>1</v>
      </c>
      <c r="N26" s="4"/>
      <c r="O26" s="4"/>
      <c r="P26" s="4">
        <v>1</v>
      </c>
      <c r="Q26" s="4"/>
      <c r="R26" s="4"/>
      <c r="S26" s="4"/>
      <c r="T26" s="4">
        <v>1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18</v>
      </c>
    </row>
    <row r="27" spans="1:38">
      <c r="A27" t="s">
        <v>197</v>
      </c>
      <c r="B27" s="4">
        <v>1</v>
      </c>
      <c r="C27" s="4">
        <v>1</v>
      </c>
      <c r="D27" s="4"/>
      <c r="E27" s="4">
        <v>3</v>
      </c>
      <c r="F27" s="4"/>
      <c r="G27" s="4"/>
      <c r="H27" s="4">
        <v>1</v>
      </c>
      <c r="I27" s="4">
        <v>1</v>
      </c>
      <c r="J27" s="4">
        <v>2</v>
      </c>
      <c r="K27" s="4">
        <v>1</v>
      </c>
      <c r="L27" s="4">
        <v>2</v>
      </c>
      <c r="M27" s="4">
        <v>1</v>
      </c>
      <c r="N27" s="4"/>
      <c r="O27" s="4">
        <v>1</v>
      </c>
      <c r="P27" s="4">
        <v>2</v>
      </c>
      <c r="Q27" s="4"/>
      <c r="R27" s="4">
        <v>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>
        <v>19</v>
      </c>
    </row>
    <row r="28" spans="1:38">
      <c r="A28" t="s">
        <v>198</v>
      </c>
      <c r="B28" s="4">
        <v>3</v>
      </c>
      <c r="C28" s="4">
        <v>3</v>
      </c>
      <c r="D28" s="4">
        <v>1</v>
      </c>
      <c r="E28" s="4"/>
      <c r="F28" s="4">
        <v>1</v>
      </c>
      <c r="G28" s="4">
        <v>1</v>
      </c>
      <c r="H28" s="4">
        <v>2</v>
      </c>
      <c r="I28" s="4">
        <v>1</v>
      </c>
      <c r="J28" s="4">
        <v>1</v>
      </c>
      <c r="K28" s="4"/>
      <c r="L28" s="4">
        <v>4</v>
      </c>
      <c r="M28" s="4"/>
      <c r="N28" s="4">
        <v>1</v>
      </c>
      <c r="O28" s="4"/>
      <c r="P28" s="4"/>
      <c r="Q28" s="4"/>
      <c r="R28" s="4">
        <v>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>
        <v>19</v>
      </c>
    </row>
    <row r="29" spans="1:38">
      <c r="A29" t="s">
        <v>199</v>
      </c>
      <c r="B29" s="4">
        <v>2</v>
      </c>
      <c r="C29" s="4"/>
      <c r="D29" s="4">
        <v>1</v>
      </c>
      <c r="E29" s="4">
        <v>2</v>
      </c>
      <c r="F29" s="4"/>
      <c r="G29" s="4">
        <v>1</v>
      </c>
      <c r="H29" s="4"/>
      <c r="I29" s="4">
        <v>2</v>
      </c>
      <c r="J29" s="4">
        <v>4</v>
      </c>
      <c r="K29" s="4"/>
      <c r="L29" s="4">
        <v>2</v>
      </c>
      <c r="M29" s="4"/>
      <c r="N29" s="4"/>
      <c r="O29" s="4">
        <v>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>
        <v>16</v>
      </c>
    </row>
    <row r="30" spans="1:38">
      <c r="A30" t="s">
        <v>200</v>
      </c>
      <c r="B30" s="4">
        <v>1</v>
      </c>
      <c r="C30" s="4">
        <v>1</v>
      </c>
      <c r="D30" s="4">
        <v>2</v>
      </c>
      <c r="E30" s="4"/>
      <c r="F30" s="4">
        <v>3</v>
      </c>
      <c r="G30" s="4"/>
      <c r="H30" s="4">
        <v>5</v>
      </c>
      <c r="I30" s="4"/>
      <c r="J30" s="4">
        <v>1</v>
      </c>
      <c r="K30" s="4"/>
      <c r="L30" s="4">
        <v>1</v>
      </c>
      <c r="M30" s="4">
        <v>1</v>
      </c>
      <c r="N30" s="4"/>
      <c r="O30" s="4">
        <v>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>
        <v>16</v>
      </c>
    </row>
    <row r="31" spans="1:38">
      <c r="A31" t="s">
        <v>201</v>
      </c>
      <c r="B31" s="4">
        <v>2</v>
      </c>
      <c r="C31" s="4"/>
      <c r="D31" s="4"/>
      <c r="E31" s="4">
        <v>2</v>
      </c>
      <c r="F31" s="4">
        <v>2</v>
      </c>
      <c r="G31" s="4">
        <v>1</v>
      </c>
      <c r="H31" s="4">
        <v>2</v>
      </c>
      <c r="I31" s="4">
        <v>2</v>
      </c>
      <c r="J31" s="4"/>
      <c r="K31" s="4">
        <v>1</v>
      </c>
      <c r="L31" s="4">
        <v>1</v>
      </c>
      <c r="M31" s="4">
        <v>1</v>
      </c>
      <c r="N31" s="4">
        <v>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>
        <v>15</v>
      </c>
    </row>
    <row r="32" spans="1:38">
      <c r="A32" t="s">
        <v>202</v>
      </c>
      <c r="B32" s="4">
        <v>3</v>
      </c>
      <c r="C32" s="4">
        <v>4</v>
      </c>
      <c r="D32" s="4">
        <v>1</v>
      </c>
      <c r="E32" s="4">
        <v>2</v>
      </c>
      <c r="F32" s="4"/>
      <c r="G32" s="4">
        <v>5</v>
      </c>
      <c r="H32" s="4"/>
      <c r="I32" s="4">
        <v>2</v>
      </c>
      <c r="J32" s="4">
        <v>3</v>
      </c>
      <c r="K32" s="4">
        <v>5</v>
      </c>
      <c r="L32" s="4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>
        <v>26</v>
      </c>
    </row>
    <row r="33" spans="1:38">
      <c r="A33" t="s">
        <v>203</v>
      </c>
      <c r="B33" s="4">
        <v>2</v>
      </c>
      <c r="C33" s="4">
        <v>2</v>
      </c>
      <c r="D33" s="4"/>
      <c r="E33" s="4"/>
      <c r="F33" s="4">
        <v>3</v>
      </c>
      <c r="G33" s="4">
        <v>1</v>
      </c>
      <c r="H33" s="4">
        <v>2</v>
      </c>
      <c r="I33" s="4"/>
      <c r="J33" s="4">
        <v>1</v>
      </c>
      <c r="K33" s="4">
        <v>1</v>
      </c>
      <c r="L33" s="4">
        <v>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>
        <v>15</v>
      </c>
    </row>
    <row r="34" spans="1:38">
      <c r="A34" t="s">
        <v>204</v>
      </c>
      <c r="B34" s="4"/>
      <c r="C34" s="4">
        <v>4</v>
      </c>
      <c r="D34" s="4">
        <v>1</v>
      </c>
      <c r="E34" s="4">
        <v>1</v>
      </c>
      <c r="F34" s="4">
        <v>2</v>
      </c>
      <c r="G34" s="4">
        <v>3</v>
      </c>
      <c r="H34" s="4">
        <v>1</v>
      </c>
      <c r="I34" s="4">
        <v>1</v>
      </c>
      <c r="J34" s="4">
        <v>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>
        <v>14</v>
      </c>
    </row>
    <row r="35" spans="1:38">
      <c r="A35" t="s">
        <v>205</v>
      </c>
      <c r="B35" s="4">
        <v>4</v>
      </c>
      <c r="C35" s="4">
        <v>2</v>
      </c>
      <c r="D35" s="4">
        <v>2</v>
      </c>
      <c r="E35" s="4">
        <v>3</v>
      </c>
      <c r="F35" s="4">
        <v>1</v>
      </c>
      <c r="G35" s="4"/>
      <c r="H35" s="4">
        <v>4</v>
      </c>
      <c r="I35" s="4">
        <v>3</v>
      </c>
      <c r="J35" s="4">
        <v>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>
        <v>21</v>
      </c>
    </row>
    <row r="36" spans="1:38">
      <c r="A36" t="s">
        <v>206</v>
      </c>
      <c r="B36" s="4">
        <v>2</v>
      </c>
      <c r="C36" s="4"/>
      <c r="D36" s="4">
        <v>2</v>
      </c>
      <c r="E36" s="4">
        <v>2</v>
      </c>
      <c r="F36" s="4">
        <v>2</v>
      </c>
      <c r="G36" s="4">
        <v>2</v>
      </c>
      <c r="H36" s="4">
        <v>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>
        <v>11</v>
      </c>
    </row>
    <row r="37" spans="1:38">
      <c r="A37" t="s">
        <v>207</v>
      </c>
      <c r="B37" s="4">
        <v>2</v>
      </c>
      <c r="C37" s="4">
        <v>3</v>
      </c>
      <c r="D37" s="4">
        <v>1</v>
      </c>
      <c r="E37" s="4"/>
      <c r="F37" s="4">
        <v>1</v>
      </c>
      <c r="G37" s="4">
        <v>1</v>
      </c>
      <c r="H37" s="4"/>
      <c r="I37" s="4">
        <v>2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>
        <v>10</v>
      </c>
    </row>
    <row r="38" spans="1:38">
      <c r="A38" t="s">
        <v>208</v>
      </c>
      <c r="B38" s="4">
        <v>4</v>
      </c>
      <c r="C38" s="4">
        <v>2</v>
      </c>
      <c r="D38" s="4">
        <v>2</v>
      </c>
      <c r="E38" s="4">
        <v>4</v>
      </c>
      <c r="F38" s="4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>
        <v>13</v>
      </c>
    </row>
    <row r="39" spans="1:38">
      <c r="A39" t="s">
        <v>209</v>
      </c>
      <c r="B39" s="4">
        <v>2</v>
      </c>
      <c r="C39" s="4">
        <v>6</v>
      </c>
      <c r="D39" s="4">
        <v>3</v>
      </c>
      <c r="E39" s="4">
        <v>9</v>
      </c>
      <c r="F39" s="4">
        <v>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>
        <v>23</v>
      </c>
    </row>
    <row r="40" spans="1:38">
      <c r="A40" t="s">
        <v>210</v>
      </c>
      <c r="B40" s="4">
        <v>2</v>
      </c>
      <c r="C40" s="4">
        <v>4</v>
      </c>
      <c r="D40" s="4">
        <v>6</v>
      </c>
      <c r="E40" s="4">
        <v>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>
        <v>18</v>
      </c>
    </row>
    <row r="41" spans="1:38">
      <c r="A41" t="s">
        <v>211</v>
      </c>
      <c r="B41" s="4">
        <v>7</v>
      </c>
      <c r="C41" s="4">
        <v>8</v>
      </c>
      <c r="D41" s="4">
        <v>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>
        <v>18</v>
      </c>
    </row>
    <row r="42" spans="1:38">
      <c r="A42" t="s">
        <v>174</v>
      </c>
      <c r="B42" s="4">
        <v>63</v>
      </c>
      <c r="C42" s="4">
        <v>57</v>
      </c>
      <c r="D42" s="4">
        <v>51</v>
      </c>
      <c r="E42" s="4">
        <v>45</v>
      </c>
      <c r="F42" s="4">
        <v>32</v>
      </c>
      <c r="G42" s="4">
        <v>25</v>
      </c>
      <c r="H42" s="4">
        <v>30</v>
      </c>
      <c r="I42" s="4">
        <v>28</v>
      </c>
      <c r="J42" s="4">
        <v>25</v>
      </c>
      <c r="K42" s="4">
        <v>22</v>
      </c>
      <c r="L42" s="4">
        <v>27</v>
      </c>
      <c r="M42" s="4">
        <v>18</v>
      </c>
      <c r="N42" s="4">
        <v>15</v>
      </c>
      <c r="O42" s="4">
        <v>18</v>
      </c>
      <c r="P42" s="4">
        <v>23</v>
      </c>
      <c r="Q42" s="4">
        <v>7</v>
      </c>
      <c r="R42" s="4">
        <v>11</v>
      </c>
      <c r="S42" s="4">
        <v>16</v>
      </c>
      <c r="T42" s="4">
        <v>21</v>
      </c>
      <c r="U42" s="4">
        <v>9</v>
      </c>
      <c r="V42" s="4">
        <v>8</v>
      </c>
      <c r="W42" s="4">
        <v>13</v>
      </c>
      <c r="X42" s="4">
        <v>10</v>
      </c>
      <c r="Y42" s="4">
        <v>8</v>
      </c>
      <c r="Z42" s="4">
        <v>8</v>
      </c>
      <c r="AA42" s="4">
        <v>7</v>
      </c>
      <c r="AB42" s="4">
        <v>5</v>
      </c>
      <c r="AC42" s="4">
        <v>8</v>
      </c>
      <c r="AD42" s="4">
        <v>8</v>
      </c>
      <c r="AE42" s="4">
        <v>5</v>
      </c>
      <c r="AF42" s="4">
        <v>8</v>
      </c>
      <c r="AG42" s="4">
        <v>5</v>
      </c>
      <c r="AH42" s="4">
        <v>3</v>
      </c>
      <c r="AI42" s="4">
        <v>4</v>
      </c>
      <c r="AJ42" s="4">
        <v>1</v>
      </c>
      <c r="AK42" s="4">
        <v>2</v>
      </c>
      <c r="AL42" s="4">
        <v>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A01F-DEB5-41E5-A4A8-9601E171DC6F}">
  <dimension ref="A1:I113"/>
  <sheetViews>
    <sheetView workbookViewId="0">
      <selection activeCell="G2" sqref="G2"/>
    </sheetView>
  </sheetViews>
  <sheetFormatPr defaultRowHeight="15"/>
  <cols>
    <col min="1" max="1" width="13.42578125" bestFit="1" customWidth="1"/>
    <col min="2" max="2" width="9.42578125" bestFit="1" customWidth="1"/>
    <col min="3" max="3" width="9.5703125" bestFit="1" customWidth="1"/>
    <col min="7" max="7" width="20.28515625" bestFit="1" customWidth="1"/>
    <col min="8" max="8" width="9.42578125" bestFit="1" customWidth="1"/>
    <col min="9" max="9" width="9.5703125" bestFit="1" customWidth="1"/>
    <col min="10" max="825" width="10" bestFit="1" customWidth="1"/>
    <col min="826" max="826" width="11.42578125" bestFit="1" customWidth="1"/>
  </cols>
  <sheetData>
    <row r="1" spans="1:9">
      <c r="A1" s="27" t="s">
        <v>162</v>
      </c>
      <c r="B1" t="s">
        <v>212</v>
      </c>
      <c r="C1" t="s">
        <v>213</v>
      </c>
      <c r="G1" s="27" t="s">
        <v>163</v>
      </c>
      <c r="H1" t="s">
        <v>212</v>
      </c>
      <c r="I1" t="s">
        <v>213</v>
      </c>
    </row>
    <row r="2" spans="1:9">
      <c r="A2" t="s">
        <v>214</v>
      </c>
      <c r="B2" s="4">
        <v>3</v>
      </c>
      <c r="C2" s="4">
        <v>91000</v>
      </c>
      <c r="G2" t="s">
        <v>215</v>
      </c>
      <c r="H2" s="4">
        <v>500</v>
      </c>
      <c r="I2" s="4">
        <v>7247500</v>
      </c>
    </row>
    <row r="3" spans="1:9">
      <c r="A3" t="s">
        <v>216</v>
      </c>
      <c r="B3" s="4">
        <v>4</v>
      </c>
      <c r="C3" s="4">
        <v>52000</v>
      </c>
      <c r="G3" t="s">
        <v>217</v>
      </c>
      <c r="H3" s="4">
        <v>145</v>
      </c>
      <c r="I3" s="4">
        <v>1663500</v>
      </c>
    </row>
    <row r="4" spans="1:9">
      <c r="A4" t="s">
        <v>218</v>
      </c>
      <c r="B4" s="4">
        <v>4</v>
      </c>
      <c r="C4" s="4">
        <v>27000</v>
      </c>
      <c r="G4" t="s">
        <v>219</v>
      </c>
      <c r="H4" s="4">
        <v>122</v>
      </c>
      <c r="I4" s="4">
        <v>1909500</v>
      </c>
    </row>
    <row r="5" spans="1:9">
      <c r="A5" t="s">
        <v>220</v>
      </c>
      <c r="B5" s="4">
        <v>1</v>
      </c>
      <c r="C5" s="4">
        <v>4000</v>
      </c>
      <c r="G5" t="s">
        <v>221</v>
      </c>
      <c r="H5" s="4">
        <v>51</v>
      </c>
      <c r="I5" s="4">
        <v>1212500</v>
      </c>
    </row>
    <row r="6" spans="1:9">
      <c r="A6" t="s">
        <v>222</v>
      </c>
      <c r="B6" s="4">
        <v>5</v>
      </c>
      <c r="C6" s="4">
        <v>150000</v>
      </c>
      <c r="G6" t="s">
        <v>174</v>
      </c>
      <c r="H6" s="4">
        <v>818</v>
      </c>
      <c r="I6" s="4">
        <v>12033000</v>
      </c>
    </row>
    <row r="7" spans="1:9">
      <c r="A7" t="s">
        <v>223</v>
      </c>
      <c r="B7" s="4">
        <v>3</v>
      </c>
      <c r="C7" s="4">
        <v>42500</v>
      </c>
    </row>
    <row r="8" spans="1:9">
      <c r="A8" t="s">
        <v>224</v>
      </c>
      <c r="B8" s="4">
        <v>4</v>
      </c>
      <c r="C8" s="4">
        <v>32000</v>
      </c>
    </row>
    <row r="9" spans="1:9">
      <c r="A9" t="s">
        <v>225</v>
      </c>
      <c r="B9" s="4">
        <v>5</v>
      </c>
      <c r="C9" s="4">
        <v>14000</v>
      </c>
    </row>
    <row r="10" spans="1:9">
      <c r="A10" t="s">
        <v>226</v>
      </c>
      <c r="B10" s="4">
        <v>4</v>
      </c>
      <c r="C10" s="4">
        <v>143500</v>
      </c>
    </row>
    <row r="11" spans="1:9">
      <c r="A11" t="s">
        <v>227</v>
      </c>
      <c r="B11" s="4">
        <v>2</v>
      </c>
      <c r="C11" s="4">
        <v>22500</v>
      </c>
    </row>
    <row r="12" spans="1:9">
      <c r="A12" t="s">
        <v>228</v>
      </c>
      <c r="B12" s="4">
        <v>1</v>
      </c>
      <c r="C12" s="4">
        <v>8000</v>
      </c>
    </row>
    <row r="13" spans="1:9">
      <c r="A13" t="s">
        <v>229</v>
      </c>
      <c r="B13" s="4">
        <v>3</v>
      </c>
      <c r="C13" s="4">
        <v>9500</v>
      </c>
    </row>
    <row r="14" spans="1:9">
      <c r="A14" t="s">
        <v>230</v>
      </c>
      <c r="B14" s="4">
        <v>1</v>
      </c>
      <c r="C14" s="4">
        <v>28000</v>
      </c>
    </row>
    <row r="15" spans="1:9">
      <c r="A15" t="s">
        <v>231</v>
      </c>
      <c r="B15" s="4">
        <v>4</v>
      </c>
      <c r="C15" s="4">
        <v>47500</v>
      </c>
    </row>
    <row r="16" spans="1:9">
      <c r="A16" t="s">
        <v>232</v>
      </c>
      <c r="B16" s="4">
        <v>1</v>
      </c>
      <c r="C16" s="4">
        <v>6000</v>
      </c>
    </row>
    <row r="17" spans="1:3">
      <c r="A17" t="s">
        <v>233</v>
      </c>
      <c r="B17" s="4">
        <v>4</v>
      </c>
      <c r="C17" s="4">
        <v>12000</v>
      </c>
    </row>
    <row r="18" spans="1:3">
      <c r="A18" t="s">
        <v>234</v>
      </c>
      <c r="B18" s="4">
        <v>1</v>
      </c>
      <c r="C18" s="4">
        <v>1000</v>
      </c>
    </row>
    <row r="19" spans="1:3">
      <c r="A19" t="s">
        <v>235</v>
      </c>
      <c r="B19" s="4">
        <v>5</v>
      </c>
      <c r="C19" s="4">
        <v>178500</v>
      </c>
    </row>
    <row r="20" spans="1:3">
      <c r="A20" t="s">
        <v>236</v>
      </c>
      <c r="B20" s="4">
        <v>1</v>
      </c>
      <c r="C20" s="4">
        <v>10000</v>
      </c>
    </row>
    <row r="21" spans="1:3">
      <c r="A21" t="s">
        <v>237</v>
      </c>
      <c r="B21" s="4">
        <v>3</v>
      </c>
      <c r="C21" s="4">
        <v>20000</v>
      </c>
    </row>
    <row r="22" spans="1:3">
      <c r="A22" t="s">
        <v>238</v>
      </c>
      <c r="B22" s="4">
        <v>1</v>
      </c>
      <c r="C22" s="4">
        <v>3000</v>
      </c>
    </row>
    <row r="23" spans="1:3">
      <c r="A23" t="s">
        <v>239</v>
      </c>
      <c r="B23" s="4">
        <v>3</v>
      </c>
      <c r="C23" s="4">
        <v>3000</v>
      </c>
    </row>
    <row r="24" spans="1:3">
      <c r="A24" t="s">
        <v>240</v>
      </c>
      <c r="B24" s="4">
        <v>19</v>
      </c>
      <c r="C24" s="4">
        <v>566000</v>
      </c>
    </row>
    <row r="25" spans="1:3">
      <c r="A25" t="s">
        <v>241</v>
      </c>
      <c r="B25" s="4">
        <v>5</v>
      </c>
      <c r="C25" s="4">
        <v>58500</v>
      </c>
    </row>
    <row r="26" spans="1:3">
      <c r="A26" t="s">
        <v>242</v>
      </c>
      <c r="B26" s="4">
        <v>8</v>
      </c>
      <c r="C26" s="4">
        <v>53000</v>
      </c>
    </row>
    <row r="27" spans="1:3">
      <c r="A27" t="s">
        <v>243</v>
      </c>
      <c r="B27" s="4">
        <v>1</v>
      </c>
      <c r="C27" s="4">
        <v>2000</v>
      </c>
    </row>
    <row r="28" spans="1:3">
      <c r="A28" t="s">
        <v>244</v>
      </c>
      <c r="B28" s="4">
        <v>6</v>
      </c>
      <c r="C28" s="4">
        <v>173500</v>
      </c>
    </row>
    <row r="29" spans="1:3">
      <c r="A29" t="s">
        <v>245</v>
      </c>
      <c r="B29" s="4">
        <v>6</v>
      </c>
      <c r="C29" s="4">
        <v>79000</v>
      </c>
    </row>
    <row r="30" spans="1:3">
      <c r="A30" t="s">
        <v>246</v>
      </c>
      <c r="B30" s="4">
        <v>5</v>
      </c>
      <c r="C30" s="4">
        <v>33000</v>
      </c>
    </row>
    <row r="31" spans="1:3">
      <c r="A31" t="s">
        <v>247</v>
      </c>
      <c r="B31" s="4">
        <v>4</v>
      </c>
      <c r="C31" s="4">
        <v>13000</v>
      </c>
    </row>
    <row r="32" spans="1:3">
      <c r="A32" t="s">
        <v>248</v>
      </c>
      <c r="B32" s="4">
        <v>6</v>
      </c>
      <c r="C32" s="4">
        <v>197000</v>
      </c>
    </row>
    <row r="33" spans="1:3">
      <c r="A33" t="s">
        <v>249</v>
      </c>
      <c r="B33" s="4">
        <v>12</v>
      </c>
      <c r="C33" s="4">
        <v>165500</v>
      </c>
    </row>
    <row r="34" spans="1:3">
      <c r="A34" t="s">
        <v>250</v>
      </c>
      <c r="B34" s="4">
        <v>7</v>
      </c>
      <c r="C34" s="4">
        <v>51000</v>
      </c>
    </row>
    <row r="35" spans="1:3">
      <c r="A35" t="s">
        <v>251</v>
      </c>
      <c r="B35" s="4">
        <v>5</v>
      </c>
      <c r="C35" s="4">
        <v>17000</v>
      </c>
    </row>
    <row r="36" spans="1:3">
      <c r="A36" t="s">
        <v>252</v>
      </c>
      <c r="B36" s="4">
        <v>5</v>
      </c>
      <c r="C36" s="4">
        <v>111500</v>
      </c>
    </row>
    <row r="37" spans="1:3">
      <c r="A37" t="s">
        <v>253</v>
      </c>
      <c r="B37" s="4">
        <v>8</v>
      </c>
      <c r="C37" s="4">
        <v>97000</v>
      </c>
    </row>
    <row r="38" spans="1:3">
      <c r="A38" t="s">
        <v>254</v>
      </c>
      <c r="B38" s="4">
        <v>5</v>
      </c>
      <c r="C38" s="4">
        <v>38000</v>
      </c>
    </row>
    <row r="39" spans="1:3">
      <c r="A39" t="s">
        <v>255</v>
      </c>
      <c r="B39" s="4">
        <v>6</v>
      </c>
      <c r="C39" s="4">
        <v>19500</v>
      </c>
    </row>
    <row r="40" spans="1:3">
      <c r="A40" t="s">
        <v>256</v>
      </c>
      <c r="B40" s="4">
        <v>5</v>
      </c>
      <c r="C40" s="4">
        <v>131500</v>
      </c>
    </row>
    <row r="41" spans="1:3">
      <c r="A41" t="s">
        <v>257</v>
      </c>
      <c r="B41" s="4">
        <v>7</v>
      </c>
      <c r="C41" s="4">
        <v>109000</v>
      </c>
    </row>
    <row r="42" spans="1:3">
      <c r="A42" t="s">
        <v>258</v>
      </c>
      <c r="B42" s="4">
        <v>2</v>
      </c>
      <c r="C42" s="4">
        <v>12000</v>
      </c>
    </row>
    <row r="43" spans="1:3">
      <c r="A43" t="s">
        <v>259</v>
      </c>
      <c r="B43" s="4">
        <v>2</v>
      </c>
      <c r="C43" s="4">
        <v>7000</v>
      </c>
    </row>
    <row r="44" spans="1:3">
      <c r="A44" t="s">
        <v>260</v>
      </c>
      <c r="B44" s="4">
        <v>10</v>
      </c>
      <c r="C44" s="4">
        <v>267500</v>
      </c>
    </row>
    <row r="45" spans="1:3">
      <c r="A45" t="s">
        <v>261</v>
      </c>
      <c r="B45" s="4">
        <v>11</v>
      </c>
      <c r="C45" s="4">
        <v>142000</v>
      </c>
    </row>
    <row r="46" spans="1:3">
      <c r="A46" t="s">
        <v>262</v>
      </c>
      <c r="B46" s="4">
        <v>9</v>
      </c>
      <c r="C46" s="4">
        <v>60000</v>
      </c>
    </row>
    <row r="47" spans="1:3">
      <c r="A47" t="s">
        <v>263</v>
      </c>
      <c r="B47" s="4">
        <v>8</v>
      </c>
      <c r="C47" s="4">
        <v>25500</v>
      </c>
    </row>
    <row r="48" spans="1:3">
      <c r="A48" t="s">
        <v>264</v>
      </c>
      <c r="B48" s="4">
        <v>1</v>
      </c>
      <c r="C48" s="4">
        <v>1000</v>
      </c>
    </row>
    <row r="49" spans="1:3">
      <c r="A49" t="s">
        <v>265</v>
      </c>
      <c r="B49" s="4">
        <v>8</v>
      </c>
      <c r="C49" s="4">
        <v>252500</v>
      </c>
    </row>
    <row r="50" spans="1:3">
      <c r="A50" t="s">
        <v>266</v>
      </c>
      <c r="B50" s="4">
        <v>7</v>
      </c>
      <c r="C50" s="4">
        <v>87000</v>
      </c>
    </row>
    <row r="51" spans="1:3">
      <c r="A51" t="s">
        <v>267</v>
      </c>
      <c r="B51" s="4">
        <v>4</v>
      </c>
      <c r="C51" s="4">
        <v>24000</v>
      </c>
    </row>
    <row r="52" spans="1:3">
      <c r="A52" t="s">
        <v>268</v>
      </c>
      <c r="B52" s="4">
        <v>4</v>
      </c>
      <c r="C52" s="4">
        <v>15500</v>
      </c>
    </row>
    <row r="53" spans="1:3">
      <c r="A53" t="s">
        <v>269</v>
      </c>
      <c r="B53" s="4">
        <v>1</v>
      </c>
      <c r="C53" s="4">
        <v>1000</v>
      </c>
    </row>
    <row r="54" spans="1:3">
      <c r="A54" t="s">
        <v>270</v>
      </c>
      <c r="B54" s="4">
        <v>10</v>
      </c>
      <c r="C54" s="4">
        <v>256000</v>
      </c>
    </row>
    <row r="55" spans="1:3">
      <c r="A55" t="s">
        <v>271</v>
      </c>
      <c r="B55" s="4">
        <v>3</v>
      </c>
      <c r="C55" s="4">
        <v>42000</v>
      </c>
    </row>
    <row r="56" spans="1:3">
      <c r="A56" t="s">
        <v>272</v>
      </c>
      <c r="B56" s="4">
        <v>7</v>
      </c>
      <c r="C56" s="4">
        <v>46000</v>
      </c>
    </row>
    <row r="57" spans="1:3">
      <c r="A57" t="s">
        <v>273</v>
      </c>
      <c r="B57" s="4">
        <v>6</v>
      </c>
      <c r="C57" s="4">
        <v>17000</v>
      </c>
    </row>
    <row r="58" spans="1:3">
      <c r="A58" t="s">
        <v>274</v>
      </c>
      <c r="B58" s="4">
        <v>11</v>
      </c>
      <c r="C58" s="4">
        <v>325000</v>
      </c>
    </row>
    <row r="59" spans="1:3">
      <c r="A59" t="s">
        <v>275</v>
      </c>
      <c r="B59" s="4">
        <v>7</v>
      </c>
      <c r="C59" s="4">
        <v>106000</v>
      </c>
    </row>
    <row r="60" spans="1:3">
      <c r="A60" t="s">
        <v>276</v>
      </c>
      <c r="B60" s="4">
        <v>4</v>
      </c>
      <c r="C60" s="4">
        <v>27000</v>
      </c>
    </row>
    <row r="61" spans="1:3">
      <c r="A61" t="s">
        <v>277</v>
      </c>
      <c r="B61" s="4">
        <v>4</v>
      </c>
      <c r="C61" s="4">
        <v>14000</v>
      </c>
    </row>
    <row r="62" spans="1:3">
      <c r="A62" t="s">
        <v>278</v>
      </c>
      <c r="B62" s="4">
        <v>5</v>
      </c>
      <c r="C62" s="4">
        <v>151500</v>
      </c>
    </row>
    <row r="63" spans="1:3">
      <c r="A63" t="s">
        <v>279</v>
      </c>
      <c r="B63" s="4">
        <v>4</v>
      </c>
      <c r="C63" s="4">
        <v>51000</v>
      </c>
    </row>
    <row r="64" spans="1:3">
      <c r="A64" t="s">
        <v>280</v>
      </c>
      <c r="B64" s="4">
        <v>3</v>
      </c>
      <c r="C64" s="4">
        <v>23000</v>
      </c>
    </row>
    <row r="65" spans="1:3">
      <c r="A65" t="s">
        <v>281</v>
      </c>
      <c r="B65" s="4">
        <v>4</v>
      </c>
      <c r="C65" s="4">
        <v>12000</v>
      </c>
    </row>
    <row r="66" spans="1:3">
      <c r="A66" t="s">
        <v>282</v>
      </c>
      <c r="B66" s="4">
        <v>13</v>
      </c>
      <c r="C66" s="4">
        <v>383500</v>
      </c>
    </row>
    <row r="67" spans="1:3">
      <c r="A67" t="s">
        <v>283</v>
      </c>
      <c r="B67" s="4">
        <v>22</v>
      </c>
      <c r="C67" s="4">
        <v>308000</v>
      </c>
    </row>
    <row r="68" spans="1:3">
      <c r="A68" t="s">
        <v>284</v>
      </c>
      <c r="B68" s="4">
        <v>11</v>
      </c>
      <c r="C68" s="4">
        <v>74000</v>
      </c>
    </row>
    <row r="69" spans="1:3">
      <c r="A69" t="s">
        <v>285</v>
      </c>
      <c r="B69" s="4">
        <v>10</v>
      </c>
      <c r="C69" s="4">
        <v>33500</v>
      </c>
    </row>
    <row r="70" spans="1:3">
      <c r="A70" t="s">
        <v>286</v>
      </c>
      <c r="B70" s="4">
        <v>2</v>
      </c>
      <c r="C70" s="4">
        <v>2000</v>
      </c>
    </row>
    <row r="71" spans="1:3">
      <c r="A71" t="s">
        <v>287</v>
      </c>
      <c r="B71" s="4">
        <v>18</v>
      </c>
      <c r="C71" s="4">
        <v>480000</v>
      </c>
    </row>
    <row r="72" spans="1:3">
      <c r="A72" t="s">
        <v>288</v>
      </c>
      <c r="B72" s="4">
        <v>13</v>
      </c>
      <c r="C72" s="4">
        <v>165000</v>
      </c>
    </row>
    <row r="73" spans="1:3">
      <c r="A73" t="s">
        <v>289</v>
      </c>
      <c r="B73" s="4">
        <v>11</v>
      </c>
      <c r="C73" s="4">
        <v>75000</v>
      </c>
    </row>
    <row r="74" spans="1:3">
      <c r="A74" t="s">
        <v>290</v>
      </c>
      <c r="B74" s="4">
        <v>3</v>
      </c>
      <c r="C74" s="4">
        <v>7500</v>
      </c>
    </row>
    <row r="75" spans="1:3">
      <c r="A75" t="s">
        <v>291</v>
      </c>
      <c r="B75" s="4">
        <v>10</v>
      </c>
      <c r="C75" s="4">
        <v>315000</v>
      </c>
    </row>
    <row r="76" spans="1:3">
      <c r="A76" t="s">
        <v>292</v>
      </c>
      <c r="B76" s="4">
        <v>10</v>
      </c>
      <c r="C76" s="4">
        <v>124500</v>
      </c>
    </row>
    <row r="77" spans="1:3">
      <c r="A77" t="s">
        <v>293</v>
      </c>
      <c r="B77" s="4">
        <v>12</v>
      </c>
      <c r="C77" s="4">
        <v>80000</v>
      </c>
    </row>
    <row r="78" spans="1:3">
      <c r="A78" t="s">
        <v>294</v>
      </c>
      <c r="B78" s="4">
        <v>6</v>
      </c>
      <c r="C78" s="4">
        <v>20000</v>
      </c>
    </row>
    <row r="79" spans="1:3">
      <c r="A79" t="s">
        <v>295</v>
      </c>
      <c r="B79" s="4">
        <v>1</v>
      </c>
      <c r="C79" s="4">
        <v>1000</v>
      </c>
    </row>
    <row r="80" spans="1:3">
      <c r="A80" t="s">
        <v>296</v>
      </c>
      <c r="B80" s="4">
        <v>10</v>
      </c>
      <c r="C80" s="4">
        <v>307500</v>
      </c>
    </row>
    <row r="81" spans="1:3">
      <c r="A81" t="s">
        <v>297</v>
      </c>
      <c r="B81" s="4">
        <v>9</v>
      </c>
      <c r="C81" s="4">
        <v>127500</v>
      </c>
    </row>
    <row r="82" spans="1:3">
      <c r="A82" t="s">
        <v>298</v>
      </c>
      <c r="B82" s="4">
        <v>9</v>
      </c>
      <c r="C82" s="4">
        <v>64000</v>
      </c>
    </row>
    <row r="83" spans="1:3">
      <c r="A83" t="s">
        <v>299</v>
      </c>
      <c r="B83" s="4">
        <v>3</v>
      </c>
      <c r="C83" s="4">
        <v>11000</v>
      </c>
    </row>
    <row r="84" spans="1:3">
      <c r="A84" t="s">
        <v>300</v>
      </c>
      <c r="B84" s="4">
        <v>3</v>
      </c>
      <c r="C84" s="4">
        <v>3000</v>
      </c>
    </row>
    <row r="85" spans="1:3">
      <c r="A85" t="s">
        <v>301</v>
      </c>
      <c r="B85" s="4">
        <v>5</v>
      </c>
      <c r="C85" s="4">
        <v>164000</v>
      </c>
    </row>
    <row r="86" spans="1:3">
      <c r="A86" t="s">
        <v>302</v>
      </c>
      <c r="B86" s="4">
        <v>6</v>
      </c>
      <c r="C86" s="4">
        <v>85500</v>
      </c>
    </row>
    <row r="87" spans="1:3">
      <c r="A87" t="s">
        <v>303</v>
      </c>
      <c r="B87" s="4">
        <v>9</v>
      </c>
      <c r="C87" s="4">
        <v>58000</v>
      </c>
    </row>
    <row r="88" spans="1:3">
      <c r="A88" t="s">
        <v>304</v>
      </c>
      <c r="B88" s="4">
        <v>9</v>
      </c>
      <c r="C88" s="4">
        <v>27000</v>
      </c>
    </row>
    <row r="89" spans="1:3">
      <c r="A89" t="s">
        <v>305</v>
      </c>
      <c r="B89" s="4">
        <v>16</v>
      </c>
      <c r="C89" s="4">
        <v>472500</v>
      </c>
    </row>
    <row r="90" spans="1:3">
      <c r="A90" t="s">
        <v>306</v>
      </c>
      <c r="B90" s="4">
        <v>23</v>
      </c>
      <c r="C90" s="4">
        <v>315500</v>
      </c>
    </row>
    <row r="91" spans="1:3">
      <c r="A91" t="s">
        <v>307</v>
      </c>
      <c r="B91" s="4">
        <v>8</v>
      </c>
      <c r="C91" s="4">
        <v>56000</v>
      </c>
    </row>
    <row r="92" spans="1:3">
      <c r="A92" t="s">
        <v>308</v>
      </c>
      <c r="B92" s="4">
        <v>9</v>
      </c>
      <c r="C92" s="4">
        <v>27500</v>
      </c>
    </row>
    <row r="93" spans="1:3">
      <c r="A93" t="s">
        <v>309</v>
      </c>
      <c r="B93" s="4">
        <v>1</v>
      </c>
      <c r="C93" s="4">
        <v>1000</v>
      </c>
    </row>
    <row r="94" spans="1:3">
      <c r="A94" t="s">
        <v>310</v>
      </c>
      <c r="B94" s="4">
        <v>14</v>
      </c>
      <c r="C94" s="4">
        <v>399500</v>
      </c>
    </row>
    <row r="95" spans="1:3">
      <c r="A95" t="s">
        <v>311</v>
      </c>
      <c r="B95" s="4">
        <v>12</v>
      </c>
      <c r="C95" s="4">
        <v>160500</v>
      </c>
    </row>
    <row r="96" spans="1:3">
      <c r="A96" t="s">
        <v>312</v>
      </c>
      <c r="B96" s="4">
        <v>17</v>
      </c>
      <c r="C96" s="4">
        <v>113000</v>
      </c>
    </row>
    <row r="97" spans="1:3">
      <c r="A97" t="s">
        <v>313</v>
      </c>
      <c r="B97" s="4">
        <v>4</v>
      </c>
      <c r="C97" s="4">
        <v>15000</v>
      </c>
    </row>
    <row r="98" spans="1:3">
      <c r="A98" t="s">
        <v>314</v>
      </c>
      <c r="B98" s="4">
        <v>1</v>
      </c>
      <c r="C98" s="4">
        <v>1000</v>
      </c>
    </row>
    <row r="99" spans="1:3">
      <c r="A99" t="s">
        <v>315</v>
      </c>
      <c r="B99" s="4">
        <v>16</v>
      </c>
      <c r="C99" s="4">
        <v>500500</v>
      </c>
    </row>
    <row r="100" spans="1:3">
      <c r="A100" t="s">
        <v>316</v>
      </c>
      <c r="B100" s="4">
        <v>18</v>
      </c>
      <c r="C100" s="4">
        <v>231500</v>
      </c>
    </row>
    <row r="101" spans="1:3">
      <c r="A101" t="s">
        <v>317</v>
      </c>
      <c r="B101" s="4">
        <v>9</v>
      </c>
      <c r="C101" s="4">
        <v>61000</v>
      </c>
    </row>
    <row r="102" spans="1:3">
      <c r="A102" t="s">
        <v>318</v>
      </c>
      <c r="B102" s="4">
        <v>12</v>
      </c>
      <c r="C102" s="4">
        <v>37000</v>
      </c>
    </row>
    <row r="103" spans="1:3">
      <c r="A103" t="s">
        <v>319</v>
      </c>
      <c r="B103" s="4">
        <v>3</v>
      </c>
      <c r="C103" s="4">
        <v>3000</v>
      </c>
    </row>
    <row r="104" spans="1:3">
      <c r="A104" t="s">
        <v>320</v>
      </c>
      <c r="B104" s="4">
        <v>15</v>
      </c>
      <c r="C104" s="4">
        <v>431000</v>
      </c>
    </row>
    <row r="105" spans="1:3">
      <c r="A105" t="s">
        <v>321</v>
      </c>
      <c r="B105" s="4">
        <v>17</v>
      </c>
      <c r="C105" s="4">
        <v>220500</v>
      </c>
    </row>
    <row r="106" spans="1:3">
      <c r="A106" t="s">
        <v>322</v>
      </c>
      <c r="B106" s="4">
        <v>14</v>
      </c>
      <c r="C106" s="4">
        <v>95000</v>
      </c>
    </row>
    <row r="107" spans="1:3">
      <c r="A107" t="s">
        <v>323</v>
      </c>
      <c r="B107" s="4">
        <v>7</v>
      </c>
      <c r="C107" s="4">
        <v>20000</v>
      </c>
    </row>
    <row r="108" spans="1:3">
      <c r="A108" t="s">
        <v>324</v>
      </c>
      <c r="B108" s="4">
        <v>25</v>
      </c>
      <c r="C108" s="4">
        <v>679500</v>
      </c>
    </row>
    <row r="109" spans="1:3">
      <c r="A109" t="s">
        <v>325</v>
      </c>
      <c r="B109" s="4">
        <v>22</v>
      </c>
      <c r="C109" s="4">
        <v>297500</v>
      </c>
    </row>
    <row r="110" spans="1:3">
      <c r="A110" t="s">
        <v>326</v>
      </c>
      <c r="B110" s="4">
        <v>23</v>
      </c>
      <c r="C110" s="4">
        <v>166000</v>
      </c>
    </row>
    <row r="111" spans="1:3">
      <c r="A111" t="s">
        <v>327</v>
      </c>
      <c r="B111" s="4">
        <v>8</v>
      </c>
      <c r="C111" s="4">
        <v>26000</v>
      </c>
    </row>
    <row r="112" spans="1:3">
      <c r="A112" t="s">
        <v>328</v>
      </c>
      <c r="B112" s="4">
        <v>1</v>
      </c>
      <c r="C112" s="4">
        <v>1000</v>
      </c>
    </row>
    <row r="113" spans="1:3">
      <c r="A113" t="s">
        <v>174</v>
      </c>
      <c r="B113" s="4">
        <v>818</v>
      </c>
      <c r="C113" s="4">
        <v>12033000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5FFD-D740-4E3C-AD9F-56AEA21E568A}">
  <dimension ref="A1:H21"/>
  <sheetViews>
    <sheetView workbookViewId="0">
      <selection activeCell="B2" sqref="B2"/>
    </sheetView>
  </sheetViews>
  <sheetFormatPr defaultRowHeight="15"/>
  <cols>
    <col min="1" max="1" width="20.140625" bestFit="1" customWidth="1"/>
    <col min="2" max="2" width="9.42578125" bestFit="1" customWidth="1"/>
    <col min="3" max="3" width="9.5703125" bestFit="1" customWidth="1"/>
    <col min="4" max="4" width="19.85546875" bestFit="1" customWidth="1"/>
    <col min="8" max="8" width="14.5703125" bestFit="1" customWidth="1"/>
  </cols>
  <sheetData>
    <row r="1" spans="1:4">
      <c r="A1" s="27" t="s">
        <v>90</v>
      </c>
      <c r="B1" t="s">
        <v>212</v>
      </c>
      <c r="C1" t="s">
        <v>213</v>
      </c>
      <c r="D1" t="s">
        <v>329</v>
      </c>
    </row>
    <row r="2" spans="1:4">
      <c r="A2" t="s">
        <v>330</v>
      </c>
      <c r="B2" s="4">
        <v>284</v>
      </c>
      <c r="C2" s="4">
        <v>4408000</v>
      </c>
      <c r="D2">
        <f>C2/B2</f>
        <v>15521.12676056338</v>
      </c>
    </row>
    <row r="3" spans="1:4">
      <c r="A3" t="s">
        <v>331</v>
      </c>
      <c r="B3" s="4">
        <v>279</v>
      </c>
      <c r="C3" s="4">
        <v>3820000</v>
      </c>
      <c r="D3">
        <f t="shared" ref="D3:D5" si="0">C3/B3</f>
        <v>13691.756272401433</v>
      </c>
    </row>
    <row r="4" spans="1:4">
      <c r="A4" t="s">
        <v>332</v>
      </c>
      <c r="B4" s="4">
        <v>255</v>
      </c>
      <c r="C4" s="4">
        <v>3805000</v>
      </c>
      <c r="D4">
        <f t="shared" si="0"/>
        <v>14921.568627450981</v>
      </c>
    </row>
    <row r="5" spans="1:4">
      <c r="A5" t="s">
        <v>174</v>
      </c>
      <c r="B5" s="4">
        <v>818</v>
      </c>
      <c r="C5" s="4">
        <v>12033000</v>
      </c>
      <c r="D5">
        <f t="shared" si="0"/>
        <v>14710.268948655257</v>
      </c>
    </row>
    <row r="21" spans="8:8">
      <c r="H21" t="s">
        <v>333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1566-FC28-4B6A-AE78-68B538F8C718}">
  <dimension ref="A1:E9"/>
  <sheetViews>
    <sheetView workbookViewId="0">
      <selection activeCell="B1" sqref="B1"/>
    </sheetView>
  </sheetViews>
  <sheetFormatPr defaultRowHeight="15"/>
  <cols>
    <col min="1" max="1" width="12.5703125" bestFit="1" customWidth="1"/>
    <col min="2" max="2" width="9.5703125" bestFit="1" customWidth="1"/>
    <col min="3" max="3" width="9.42578125" bestFit="1" customWidth="1"/>
    <col min="4" max="4" width="21.28515625" bestFit="1" customWidth="1"/>
    <col min="5" max="5" width="18.7109375" bestFit="1" customWidth="1"/>
  </cols>
  <sheetData>
    <row r="1" spans="1:5">
      <c r="A1" s="27" t="s">
        <v>89</v>
      </c>
      <c r="B1" t="s">
        <v>213</v>
      </c>
      <c r="C1" t="s">
        <v>212</v>
      </c>
      <c r="D1" t="s">
        <v>334</v>
      </c>
      <c r="E1" t="s">
        <v>335</v>
      </c>
    </row>
    <row r="2" spans="1:5">
      <c r="A2" t="s">
        <v>78</v>
      </c>
      <c r="B2" s="4">
        <v>2159500</v>
      </c>
      <c r="C2" s="4">
        <v>137</v>
      </c>
      <c r="D2" s="24">
        <v>13.335820895522389</v>
      </c>
      <c r="E2" s="24">
        <f>B2/C2</f>
        <v>15762.773722627737</v>
      </c>
    </row>
    <row r="3" spans="1:5">
      <c r="A3" t="s">
        <v>80</v>
      </c>
      <c r="B3" s="4">
        <v>1942000</v>
      </c>
      <c r="C3" s="4">
        <v>131</v>
      </c>
      <c r="D3" s="24">
        <v>11.9140625</v>
      </c>
      <c r="E3" s="24">
        <f t="shared" ref="E3:E9" si="0">B3/C3</f>
        <v>14824.427480916031</v>
      </c>
    </row>
    <row r="4" spans="1:5">
      <c r="A4" t="s">
        <v>82</v>
      </c>
      <c r="B4" s="4">
        <v>1898000</v>
      </c>
      <c r="C4" s="4">
        <v>123</v>
      </c>
      <c r="D4" s="24">
        <v>12.508196721311476</v>
      </c>
      <c r="E4" s="24">
        <f t="shared" si="0"/>
        <v>15430.894308943089</v>
      </c>
    </row>
    <row r="5" spans="1:5">
      <c r="A5" t="s">
        <v>72</v>
      </c>
      <c r="B5" s="4">
        <v>1712500</v>
      </c>
      <c r="C5" s="4">
        <v>116</v>
      </c>
      <c r="D5" s="24">
        <v>12.236842105263158</v>
      </c>
      <c r="E5" s="24">
        <f t="shared" si="0"/>
        <v>14762.931034482759</v>
      </c>
    </row>
    <row r="6" spans="1:5">
      <c r="A6" t="s">
        <v>84</v>
      </c>
      <c r="B6" s="4">
        <v>1535000</v>
      </c>
      <c r="C6" s="4">
        <v>103</v>
      </c>
      <c r="D6" s="24">
        <v>12.284313725490197</v>
      </c>
      <c r="E6" s="24">
        <f t="shared" si="0"/>
        <v>14902.912621359223</v>
      </c>
    </row>
    <row r="7" spans="1:5">
      <c r="A7" t="s">
        <v>74</v>
      </c>
      <c r="B7" s="4">
        <v>1484500</v>
      </c>
      <c r="C7" s="4">
        <v>109</v>
      </c>
      <c r="D7" s="24">
        <v>12.326923076923077</v>
      </c>
      <c r="E7" s="24">
        <f t="shared" si="0"/>
        <v>13619.266055045871</v>
      </c>
    </row>
    <row r="8" spans="1:5">
      <c r="A8" t="s">
        <v>76</v>
      </c>
      <c r="B8" s="4">
        <v>1301500</v>
      </c>
      <c r="C8" s="4">
        <v>99</v>
      </c>
      <c r="D8" s="24">
        <v>13.46875</v>
      </c>
      <c r="E8" s="24">
        <f t="shared" si="0"/>
        <v>13146.464646464647</v>
      </c>
    </row>
    <row r="9" spans="1:5">
      <c r="A9" t="s">
        <v>174</v>
      </c>
      <c r="B9" s="4">
        <v>12033000</v>
      </c>
      <c r="C9" s="4">
        <v>818</v>
      </c>
      <c r="D9" s="24">
        <v>12.57625</v>
      </c>
      <c r="E9" s="24">
        <f t="shared" si="0"/>
        <v>14710.268948655257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E66F-3997-4056-9FAB-2AD09FF6227B}">
  <dimension ref="A1:E44"/>
  <sheetViews>
    <sheetView workbookViewId="0">
      <selection activeCell="A35" sqref="A35"/>
    </sheetView>
  </sheetViews>
  <sheetFormatPr defaultRowHeight="15"/>
  <cols>
    <col min="1" max="1" width="15.42578125" bestFit="1" customWidth="1"/>
    <col min="2" max="2" width="23.7109375" bestFit="1" customWidth="1"/>
    <col min="3" max="3" width="14.5703125" bestFit="1" customWidth="1"/>
    <col min="4" max="4" width="17.42578125" bestFit="1" customWidth="1"/>
    <col min="5" max="5" width="18.85546875" bestFit="1" customWidth="1"/>
  </cols>
  <sheetData>
    <row r="1" spans="1:5">
      <c r="A1" t="s">
        <v>155</v>
      </c>
      <c r="B1" t="s">
        <v>336</v>
      </c>
      <c r="C1" t="s">
        <v>337</v>
      </c>
      <c r="D1" t="s">
        <v>338</v>
      </c>
      <c r="E1" t="s">
        <v>339</v>
      </c>
    </row>
    <row r="2" spans="1:5">
      <c r="A2" t="s">
        <v>175</v>
      </c>
      <c r="B2">
        <v>247000</v>
      </c>
      <c r="C2">
        <v>1</v>
      </c>
      <c r="D2" s="28">
        <f>AVERAGE(B2:B4)</f>
        <v>305000</v>
      </c>
      <c r="E2" s="28">
        <f t="shared" ref="E2:E44" si="0">IF(B2="", _xlfn.FORECAST.LINEAR(C2, $B$2:$B$37, $C$2:$C$37), B2)</f>
        <v>247000</v>
      </c>
    </row>
    <row r="3" spans="1:5">
      <c r="A3" t="s">
        <v>176</v>
      </c>
      <c r="B3">
        <v>343000</v>
      </c>
      <c r="C3">
        <v>2</v>
      </c>
      <c r="D3" s="28">
        <f t="shared" ref="D3:D38" si="1">AVERAGE(B3:B5)</f>
        <v>293833.33333333331</v>
      </c>
      <c r="E3" s="28">
        <f t="shared" si="0"/>
        <v>343000</v>
      </c>
    </row>
    <row r="4" spans="1:5">
      <c r="A4" t="s">
        <v>177</v>
      </c>
      <c r="B4">
        <v>325000</v>
      </c>
      <c r="C4">
        <v>3</v>
      </c>
      <c r="D4" s="28">
        <f t="shared" si="1"/>
        <v>270000</v>
      </c>
      <c r="E4" s="28">
        <f t="shared" si="0"/>
        <v>325000</v>
      </c>
    </row>
    <row r="5" spans="1:5">
      <c r="A5" t="s">
        <v>340</v>
      </c>
      <c r="B5">
        <v>213500</v>
      </c>
      <c r="C5">
        <v>4</v>
      </c>
      <c r="D5" s="28">
        <f t="shared" si="1"/>
        <v>245500</v>
      </c>
      <c r="E5" s="28">
        <f t="shared" si="0"/>
        <v>213500</v>
      </c>
    </row>
    <row r="6" spans="1:5">
      <c r="A6" t="s">
        <v>179</v>
      </c>
      <c r="B6">
        <v>271500</v>
      </c>
      <c r="C6">
        <v>5</v>
      </c>
      <c r="D6" s="28">
        <f t="shared" si="1"/>
        <v>258666.66666666666</v>
      </c>
      <c r="E6" s="28">
        <f t="shared" si="0"/>
        <v>271500</v>
      </c>
    </row>
    <row r="7" spans="1:5">
      <c r="A7" t="s">
        <v>180</v>
      </c>
      <c r="B7">
        <v>251500</v>
      </c>
      <c r="C7">
        <v>6</v>
      </c>
      <c r="D7" s="28">
        <f t="shared" si="1"/>
        <v>303000</v>
      </c>
      <c r="E7" s="28">
        <f t="shared" si="0"/>
        <v>251500</v>
      </c>
    </row>
    <row r="8" spans="1:5">
      <c r="A8" t="s">
        <v>181</v>
      </c>
      <c r="B8">
        <v>253000</v>
      </c>
      <c r="C8">
        <v>7</v>
      </c>
      <c r="D8" s="28">
        <f t="shared" si="1"/>
        <v>342833.33333333331</v>
      </c>
      <c r="E8" s="28">
        <f t="shared" si="0"/>
        <v>253000</v>
      </c>
    </row>
    <row r="9" spans="1:5">
      <c r="A9" t="s">
        <v>182</v>
      </c>
      <c r="B9">
        <v>404500</v>
      </c>
      <c r="C9">
        <v>8</v>
      </c>
      <c r="D9" s="28">
        <f t="shared" si="1"/>
        <v>355333.33333333331</v>
      </c>
      <c r="E9" s="28">
        <f t="shared" si="0"/>
        <v>404500</v>
      </c>
    </row>
    <row r="10" spans="1:5">
      <c r="A10" t="s">
        <v>183</v>
      </c>
      <c r="B10">
        <v>371000</v>
      </c>
      <c r="C10">
        <v>9</v>
      </c>
      <c r="D10" s="28">
        <f t="shared" si="1"/>
        <v>350333.33333333331</v>
      </c>
      <c r="E10" s="28">
        <f t="shared" si="0"/>
        <v>371000</v>
      </c>
    </row>
    <row r="11" spans="1:5">
      <c r="A11" t="s">
        <v>184</v>
      </c>
      <c r="B11">
        <v>290500</v>
      </c>
      <c r="C11">
        <v>10</v>
      </c>
      <c r="D11" s="28">
        <f t="shared" si="1"/>
        <v>344666.66666666669</v>
      </c>
      <c r="E11" s="28">
        <f t="shared" si="0"/>
        <v>290500</v>
      </c>
    </row>
    <row r="12" spans="1:5">
      <c r="A12" t="s">
        <v>185</v>
      </c>
      <c r="B12">
        <v>389500</v>
      </c>
      <c r="C12">
        <v>11</v>
      </c>
      <c r="D12" s="28">
        <f t="shared" si="1"/>
        <v>325333.33333333331</v>
      </c>
      <c r="E12" s="28">
        <f t="shared" si="0"/>
        <v>389500</v>
      </c>
    </row>
    <row r="13" spans="1:5">
      <c r="A13" t="s">
        <v>186</v>
      </c>
      <c r="B13">
        <v>354000</v>
      </c>
      <c r="C13">
        <v>12</v>
      </c>
      <c r="D13" s="28">
        <f t="shared" si="1"/>
        <v>318833.33333333331</v>
      </c>
      <c r="E13" s="28">
        <f t="shared" si="0"/>
        <v>354000</v>
      </c>
    </row>
    <row r="14" spans="1:5">
      <c r="A14" t="s">
        <v>187</v>
      </c>
      <c r="B14">
        <v>232500</v>
      </c>
      <c r="C14">
        <v>13</v>
      </c>
      <c r="D14" s="28">
        <f t="shared" si="1"/>
        <v>355500</v>
      </c>
      <c r="E14" s="28">
        <f t="shared" si="0"/>
        <v>232500</v>
      </c>
    </row>
    <row r="15" spans="1:5">
      <c r="A15" t="s">
        <v>188</v>
      </c>
      <c r="B15">
        <v>370000</v>
      </c>
      <c r="C15">
        <v>14</v>
      </c>
      <c r="D15" s="28">
        <f t="shared" si="1"/>
        <v>359833.33333333331</v>
      </c>
      <c r="E15" s="28">
        <f t="shared" si="0"/>
        <v>370000</v>
      </c>
    </row>
    <row r="16" spans="1:5">
      <c r="A16" t="s">
        <v>189</v>
      </c>
      <c r="B16">
        <v>464000</v>
      </c>
      <c r="C16">
        <v>15</v>
      </c>
      <c r="D16" s="28">
        <f t="shared" si="1"/>
        <v>427666.66666666669</v>
      </c>
      <c r="E16" s="28">
        <f t="shared" si="0"/>
        <v>464000</v>
      </c>
    </row>
    <row r="17" spans="1:5">
      <c r="A17" t="s">
        <v>190</v>
      </c>
      <c r="B17">
        <v>245500</v>
      </c>
      <c r="C17">
        <v>16</v>
      </c>
      <c r="D17" s="28">
        <f t="shared" si="1"/>
        <v>391500</v>
      </c>
      <c r="E17" s="28">
        <f t="shared" si="0"/>
        <v>245500</v>
      </c>
    </row>
    <row r="18" spans="1:5">
      <c r="A18" t="s">
        <v>191</v>
      </c>
      <c r="B18">
        <v>573500</v>
      </c>
      <c r="C18">
        <v>17</v>
      </c>
      <c r="D18" s="28">
        <f t="shared" si="1"/>
        <v>475833.33333333331</v>
      </c>
      <c r="E18" s="28">
        <f t="shared" si="0"/>
        <v>573500</v>
      </c>
    </row>
    <row r="19" spans="1:5">
      <c r="A19" t="s">
        <v>192</v>
      </c>
      <c r="B19">
        <v>355500</v>
      </c>
      <c r="C19">
        <v>18</v>
      </c>
      <c r="D19" s="28">
        <f t="shared" si="1"/>
        <v>400833.33333333331</v>
      </c>
      <c r="E19" s="28">
        <f t="shared" si="0"/>
        <v>355500</v>
      </c>
    </row>
    <row r="20" spans="1:5">
      <c r="A20" t="s">
        <v>193</v>
      </c>
      <c r="B20">
        <v>498500</v>
      </c>
      <c r="C20">
        <v>19</v>
      </c>
      <c r="D20" s="28">
        <f t="shared" si="1"/>
        <v>371166.66666666669</v>
      </c>
      <c r="E20" s="28">
        <f t="shared" si="0"/>
        <v>498500</v>
      </c>
    </row>
    <row r="21" spans="1:5">
      <c r="A21" t="s">
        <v>194</v>
      </c>
      <c r="B21">
        <v>348500</v>
      </c>
      <c r="C21">
        <v>20</v>
      </c>
      <c r="D21" s="28">
        <f t="shared" si="1"/>
        <v>301333.33333333331</v>
      </c>
      <c r="E21" s="28">
        <f t="shared" si="0"/>
        <v>348500</v>
      </c>
    </row>
    <row r="22" spans="1:5">
      <c r="A22" t="s">
        <v>195</v>
      </c>
      <c r="B22">
        <v>266500</v>
      </c>
      <c r="C22">
        <v>21</v>
      </c>
      <c r="D22" s="28">
        <f t="shared" si="1"/>
        <v>310666.66666666669</v>
      </c>
      <c r="E22" s="28">
        <f t="shared" si="0"/>
        <v>266500</v>
      </c>
    </row>
    <row r="23" spans="1:5">
      <c r="A23" t="s">
        <v>196</v>
      </c>
      <c r="B23">
        <v>289000</v>
      </c>
      <c r="C23">
        <v>22</v>
      </c>
      <c r="D23" s="28">
        <f t="shared" si="1"/>
        <v>332666.66666666669</v>
      </c>
      <c r="E23" s="28">
        <f t="shared" si="0"/>
        <v>289000</v>
      </c>
    </row>
    <row r="24" spans="1:5">
      <c r="A24" t="s">
        <v>197</v>
      </c>
      <c r="B24">
        <v>376500</v>
      </c>
      <c r="C24">
        <v>23</v>
      </c>
      <c r="D24" s="28">
        <f t="shared" si="1"/>
        <v>331833.33333333331</v>
      </c>
      <c r="E24" s="28">
        <f t="shared" si="0"/>
        <v>376500</v>
      </c>
    </row>
    <row r="25" spans="1:5">
      <c r="A25" t="s">
        <v>198</v>
      </c>
      <c r="B25">
        <v>332500</v>
      </c>
      <c r="C25">
        <v>24</v>
      </c>
      <c r="D25" s="28">
        <f t="shared" si="1"/>
        <v>300000</v>
      </c>
      <c r="E25" s="28">
        <f t="shared" si="0"/>
        <v>332500</v>
      </c>
    </row>
    <row r="26" spans="1:5">
      <c r="A26" t="s">
        <v>199</v>
      </c>
      <c r="B26">
        <v>286500</v>
      </c>
      <c r="C26">
        <v>25</v>
      </c>
      <c r="D26" s="28">
        <f t="shared" si="1"/>
        <v>274833.33333333331</v>
      </c>
      <c r="E26" s="28">
        <f t="shared" si="0"/>
        <v>286500</v>
      </c>
    </row>
    <row r="27" spans="1:5">
      <c r="A27" t="s">
        <v>200</v>
      </c>
      <c r="B27">
        <v>281000</v>
      </c>
      <c r="C27">
        <v>26</v>
      </c>
      <c r="D27" s="28">
        <f t="shared" si="1"/>
        <v>296166.66666666669</v>
      </c>
      <c r="E27" s="28">
        <f t="shared" si="0"/>
        <v>281000</v>
      </c>
    </row>
    <row r="28" spans="1:5">
      <c r="A28" t="s">
        <v>201</v>
      </c>
      <c r="B28">
        <v>257000</v>
      </c>
      <c r="C28">
        <v>27</v>
      </c>
      <c r="D28" s="28">
        <f t="shared" si="1"/>
        <v>296500</v>
      </c>
      <c r="E28" s="28">
        <f t="shared" si="0"/>
        <v>257000</v>
      </c>
    </row>
    <row r="29" spans="1:5">
      <c r="A29" t="s">
        <v>202</v>
      </c>
      <c r="B29">
        <v>350500</v>
      </c>
      <c r="C29">
        <v>28</v>
      </c>
      <c r="D29" s="28">
        <f t="shared" si="1"/>
        <v>295000</v>
      </c>
      <c r="E29" s="28">
        <f t="shared" si="0"/>
        <v>350500</v>
      </c>
    </row>
    <row r="30" spans="1:5">
      <c r="A30" t="s">
        <v>203</v>
      </c>
      <c r="B30">
        <v>282000</v>
      </c>
      <c r="C30">
        <v>29</v>
      </c>
      <c r="D30" s="28">
        <f t="shared" si="1"/>
        <v>269000</v>
      </c>
      <c r="E30" s="28">
        <f t="shared" si="0"/>
        <v>282000</v>
      </c>
    </row>
    <row r="31" spans="1:5">
      <c r="A31" t="s">
        <v>204</v>
      </c>
      <c r="B31">
        <v>252500</v>
      </c>
      <c r="C31">
        <v>30</v>
      </c>
      <c r="D31" s="28">
        <f t="shared" si="1"/>
        <v>241500</v>
      </c>
      <c r="E31" s="28">
        <f t="shared" si="0"/>
        <v>252500</v>
      </c>
    </row>
    <row r="32" spans="1:5">
      <c r="A32" t="s">
        <v>205</v>
      </c>
      <c r="B32">
        <v>272500</v>
      </c>
      <c r="C32">
        <v>31</v>
      </c>
      <c r="D32" s="28">
        <f t="shared" si="1"/>
        <v>227000</v>
      </c>
      <c r="E32" s="28">
        <f t="shared" si="0"/>
        <v>272500</v>
      </c>
    </row>
    <row r="33" spans="1:5">
      <c r="A33" t="s">
        <v>206</v>
      </c>
      <c r="B33">
        <v>199500</v>
      </c>
      <c r="C33">
        <v>32</v>
      </c>
      <c r="D33" s="28">
        <f t="shared" si="1"/>
        <v>245833.33333333334</v>
      </c>
      <c r="E33" s="28">
        <f t="shared" si="0"/>
        <v>199500</v>
      </c>
    </row>
    <row r="34" spans="1:5">
      <c r="A34" t="s">
        <v>207</v>
      </c>
      <c r="B34">
        <v>209000</v>
      </c>
      <c r="C34">
        <v>33</v>
      </c>
      <c r="D34" s="28">
        <f t="shared" si="1"/>
        <v>338166.66666666669</v>
      </c>
      <c r="E34" s="28">
        <f t="shared" si="0"/>
        <v>209000</v>
      </c>
    </row>
    <row r="35" spans="1:5">
      <c r="A35" t="s">
        <v>208</v>
      </c>
      <c r="B35">
        <v>329000</v>
      </c>
      <c r="C35">
        <v>34</v>
      </c>
      <c r="D35" s="28">
        <f t="shared" si="1"/>
        <v>382000</v>
      </c>
      <c r="E35" s="28">
        <f t="shared" si="0"/>
        <v>329000</v>
      </c>
    </row>
    <row r="36" spans="1:5">
      <c r="A36" t="s">
        <v>209</v>
      </c>
      <c r="B36">
        <v>476500</v>
      </c>
      <c r="C36">
        <v>35</v>
      </c>
      <c r="D36" s="28">
        <f t="shared" si="1"/>
        <v>415666.66666666669</v>
      </c>
      <c r="E36" s="28">
        <f t="shared" si="0"/>
        <v>476500</v>
      </c>
    </row>
    <row r="37" spans="1:5">
      <c r="A37" t="s">
        <v>210</v>
      </c>
      <c r="B37">
        <v>340500</v>
      </c>
      <c r="C37">
        <v>36</v>
      </c>
      <c r="D37" s="28">
        <f t="shared" si="1"/>
        <v>385250</v>
      </c>
      <c r="E37" s="28">
        <f t="shared" si="0"/>
        <v>340500</v>
      </c>
    </row>
    <row r="38" spans="1:5">
      <c r="A38" t="s">
        <v>211</v>
      </c>
      <c r="B38">
        <v>430000</v>
      </c>
      <c r="C38">
        <v>37</v>
      </c>
      <c r="D38" s="28">
        <f t="shared" si="1"/>
        <v>430000</v>
      </c>
      <c r="E38" s="28">
        <f t="shared" si="0"/>
        <v>430000</v>
      </c>
    </row>
    <row r="39" spans="1:5">
      <c r="A39" t="s">
        <v>341</v>
      </c>
      <c r="B39" s="28"/>
      <c r="C39">
        <v>38</v>
      </c>
      <c r="D39" s="28"/>
      <c r="E39" s="28">
        <f t="shared" si="0"/>
        <v>321580.26598026598</v>
      </c>
    </row>
    <row r="40" spans="1:5">
      <c r="A40" t="s">
        <v>342</v>
      </c>
      <c r="C40">
        <v>39</v>
      </c>
      <c r="D40" s="28"/>
      <c r="E40" s="28">
        <f t="shared" si="0"/>
        <v>321543.0716430716</v>
      </c>
    </row>
    <row r="41" spans="1:5">
      <c r="A41" t="s">
        <v>343</v>
      </c>
      <c r="C41">
        <v>40</v>
      </c>
      <c r="D41" s="28"/>
      <c r="E41" s="28">
        <f t="shared" si="0"/>
        <v>321505.87730587728</v>
      </c>
    </row>
    <row r="42" spans="1:5">
      <c r="A42" t="s">
        <v>344</v>
      </c>
      <c r="C42">
        <v>41</v>
      </c>
      <c r="D42" s="28"/>
      <c r="E42" s="28">
        <f t="shared" si="0"/>
        <v>321468.68296868296</v>
      </c>
    </row>
    <row r="43" spans="1:5">
      <c r="A43" t="s">
        <v>345</v>
      </c>
      <c r="C43">
        <v>42</v>
      </c>
      <c r="D43" s="28"/>
      <c r="E43" s="28">
        <f t="shared" si="0"/>
        <v>321431.48863148864</v>
      </c>
    </row>
    <row r="44" spans="1:5">
      <c r="A44" t="s">
        <v>346</v>
      </c>
      <c r="C44">
        <v>43</v>
      </c>
      <c r="D44" s="28"/>
      <c r="E44" s="28">
        <f t="shared" si="0"/>
        <v>321394.29429429426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CF21-6D4A-49CB-9A97-E2454B7A15E8}">
  <dimension ref="A1:AL17"/>
  <sheetViews>
    <sheetView tabSelected="1" workbookViewId="0">
      <selection activeCell="U8" sqref="U8"/>
    </sheetView>
  </sheetViews>
  <sheetFormatPr defaultRowHeight="15"/>
  <cols>
    <col min="1" max="1" width="20.85546875" bestFit="1" customWidth="1"/>
    <col min="2" max="2" width="20.28515625" bestFit="1" customWidth="1"/>
    <col min="3" max="3" width="16.7109375" bestFit="1" customWidth="1"/>
    <col min="4" max="4" width="15.85546875" bestFit="1" customWidth="1"/>
    <col min="19" max="20" width="10.5703125" customWidth="1"/>
    <col min="21" max="21" width="43.7109375" bestFit="1" customWidth="1"/>
    <col min="31" max="31" width="15.42578125" bestFit="1" customWidth="1"/>
    <col min="35" max="35" width="12.5703125" bestFit="1" customWidth="1"/>
    <col min="36" max="36" width="9.5703125" bestFit="1" customWidth="1"/>
    <col min="37" max="37" width="9.42578125" bestFit="1" customWidth="1"/>
    <col min="38" max="38" width="21.28515625" bestFit="1" customWidth="1"/>
  </cols>
  <sheetData>
    <row r="1" spans="1:38" ht="21">
      <c r="A1" s="33" t="s">
        <v>164</v>
      </c>
      <c r="B1" s="34" t="s">
        <v>165</v>
      </c>
      <c r="C1" s="33" t="s">
        <v>167</v>
      </c>
      <c r="D1" s="35" t="s">
        <v>168</v>
      </c>
      <c r="U1" s="41" t="s">
        <v>347</v>
      </c>
    </row>
    <row r="2" spans="1:38" ht="28.5" customHeight="1">
      <c r="A2" s="29">
        <f ca="1">KPI_Engine!B1</f>
        <v>11739500</v>
      </c>
      <c r="B2" s="30">
        <f ca="1">KPI_Engine!B2</f>
        <v>649</v>
      </c>
      <c r="C2" s="31">
        <f ca="1">KPI_Engine!B4</f>
        <v>0.20660146699266504</v>
      </c>
      <c r="D2" s="32">
        <f ca="1">KPI_Engine!B5</f>
        <v>2195.6856702619416</v>
      </c>
      <c r="U2" s="42" t="str">
        <f>"Top Branch: " &amp; 'Region-wise performance'!A2 &amp; " (" &amp; TEXT('Region-wise performance'!B2,"₹#,##0") &amp; ")"</f>
        <v>Top Branch: BR04 (₹2,159,500)</v>
      </c>
      <c r="AE2" s="40">
        <f>IF(U8="Low",0.9,
 IF(U8="Medium",1,
 IF(U8="High",1.1)))</f>
        <v>0.9</v>
      </c>
    </row>
    <row r="3" spans="1:38" ht="18.75">
      <c r="U3" s="43" t="str">
        <f>"Top Membership: " &amp; 'Top-Bottom Product Analysis'!A2</f>
        <v>Top Membership: Standard</v>
      </c>
      <c r="AE3" s="46">
        <f ca="1" xml:space="preserve"> A2*AE2</f>
        <v>10565550</v>
      </c>
    </row>
    <row r="4" spans="1:38" ht="18.75">
      <c r="U4" s="44" t="str">
        <f>"Largest Customer Segment: " &amp; 'RFM Analysis'!G2</f>
        <v>Largest Customer Segment: At Risk</v>
      </c>
      <c r="AE4" s="47">
        <f ca="1">(AE3 - A2) / A2</f>
        <v>-0.1</v>
      </c>
    </row>
    <row r="7" spans="1:38" ht="21">
      <c r="U7" s="39" t="s">
        <v>348</v>
      </c>
    </row>
    <row r="8" spans="1:38" ht="18.75">
      <c r="U8" s="45" t="s">
        <v>349</v>
      </c>
    </row>
    <row r="9" spans="1:38" ht="18.75">
      <c r="U9" s="40" t="str">
        <f>"Scenario: " &amp; U8</f>
        <v>Scenario: Low</v>
      </c>
      <c r="AI9" s="36" t="s">
        <v>89</v>
      </c>
      <c r="AJ9" s="36" t="s">
        <v>213</v>
      </c>
      <c r="AK9" s="36" t="s">
        <v>212</v>
      </c>
      <c r="AL9" s="36" t="s">
        <v>334</v>
      </c>
    </row>
    <row r="10" spans="1:38" ht="18.75">
      <c r="U10" s="40" t="str">
        <f ca="1">"Projected Revenue: ₹" &amp; TEXT(AE3,"#,##0")</f>
        <v>Projected Revenue: ₹10,565,550</v>
      </c>
      <c r="AI10" s="36" t="s">
        <v>84</v>
      </c>
      <c r="AJ10" s="37">
        <v>1535000</v>
      </c>
      <c r="AK10" s="37">
        <v>103</v>
      </c>
      <c r="AL10" s="38">
        <v>12.284313725490197</v>
      </c>
    </row>
    <row r="11" spans="1:38" ht="18.75">
      <c r="U11" s="40" t="str">
        <f ca="1">"Change: " &amp; IF(AE4&gt;0,"+","") &amp; TEXT(AE4,"0%")</f>
        <v>Change: -10%</v>
      </c>
      <c r="AI11" s="36" t="s">
        <v>82</v>
      </c>
      <c r="AJ11" s="37">
        <v>1898000</v>
      </c>
      <c r="AK11" s="37">
        <v>123</v>
      </c>
      <c r="AL11" s="38">
        <v>12.508196721311476</v>
      </c>
    </row>
    <row r="12" spans="1:38">
      <c r="AI12" s="36" t="s">
        <v>80</v>
      </c>
      <c r="AJ12" s="37">
        <v>1942000</v>
      </c>
      <c r="AK12" s="37">
        <v>131</v>
      </c>
      <c r="AL12" s="38">
        <v>11.9140625</v>
      </c>
    </row>
    <row r="13" spans="1:38">
      <c r="AI13" s="36" t="s">
        <v>78</v>
      </c>
      <c r="AJ13" s="37">
        <v>2159500</v>
      </c>
      <c r="AK13" s="37">
        <v>137</v>
      </c>
      <c r="AL13" s="38">
        <v>13.335820895522389</v>
      </c>
    </row>
    <row r="14" spans="1:38">
      <c r="AI14" s="36" t="s">
        <v>76</v>
      </c>
      <c r="AJ14" s="37">
        <v>1301500</v>
      </c>
      <c r="AK14" s="37">
        <v>99</v>
      </c>
      <c r="AL14" s="38">
        <v>13.46875</v>
      </c>
    </row>
    <row r="15" spans="1:38">
      <c r="AI15" s="36" t="s">
        <v>74</v>
      </c>
      <c r="AJ15" s="37">
        <v>1484500</v>
      </c>
      <c r="AK15" s="37">
        <v>109</v>
      </c>
      <c r="AL15" s="38">
        <v>12.326923076923077</v>
      </c>
    </row>
    <row r="16" spans="1:38">
      <c r="AI16" s="36" t="s">
        <v>72</v>
      </c>
      <c r="AJ16" s="37">
        <v>1712500</v>
      </c>
      <c r="AK16" s="37">
        <v>116</v>
      </c>
      <c r="AL16" s="38">
        <v>12.236842105263158</v>
      </c>
    </row>
    <row r="17" spans="35:38">
      <c r="AI17" s="36" t="s">
        <v>174</v>
      </c>
      <c r="AJ17" s="37">
        <v>12033000</v>
      </c>
      <c r="AK17" s="37">
        <v>818</v>
      </c>
      <c r="AL17" s="38">
        <v>12.57625</v>
      </c>
    </row>
  </sheetData>
  <conditionalFormatting sqref="C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U8" xr:uid="{C7DD37C9-3E4E-4A29-8EEF-083953D78D4E}">
      <formula1>"Low,Medium,High"</formula1>
    </dataValidation>
  </dataValidation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Shafeeq Muhammed</dc:creator>
  <cp:keywords/>
  <dc:description/>
  <cp:lastModifiedBy/>
  <cp:revision/>
  <dcterms:created xsi:type="dcterms:W3CDTF">2026-04-15T11:15:38Z</dcterms:created>
  <dcterms:modified xsi:type="dcterms:W3CDTF">2026-04-16T19:09:28Z</dcterms:modified>
  <cp:category/>
  <cp:contentStatus/>
</cp:coreProperties>
</file>